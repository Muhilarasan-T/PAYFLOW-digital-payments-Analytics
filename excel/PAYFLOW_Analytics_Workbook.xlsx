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AYFLOW\excel\"/>
    </mc:Choice>
  </mc:AlternateContent>
  <xr:revisionPtr revIDLastSave="0" documentId="13_ncr:1_{0807813A-8F87-4106-9688-41AEB8823BBC}" xr6:coauthVersionLast="47" xr6:coauthVersionMax="47" xr10:uidLastSave="{00000000-0000-0000-0000-000000000000}"/>
  <bookViews>
    <workbookView xWindow="-110" yWindow="-110" windowWidth="19420" windowHeight="11020" firstSheet="4" activeTab="4" xr2:uid="{9C05692C-8AE0-477A-B263-9785CBB68547}"/>
  </bookViews>
  <sheets>
    <sheet name="Infrastructure Data" sheetId="5" r:id="rId1"/>
    <sheet name="Data Dictionary" sheetId="4" r:id="rId2"/>
    <sheet name="Cleaning Exceptions" sheetId="3" r:id="rId3"/>
    <sheet name="Transaction Data" sheetId="2" r:id="rId4"/>
    <sheet name="PAYFLOW Dashboard" sheetId="8" r:id="rId5"/>
    <sheet name="Payment Trends" sheetId="9" r:id="rId6"/>
    <sheet name="Infrastructure Insights" sheetId="10" r:id="rId7"/>
  </sheets>
  <definedNames>
    <definedName name="ExternalData_1" localSheetId="3" hidden="1">'Transaction Data'!$A$1:$S$4618</definedName>
    <definedName name="ExternalData_2" localSheetId="2" hidden="1">'Cleaning Exceptions'!$A$1:$L$37</definedName>
    <definedName name="ExternalData_3" localSheetId="1" hidden="1">'Data Dictionary'!$A$1:$P$146</definedName>
    <definedName name="ExternalData_4" localSheetId="0" hidden="1">'Infrastructure Data'!$A$1:$R$1054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0" l="1"/>
  <c r="H61" i="10"/>
  <c r="H62" i="10"/>
  <c r="H63" i="10"/>
  <c r="H64" i="10"/>
  <c r="H65" i="10"/>
  <c r="H66" i="10"/>
  <c r="H67" i="10"/>
  <c r="H68" i="10"/>
  <c r="H69" i="10"/>
  <c r="H70" i="10"/>
  <c r="H71" i="10"/>
  <c r="A8" i="10" s="1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A62" i="10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61" i="10"/>
  <c r="A6" i="10"/>
  <c r="A8" i="9"/>
  <c r="A7" i="9"/>
  <c r="A6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A58" i="9"/>
  <c r="A59" i="9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57" i="9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C6" i="8"/>
  <c r="A11" i="8" s="1"/>
  <c r="H56" i="8"/>
  <c r="H57" i="8"/>
  <c r="H58" i="8"/>
  <c r="H59" i="8"/>
  <c r="H60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56" i="8"/>
  <c r="A57" i="8"/>
  <c r="A58" i="8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56" i="8"/>
  <c r="A12" i="8"/>
  <c r="A10" i="8"/>
  <c r="I6" i="8" a="1"/>
  <c r="I6" i="8" s="1"/>
  <c r="G6" i="8"/>
  <c r="E6" i="8"/>
  <c r="A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B0DDC2-1089-47A6-9249-E09AB24393C8}" keepAlive="1" name="Query - cleaning_exceptions" description="Connection to the 'cleaning_exceptions' query in the workbook." type="5" refreshedVersion="7" background="1" saveData="1">
    <dbPr connection="Provider=Microsoft.Mashup.OleDb.1;Data Source=$Workbook$;Location=cleaning_exceptions;Extended Properties=&quot;&quot;" command="SELECT * FROM [cleaning_exceptions]"/>
  </connection>
  <connection id="2" xr16:uid="{B9EAAB32-9388-4E96-A005-A303A9FF4CB7}" keepAlive="1" name="Query - data_dictionary" description="Connection to the 'data_dictionary' query in the workbook." type="5" refreshedVersion="7" background="1" saveData="1">
    <dbPr connection="Provider=Microsoft.Mashup.OleDb.1;Data Source=$Workbook$;Location=data_dictionary;Extended Properties=&quot;&quot;" command="SELECT * FROM [data_dictionary]"/>
  </connection>
  <connection id="3" xr16:uid="{035FE2D3-08D5-44D0-A9B4-0D2F397A729D}" keepAlive="1" name="Query - infrastructure_indicators" description="Connection to the 'infrastructure_indicators' query in the workbook." type="5" refreshedVersion="7" background="1" saveData="1">
    <dbPr connection="Provider=Microsoft.Mashup.OleDb.1;Data Source=$Workbook$;Location=infrastructure_indicators;Extended Properties=&quot;&quot;" command="SELECT * FROM [infrastructure_indicators]"/>
  </connection>
  <connection id="4" xr16:uid="{D5B14DE4-AD6E-443B-8174-8A458BF9DB9D}" keepAlive="1" name="Query - transaction_indicators" description="Connection to the 'transaction_indicators' query in the workbook." type="5" refreshedVersion="7" background="1" saveData="1">
    <dbPr connection="Provider=Microsoft.Mashup.OleDb.1;Data Source=$Workbook$;Location=transaction_indicators;Extended Properties=&quot;&quot;" command="SELECT * FROM [transaction_indicato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<sst xmlns="http://schemas.openxmlformats.org/spreadsheetml/2006/main" count="70509" uniqueCount="9319">
  <si>
    <t>month_date</t>
  </si>
  <si>
    <t>month_label</t>
  </si>
  <si>
    <t>year</t>
  </si>
  <si>
    <t>month</t>
  </si>
  <si>
    <t>indicator_code</t>
  </si>
  <si>
    <t>indicator_name</t>
  </si>
  <si>
    <t>major_section</t>
  </si>
  <si>
    <t>sub_section</t>
  </si>
  <si>
    <t>channel_group</t>
  </si>
  <si>
    <t>hierarchy_level</t>
  </si>
  <si>
    <t>volume_lakh</t>
  </si>
  <si>
    <t>value_inr_crore</t>
  </si>
  <si>
    <t>avg_ticket_size_inr</t>
  </si>
  <si>
    <t>volume_source_col</t>
  </si>
  <si>
    <t>value_source_col</t>
  </si>
  <si>
    <t>raw_volume_str</t>
  </si>
  <si>
    <t>raw_value_str</t>
  </si>
  <si>
    <t>data_status</t>
  </si>
  <si>
    <t>notes</t>
  </si>
  <si>
    <t>AEPS_FUND_TRANSFERS</t>
  </si>
  <si>
    <t>2.1 AePS (Fund Transfers) @</t>
  </si>
  <si>
    <t>B. Payment Systems</t>
  </si>
  <si>
    <t>II Retail</t>
  </si>
  <si>
    <t>Retail Credit Transfers</t>
  </si>
  <si>
    <t>Component</t>
  </si>
  <si>
    <t>c24</t>
  </si>
  <si>
    <t>c25</t>
  </si>
  <si>
    <t>0.64</t>
  </si>
  <si>
    <t>33.10</t>
  </si>
  <si>
    <t>REPORTED</t>
  </si>
  <si>
    <t/>
  </si>
  <si>
    <t>APBS</t>
  </si>
  <si>
    <t>2.2 APBS $</t>
  </si>
  <si>
    <t>c26</t>
  </si>
  <si>
    <t>c27</t>
  </si>
  <si>
    <t>1361.27</t>
  </si>
  <si>
    <t>6882.85</t>
  </si>
  <si>
    <t>ATM_CASH_CREDIT_CARD</t>
  </si>
  <si>
    <t>3.1 Using Credit Cards $</t>
  </si>
  <si>
    <t>B. ATMs</t>
  </si>
  <si>
    <t>Cash Withdrawals</t>
  </si>
  <si>
    <t>c100</t>
  </si>
  <si>
    <t>c101</t>
  </si>
  <si>
    <t>7.99</t>
  </si>
  <si>
    <t>381.17</t>
  </si>
  <si>
    <t>ATM_CASH_DEBIT_CARD</t>
  </si>
  <si>
    <t>3.2 Using Debit Cards $</t>
  </si>
  <si>
    <t>c102</t>
  </si>
  <si>
    <t>c103</t>
  </si>
  <si>
    <t>6236.89</t>
  </si>
  <si>
    <t>281337.85</t>
  </si>
  <si>
    <t>ATM_CASH_PREPAID_CARD</t>
  </si>
  <si>
    <t>3.3 Using Pre-paid Cards $</t>
  </si>
  <si>
    <t>c104</t>
  </si>
  <si>
    <t>c105</t>
  </si>
  <si>
    <t>27.68</t>
  </si>
  <si>
    <t>911.57</t>
  </si>
  <si>
    <t>ATM_CASH_TOTAL</t>
  </si>
  <si>
    <t>3 Cash Withdrawal at ATMs $ (3.1 to 3.3)</t>
  </si>
  <si>
    <t>Category_Total</t>
  </si>
  <si>
    <t>c98</t>
  </si>
  <si>
    <t>c99</t>
  </si>
  <si>
    <t>6272.56</t>
  </si>
  <si>
    <t>282630.59</t>
  </si>
  <si>
    <t>BHIM_AADHAAR_PAY</t>
  </si>
  <si>
    <t>3.1 BHIM Aadhaar Pay @</t>
  </si>
  <si>
    <t>Retail Debit Transfers</t>
  </si>
  <si>
    <t>c42</t>
  </si>
  <si>
    <t>c43</t>
  </si>
  <si>
    <t>6.46</t>
  </si>
  <si>
    <t>96.68</t>
  </si>
  <si>
    <t>CARD_PAYMENTS_TOTAL</t>
  </si>
  <si>
    <t>4 Card Payments (4.1 to 4.2)</t>
  </si>
  <si>
    <t>Card Payments</t>
  </si>
  <si>
    <t>c50</t>
  </si>
  <si>
    <t>c51</t>
  </si>
  <si>
    <t>5942.96</t>
  </si>
  <si>
    <t>118338.93</t>
  </si>
  <si>
    <t>CCIL_FOREX_CLEARING</t>
  </si>
  <si>
    <t>1.2 Forex Clearing</t>
  </si>
  <si>
    <t>A. Settlement Systems</t>
  </si>
  <si>
    <t>Financial Market Infrastructures (FMIs)</t>
  </si>
  <si>
    <t>Wholesale Settlement (CCIL)</t>
  </si>
  <si>
    <t>c12</t>
  </si>
  <si>
    <t>c13</t>
  </si>
  <si>
    <t>1.74</t>
  </si>
  <si>
    <t>3525359.16</t>
  </si>
  <si>
    <t>CCIL_GSEC_OUTRIGHT</t>
  </si>
  <si>
    <t>1.1.1 Outright</t>
  </si>
  <si>
    <t>c6</t>
  </si>
  <si>
    <t>c7</t>
  </si>
  <si>
    <t>0.63</t>
  </si>
  <si>
    <t>862103.55</t>
  </si>
  <si>
    <t>CCIL_GSEC_REPO</t>
  </si>
  <si>
    <t>1.1.2 Repo</t>
  </si>
  <si>
    <t>c8</t>
  </si>
  <si>
    <t>c9</t>
  </si>
  <si>
    <t>0.19</t>
  </si>
  <si>
    <t>2359754.73</t>
  </si>
  <si>
    <t>CCIL_GSEC_TOTAL</t>
  </si>
  <si>
    <t>1.1 Govt. Securities Clearing (1.1.1 to 1.1.3)</t>
  </si>
  <si>
    <t>Subtotal</t>
  </si>
  <si>
    <t>c4</t>
  </si>
  <si>
    <t>c5</t>
  </si>
  <si>
    <t>1.01</t>
  </si>
  <si>
    <t>6869044.58</t>
  </si>
  <si>
    <t>CCIL_GSEC_TRIPARTY_REPO</t>
  </si>
  <si>
    <t>1.1.3 Tri-party Repo</t>
  </si>
  <si>
    <t>c10</t>
  </si>
  <si>
    <t>c11</t>
  </si>
  <si>
    <t>3647186.30</t>
  </si>
  <si>
    <t>CCIL_RUPEE_DERIVATIVES</t>
  </si>
  <si>
    <t>1.3 Rupee Derivatives @</t>
  </si>
  <si>
    <t>c14</t>
  </si>
  <si>
    <t>c15</t>
  </si>
  <si>
    <t>0.04</t>
  </si>
  <si>
    <t>261245.00</t>
  </si>
  <si>
    <t>CCIL_TOTAL</t>
  </si>
  <si>
    <t>1   CCIL Operated Systems (1.1 to 1.3)</t>
  </si>
  <si>
    <t>c2</t>
  </si>
  <si>
    <t>c3</t>
  </si>
  <si>
    <t>2.78</t>
  </si>
  <si>
    <t>10655648.74</t>
  </si>
  <si>
    <t>CREDIT_CARDS_OTHERS</t>
  </si>
  <si>
    <t>4.1.2 Others $</t>
  </si>
  <si>
    <t>c56</t>
  </si>
  <si>
    <t>c57</t>
  </si>
  <si>
    <t>728.60</t>
  </si>
  <si>
    <t>28400.61</t>
  </si>
  <si>
    <t>CREDIT_CARDS_POS</t>
  </si>
  <si>
    <t>4.1.1 PoS based $</t>
  </si>
  <si>
    <t>c54</t>
  </si>
  <si>
    <t>c55</t>
  </si>
  <si>
    <t>1033.52</t>
  </si>
  <si>
    <t>31729.63</t>
  </si>
  <si>
    <t>CREDIT_CARDS_TOTAL</t>
  </si>
  <si>
    <t>4.1 Credit Cards (4.1.1 to 4.1.2)</t>
  </si>
  <si>
    <t>c52</t>
  </si>
  <si>
    <t>c53</t>
  </si>
  <si>
    <t>1762.12</t>
  </si>
  <si>
    <t>60130.25</t>
  </si>
  <si>
    <t>DEBIT_CARDS_OTHERS</t>
  </si>
  <si>
    <t>4.2.2 Others $</t>
  </si>
  <si>
    <t>c62</t>
  </si>
  <si>
    <t>c63</t>
  </si>
  <si>
    <t>1697.66</t>
  </si>
  <si>
    <t>21201.33</t>
  </si>
  <si>
    <t>DEBIT_CARDS_POS</t>
  </si>
  <si>
    <t>4.2.1 PoS based $</t>
  </si>
  <si>
    <t>c60</t>
  </si>
  <si>
    <t>c61</t>
  </si>
  <si>
    <t>2483.18</t>
  </si>
  <si>
    <t>37007.36</t>
  </si>
  <si>
    <t>DEBIT_CARDS_TOTAL</t>
  </si>
  <si>
    <t>4.2 Debit Cards (4.2.1 to 4.2.1 )</t>
  </si>
  <si>
    <t>c58</t>
  </si>
  <si>
    <t>c59</t>
  </si>
  <si>
    <t>4180.84</t>
  </si>
  <si>
    <t>58208.69</t>
  </si>
  <si>
    <t>DEBIT_TRANSFERS_TOTAL</t>
  </si>
  <si>
    <t>3 Debit Transfers and Direct Debits (3.1 to 3.4)</t>
  </si>
  <si>
    <t>c40</t>
  </si>
  <si>
    <t>c41</t>
  </si>
  <si>
    <t>530.54</t>
  </si>
  <si>
    <t>52894.13</t>
  </si>
  <si>
    <t>ECS_CREDIT</t>
  </si>
  <si>
    <t>2.3 ECS Cr</t>
  </si>
  <si>
    <t>c28</t>
  </si>
  <si>
    <t>c29</t>
  </si>
  <si>
    <t>0.17</t>
  </si>
  <si>
    <t>61.41</t>
  </si>
  <si>
    <t>ECS_DEBIT</t>
  </si>
  <si>
    <t>3.2 ECS Dr</t>
  </si>
  <si>
    <t>c44</t>
  </si>
  <si>
    <t>c45</t>
  </si>
  <si>
    <t>-</t>
  </si>
  <si>
    <t>NOT_REPORTED</t>
  </si>
  <si>
    <t>IMPS</t>
  </si>
  <si>
    <t>2.4 IMPS</t>
  </si>
  <si>
    <t>c30</t>
  </si>
  <si>
    <t>c31</t>
  </si>
  <si>
    <t>2280.75</t>
  </si>
  <si>
    <t>202903.64</t>
  </si>
  <si>
    <t>INTERNET_PAYMENTS_INTERBANK</t>
  </si>
  <si>
    <t>2.2 Inter-bank @</t>
  </si>
  <si>
    <t>A. Other Payment Channels</t>
  </si>
  <si>
    <t>Internet Banking Channels</t>
  </si>
  <si>
    <t>c96</t>
  </si>
  <si>
    <t>c97</t>
  </si>
  <si>
    <t>2304.72</t>
  </si>
  <si>
    <t>1819547.47</t>
  </si>
  <si>
    <t>INTERNET_PAYMENTS_INTRABANK</t>
  </si>
  <si>
    <t>2.1 Intra-bank @</t>
  </si>
  <si>
    <t>c94</t>
  </si>
  <si>
    <t>c95</t>
  </si>
  <si>
    <t>646.76</t>
  </si>
  <si>
    <t>2584753.67</t>
  </si>
  <si>
    <t>INTERNET_PAYMENTS_TOTAL</t>
  </si>
  <si>
    <t>2 Internet Payments (Netbanking / Internet Browser Based) @ (2.1 to 2.2)</t>
  </si>
  <si>
    <t>c92</t>
  </si>
  <si>
    <t>c93</t>
  </si>
  <si>
    <t>2951.47</t>
  </si>
  <si>
    <t>4404301.13</t>
  </si>
  <si>
    <t>MICRO_ATM_AEPS_CASH</t>
  </si>
  <si>
    <t>5.1 AePS @</t>
  </si>
  <si>
    <t>c114</t>
  </si>
  <si>
    <t>c115</t>
  </si>
  <si>
    <t>339.83</t>
  </si>
  <si>
    <t>9648.11</t>
  </si>
  <si>
    <t>MICRO_ATM_CASH_TOTAL</t>
  </si>
  <si>
    <t>5   Cash Withrawal at Micro ATMs @</t>
  </si>
  <si>
    <t>c112</t>
  </si>
  <si>
    <t>c113</t>
  </si>
  <si>
    <t>MOBILE_PAYMENTS_INTERBANK</t>
  </si>
  <si>
    <t>1.2 Inter-bank $</t>
  </si>
  <si>
    <t>Mobile Banking Channels</t>
  </si>
  <si>
    <t>c90</t>
  </si>
  <si>
    <t>c91</t>
  </si>
  <si>
    <t>12299.40</t>
  </si>
  <si>
    <t>374493.58</t>
  </si>
  <si>
    <t>MOBILE_PAYMENTS_INTRABANK</t>
  </si>
  <si>
    <t>1.1 Intra-bank $</t>
  </si>
  <si>
    <t>c88</t>
  </si>
  <si>
    <t>c89</t>
  </si>
  <si>
    <t>1234.84</t>
  </si>
  <si>
    <t>96801.74</t>
  </si>
  <si>
    <t>MOBILE_PAYMENTS_TOTAL</t>
  </si>
  <si>
    <t>1 Mobile Payments (mobile app based) (1.1 to 1.2)</t>
  </si>
  <si>
    <t>c86</t>
  </si>
  <si>
    <t>c87</t>
  </si>
  <si>
    <t>13534.23</t>
  </si>
  <si>
    <t>471295.32</t>
  </si>
  <si>
    <t>NACH_CREDIT</t>
  </si>
  <si>
    <t>2.5 NACH Cr $</t>
  </si>
  <si>
    <t>c32</t>
  </si>
  <si>
    <t>c33</t>
  </si>
  <si>
    <t>706.05</t>
  </si>
  <si>
    <t>90940.69</t>
  </si>
  <si>
    <t>NACH_DEBIT</t>
  </si>
  <si>
    <t>3.3 NACH Dr $</t>
  </si>
  <si>
    <t>c46</t>
  </si>
  <si>
    <t>c47</t>
  </si>
  <si>
    <t>522.31</t>
  </si>
  <si>
    <t>52792.19</t>
  </si>
  <si>
    <t>NEFT</t>
  </si>
  <si>
    <t>2.6 NEFT</t>
  </si>
  <si>
    <t>c34</t>
  </si>
  <si>
    <t>c35</t>
  </si>
  <si>
    <t>2194.59</t>
  </si>
  <si>
    <t>1734651.23</t>
  </si>
  <si>
    <t>NETC_FASTAG</t>
  </si>
  <si>
    <t>3.4 NETC (linked to bank account) @</t>
  </si>
  <si>
    <t>c48</t>
  </si>
  <si>
    <t>c49</t>
  </si>
  <si>
    <t>1.77</t>
  </si>
  <si>
    <t>5.26</t>
  </si>
  <si>
    <t>PAPER_CTS</t>
  </si>
  <si>
    <t>6.1 CTS (NPCI Managed)</t>
  </si>
  <si>
    <t>Paper-based Instruments</t>
  </si>
  <si>
    <t>c76</t>
  </si>
  <si>
    <t>c77</t>
  </si>
  <si>
    <t>864.86</t>
  </si>
  <si>
    <t>643678.36</t>
  </si>
  <si>
    <t>PAPER_OTHERS</t>
  </si>
  <si>
    <t>6.2 Others</t>
  </si>
  <si>
    <t>c78</t>
  </si>
  <si>
    <t>c79</t>
  </si>
  <si>
    <t>1.26</t>
  </si>
  <si>
    <t>1124.11</t>
  </si>
  <si>
    <t>PAPER_TOTAL</t>
  </si>
  <si>
    <t>6 Paper-based Instruments (6.1 to 6.2)</t>
  </si>
  <si>
    <t>c74</t>
  </si>
  <si>
    <t>c75</t>
  </si>
  <si>
    <t>866.12</t>
  </si>
  <si>
    <t>644802.46</t>
  </si>
  <si>
    <t>POS_CASH_DEBIT_CARD</t>
  </si>
  <si>
    <t>4.1 Using Debit Cards $</t>
  </si>
  <si>
    <t>c108</t>
  </si>
  <si>
    <t>c109</t>
  </si>
  <si>
    <t>62.70</t>
  </si>
  <si>
    <t>129.00</t>
  </si>
  <si>
    <t>POS_CASH_PREPAID_CARD</t>
  </si>
  <si>
    <t>4.2 Using Pre-paid Cards $</t>
  </si>
  <si>
    <t>c110</t>
  </si>
  <si>
    <t>c111</t>
  </si>
  <si>
    <t>4.32</t>
  </si>
  <si>
    <t>4.77</t>
  </si>
  <si>
    <t>POS_CASH_TOTAL</t>
  </si>
  <si>
    <t>4 Cash Withdrawal at PoS $ (4.1 to 4.2)</t>
  </si>
  <si>
    <t>c106</t>
  </si>
  <si>
    <t>c107</t>
  </si>
  <si>
    <t>67.02</t>
  </si>
  <si>
    <t>133.77</t>
  </si>
  <si>
    <t>PPI_CARDS_OTHERS</t>
  </si>
  <si>
    <t>5.2.2 Others $</t>
  </si>
  <si>
    <t>Prepaid Payment Instruments (PPIs)</t>
  </si>
  <si>
    <t>c72</t>
  </si>
  <si>
    <t>c73</t>
  </si>
  <si>
    <t>1166.45</t>
  </si>
  <si>
    <t>1541.96</t>
  </si>
  <si>
    <t>PPI_CARDS_POS</t>
  </si>
  <si>
    <t>5.2.1 PoS based $</t>
  </si>
  <si>
    <t>c70</t>
  </si>
  <si>
    <t>c71</t>
  </si>
  <si>
    <t>119.53</t>
  </si>
  <si>
    <t>733.47</t>
  </si>
  <si>
    <t>PPI_CARDS_TOTAL</t>
  </si>
  <si>
    <t>5.2 Cards (5.2.1 to 5.2.2)</t>
  </si>
  <si>
    <t>c68</t>
  </si>
  <si>
    <t>c69</t>
  </si>
  <si>
    <t>1285.99</t>
  </si>
  <si>
    <t>2275.43</t>
  </si>
  <si>
    <t>PPI_TOTAL</t>
  </si>
  <si>
    <t>5 Prepaid Payment Instruments (5.1 to 5.2)</t>
  </si>
  <si>
    <t>c64</t>
  </si>
  <si>
    <t>c65</t>
  </si>
  <si>
    <t>4640.07</t>
  </si>
  <si>
    <t>16927.86</t>
  </si>
  <si>
    <t>PPI_WALLETS</t>
  </si>
  <si>
    <t>5.1 Wallets</t>
  </si>
  <si>
    <t>c66</t>
  </si>
  <si>
    <t>c67</t>
  </si>
  <si>
    <t>3354.08</t>
  </si>
  <si>
    <t>14652.43</t>
  </si>
  <si>
    <t>RETAIL_CREDIT_TRANSFERS_TOTAL</t>
  </si>
  <si>
    <t>2 Credit Transfers - Retail (2.1 to 2.7)</t>
  </si>
  <si>
    <t>c22</t>
  </si>
  <si>
    <t>c23</t>
  </si>
  <si>
    <t>18731.18</t>
  </si>
  <si>
    <t>2224702.01</t>
  </si>
  <si>
    <t>RTGS_CUSTOMER</t>
  </si>
  <si>
    <t>1.1 Customer Transactions</t>
  </si>
  <si>
    <t>I Financial Market Infrastructures (FMIs)</t>
  </si>
  <si>
    <t>Large-Value Credit Transfers (RTGS)</t>
  </si>
  <si>
    <t>c18</t>
  </si>
  <si>
    <t>c19</t>
  </si>
  <si>
    <t>131.61</t>
  </si>
  <si>
    <t>7469568.88</t>
  </si>
  <si>
    <t>RTGS_INTERBANK</t>
  </si>
  <si>
    <t>1.2 Interbank Transactions</t>
  </si>
  <si>
    <t>c20</t>
  </si>
  <si>
    <t>c21</t>
  </si>
  <si>
    <t>2.27</t>
  </si>
  <si>
    <t>1210237.31</t>
  </si>
  <si>
    <t>RTGS_TOTAL</t>
  </si>
  <si>
    <t>1 Credit Transfers - RTGS (1.1 to 1.2)</t>
  </si>
  <si>
    <t>c16</t>
  </si>
  <si>
    <t>c17</t>
  </si>
  <si>
    <t>133.87</t>
  </si>
  <si>
    <t>8679806.19</t>
  </si>
  <si>
    <t>TOTAL_DIGITAL_PAYMENTS</t>
  </si>
  <si>
    <t>Total Digital Payments (1+2+3+4+5)</t>
  </si>
  <si>
    <t>Macro Aggregates</t>
  </si>
  <si>
    <t>Grand_Total</t>
  </si>
  <si>
    <t>c84</t>
  </si>
  <si>
    <t>c85</t>
  </si>
  <si>
    <t>29978.63</t>
  </si>
  <si>
    <t>11092669.12</t>
  </si>
  <si>
    <t>TOTAL_PAYMENTS</t>
  </si>
  <si>
    <t>Total Payments (1+2+3+4+5+6)</t>
  </si>
  <si>
    <t>c82</t>
  </si>
  <si>
    <t>c83</t>
  </si>
  <si>
    <t>30844.75</t>
  </si>
  <si>
    <t>11737471.58</t>
  </si>
  <si>
    <t>TOTAL_RETAIL_PAYMENTS</t>
  </si>
  <si>
    <t>Total - Retail Payments (2+3+4+5+6)</t>
  </si>
  <si>
    <t>c80</t>
  </si>
  <si>
    <t>c81</t>
  </si>
  <si>
    <t>30710.88</t>
  </si>
  <si>
    <t>3057665.39</t>
  </si>
  <si>
    <t>UPI</t>
  </si>
  <si>
    <t>2.7 UPI @</t>
  </si>
  <si>
    <t>c36</t>
  </si>
  <si>
    <t>c37</t>
  </si>
  <si>
    <t>12187.71</t>
  </si>
  <si>
    <t>189229.09</t>
  </si>
  <si>
    <t>UPI_USSD</t>
  </si>
  <si>
    <t>2.7.1 of which USSD @</t>
  </si>
  <si>
    <t>Sub_Component</t>
  </si>
  <si>
    <t>c38</t>
  </si>
  <si>
    <t>c39</t>
  </si>
  <si>
    <t>0.74</t>
  </si>
  <si>
    <t>12.95</t>
  </si>
  <si>
    <t>0.84</t>
  </si>
  <si>
    <t>35.36</t>
  </si>
  <si>
    <t>1366.78</t>
  </si>
  <si>
    <t>5984.94</t>
  </si>
  <si>
    <t>8.91</t>
  </si>
  <si>
    <t>421.95</t>
  </si>
  <si>
    <t>6453.50</t>
  </si>
  <si>
    <t>289534.90</t>
  </si>
  <si>
    <t>28.25</t>
  </si>
  <si>
    <t>961.47</t>
  </si>
  <si>
    <t>6490.66</t>
  </si>
  <si>
    <t>290918.33</t>
  </si>
  <si>
    <t>7.37</t>
  </si>
  <si>
    <t>111.58</t>
  </si>
  <si>
    <t>6485.39</t>
  </si>
  <si>
    <t>128488.21</t>
  </si>
  <si>
    <t>1.75</t>
  </si>
  <si>
    <t>3831685.45</t>
  </si>
  <si>
    <t>0.61</t>
  </si>
  <si>
    <t>853261.51</t>
  </si>
  <si>
    <t>0.21</t>
  </si>
  <si>
    <t>2950776.39</t>
  </si>
  <si>
    <t>1.04</t>
  </si>
  <si>
    <t>8085475.25</t>
  </si>
  <si>
    <t>4281437.35</t>
  </si>
  <si>
    <t>279520.00</t>
  </si>
  <si>
    <t>2.83</t>
  </si>
  <si>
    <t>12196680.70</t>
  </si>
  <si>
    <t>855.55</t>
  </si>
  <si>
    <t>30578.53</t>
  </si>
  <si>
    <t>1181.09</t>
  </si>
  <si>
    <t>35157.23</t>
  </si>
  <si>
    <t>2036.64</t>
  </si>
  <si>
    <t>65735.76</t>
  </si>
  <si>
    <t>1814.57</t>
  </si>
  <si>
    <t>23012.94</t>
  </si>
  <si>
    <t>2634.18</t>
  </si>
  <si>
    <t>39739.51</t>
  </si>
  <si>
    <t>4448.75</t>
  </si>
  <si>
    <t>62752.45</t>
  </si>
  <si>
    <t>552.85</t>
  </si>
  <si>
    <t>54320.30</t>
  </si>
  <si>
    <t>0.10</t>
  </si>
  <si>
    <t>53.35</t>
  </si>
  <si>
    <t>2564.67</t>
  </si>
  <si>
    <t>210934.23</t>
  </si>
  <si>
    <t>2299.45</t>
  </si>
  <si>
    <t>2024156.94</t>
  </si>
  <si>
    <t>694.78</t>
  </si>
  <si>
    <t>3510638.11</t>
  </si>
  <si>
    <t>2994.23</t>
  </si>
  <si>
    <t>5534795.05</t>
  </si>
  <si>
    <t>326.35</t>
  </si>
  <si>
    <t>9162.81</t>
  </si>
  <si>
    <t>13041.49</t>
  </si>
  <si>
    <t>391663.33</t>
  </si>
  <si>
    <t>1280.66</t>
  </si>
  <si>
    <t>101678.83</t>
  </si>
  <si>
    <t>14322.15</t>
  </si>
  <si>
    <t>493342.16</t>
  </si>
  <si>
    <t>659.48</t>
  </si>
  <si>
    <t>78362.31</t>
  </si>
  <si>
    <t>531.45</t>
  </si>
  <si>
    <t>54171.42</t>
  </si>
  <si>
    <t>2336.88</t>
  </si>
  <si>
    <t>1942230.71</t>
  </si>
  <si>
    <t>14.02</t>
  </si>
  <si>
    <t>37.30</t>
  </si>
  <si>
    <t>864.44</t>
  </si>
  <si>
    <t>645573.23</t>
  </si>
  <si>
    <t>1.02</t>
  </si>
  <si>
    <t>1010.13</t>
  </si>
  <si>
    <t>865.46</t>
  </si>
  <si>
    <t>646583.36</t>
  </si>
  <si>
    <t>71.47</t>
  </si>
  <si>
    <t>134.17</t>
  </si>
  <si>
    <t>7.05</t>
  </si>
  <si>
    <t>14.07</t>
  </si>
  <si>
    <t>78.52</t>
  </si>
  <si>
    <t>148.24</t>
  </si>
  <si>
    <t>1294.97</t>
  </si>
  <si>
    <t>2075.70</t>
  </si>
  <si>
    <t>121.90</t>
  </si>
  <si>
    <t>1011.96</t>
  </si>
  <si>
    <t>1416.87</t>
  </si>
  <si>
    <t>3087.67</t>
  </si>
  <si>
    <t>5069.51</t>
  </si>
  <si>
    <t>18922.32</t>
  </si>
  <si>
    <t>3652.64</t>
  </si>
  <si>
    <t>15834.65</t>
  </si>
  <si>
    <t>20012.78</t>
  </si>
  <si>
    <t>2440121.66</t>
  </si>
  <si>
    <t>133.82</t>
  </si>
  <si>
    <t>8847760.71</t>
  </si>
  <si>
    <t>2.20</t>
  </si>
  <si>
    <t>1469176.10</t>
  </si>
  <si>
    <t>136.02</t>
  </si>
  <si>
    <t>10316936.81</t>
  </si>
  <si>
    <t>32256.54</t>
  </si>
  <si>
    <t>12958789.30</t>
  </si>
  <si>
    <t>33122.00</t>
  </si>
  <si>
    <t>13605372.66</t>
  </si>
  <si>
    <t>32985.98</t>
  </si>
  <si>
    <t>3288435.85</t>
  </si>
  <si>
    <t>13084.02</t>
  </si>
  <si>
    <t>202520.76</t>
  </si>
  <si>
    <t>0.80</t>
  </si>
  <si>
    <t>13.60</t>
  </si>
  <si>
    <t>0.76</t>
  </si>
  <si>
    <t>36.62</t>
  </si>
  <si>
    <t>1508.83</t>
  </si>
  <si>
    <t>9405.34</t>
  </si>
  <si>
    <t>8.53</t>
  </si>
  <si>
    <t>399.17</t>
  </si>
  <si>
    <t>6495.69</t>
  </si>
  <si>
    <t>294174.32</t>
  </si>
  <si>
    <t>28.43</t>
  </si>
  <si>
    <t>999.28</t>
  </si>
  <si>
    <t>6532.65</t>
  </si>
  <si>
    <t>295572.77</t>
  </si>
  <si>
    <t>9.36</t>
  </si>
  <si>
    <t>141.01</t>
  </si>
  <si>
    <t>6518.12</t>
  </si>
  <si>
    <t>129444.05</t>
  </si>
  <si>
    <t>1.88</t>
  </si>
  <si>
    <t>4083916.04</t>
  </si>
  <si>
    <t>0.66</t>
  </si>
  <si>
    <t>957187.56</t>
  </si>
  <si>
    <t>2999019.30</t>
  </si>
  <si>
    <t>1.09</t>
  </si>
  <si>
    <t>8442926.31</t>
  </si>
  <si>
    <t>0.22</t>
  </si>
  <si>
    <t>4486719.45</t>
  </si>
  <si>
    <t>0.05</t>
  </si>
  <si>
    <t>299940.00</t>
  </si>
  <si>
    <t>3.01</t>
  </si>
  <si>
    <t>12826782.35</t>
  </si>
  <si>
    <t>856.92</t>
  </si>
  <si>
    <t>31449.25</t>
  </si>
  <si>
    <t>1160.35</t>
  </si>
  <si>
    <t>35123.62</t>
  </si>
  <si>
    <t>2017.27</t>
  </si>
  <si>
    <t>66572.86</t>
  </si>
  <si>
    <t>1913.47</t>
  </si>
  <si>
    <t>23964.08</t>
  </si>
  <si>
    <t>2587.38</t>
  </si>
  <si>
    <t>38907.11</t>
  </si>
  <si>
    <t>4500.85</t>
  </si>
  <si>
    <t>62871.19</t>
  </si>
  <si>
    <t>571.05</t>
  </si>
  <si>
    <t>55298.10</t>
  </si>
  <si>
    <t>0.09</t>
  </si>
  <si>
    <t>43.49</t>
  </si>
  <si>
    <t>2595.26</t>
  </si>
  <si>
    <t>216810.70</t>
  </si>
  <si>
    <t>2338.81</t>
  </si>
  <si>
    <t>1901912.99</t>
  </si>
  <si>
    <t>684.97</t>
  </si>
  <si>
    <t>3668888.87</t>
  </si>
  <si>
    <t>3023.78</t>
  </si>
  <si>
    <t>5570801.86</t>
  </si>
  <si>
    <t>400.78</t>
  </si>
  <si>
    <t>11108.98</t>
  </si>
  <si>
    <t>13098.24</t>
  </si>
  <si>
    <t>413719.55</t>
  </si>
  <si>
    <t>1304.45</t>
  </si>
  <si>
    <t>107648.28</t>
  </si>
  <si>
    <t>14402.70</t>
  </si>
  <si>
    <t>521367.84</t>
  </si>
  <si>
    <t>1407.61</t>
  </si>
  <si>
    <t>81543.79</t>
  </si>
  <si>
    <t>536.08</t>
  </si>
  <si>
    <t>55107.96</t>
  </si>
  <si>
    <t>2605.55</t>
  </si>
  <si>
    <t>1929463.51</t>
  </si>
  <si>
    <t>25.61</t>
  </si>
  <si>
    <t>49.14</t>
  </si>
  <si>
    <t>886.39</t>
  </si>
  <si>
    <t>661741.00</t>
  </si>
  <si>
    <t>0.78</t>
  </si>
  <si>
    <t>658.42</t>
  </si>
  <si>
    <t>887.17</t>
  </si>
  <si>
    <t>662399.42</t>
  </si>
  <si>
    <t>92.41</t>
  </si>
  <si>
    <t>163.12</t>
  </si>
  <si>
    <t>10.06</t>
  </si>
  <si>
    <t>14.40</t>
  </si>
  <si>
    <t>102.47</t>
  </si>
  <si>
    <t>177.52</t>
  </si>
  <si>
    <t>1232.47</t>
  </si>
  <si>
    <t>1880.46</t>
  </si>
  <si>
    <t>128.35</t>
  </si>
  <si>
    <t>997.20</t>
  </si>
  <si>
    <t>1360.82</t>
  </si>
  <si>
    <t>2877.66</t>
  </si>
  <si>
    <t>5237.05</t>
  </si>
  <si>
    <t>18285.86</t>
  </si>
  <si>
    <t>3876.23</t>
  </si>
  <si>
    <t>15408.21</t>
  </si>
  <si>
    <t>21168.29</t>
  </si>
  <si>
    <t>2453546.42</t>
  </si>
  <si>
    <t>135.09</t>
  </si>
  <si>
    <t>8558048.85</t>
  </si>
  <si>
    <t>1322772.40</t>
  </si>
  <si>
    <t>137.29</t>
  </si>
  <si>
    <t>9880821.25</t>
  </si>
  <si>
    <t>33631.79</t>
  </si>
  <si>
    <t>12537395.69</t>
  </si>
  <si>
    <t>34518.96</t>
  </si>
  <si>
    <t>13199795.11</t>
  </si>
  <si>
    <t>34381.67</t>
  </si>
  <si>
    <t>3318973.86</t>
  </si>
  <si>
    <t>13050.19</t>
  </si>
  <si>
    <t>216242.97</t>
  </si>
  <si>
    <t>13.64</t>
  </si>
  <si>
    <t>39.80</t>
  </si>
  <si>
    <t>1398.12</t>
  </si>
  <si>
    <t>8868.88</t>
  </si>
  <si>
    <t>7.97</t>
  </si>
  <si>
    <t>379.00</t>
  </si>
  <si>
    <t>6148.83</t>
  </si>
  <si>
    <t>281926.94</t>
  </si>
  <si>
    <t>27.96</t>
  </si>
  <si>
    <t>974.11</t>
  </si>
  <si>
    <t>6184.76</t>
  </si>
  <si>
    <t>283280.06</t>
  </si>
  <si>
    <t>9.67</t>
  </si>
  <si>
    <t>148.59</t>
  </si>
  <si>
    <t>6128.68</t>
  </si>
  <si>
    <t>120707.85</t>
  </si>
  <si>
    <t>1.59</t>
  </si>
  <si>
    <t>3603514.00</t>
  </si>
  <si>
    <t>0.82</t>
  </si>
  <si>
    <t>1209395.00</t>
  </si>
  <si>
    <t>2604693.00</t>
  </si>
  <si>
    <t>1.17</t>
  </si>
  <si>
    <t>6868007.00</t>
  </si>
  <si>
    <t>0.16</t>
  </si>
  <si>
    <t>3053919.00</t>
  </si>
  <si>
    <t>349590.00</t>
  </si>
  <si>
    <t>2.80</t>
  </si>
  <si>
    <t>10821111.00</t>
  </si>
  <si>
    <t>810.44</t>
  </si>
  <si>
    <t>28701.00</t>
  </si>
  <si>
    <t>1072.50</t>
  </si>
  <si>
    <t>33446.00</t>
  </si>
  <si>
    <t>1882.94</t>
  </si>
  <si>
    <t>62147.00</t>
  </si>
  <si>
    <t>1789.83</t>
  </si>
  <si>
    <t>22302.43</t>
  </si>
  <si>
    <t>2455.92</t>
  </si>
  <si>
    <t>36258.42</t>
  </si>
  <si>
    <t>4245.74</t>
  </si>
  <si>
    <t>58560.85</t>
  </si>
  <si>
    <t>577.38</t>
  </si>
  <si>
    <t>55214.55</t>
  </si>
  <si>
    <t>0.00</t>
  </si>
  <si>
    <t>POST_DEPRECATION_NA</t>
  </si>
  <si>
    <t>Electronic Clearing Service (ECS) merged into NACH w.e.f. Jan 31, 2020 (RBI Footnote 2).</t>
  </si>
  <si>
    <t>2477.98</t>
  </si>
  <si>
    <t>214565.66</t>
  </si>
  <si>
    <t>2402.09</t>
  </si>
  <si>
    <t>1916703.94</t>
  </si>
  <si>
    <t>726.37</t>
  </si>
  <si>
    <t>2938100.30</t>
  </si>
  <si>
    <t>3128.46</t>
  </si>
  <si>
    <t>4854804.25</t>
  </si>
  <si>
    <t>386.44</t>
  </si>
  <si>
    <t>11200.90</t>
  </si>
  <si>
    <t>12979.75</t>
  </si>
  <si>
    <t>417512.72</t>
  </si>
  <si>
    <t>1304.52</t>
  </si>
  <si>
    <t>108332.45</t>
  </si>
  <si>
    <t>14284.28</t>
  </si>
  <si>
    <t>525845.17</t>
  </si>
  <si>
    <t>753.52</t>
  </si>
  <si>
    <t>78709.88</t>
  </si>
  <si>
    <t>540.99</t>
  </si>
  <si>
    <t>55012.95</t>
  </si>
  <si>
    <t>2483.57</t>
  </si>
  <si>
    <t>1870493.56</t>
  </si>
  <si>
    <t>26.72</t>
  </si>
  <si>
    <t>53.00</t>
  </si>
  <si>
    <t>884.58</t>
  </si>
  <si>
    <t>659157.31</t>
  </si>
  <si>
    <t>0.37</t>
  </si>
  <si>
    <t>301.01</t>
  </si>
  <si>
    <t>884.95</t>
  </si>
  <si>
    <t>659458.32</t>
  </si>
  <si>
    <t>59.42</t>
  </si>
  <si>
    <t>131.65</t>
  </si>
  <si>
    <t>6.55</t>
  </si>
  <si>
    <t>63.03</t>
  </si>
  <si>
    <t>65.97</t>
  </si>
  <si>
    <t>194.69</t>
  </si>
  <si>
    <t>1787.05</t>
  </si>
  <si>
    <t>1937.80</t>
  </si>
  <si>
    <t>115.30</t>
  </si>
  <si>
    <t>1116.30</t>
  </si>
  <si>
    <t>1902.35</t>
  </si>
  <si>
    <t>3054.10</t>
  </si>
  <si>
    <t>5685.17</t>
  </si>
  <si>
    <t>17514.71</t>
  </si>
  <si>
    <t>3782.82</t>
  </si>
  <si>
    <t>14460.61</t>
  </si>
  <si>
    <t>20370.86</t>
  </si>
  <si>
    <t>2395194.72</t>
  </si>
  <si>
    <t>131.07</t>
  </si>
  <si>
    <t>7718134.95</t>
  </si>
  <si>
    <t>2.08</t>
  </si>
  <si>
    <t>1271961.82</t>
  </si>
  <si>
    <t>133.15</t>
  </si>
  <si>
    <t>8990096.77</t>
  </si>
  <si>
    <t>32895.25</t>
  </si>
  <si>
    <t>11578728.60</t>
  </si>
  <si>
    <t>33780.20</t>
  </si>
  <si>
    <t>12238186.92</t>
  </si>
  <si>
    <t>33647.04</t>
  </si>
  <si>
    <t>3248090.15</t>
  </si>
  <si>
    <t>13256.93</t>
  </si>
  <si>
    <t>222516.95</t>
  </si>
  <si>
    <t>0.70</t>
  </si>
  <si>
    <t>12.49</t>
  </si>
  <si>
    <t>36.20</t>
  </si>
  <si>
    <t>1239.58</t>
  </si>
  <si>
    <t>7901.85</t>
  </si>
  <si>
    <t>7.54</t>
  </si>
  <si>
    <t>359.78</t>
  </si>
  <si>
    <t>5409.61</t>
  </si>
  <si>
    <t>247428.95</t>
  </si>
  <si>
    <t>22.87</t>
  </si>
  <si>
    <t>785.08</t>
  </si>
  <si>
    <t>5440.02</t>
  </si>
  <si>
    <t>248573.81</t>
  </si>
  <si>
    <t>8.88</t>
  </si>
  <si>
    <t>140.86</t>
  </si>
  <si>
    <t>5246.70</t>
  </si>
  <si>
    <t>98783.10</t>
  </si>
  <si>
    <t>1.82</t>
  </si>
  <si>
    <t>5034488.82</t>
  </si>
  <si>
    <t>0.86</t>
  </si>
  <si>
    <t>1306083.08</t>
  </si>
  <si>
    <t>0.23</t>
  </si>
  <si>
    <t>3096900.70</t>
  </si>
  <si>
    <t>1.27</t>
  </si>
  <si>
    <t>8427403.53</t>
  </si>
  <si>
    <t>4024419.75</t>
  </si>
  <si>
    <t>347030.00</t>
  </si>
  <si>
    <t>3.14</t>
  </si>
  <si>
    <t>13808922.35</t>
  </si>
  <si>
    <t>737.93</t>
  </si>
  <si>
    <t>23918.49</t>
  </si>
  <si>
    <t>900.64</t>
  </si>
  <si>
    <t>26655.66</t>
  </si>
  <si>
    <t>1638.57</t>
  </si>
  <si>
    <t>50574.15</t>
  </si>
  <si>
    <t>1682.88</t>
  </si>
  <si>
    <t>20971.13</t>
  </si>
  <si>
    <t>1925.25</t>
  </si>
  <si>
    <t>27237.82</t>
  </si>
  <si>
    <t>3608.13</t>
  </si>
  <si>
    <t>48208.95</t>
  </si>
  <si>
    <t>282.97</t>
  </si>
  <si>
    <t>34268.89</t>
  </si>
  <si>
    <t>2168.23</t>
  </si>
  <si>
    <t>201961.70</t>
  </si>
  <si>
    <t>2157.30</t>
  </si>
  <si>
    <t>2224561.85</t>
  </si>
  <si>
    <t>650.37</t>
  </si>
  <si>
    <t>3952899.63</t>
  </si>
  <si>
    <t>2807.67</t>
  </si>
  <si>
    <t>6177461.48</t>
  </si>
  <si>
    <t>344.98</t>
  </si>
  <si>
    <t>9993.25</t>
  </si>
  <si>
    <t>12543.06</t>
  </si>
  <si>
    <t>410574.70</t>
  </si>
  <si>
    <t>1287.27</t>
  </si>
  <si>
    <t>109624.42</t>
  </si>
  <si>
    <t>13830.33</t>
  </si>
  <si>
    <t>520199.11</t>
  </si>
  <si>
    <t>1134.79</t>
  </si>
  <si>
    <t>129113.44</t>
  </si>
  <si>
    <t>256.21</t>
  </si>
  <si>
    <t>34094.70</t>
  </si>
  <si>
    <t>2623.70</t>
  </si>
  <si>
    <t>2283664.64</t>
  </si>
  <si>
    <t>17.88</t>
  </si>
  <si>
    <t>33.23</t>
  </si>
  <si>
    <t>710.01</t>
  </si>
  <si>
    <t>565045.58</t>
  </si>
  <si>
    <t>0.33</t>
  </si>
  <si>
    <t>269.08</t>
  </si>
  <si>
    <t>710.34</t>
  </si>
  <si>
    <t>565314.66</t>
  </si>
  <si>
    <t>30.55</t>
  </si>
  <si>
    <t>104.86</t>
  </si>
  <si>
    <t>5.16</t>
  </si>
  <si>
    <t>33.69</t>
  </si>
  <si>
    <t>110.02</t>
  </si>
  <si>
    <t>723.23</t>
  </si>
  <si>
    <t>1208.71</t>
  </si>
  <si>
    <t>81.02</t>
  </si>
  <si>
    <t>1020.61</t>
  </si>
  <si>
    <t>804.25</t>
  </si>
  <si>
    <t>2229.32</t>
  </si>
  <si>
    <t>3982.85</t>
  </si>
  <si>
    <t>15340.81</t>
  </si>
  <si>
    <t>3178.60</t>
  </si>
  <si>
    <t>13111.49</t>
  </si>
  <si>
    <t>19635.40</t>
  </si>
  <si>
    <t>2829140.24</t>
  </si>
  <si>
    <t>117.06</t>
  </si>
  <si>
    <t>10368946.28</t>
  </si>
  <si>
    <t>1.89</t>
  </si>
  <si>
    <t>1678274.47</t>
  </si>
  <si>
    <t>118.95</t>
  </si>
  <si>
    <t>12047220.74</t>
  </si>
  <si>
    <t>29266.86</t>
  </si>
  <si>
    <t>15024753.78</t>
  </si>
  <si>
    <t>29977.21</t>
  </si>
  <si>
    <t>15590068.44</t>
  </si>
  <si>
    <t>29858.26</t>
  </si>
  <si>
    <t>3542847.70</t>
  </si>
  <si>
    <t>12468.45</t>
  </si>
  <si>
    <t>206462.31</t>
  </si>
  <si>
    <t>0.68</t>
  </si>
  <si>
    <t>11.65</t>
  </si>
  <si>
    <t>0.69</t>
  </si>
  <si>
    <t>29.46</t>
  </si>
  <si>
    <t>2312.36</t>
  </si>
  <si>
    <t>18996.35</t>
  </si>
  <si>
    <t>3.68</t>
  </si>
  <si>
    <t>159.14</t>
  </si>
  <si>
    <t>2935.26</t>
  </si>
  <si>
    <t>128559.71</t>
  </si>
  <si>
    <t>10.97</t>
  </si>
  <si>
    <t>379.39</t>
  </si>
  <si>
    <t>2949.90</t>
  </si>
  <si>
    <t>129098.25</t>
  </si>
  <si>
    <t>20.66</t>
  </si>
  <si>
    <t>217.07</t>
  </si>
  <si>
    <t>2822.19</t>
  </si>
  <si>
    <t>44015.25</t>
  </si>
  <si>
    <t>3030886.87</t>
  </si>
  <si>
    <t>0.38</t>
  </si>
  <si>
    <t>779511.15</t>
  </si>
  <si>
    <t>2517434.69</t>
  </si>
  <si>
    <t>6644723.99</t>
  </si>
  <si>
    <t>3347778.15</t>
  </si>
  <si>
    <t>0.01</t>
  </si>
  <si>
    <t>132970.00</t>
  </si>
  <si>
    <t>1.34</t>
  </si>
  <si>
    <t>9808580.86</t>
  </si>
  <si>
    <t>485.27</t>
  </si>
  <si>
    <t>12712.90</t>
  </si>
  <si>
    <t>283.26</t>
  </si>
  <si>
    <t>8051.87</t>
  </si>
  <si>
    <t>768.53</t>
  </si>
  <si>
    <t>20764.77</t>
  </si>
  <si>
    <t>1377.34</t>
  </si>
  <si>
    <t>14245.10</t>
  </si>
  <si>
    <t>676.32</t>
  </si>
  <si>
    <t>9005.39</t>
  </si>
  <si>
    <t>2053.66</t>
  </si>
  <si>
    <t>23250.48</t>
  </si>
  <si>
    <t>691.42</t>
  </si>
  <si>
    <t>56028.52</t>
  </si>
  <si>
    <t>1224.75</t>
  </si>
  <si>
    <t>121140.79</t>
  </si>
  <si>
    <t>1340.82</t>
  </si>
  <si>
    <t>1345305.46</t>
  </si>
  <si>
    <t>385.68</t>
  </si>
  <si>
    <t>3081555.10</t>
  </si>
  <si>
    <t>1726.50</t>
  </si>
  <si>
    <t>4426860.56</t>
  </si>
  <si>
    <t>875.54</t>
  </si>
  <si>
    <t>14462.23</t>
  </si>
  <si>
    <t>10254.33</t>
  </si>
  <si>
    <t>291610.96</t>
  </si>
  <si>
    <t>1064.77</t>
  </si>
  <si>
    <t>73416.29</t>
  </si>
  <si>
    <t>11319.10</t>
  </si>
  <si>
    <t>365027.25</t>
  </si>
  <si>
    <t>2657.38</t>
  </si>
  <si>
    <t>90089.32</t>
  </si>
  <si>
    <t>667.06</t>
  </si>
  <si>
    <t>55804.72</t>
  </si>
  <si>
    <t>1759.79</t>
  </si>
  <si>
    <t>1306406.41</t>
  </si>
  <si>
    <t>3.70</t>
  </si>
  <si>
    <t>6.73</t>
  </si>
  <si>
    <t>176.57</t>
  </si>
  <si>
    <t>163487.43</t>
  </si>
  <si>
    <t>0.25</t>
  </si>
  <si>
    <t>197.24</t>
  </si>
  <si>
    <t>176.82</t>
  </si>
  <si>
    <t>163684.67</t>
  </si>
  <si>
    <t>35.67</t>
  </si>
  <si>
    <t>105.41</t>
  </si>
  <si>
    <t>5.21</t>
  </si>
  <si>
    <t>5.28</t>
  </si>
  <si>
    <t>40.87</t>
  </si>
  <si>
    <t>110.69</t>
  </si>
  <si>
    <t>206.54</t>
  </si>
  <si>
    <t>642.13</t>
  </si>
  <si>
    <t>38.21</t>
  </si>
  <si>
    <t>313.39</t>
  </si>
  <si>
    <t>244.75</t>
  </si>
  <si>
    <t>955.53</t>
  </si>
  <si>
    <t>2086.01</t>
  </si>
  <si>
    <t>9648.42</t>
  </si>
  <si>
    <t>1841.26</t>
  </si>
  <si>
    <t>8692.89</t>
  </si>
  <si>
    <t>17950.71</t>
  </si>
  <si>
    <t>1687803.00</t>
  </si>
  <si>
    <t>5612492.53</t>
  </si>
  <si>
    <t>1.00</t>
  </si>
  <si>
    <t>831160.57</t>
  </si>
  <si>
    <t>54.35</t>
  </si>
  <si>
    <t>6443653.11</t>
  </si>
  <si>
    <t>23604.69</t>
  </si>
  <si>
    <t>8241148.29</t>
  </si>
  <si>
    <t>23781.50</t>
  </si>
  <si>
    <t>8404832.96</t>
  </si>
  <si>
    <t>23727.16</t>
  </si>
  <si>
    <t>1961179.85</t>
  </si>
  <si>
    <t>9995.74</t>
  </si>
  <si>
    <t>151140.66</t>
  </si>
  <si>
    <t>11.45</t>
  </si>
  <si>
    <t>0.87</t>
  </si>
  <si>
    <t>41.10</t>
  </si>
  <si>
    <t>1154.21</t>
  </si>
  <si>
    <t>14244.54</t>
  </si>
  <si>
    <t>2.76</t>
  </si>
  <si>
    <t>141.31</t>
  </si>
  <si>
    <t>4058.60</t>
  </si>
  <si>
    <t>195283.42</t>
  </si>
  <si>
    <t>14.94</t>
  </si>
  <si>
    <t>496.29</t>
  </si>
  <si>
    <t>4076.30</t>
  </si>
  <si>
    <t>195921.02</t>
  </si>
  <si>
    <t>13.40</t>
  </si>
  <si>
    <t>159.35</t>
  </si>
  <si>
    <t>3687.68</t>
  </si>
  <si>
    <t>70208.81</t>
  </si>
  <si>
    <t>0.75</t>
  </si>
  <si>
    <t>2934498.23</t>
  </si>
  <si>
    <t>0.56</t>
  </si>
  <si>
    <t>1010178.16</t>
  </si>
  <si>
    <t>3130997.91</t>
  </si>
  <si>
    <t>0.94</t>
  </si>
  <si>
    <t>7785919.77</t>
  </si>
  <si>
    <t>0.18</t>
  </si>
  <si>
    <t>3644743.70</t>
  </si>
  <si>
    <t>109375.00</t>
  </si>
  <si>
    <t>1.71</t>
  </si>
  <si>
    <t>10829793.00</t>
  </si>
  <si>
    <t>596.56</t>
  </si>
  <si>
    <t>18755.46</t>
  </si>
  <si>
    <t>432.30</t>
  </si>
  <si>
    <t>13469.56</t>
  </si>
  <si>
    <t>1028.86</t>
  </si>
  <si>
    <t>32225.02</t>
  </si>
  <si>
    <t>1537.67</t>
  </si>
  <si>
    <t>19169.55</t>
  </si>
  <si>
    <t>1121.15</t>
  </si>
  <si>
    <t>18814.24</t>
  </si>
  <si>
    <t>2658.82</t>
  </si>
  <si>
    <t>37983.79</t>
  </si>
  <si>
    <t>672.90</t>
  </si>
  <si>
    <t>50961.89</t>
  </si>
  <si>
    <t>1666.80</t>
  </si>
  <si>
    <t>169401.68</t>
  </si>
  <si>
    <t>1682.02</t>
  </si>
  <si>
    <t>1564633.26</t>
  </si>
  <si>
    <t>516.13</t>
  </si>
  <si>
    <t>3228156.66</t>
  </si>
  <si>
    <t>2198.14</t>
  </si>
  <si>
    <t>4792789.92</t>
  </si>
  <si>
    <t>1000.69</t>
  </si>
  <si>
    <t>17929.40</t>
  </si>
  <si>
    <t>13415.37</t>
  </si>
  <si>
    <t>392453.38</t>
  </si>
  <si>
    <t>1264.83</t>
  </si>
  <si>
    <t>94565.71</t>
  </si>
  <si>
    <t>14680.20</t>
  </si>
  <si>
    <t>487019.09</t>
  </si>
  <si>
    <t>995.63</t>
  </si>
  <si>
    <t>134228.78</t>
  </si>
  <si>
    <t>640.09</t>
  </si>
  <si>
    <t>50766.99</t>
  </si>
  <si>
    <t>1929.39</t>
  </si>
  <si>
    <t>1481749.52</t>
  </si>
  <si>
    <t>19.41</t>
  </si>
  <si>
    <t>35.55</t>
  </si>
  <si>
    <t>306.50</t>
  </si>
  <si>
    <t>260012.14</t>
  </si>
  <si>
    <t>0.27</t>
  </si>
  <si>
    <t>215.20</t>
  </si>
  <si>
    <t>306.77</t>
  </si>
  <si>
    <t>260227.34</t>
  </si>
  <si>
    <t>36.06</t>
  </si>
  <si>
    <t>115.61</t>
  </si>
  <si>
    <t>0.59</t>
  </si>
  <si>
    <t>36.25</t>
  </si>
  <si>
    <t>116.20</t>
  </si>
  <si>
    <t>458.98</t>
  </si>
  <si>
    <t>1177.27</t>
  </si>
  <si>
    <t>40.82</t>
  </si>
  <si>
    <t>551.42</t>
  </si>
  <si>
    <t>499.80</t>
  </si>
  <si>
    <t>1728.69</t>
  </si>
  <si>
    <t>3032.04</t>
  </si>
  <si>
    <t>12808.50</t>
  </si>
  <si>
    <t>2532.24</t>
  </si>
  <si>
    <t>11079.80</t>
  </si>
  <si>
    <t>18091.87</t>
  </si>
  <si>
    <t>2018057.20</t>
  </si>
  <si>
    <t>88.68</t>
  </si>
  <si>
    <t>6225396.23</t>
  </si>
  <si>
    <t>1.36</t>
  </si>
  <si>
    <t>816473.13</t>
  </si>
  <si>
    <t>90.04</t>
  </si>
  <si>
    <t>7041869.36</t>
  </si>
  <si>
    <t>25574.53</t>
  </si>
  <si>
    <t>9193905.76</t>
  </si>
  <si>
    <t>25881.30</t>
  </si>
  <si>
    <t>9454133.10</t>
  </si>
  <si>
    <t>25791.26</t>
  </si>
  <si>
    <t>2412263.75</t>
  </si>
  <si>
    <t>12344.97</t>
  </si>
  <si>
    <t>218391.60</t>
  </si>
  <si>
    <t>13.55</t>
  </si>
  <si>
    <t>0.89</t>
  </si>
  <si>
    <t>46.58</t>
  </si>
  <si>
    <t>1371.10</t>
  </si>
  <si>
    <t>11766.82</t>
  </si>
  <si>
    <t>3.23</t>
  </si>
  <si>
    <t>163.33</t>
  </si>
  <si>
    <t>4695.03</t>
  </si>
  <si>
    <t>228733.49</t>
  </si>
  <si>
    <t>14.91</t>
  </si>
  <si>
    <t>620.20</t>
  </si>
  <si>
    <t>4713.16</t>
  </si>
  <si>
    <t>229517.02</t>
  </si>
  <si>
    <t>14.67</t>
  </si>
  <si>
    <t>186.32</t>
  </si>
  <si>
    <t>4250.89</t>
  </si>
  <si>
    <t>90483.87</t>
  </si>
  <si>
    <t>1.19</t>
  </si>
  <si>
    <t>3658696.55</t>
  </si>
  <si>
    <t>0.54</t>
  </si>
  <si>
    <t>928567.31</t>
  </si>
  <si>
    <t>4244618.87</t>
  </si>
  <si>
    <t>9590341.23</t>
  </si>
  <si>
    <t>4417155.05</t>
  </si>
  <si>
    <t>0.02</t>
  </si>
  <si>
    <t>134185.00</t>
  </si>
  <si>
    <t>2.23</t>
  </si>
  <si>
    <t>13383222.78</t>
  </si>
  <si>
    <t>659.97</t>
  </si>
  <si>
    <t>23479.41</t>
  </si>
  <si>
    <t>588.58</t>
  </si>
  <si>
    <t>19293.42</t>
  </si>
  <si>
    <t>1248.55</t>
  </si>
  <si>
    <t>42772.83</t>
  </si>
  <si>
    <t>1526.95</t>
  </si>
  <si>
    <t>21922.71</t>
  </si>
  <si>
    <t>1475.38</t>
  </si>
  <si>
    <t>25788.33</t>
  </si>
  <si>
    <t>3002.34</t>
  </si>
  <si>
    <t>47711.04</t>
  </si>
  <si>
    <t>837.03</t>
  </si>
  <si>
    <t>70703.19</t>
  </si>
  <si>
    <t>1989.12</t>
  </si>
  <si>
    <t>206950.80</t>
  </si>
  <si>
    <t>2074.35</t>
  </si>
  <si>
    <t>2005157.16</t>
  </si>
  <si>
    <t>597.86</t>
  </si>
  <si>
    <t>3635373.50</t>
  </si>
  <si>
    <t>2672.21</t>
  </si>
  <si>
    <t>5640530.65</t>
  </si>
  <si>
    <t>990.75</t>
  </si>
  <si>
    <t>19748.99</t>
  </si>
  <si>
    <t>14822.05</t>
  </si>
  <si>
    <t>481952.51</t>
  </si>
  <si>
    <t>1424.08</t>
  </si>
  <si>
    <t>118981.22</t>
  </si>
  <si>
    <t>16246.12</t>
  </si>
  <si>
    <t>600933.73</t>
  </si>
  <si>
    <t>1337.29</t>
  </si>
  <si>
    <t>112284.90</t>
  </si>
  <si>
    <t>788.94</t>
  </si>
  <si>
    <t>70491.50</t>
  </si>
  <si>
    <t>2274.01</t>
  </si>
  <si>
    <t>1906586.12</t>
  </si>
  <si>
    <t>33.42</t>
  </si>
  <si>
    <t>25.36</t>
  </si>
  <si>
    <t>496.38</t>
  </si>
  <si>
    <t>401440.56</t>
  </si>
  <si>
    <t>0.32</t>
  </si>
  <si>
    <t>225.49</t>
  </si>
  <si>
    <t>496.69</t>
  </si>
  <si>
    <t>401666.05</t>
  </si>
  <si>
    <t>27.82</t>
  </si>
  <si>
    <t>113.59</t>
  </si>
  <si>
    <t>1.60</t>
  </si>
  <si>
    <t>2.51</t>
  </si>
  <si>
    <t>29.42</t>
  </si>
  <si>
    <t>116.09</t>
  </si>
  <si>
    <t>605.62</t>
  </si>
  <si>
    <t>1652.46</t>
  </si>
  <si>
    <t>709.69</t>
  </si>
  <si>
    <t>640.98</t>
  </si>
  <si>
    <t>2362.15</t>
  </si>
  <si>
    <t>3546.66</t>
  </si>
  <si>
    <t>14494.15</t>
  </si>
  <si>
    <t>2905.68</t>
  </si>
  <si>
    <t>12132.00</t>
  </si>
  <si>
    <t>20341.73</t>
  </si>
  <si>
    <t>2499470.22</t>
  </si>
  <si>
    <t>118.09</t>
  </si>
  <si>
    <t>7641699.58</t>
  </si>
  <si>
    <t>1010278.14</t>
  </si>
  <si>
    <t>119.68</t>
  </si>
  <si>
    <t>8651977.72</t>
  </si>
  <si>
    <t>29095.98</t>
  </si>
  <si>
    <t>11327129.14</t>
  </si>
  <si>
    <t>29592.67</t>
  </si>
  <si>
    <t>11728795.20</t>
  </si>
  <si>
    <t>29472.99</t>
  </si>
  <si>
    <t>3076817.48</t>
  </si>
  <si>
    <t>13369.31</t>
  </si>
  <si>
    <t>261835.00</t>
  </si>
  <si>
    <t>0.85</t>
  </si>
  <si>
    <t>14.56</t>
  </si>
  <si>
    <t>45.14</t>
  </si>
  <si>
    <t>1182.38</t>
  </si>
  <si>
    <t>8975.53</t>
  </si>
  <si>
    <t>3.29</t>
  </si>
  <si>
    <t>166.76</t>
  </si>
  <si>
    <t>4661.48</t>
  </si>
  <si>
    <t>231210.41</t>
  </si>
  <si>
    <t>19.20</t>
  </si>
  <si>
    <t>696.56</t>
  </si>
  <si>
    <t>4683.98</t>
  </si>
  <si>
    <t>232073.73</t>
  </si>
  <si>
    <t>15.96</t>
  </si>
  <si>
    <t>216.03</t>
  </si>
  <si>
    <t>4481.59</t>
  </si>
  <si>
    <t>95882.98</t>
  </si>
  <si>
    <t>1.28</t>
  </si>
  <si>
    <t>4544293.86</t>
  </si>
  <si>
    <t>0.73</t>
  </si>
  <si>
    <t>1146553.66</t>
  </si>
  <si>
    <t>0.29</t>
  </si>
  <si>
    <t>4098668.14</t>
  </si>
  <si>
    <t>1.22</t>
  </si>
  <si>
    <t>9407660.05</t>
  </si>
  <si>
    <t>0.20</t>
  </si>
  <si>
    <t>4162438.25</t>
  </si>
  <si>
    <t>150275.00</t>
  </si>
  <si>
    <t>2.52</t>
  </si>
  <si>
    <t>14102228.91</t>
  </si>
  <si>
    <t>718.03</t>
  </si>
  <si>
    <t>25451.02</t>
  </si>
  <si>
    <t>601.63</t>
  </si>
  <si>
    <t>20107.00</t>
  </si>
  <si>
    <t>1319.66</t>
  </si>
  <si>
    <t>45558.02</t>
  </si>
  <si>
    <t>1699.99</t>
  </si>
  <si>
    <t>24503.57</t>
  </si>
  <si>
    <t>1461.94</t>
  </si>
  <si>
    <t>25821.39</t>
  </si>
  <si>
    <t>3161.93</t>
  </si>
  <si>
    <t>50324.96</t>
  </si>
  <si>
    <t>855.71</t>
  </si>
  <si>
    <t>68355.91</t>
  </si>
  <si>
    <t>2220.99</t>
  </si>
  <si>
    <t>225775.28</t>
  </si>
  <si>
    <t>2265.41</t>
  </si>
  <si>
    <t>1946146.16</t>
  </si>
  <si>
    <t>716.10</t>
  </si>
  <si>
    <t>3032406.08</t>
  </si>
  <si>
    <t>2981.50</t>
  </si>
  <si>
    <t>4978552.24</t>
  </si>
  <si>
    <t>743.41</t>
  </si>
  <si>
    <t>17468.50</t>
  </si>
  <si>
    <t>15770.96</t>
  </si>
  <si>
    <t>508536.50</t>
  </si>
  <si>
    <t>1574.09</t>
  </si>
  <si>
    <t>130562.02</t>
  </si>
  <si>
    <t>17345.05</t>
  </si>
  <si>
    <t>639098.51</t>
  </si>
  <si>
    <t>1053.63</t>
  </si>
  <si>
    <t>98960.26</t>
  </si>
  <si>
    <t>801.08</t>
  </si>
  <si>
    <t>68083.43</t>
  </si>
  <si>
    <t>2401.03</t>
  </si>
  <si>
    <t>1963113.39</t>
  </si>
  <si>
    <t>38.67</t>
  </si>
  <si>
    <t>56.44</t>
  </si>
  <si>
    <t>532.24</t>
  </si>
  <si>
    <t>433799.37</t>
  </si>
  <si>
    <t>0.14</t>
  </si>
  <si>
    <t>272.36</t>
  </si>
  <si>
    <t>532.38</t>
  </si>
  <si>
    <t>434071.73</t>
  </si>
  <si>
    <t>30.67</t>
  </si>
  <si>
    <t>132.21</t>
  </si>
  <si>
    <t>2.90</t>
  </si>
  <si>
    <t>3.31</t>
  </si>
  <si>
    <t>33.57</t>
  </si>
  <si>
    <t>135.51</t>
  </si>
  <si>
    <t>757.34</t>
  </si>
  <si>
    <t>2001.80</t>
  </si>
  <si>
    <t>24.49</t>
  </si>
  <si>
    <t>627.58</t>
  </si>
  <si>
    <t>781.83</t>
  </si>
  <si>
    <t>2629.38</t>
  </si>
  <si>
    <t>3987.42</t>
  </si>
  <si>
    <t>15521.29</t>
  </si>
  <si>
    <t>3205.59</t>
  </si>
  <si>
    <t>12891.91</t>
  </si>
  <si>
    <t>21832.43</t>
  </si>
  <si>
    <t>2587407.45</t>
  </si>
  <si>
    <t>123.22</t>
  </si>
  <si>
    <t>7137945.04</t>
  </si>
  <si>
    <t>1.55</t>
  </si>
  <si>
    <t>1197334.01</t>
  </si>
  <si>
    <t>124.76</t>
  </si>
  <si>
    <t>8335279.05</t>
  </si>
  <si>
    <t>31281.92</t>
  </si>
  <si>
    <t>11102446.67</t>
  </si>
  <si>
    <t>31814.30</t>
  </si>
  <si>
    <t>11536518.40</t>
  </si>
  <si>
    <t>31689.54</t>
  </si>
  <si>
    <t>3201239.35</t>
  </si>
  <si>
    <t>14973.54</t>
  </si>
  <si>
    <t>290537.86</t>
  </si>
  <si>
    <t>0.91</t>
  </si>
  <si>
    <t>15.29</t>
  </si>
  <si>
    <t>46.39</t>
  </si>
  <si>
    <t>1196.39</t>
  </si>
  <si>
    <t>8312.98</t>
  </si>
  <si>
    <t>3.66</t>
  </si>
  <si>
    <t>183.57</t>
  </si>
  <si>
    <t>4834.50</t>
  </si>
  <si>
    <t>235549.49</t>
  </si>
  <si>
    <t>20.55</t>
  </si>
  <si>
    <t>712.60</t>
  </si>
  <si>
    <t>4858.71</t>
  </si>
  <si>
    <t>236445.66</t>
  </si>
  <si>
    <t>19.50</t>
  </si>
  <si>
    <t>253.04</t>
  </si>
  <si>
    <t>4814.53</t>
  </si>
  <si>
    <t>105081.07</t>
  </si>
  <si>
    <t>3749568.82</t>
  </si>
  <si>
    <t>0.52</t>
  </si>
  <si>
    <t>867395.03</t>
  </si>
  <si>
    <t>3793333.49</t>
  </si>
  <si>
    <t>0.96</t>
  </si>
  <si>
    <t>8614890.77</t>
  </si>
  <si>
    <t>3954162.25</t>
  </si>
  <si>
    <t>0.03</t>
  </si>
  <si>
    <t>211840.00</t>
  </si>
  <si>
    <t>2.28</t>
  </si>
  <si>
    <t>12576299.59</t>
  </si>
  <si>
    <t>765.64</t>
  </si>
  <si>
    <t>29309.85</t>
  </si>
  <si>
    <t>659.47</t>
  </si>
  <si>
    <t>21001.15</t>
  </si>
  <si>
    <t>1425.11</t>
  </si>
  <si>
    <t>50311.00</t>
  </si>
  <si>
    <t>1741.95</t>
  </si>
  <si>
    <t>25245.35</t>
  </si>
  <si>
    <t>1647.47</t>
  </si>
  <si>
    <t>29524.72</t>
  </si>
  <si>
    <t>3389.42</t>
  </si>
  <si>
    <t>54770.07</t>
  </si>
  <si>
    <t>857.28</t>
  </si>
  <si>
    <t>67146.35</t>
  </si>
  <si>
    <t>2461.25</t>
  </si>
  <si>
    <t>235136.91</t>
  </si>
  <si>
    <t>2261.45</t>
  </si>
  <si>
    <t>1832837.37</t>
  </si>
  <si>
    <t>670.88</t>
  </si>
  <si>
    <t>3239825.45</t>
  </si>
  <si>
    <t>2932.34</t>
  </si>
  <si>
    <t>5072662.83</t>
  </si>
  <si>
    <t>814.30</t>
  </si>
  <si>
    <t>19512.85</t>
  </si>
  <si>
    <t>18226.05</t>
  </si>
  <si>
    <t>538130.08</t>
  </si>
  <si>
    <t>1736.72</t>
  </si>
  <si>
    <t>140147.98</t>
  </si>
  <si>
    <t>19962.77</t>
  </si>
  <si>
    <t>678278.06</t>
  </si>
  <si>
    <t>1775.28</t>
  </si>
  <si>
    <t>84523.11</t>
  </si>
  <si>
    <t>791.81</t>
  </si>
  <si>
    <t>66830.18</t>
  </si>
  <si>
    <t>2346.09</t>
  </si>
  <si>
    <t>1930552.38</t>
  </si>
  <si>
    <t>45.96</t>
  </si>
  <si>
    <t>63.14</t>
  </si>
  <si>
    <t>519.73</t>
  </si>
  <si>
    <t>425251.61</t>
  </si>
  <si>
    <t>0.11</t>
  </si>
  <si>
    <t>210.01</t>
  </si>
  <si>
    <t>519.84</t>
  </si>
  <si>
    <t>425461.62</t>
  </si>
  <si>
    <t>27.89</t>
  </si>
  <si>
    <t>128.62</t>
  </si>
  <si>
    <t>4.60</t>
  </si>
  <si>
    <t>4.92</t>
  </si>
  <si>
    <t>32.48</t>
  </si>
  <si>
    <t>133.54</t>
  </si>
  <si>
    <t>906.39</t>
  </si>
  <si>
    <t>2335.30</t>
  </si>
  <si>
    <t>29.20</t>
  </si>
  <si>
    <t>736.58</t>
  </si>
  <si>
    <t>935.59</t>
  </si>
  <si>
    <t>3071.87</t>
  </si>
  <si>
    <t>4903.41</t>
  </si>
  <si>
    <t>16071.78</t>
  </si>
  <si>
    <t>3967.82</t>
  </si>
  <si>
    <t>12999.91</t>
  </si>
  <si>
    <t>23968.19</t>
  </si>
  <si>
    <t>2556879.38</t>
  </si>
  <si>
    <t>115.29</t>
  </si>
  <si>
    <t>6382551.72</t>
  </si>
  <si>
    <t>1.49</t>
  </si>
  <si>
    <t>909827.97</t>
  </si>
  <si>
    <t>116.77</t>
  </si>
  <si>
    <t>7292379.70</t>
  </si>
  <si>
    <t>34660.18</t>
  </si>
  <si>
    <t>10037558.28</t>
  </si>
  <si>
    <t>35180.02</t>
  </si>
  <si>
    <t>10463019.91</t>
  </si>
  <si>
    <t>35063.25</t>
  </si>
  <si>
    <t>3170640.21</t>
  </si>
  <si>
    <t>16188.28</t>
  </si>
  <si>
    <t>298307.61</t>
  </si>
  <si>
    <t>0.92</t>
  </si>
  <si>
    <t>15.09</t>
  </si>
  <si>
    <t>50.86</t>
  </si>
  <si>
    <t>1059.85</t>
  </si>
  <si>
    <t>6242.90</t>
  </si>
  <si>
    <t>4.36</t>
  </si>
  <si>
    <t>216.85</t>
  </si>
  <si>
    <t>5038.61</t>
  </si>
  <si>
    <t>240204.75</t>
  </si>
  <si>
    <t>22.53</t>
  </si>
  <si>
    <t>800.88</t>
  </si>
  <si>
    <t>5065.50</t>
  </si>
  <si>
    <t>241222.48</t>
  </si>
  <si>
    <t>15.28</t>
  </si>
  <si>
    <t>204.87</t>
  </si>
  <si>
    <t>4994.52</t>
  </si>
  <si>
    <t>106500.10</t>
  </si>
  <si>
    <t>4238876.55</t>
  </si>
  <si>
    <t>881022.70</t>
  </si>
  <si>
    <t>4115039.24</t>
  </si>
  <si>
    <t>1.08</t>
  </si>
  <si>
    <t>9021411.79</t>
  </si>
  <si>
    <t>4025349.85</t>
  </si>
  <si>
    <t>137470.00</t>
  </si>
  <si>
    <t>2.70</t>
  </si>
  <si>
    <t>13397758.34</t>
  </si>
  <si>
    <t>773.33</t>
  </si>
  <si>
    <t>29148.15</t>
  </si>
  <si>
    <t>713.37</t>
  </si>
  <si>
    <t>21985.60</t>
  </si>
  <si>
    <t>1486.71</t>
  </si>
  <si>
    <t>51133.75</t>
  </si>
  <si>
    <t>1748.98</t>
  </si>
  <si>
    <t>24944.46</t>
  </si>
  <si>
    <t>1758.83</t>
  </si>
  <si>
    <t>30421.89</t>
  </si>
  <si>
    <t>3507.81</t>
  </si>
  <si>
    <t>55366.35</t>
  </si>
  <si>
    <t>926.42</t>
  </si>
  <si>
    <t>78239.96</t>
  </si>
  <si>
    <t>2796.08</t>
  </si>
  <si>
    <t>248661.75</t>
  </si>
  <si>
    <t>2395.53</t>
  </si>
  <si>
    <t>2141807.47</t>
  </si>
  <si>
    <t>711.68</t>
  </si>
  <si>
    <t>3477659.50</t>
  </si>
  <si>
    <t>3107.21</t>
  </si>
  <si>
    <t>5619466.97</t>
  </si>
  <si>
    <t>717.65</t>
  </si>
  <si>
    <t>17095.93</t>
  </si>
  <si>
    <t>19086.93</t>
  </si>
  <si>
    <t>560528.78</t>
  </si>
  <si>
    <t>1907.83</t>
  </si>
  <si>
    <t>145416.23</t>
  </si>
  <si>
    <t>20994.76</t>
  </si>
  <si>
    <t>705945.01</t>
  </si>
  <si>
    <t>1179.89</t>
  </si>
  <si>
    <t>68230.89</t>
  </si>
  <si>
    <t>857.43</t>
  </si>
  <si>
    <t>77958.47</t>
  </si>
  <si>
    <t>2468.27</t>
  </si>
  <si>
    <t>2165514.73</t>
  </si>
  <si>
    <t>53.71</t>
  </si>
  <si>
    <t>76.62</t>
  </si>
  <si>
    <t>612.63</t>
  </si>
  <si>
    <t>485114.45</t>
  </si>
  <si>
    <t>0.08</t>
  </si>
  <si>
    <t>128.36</t>
  </si>
  <si>
    <t>612.71</t>
  </si>
  <si>
    <t>485242.81</t>
  </si>
  <si>
    <t>29.39</t>
  </si>
  <si>
    <t>117.97</t>
  </si>
  <si>
    <t>4.23</t>
  </si>
  <si>
    <t>4.53</t>
  </si>
  <si>
    <t>33.62</t>
  </si>
  <si>
    <t>122.51</t>
  </si>
  <si>
    <t>976.87</t>
  </si>
  <si>
    <t>2514.58</t>
  </si>
  <si>
    <t>32.50</t>
  </si>
  <si>
    <t>910.42</t>
  </si>
  <si>
    <t>1009.37</t>
  </si>
  <si>
    <t>3425.00</t>
  </si>
  <si>
    <t>4625.96</t>
  </si>
  <si>
    <t>16683.31</t>
  </si>
  <si>
    <t>3616.58</t>
  </si>
  <si>
    <t>13258.31</t>
  </si>
  <si>
    <t>25506.72</t>
  </si>
  <si>
    <t>2817732.97</t>
  </si>
  <si>
    <t>128.49</t>
  </si>
  <si>
    <t>7993813.91</t>
  </si>
  <si>
    <t>1.61</t>
  </si>
  <si>
    <t>1495251.83</t>
  </si>
  <si>
    <t>130.11</t>
  </si>
  <si>
    <t>9489065.75</t>
  </si>
  <si>
    <t>36183.72</t>
  </si>
  <si>
    <t>12508222.09</t>
  </si>
  <si>
    <t>36796.42</t>
  </si>
  <si>
    <t>12993464.90</t>
  </si>
  <si>
    <t>36666.32</t>
  </si>
  <si>
    <t>3504399.15</t>
  </si>
  <si>
    <t>18001.67</t>
  </si>
  <si>
    <t>329031.84</t>
  </si>
  <si>
    <t>14.27</t>
  </si>
  <si>
    <t>57.01</t>
  </si>
  <si>
    <t>961.85</t>
  </si>
  <si>
    <t>5530.64</t>
  </si>
  <si>
    <t>4.85</t>
  </si>
  <si>
    <t>240.43</t>
  </si>
  <si>
    <t>5626.50</t>
  </si>
  <si>
    <t>267747.22</t>
  </si>
  <si>
    <t>25.04</t>
  </si>
  <si>
    <t>893.24</t>
  </si>
  <si>
    <t>5656.39</t>
  </si>
  <si>
    <t>268880.90</t>
  </si>
  <si>
    <t>10.55</t>
  </si>
  <si>
    <t>191.57</t>
  </si>
  <si>
    <t>5650.70</t>
  </si>
  <si>
    <t>133792.50</t>
  </si>
  <si>
    <t>3435633.18</t>
  </si>
  <si>
    <t>900488.12</t>
  </si>
  <si>
    <t>4108317.16</t>
  </si>
  <si>
    <t>1.06</t>
  </si>
  <si>
    <t>8849617.33</t>
  </si>
  <si>
    <t>3840812.05</t>
  </si>
  <si>
    <t>131420.00</t>
  </si>
  <si>
    <t>2.44</t>
  </si>
  <si>
    <t>12416670.51</t>
  </si>
  <si>
    <t>899.70</t>
  </si>
  <si>
    <t>37696.01</t>
  </si>
  <si>
    <t>818.33</t>
  </si>
  <si>
    <t>26955.52</t>
  </si>
  <si>
    <t>1718.03</t>
  </si>
  <si>
    <t>64651.53</t>
  </si>
  <si>
    <t>1948.68</t>
  </si>
  <si>
    <t>32031.01</t>
  </si>
  <si>
    <t>1983.98</t>
  </si>
  <si>
    <t>37109.96</t>
  </si>
  <si>
    <t>3932.66</t>
  </si>
  <si>
    <t>69140.96</t>
  </si>
  <si>
    <t>920.15</t>
  </si>
  <si>
    <t>79305.12</t>
  </si>
  <si>
    <t>3189.72</t>
  </si>
  <si>
    <t>274644.73</t>
  </si>
  <si>
    <t>2557.52</t>
  </si>
  <si>
    <t>2104005.04</t>
  </si>
  <si>
    <t>731.93</t>
  </si>
  <si>
    <t>3398795.31</t>
  </si>
  <si>
    <t>3289.46</t>
  </si>
  <si>
    <t>5502800.35</t>
  </si>
  <si>
    <t>720.69</t>
  </si>
  <si>
    <t>18354.48</t>
  </si>
  <si>
    <t>20698.41</t>
  </si>
  <si>
    <t>639485.83</t>
  </si>
  <si>
    <t>2103.09</t>
  </si>
  <si>
    <t>158841.12</t>
  </si>
  <si>
    <t>22801.51</t>
  </si>
  <si>
    <t>798326.95</t>
  </si>
  <si>
    <t>1015.89</t>
  </si>
  <si>
    <t>91438.35</t>
  </si>
  <si>
    <t>848.34</t>
  </si>
  <si>
    <t>79022.44</t>
  </si>
  <si>
    <t>2761.65</t>
  </si>
  <si>
    <t>2235388.65</t>
  </si>
  <si>
    <t>61.26</t>
  </si>
  <si>
    <t>91.11</t>
  </si>
  <si>
    <t>643.08</t>
  </si>
  <si>
    <t>524090.34</t>
  </si>
  <si>
    <t>29.24</t>
  </si>
  <si>
    <t>4.87</t>
  </si>
  <si>
    <t>5.10</t>
  </si>
  <si>
    <t>34.11</t>
  </si>
  <si>
    <t>133.73</t>
  </si>
  <si>
    <t>914.52</t>
  </si>
  <si>
    <t>3038.85</t>
  </si>
  <si>
    <t>37.12</t>
  </si>
  <si>
    <t>1045.18</t>
  </si>
  <si>
    <t>951.64</t>
  </si>
  <si>
    <t>4084.03</t>
  </si>
  <si>
    <t>4591.52</t>
  </si>
  <si>
    <t>17910.70</t>
  </si>
  <si>
    <t>3639.88</t>
  </si>
  <si>
    <t>13826.67</t>
  </si>
  <si>
    <t>28646.32</t>
  </si>
  <si>
    <t>2993166.11</t>
  </si>
  <si>
    <t>136.54</t>
  </si>
  <si>
    <t>7226105.14</t>
  </si>
  <si>
    <t>1.68</t>
  </si>
  <si>
    <t>1269940.56</t>
  </si>
  <si>
    <t>138.22</t>
  </si>
  <si>
    <t>8496045.70</t>
  </si>
  <si>
    <t>39946.90</t>
  </si>
  <si>
    <t>11720220.13</t>
  </si>
  <si>
    <t>40589.98</t>
  </si>
  <si>
    <t>12244310.47</t>
  </si>
  <si>
    <t>40451.77</t>
  </si>
  <si>
    <t>3748264.77</t>
  </si>
  <si>
    <t>20716.19</t>
  </si>
  <si>
    <t>386106.74</t>
  </si>
  <si>
    <t>0.97</t>
  </si>
  <si>
    <t>16.00</t>
  </si>
  <si>
    <t>0.93</t>
  </si>
  <si>
    <t>54.18</t>
  </si>
  <si>
    <t>927.29</t>
  </si>
  <si>
    <t>4400.11</t>
  </si>
  <si>
    <t>4.64</t>
  </si>
  <si>
    <t>231.28</t>
  </si>
  <si>
    <t>5853.66</t>
  </si>
  <si>
    <t>276796.55</t>
  </si>
  <si>
    <t>25.63</t>
  </si>
  <si>
    <t>912.32</t>
  </si>
  <si>
    <t>5883.93</t>
  </si>
  <si>
    <t>277940.15</t>
  </si>
  <si>
    <t>9.39</t>
  </si>
  <si>
    <t>180.50</t>
  </si>
  <si>
    <t>5428.32</t>
  </si>
  <si>
    <t>130238.55</t>
  </si>
  <si>
    <t>1.64</t>
  </si>
  <si>
    <t>3625848.87</t>
  </si>
  <si>
    <t>0.48</t>
  </si>
  <si>
    <t>727022.94</t>
  </si>
  <si>
    <t>0.12</t>
  </si>
  <si>
    <t>1762646.66</t>
  </si>
  <si>
    <t>0.79</t>
  </si>
  <si>
    <t>6942677.80</t>
  </si>
  <si>
    <t>4453008.20</t>
  </si>
  <si>
    <t>123665.00</t>
  </si>
  <si>
    <t>2.45</t>
  </si>
  <si>
    <t>10692191.67</t>
  </si>
  <si>
    <t>787.76</t>
  </si>
  <si>
    <t>31855.02</t>
  </si>
  <si>
    <t>874.82</t>
  </si>
  <si>
    <t>30494.74</t>
  </si>
  <si>
    <t>1662.58</t>
  </si>
  <si>
    <t>62349.76</t>
  </si>
  <si>
    <t>1653.18</t>
  </si>
  <si>
    <t>25599.99</t>
  </si>
  <si>
    <t>2112.56</t>
  </si>
  <si>
    <t>42288.80</t>
  </si>
  <si>
    <t>3765.75</t>
  </si>
  <si>
    <t>67888.79</t>
  </si>
  <si>
    <t>944.24</t>
  </si>
  <si>
    <t>78708.76</t>
  </si>
  <si>
    <t>3391.14</t>
  </si>
  <si>
    <t>276458.91</t>
  </si>
  <si>
    <t>2411.29</t>
  </si>
  <si>
    <t>2090471.32</t>
  </si>
  <si>
    <t>707.08</t>
  </si>
  <si>
    <t>3543435.61</t>
  </si>
  <si>
    <t>3118.37</t>
  </si>
  <si>
    <t>5633906.93</t>
  </si>
  <si>
    <t>684.78</t>
  </si>
  <si>
    <t>18820.41</t>
  </si>
  <si>
    <t>22096.79</t>
  </si>
  <si>
    <t>656945.34</t>
  </si>
  <si>
    <t>2191.98</t>
  </si>
  <si>
    <t>165155.02</t>
  </si>
  <si>
    <t>24288.77</t>
  </si>
  <si>
    <t>822100.36</t>
  </si>
  <si>
    <t>1114.39</t>
  </si>
  <si>
    <t>96126.82</t>
  </si>
  <si>
    <t>869.63</t>
  </si>
  <si>
    <t>78432.58</t>
  </si>
  <si>
    <t>2734.10</t>
  </si>
  <si>
    <t>2218252.49</t>
  </si>
  <si>
    <t>65.22</t>
  </si>
  <si>
    <t>95.68</t>
  </si>
  <si>
    <t>596.35</t>
  </si>
  <si>
    <t>494300.42</t>
  </si>
  <si>
    <t>32.33</t>
  </si>
  <si>
    <t>136.66</t>
  </si>
  <si>
    <t>5.58</t>
  </si>
  <si>
    <t>5.99</t>
  </si>
  <si>
    <t>37.91</t>
  </si>
  <si>
    <t>142.65</t>
  </si>
  <si>
    <t>733.57</t>
  </si>
  <si>
    <t>2876.63</t>
  </si>
  <si>
    <t>39.70</t>
  </si>
  <si>
    <t>1114.03</t>
  </si>
  <si>
    <t>773.27</t>
  </si>
  <si>
    <t>3990.66</t>
  </si>
  <si>
    <t>4194.10</t>
  </si>
  <si>
    <t>16811.10</t>
  </si>
  <si>
    <t>3420.83</t>
  </si>
  <si>
    <t>12820.43</t>
  </si>
  <si>
    <t>30270.13</t>
  </si>
  <si>
    <t>2986291.70</t>
  </si>
  <si>
    <t>136.13</t>
  </si>
  <si>
    <t>6802206.41</t>
  </si>
  <si>
    <t>1.67</t>
  </si>
  <si>
    <t>1185449.04</t>
  </si>
  <si>
    <t>137.80</t>
  </si>
  <si>
    <t>7987655.45</t>
  </si>
  <si>
    <t>40974.58</t>
  </si>
  <si>
    <t>11199705.56</t>
  </si>
  <si>
    <t>41570.93</t>
  </si>
  <si>
    <t>11694005.97</t>
  </si>
  <si>
    <t>41433.13</t>
  </si>
  <si>
    <t>3706350.52</t>
  </si>
  <si>
    <t>22102.28</t>
  </si>
  <si>
    <t>390999.19</t>
  </si>
  <si>
    <t>15.25</t>
  </si>
  <si>
    <t>1.03</t>
  </si>
  <si>
    <t>61.11</t>
  </si>
  <si>
    <t>1018.90</t>
  </si>
  <si>
    <t>8179.50</t>
  </si>
  <si>
    <t>5.01</t>
  </si>
  <si>
    <t>246.31</t>
  </si>
  <si>
    <t>5646.77</t>
  </si>
  <si>
    <t>265569.02</t>
  </si>
  <si>
    <t>24.51</t>
  </si>
  <si>
    <t>893.37</t>
  </si>
  <si>
    <t>5676.29</t>
  </si>
  <si>
    <t>266708.70</t>
  </si>
  <si>
    <t>8.90</t>
  </si>
  <si>
    <t>187.30</t>
  </si>
  <si>
    <t>5502.88</t>
  </si>
  <si>
    <t>128664.84</t>
  </si>
  <si>
    <t>1.58</t>
  </si>
  <si>
    <t>4651381.74</t>
  </si>
  <si>
    <t>0.51</t>
  </si>
  <si>
    <t>772886.14</t>
  </si>
  <si>
    <t>4089803.62</t>
  </si>
  <si>
    <t>10816865.66</t>
  </si>
  <si>
    <t>0.24</t>
  </si>
  <si>
    <t>5954175.90</t>
  </si>
  <si>
    <t>288785.00</t>
  </si>
  <si>
    <t>2.62</t>
  </si>
  <si>
    <t>15757032.40</t>
  </si>
  <si>
    <t>823.59</t>
  </si>
  <si>
    <t>34525.77</t>
  </si>
  <si>
    <t>914.20</t>
  </si>
  <si>
    <t>28960.75</t>
  </si>
  <si>
    <t>1737.79</t>
  </si>
  <si>
    <t>63486.52</t>
  </si>
  <si>
    <t>1599.59</t>
  </si>
  <si>
    <t>25741.50</t>
  </si>
  <si>
    <t>2165.50</t>
  </si>
  <si>
    <t>39436.82</t>
  </si>
  <si>
    <t>3765.09</t>
  </si>
  <si>
    <t>65178.32</t>
  </si>
  <si>
    <t>922.53</t>
  </si>
  <si>
    <t>81871.01</t>
  </si>
  <si>
    <t>3556.93</t>
  </si>
  <si>
    <t>292324.71</t>
  </si>
  <si>
    <t>2709.13</t>
  </si>
  <si>
    <t>2536385.23</t>
  </si>
  <si>
    <t>799.18</t>
  </si>
  <si>
    <t>4135189.40</t>
  </si>
  <si>
    <t>3508.31</t>
  </si>
  <si>
    <t>6671574.63</t>
  </si>
  <si>
    <t>715.03</t>
  </si>
  <si>
    <t>19670.80</t>
  </si>
  <si>
    <t>23113.62</t>
  </si>
  <si>
    <t>727052.14</t>
  </si>
  <si>
    <t>2183.03</t>
  </si>
  <si>
    <t>174602.97</t>
  </si>
  <si>
    <t>25296.64</t>
  </si>
  <si>
    <t>901655.11</t>
  </si>
  <si>
    <t>1741.20</t>
  </si>
  <si>
    <t>118309.31</t>
  </si>
  <si>
    <t>840.43</t>
  </si>
  <si>
    <t>81576.07</t>
  </si>
  <si>
    <t>3076.15</t>
  </si>
  <si>
    <t>2558304.17</t>
  </si>
  <si>
    <t>73.21</t>
  </si>
  <si>
    <t>107.63</t>
  </si>
  <si>
    <t>719.40</t>
  </si>
  <si>
    <t>618015.32</t>
  </si>
  <si>
    <t>34.53</t>
  </si>
  <si>
    <t>142.45</t>
  </si>
  <si>
    <t>5.37</t>
  </si>
  <si>
    <t>6.18</t>
  </si>
  <si>
    <t>39.89</t>
  </si>
  <si>
    <t>148.63</t>
  </si>
  <si>
    <t>770.81</t>
  </si>
  <si>
    <t>3547.27</t>
  </si>
  <si>
    <t>45.26</t>
  </si>
  <si>
    <t>1250.34</t>
  </si>
  <si>
    <t>816.08</t>
  </si>
  <si>
    <t>4797.61</t>
  </si>
  <si>
    <t>4337.56</t>
  </si>
  <si>
    <t>18189.97</t>
  </si>
  <si>
    <t>3521.48</t>
  </si>
  <si>
    <t>13392.36</t>
  </si>
  <si>
    <t>31735.79</t>
  </si>
  <si>
    <t>3393355.02</t>
  </si>
  <si>
    <t>161.72</t>
  </si>
  <si>
    <t>9058135.92</t>
  </si>
  <si>
    <t>1600984.42</t>
  </si>
  <si>
    <t>163.48</t>
  </si>
  <si>
    <t>10659120.34</t>
  </si>
  <si>
    <t>42662.25</t>
  </si>
  <si>
    <t>14281201.17</t>
  </si>
  <si>
    <t>43381.65</t>
  </si>
  <si>
    <t>14899216.49</t>
  </si>
  <si>
    <t>43218.17</t>
  </si>
  <si>
    <t>4240096.15</t>
  </si>
  <si>
    <t>22341.58</t>
  </si>
  <si>
    <t>416176.22</t>
  </si>
  <si>
    <t>0.88</t>
  </si>
  <si>
    <t>14.10</t>
  </si>
  <si>
    <t>64.69</t>
  </si>
  <si>
    <t>1224.28</t>
  </si>
  <si>
    <t>8500.23</t>
  </si>
  <si>
    <t>5.04</t>
  </si>
  <si>
    <t>251.05</t>
  </si>
  <si>
    <t>5700.50</t>
  </si>
  <si>
    <t>266315.16</t>
  </si>
  <si>
    <t>24.43</t>
  </si>
  <si>
    <t>933.88</t>
  </si>
  <si>
    <t>5729.97</t>
  </si>
  <si>
    <t>267500.10</t>
  </si>
  <si>
    <t>10.29</t>
  </si>
  <si>
    <t>214.05</t>
  </si>
  <si>
    <t>5443.74</t>
  </si>
  <si>
    <t>127894.22</t>
  </si>
  <si>
    <t>1.35</t>
  </si>
  <si>
    <t>4576569.82</t>
  </si>
  <si>
    <t>657842.70</t>
  </si>
  <si>
    <t>3848935.12</t>
  </si>
  <si>
    <t>10875914.77</t>
  </si>
  <si>
    <t>6369136.95</t>
  </si>
  <si>
    <t>271015.00</t>
  </si>
  <si>
    <t>2.32</t>
  </si>
  <si>
    <t>15723499.59</t>
  </si>
  <si>
    <t>818.11</t>
  </si>
  <si>
    <t>35327.99</t>
  </si>
  <si>
    <t>926.09</t>
  </si>
  <si>
    <t>29409.10</t>
  </si>
  <si>
    <t>1744.20</t>
  </si>
  <si>
    <t>64737.09</t>
  </si>
  <si>
    <t>1567.18</t>
  </si>
  <si>
    <t>23968.54</t>
  </si>
  <si>
    <t>2132.37</t>
  </si>
  <si>
    <t>39188.59</t>
  </si>
  <si>
    <t>3699.54</t>
  </si>
  <si>
    <t>63157.13</t>
  </si>
  <si>
    <t>928.08</t>
  </si>
  <si>
    <t>79371.77</t>
  </si>
  <si>
    <t>3465.52</t>
  </si>
  <si>
    <t>288537.52</t>
  </si>
  <si>
    <t>2675.11</t>
  </si>
  <si>
    <t>2332776.14</t>
  </si>
  <si>
    <t>800.47</t>
  </si>
  <si>
    <t>4212275.23</t>
  </si>
  <si>
    <t>3475.58</t>
  </si>
  <si>
    <t>6545051.37</t>
  </si>
  <si>
    <t>777.16</t>
  </si>
  <si>
    <t>21699.80</t>
  </si>
  <si>
    <t>25072.69</t>
  </si>
  <si>
    <t>807977.28</t>
  </si>
  <si>
    <t>2571.61</t>
  </si>
  <si>
    <t>212336.03</t>
  </si>
  <si>
    <t>27644.30</t>
  </si>
  <si>
    <t>1020313.31</t>
  </si>
  <si>
    <t>1115.13</t>
  </si>
  <si>
    <t>96681.02</t>
  </si>
  <si>
    <t>839.08</t>
  </si>
  <si>
    <t>79044.39</t>
  </si>
  <si>
    <t>2874.93</t>
  </si>
  <si>
    <t>2165869.48</t>
  </si>
  <si>
    <t>78.71</t>
  </si>
  <si>
    <t>113.33</t>
  </si>
  <si>
    <t>657.01</t>
  </si>
  <si>
    <t>551206.72</t>
  </si>
  <si>
    <t>30.62</t>
  </si>
  <si>
    <t>135.25</t>
  </si>
  <si>
    <t>1.84</t>
  </si>
  <si>
    <t>2.24</t>
  </si>
  <si>
    <t>32.47</t>
  </si>
  <si>
    <t>137.49</t>
  </si>
  <si>
    <t>847.51</t>
  </si>
  <si>
    <t>4257.06</t>
  </si>
  <si>
    <t>43.29</t>
  </si>
  <si>
    <t>1646.73</t>
  </si>
  <si>
    <t>890.80</t>
  </si>
  <si>
    <t>5903.78</t>
  </si>
  <si>
    <t>4386.66</t>
  </si>
  <si>
    <t>19354.59</t>
  </si>
  <si>
    <t>3495.85</t>
  </si>
  <si>
    <t>13450.80</t>
  </si>
  <si>
    <t>31708.24</t>
  </si>
  <si>
    <t>2990834.85</t>
  </si>
  <si>
    <t>155.07</t>
  </si>
  <si>
    <t>7854553.06</t>
  </si>
  <si>
    <t>1315609.24</t>
  </si>
  <si>
    <t>156.68</t>
  </si>
  <si>
    <t>9170162.30</t>
  </si>
  <si>
    <t>42623.40</t>
  </si>
  <si>
    <t>12387617.73</t>
  </si>
  <si>
    <t>43280.41</t>
  </si>
  <si>
    <t>12938824.45</t>
  </si>
  <si>
    <t>43123.73</t>
  </si>
  <si>
    <t>3768662.14</t>
  </si>
  <si>
    <t>23027.28</t>
  </si>
  <si>
    <t>431181.90</t>
  </si>
  <si>
    <t>54.37</t>
  </si>
  <si>
    <t>835.54</t>
  </si>
  <si>
    <t>4765.53</t>
  </si>
  <si>
    <t>4.98</t>
  </si>
  <si>
    <t>253.42</t>
  </si>
  <si>
    <t>5502.19</t>
  </si>
  <si>
    <t>258100.15</t>
  </si>
  <si>
    <t>23.28</t>
  </si>
  <si>
    <t>894.93</t>
  </si>
  <si>
    <t>5530.45</t>
  </si>
  <si>
    <t>259248.50</t>
  </si>
  <si>
    <t>9.33</t>
  </si>
  <si>
    <t>223.34</t>
  </si>
  <si>
    <t>5059.24</t>
  </si>
  <si>
    <t>119331.22</t>
  </si>
  <si>
    <t>1.44</t>
  </si>
  <si>
    <t>4629628.19</t>
  </si>
  <si>
    <t>0.47</t>
  </si>
  <si>
    <t>681845.49</t>
  </si>
  <si>
    <t>3678987.91</t>
  </si>
  <si>
    <t>0.95</t>
  </si>
  <si>
    <t>10901991.30</t>
  </si>
  <si>
    <t>6541157.90</t>
  </si>
  <si>
    <t>340765.00</t>
  </si>
  <si>
    <t>15872384.49</t>
  </si>
  <si>
    <t>749.87</t>
  </si>
  <si>
    <t>32350.32</t>
  </si>
  <si>
    <t>863.91</t>
  </si>
  <si>
    <t>27754.22</t>
  </si>
  <si>
    <t>1613.77</t>
  </si>
  <si>
    <t>60104.54</t>
  </si>
  <si>
    <t>1436.60</t>
  </si>
  <si>
    <t>21812.61</t>
  </si>
  <si>
    <t>2008.87</t>
  </si>
  <si>
    <t>37414.06</t>
  </si>
  <si>
    <t>3445.46</t>
  </si>
  <si>
    <t>59226.67</t>
  </si>
  <si>
    <t>861.94</t>
  </si>
  <si>
    <t>68323.10</t>
  </si>
  <si>
    <t>3189.73</t>
  </si>
  <si>
    <t>275230.37</t>
  </si>
  <si>
    <t>2522.88</t>
  </si>
  <si>
    <t>2064459.14</t>
  </si>
  <si>
    <t>759.79</t>
  </si>
  <si>
    <t>2279173.56</t>
  </si>
  <si>
    <t>3282.67</t>
  </si>
  <si>
    <t>4343632.69</t>
  </si>
  <si>
    <t>656.57</t>
  </si>
  <si>
    <t>18381.35</t>
  </si>
  <si>
    <t>22026.27</t>
  </si>
  <si>
    <t>747134.44</t>
  </si>
  <si>
    <t>2345.81</t>
  </si>
  <si>
    <t>186601.63</t>
  </si>
  <si>
    <t>24372.08</t>
  </si>
  <si>
    <t>933736.07</t>
  </si>
  <si>
    <t>830.89</t>
  </si>
  <si>
    <t>61363.91</t>
  </si>
  <si>
    <t>781.43</t>
  </si>
  <si>
    <t>68011.45</t>
  </si>
  <si>
    <t>2821.07</t>
  </si>
  <si>
    <t>2152843.73</t>
  </si>
  <si>
    <t>71.18</t>
  </si>
  <si>
    <t>88.31</t>
  </si>
  <si>
    <t>636.07</t>
  </si>
  <si>
    <t>547109.17</t>
  </si>
  <si>
    <t>19.81</t>
  </si>
  <si>
    <t>114.03</t>
  </si>
  <si>
    <t>1.98</t>
  </si>
  <si>
    <t>3.26</t>
  </si>
  <si>
    <t>21.79</t>
  </si>
  <si>
    <t>117.29</t>
  </si>
  <si>
    <t>831.21</t>
  </si>
  <si>
    <t>4274.90</t>
  </si>
  <si>
    <t>39.71</t>
  </si>
  <si>
    <t>1323.33</t>
  </si>
  <si>
    <t>870.92</t>
  </si>
  <si>
    <t>5598.23</t>
  </si>
  <si>
    <t>4519.77</t>
  </si>
  <si>
    <t>18315.48</t>
  </si>
  <si>
    <t>3648.84</t>
  </si>
  <si>
    <t>12717.25</t>
  </si>
  <si>
    <t>30607.09</t>
  </si>
  <si>
    <t>2919320.67</t>
  </si>
  <si>
    <t>156.20</t>
  </si>
  <si>
    <t>7645509.54</t>
  </si>
  <si>
    <t>1.50</t>
  </si>
  <si>
    <t>1404915.91</t>
  </si>
  <si>
    <t>157.70</t>
  </si>
  <si>
    <t>9050425.45</t>
  </si>
  <si>
    <t>41205.73</t>
  </si>
  <si>
    <t>12175715.93</t>
  </si>
  <si>
    <t>41841.80</t>
  </si>
  <si>
    <t>12722825.10</t>
  </si>
  <si>
    <t>41684.11</t>
  </si>
  <si>
    <t>3672399.65</t>
  </si>
  <si>
    <t>22928.94</t>
  </si>
  <si>
    <t>425062.76</t>
  </si>
  <si>
    <t>13.03</t>
  </si>
  <si>
    <t>1.16</t>
  </si>
  <si>
    <t>72.02</t>
  </si>
  <si>
    <t>1128.83</t>
  </si>
  <si>
    <t>11085.95</t>
  </si>
  <si>
    <t>5.92</t>
  </si>
  <si>
    <t>306.59</t>
  </si>
  <si>
    <t>6003.68</t>
  </si>
  <si>
    <t>283954.61</t>
  </si>
  <si>
    <t>26.18</t>
  </si>
  <si>
    <t>1006.72</t>
  </si>
  <si>
    <t>6035.78</t>
  </si>
  <si>
    <t>285267.92</t>
  </si>
  <si>
    <t>12.92</t>
  </si>
  <si>
    <t>346.36</t>
  </si>
  <si>
    <t>5650.32</t>
  </si>
  <si>
    <t>139705.22</t>
  </si>
  <si>
    <t>1.95</t>
  </si>
  <si>
    <t>5828078.03</t>
  </si>
  <si>
    <t>0.42</t>
  </si>
  <si>
    <t>678873.33</t>
  </si>
  <si>
    <t>0.26</t>
  </si>
  <si>
    <t>4362390.05</t>
  </si>
  <si>
    <t>11182300.68</t>
  </si>
  <si>
    <t>6141037.30</t>
  </si>
  <si>
    <t>0.06</t>
  </si>
  <si>
    <t>373100.00</t>
  </si>
  <si>
    <t>2.92</t>
  </si>
  <si>
    <t>17383478.71</t>
  </si>
  <si>
    <t>874.41</t>
  </si>
  <si>
    <t>39033.06</t>
  </si>
  <si>
    <t>1012.86</t>
  </si>
  <si>
    <t>33285.76</t>
  </si>
  <si>
    <t>1887.27</t>
  </si>
  <si>
    <t>72318.82</t>
  </si>
  <si>
    <t>1533.93</t>
  </si>
  <si>
    <t>24570.28</t>
  </si>
  <si>
    <t>2229.12</t>
  </si>
  <si>
    <t>42816.12</t>
  </si>
  <si>
    <t>3763.05</t>
  </si>
  <si>
    <t>67386.41</t>
  </si>
  <si>
    <t>1038.84</t>
  </si>
  <si>
    <t>86504.52</t>
  </si>
  <si>
    <t>3631.44</t>
  </si>
  <si>
    <t>327236.07</t>
  </si>
  <si>
    <t>2899.20</t>
  </si>
  <si>
    <t>3066845.64</t>
  </si>
  <si>
    <t>911.96</t>
  </si>
  <si>
    <t>4883563.32</t>
  </si>
  <si>
    <t>3811.17</t>
  </si>
  <si>
    <t>7950408.96</t>
  </si>
  <si>
    <t>763.86</t>
  </si>
  <si>
    <t>22275.60</t>
  </si>
  <si>
    <t>28229.52</t>
  </si>
  <si>
    <t>978015.03</t>
  </si>
  <si>
    <t>4852.88</t>
  </si>
  <si>
    <t>270763.98</t>
  </si>
  <si>
    <t>33082.40</t>
  </si>
  <si>
    <t>1248779.01</t>
  </si>
  <si>
    <t>1648.84</t>
  </si>
  <si>
    <t>164298.05</t>
  </si>
  <si>
    <t>920.42</t>
  </si>
  <si>
    <t>86004.67</t>
  </si>
  <si>
    <t>3481.39</t>
  </si>
  <si>
    <t>3046328.53</t>
  </si>
  <si>
    <t>105.50</t>
  </si>
  <si>
    <t>153.50</t>
  </si>
  <si>
    <t>806.59</t>
  </si>
  <si>
    <t>722031.36</t>
  </si>
  <si>
    <t>19.49</t>
  </si>
  <si>
    <t>113.85</t>
  </si>
  <si>
    <t>4.67</t>
  </si>
  <si>
    <t>22.38</t>
  </si>
  <si>
    <t>118.52</t>
  </si>
  <si>
    <t>929.46</t>
  </si>
  <si>
    <t>4937.29</t>
  </si>
  <si>
    <t>47.32</t>
  </si>
  <si>
    <t>1665.95</t>
  </si>
  <si>
    <t>976.79</t>
  </si>
  <si>
    <t>6603.25</t>
  </si>
  <si>
    <t>5154.57</t>
  </si>
  <si>
    <t>21285.98</t>
  </si>
  <si>
    <t>4177.79</t>
  </si>
  <si>
    <t>14682.74</t>
  </si>
  <si>
    <t>37208.51</t>
  </si>
  <si>
    <t>4053907.07</t>
  </si>
  <si>
    <t>200.70</t>
  </si>
  <si>
    <t>11427957.68</t>
  </si>
  <si>
    <t>1.65</t>
  </si>
  <si>
    <t>1554256.92</t>
  </si>
  <si>
    <t>202.35</t>
  </si>
  <si>
    <t>12982214.60</t>
  </si>
  <si>
    <t>49254.60</t>
  </si>
  <si>
    <t>17283617.40</t>
  </si>
  <si>
    <t>50061.19</t>
  </si>
  <si>
    <t>18005648.76</t>
  </si>
  <si>
    <t>49858.84</t>
  </si>
  <si>
    <t>5023434.16</t>
  </si>
  <si>
    <t>27316.85</t>
  </si>
  <si>
    <t>504886.45</t>
  </si>
  <si>
    <t>61.04</t>
  </si>
  <si>
    <t>972.73</t>
  </si>
  <si>
    <t>5383.20</t>
  </si>
  <si>
    <t>5.09</t>
  </si>
  <si>
    <t>258.37</t>
  </si>
  <si>
    <t>5222.47</t>
  </si>
  <si>
    <t>254396.58</t>
  </si>
  <si>
    <t>25.13</t>
  </si>
  <si>
    <t>877.88</t>
  </si>
  <si>
    <t>5252.69</t>
  </si>
  <si>
    <t>255532.83</t>
  </si>
  <si>
    <t>13.88</t>
  </si>
  <si>
    <t>377.23</t>
  </si>
  <si>
    <t>4788.55</t>
  </si>
  <si>
    <t>115232.23</t>
  </si>
  <si>
    <t>4913256.25</t>
  </si>
  <si>
    <t>0.41</t>
  </si>
  <si>
    <t>739673.94</t>
  </si>
  <si>
    <t>3829853.23</t>
  </si>
  <si>
    <t>0.83</t>
  </si>
  <si>
    <t>9963716.52</t>
  </si>
  <si>
    <t>5394189.35</t>
  </si>
  <si>
    <t>261411.00</t>
  </si>
  <si>
    <t>2.36</t>
  </si>
  <si>
    <t>15138383.77</t>
  </si>
  <si>
    <t>793.00</t>
  </si>
  <si>
    <t>32735.37</t>
  </si>
  <si>
    <t>782.31</t>
  </si>
  <si>
    <t>26313.75</t>
  </si>
  <si>
    <t>1575.32</t>
  </si>
  <si>
    <t>59049.12</t>
  </si>
  <si>
    <t>1418.86</t>
  </si>
  <si>
    <t>20562.16</t>
  </si>
  <si>
    <t>1794.37</t>
  </si>
  <si>
    <t>35620.94</t>
  </si>
  <si>
    <t>3213.23</t>
  </si>
  <si>
    <t>56183.10</t>
  </si>
  <si>
    <t>921.28</t>
  </si>
  <si>
    <t>75500.94</t>
  </si>
  <si>
    <t>3229.68</t>
  </si>
  <si>
    <t>299542.34</t>
  </si>
  <si>
    <t>2324.46</t>
  </si>
  <si>
    <t>2186862.56</t>
  </si>
  <si>
    <t>731.65</t>
  </si>
  <si>
    <t>3456451.10</t>
  </si>
  <si>
    <t>3056.11</t>
  </si>
  <si>
    <t>5643313.66</t>
  </si>
  <si>
    <t>725.35</t>
  </si>
  <si>
    <t>21700.76</t>
  </si>
  <si>
    <t>29930.78</t>
  </si>
  <si>
    <t>815078.20</t>
  </si>
  <si>
    <t>2563.99</t>
  </si>
  <si>
    <t>191177.82</t>
  </si>
  <si>
    <t>32494.77</t>
  </si>
  <si>
    <t>1006256.01</t>
  </si>
  <si>
    <t>1029.55</t>
  </si>
  <si>
    <t>101457.42</t>
  </si>
  <si>
    <t>814.04</t>
  </si>
  <si>
    <t>74985.20</t>
  </si>
  <si>
    <t>2862.71</t>
  </si>
  <si>
    <t>2046234.56</t>
  </si>
  <si>
    <t>93.36</t>
  </si>
  <si>
    <t>138.51</t>
  </si>
  <si>
    <t>557.79</t>
  </si>
  <si>
    <t>553322.48</t>
  </si>
  <si>
    <t>18.85</t>
  </si>
  <si>
    <t>111.43</t>
  </si>
  <si>
    <t>3.20</t>
  </si>
  <si>
    <t>22.02</t>
  </si>
  <si>
    <t>22.06</t>
  </si>
  <si>
    <t>133.45</t>
  </si>
  <si>
    <t>762.11</t>
  </si>
  <si>
    <t>6084.87</t>
  </si>
  <si>
    <t>41.18</t>
  </si>
  <si>
    <t>1723.75</t>
  </si>
  <si>
    <t>803.29</t>
  </si>
  <si>
    <t>7808.62</t>
  </si>
  <si>
    <t>4761.96</t>
  </si>
  <si>
    <t>22058.72</t>
  </si>
  <si>
    <t>3958.67</t>
  </si>
  <si>
    <t>14250.10</t>
  </si>
  <si>
    <t>34506.22</t>
  </si>
  <si>
    <t>2946342.24</t>
  </si>
  <si>
    <t>150.19</t>
  </si>
  <si>
    <t>7555042.41</t>
  </si>
  <si>
    <t>1.33</t>
  </si>
  <si>
    <t>1247825.35</t>
  </si>
  <si>
    <t>151.52</t>
  </si>
  <si>
    <t>8802867.76</t>
  </si>
  <si>
    <t>45129.53</t>
  </si>
  <si>
    <t>11962001.88</t>
  </si>
  <si>
    <t>45687.32</t>
  </si>
  <si>
    <t>12515324.36</t>
  </si>
  <si>
    <t>45535.79</t>
  </si>
  <si>
    <t>3712456.60</t>
  </si>
  <si>
    <t>26410.61</t>
  </si>
  <si>
    <t>493663.68</t>
  </si>
  <si>
    <t>14.71</t>
  </si>
  <si>
    <t>58.72</t>
  </si>
  <si>
    <t>1343.10</t>
  </si>
  <si>
    <t>16261.48</t>
  </si>
  <si>
    <t>3.65</t>
  </si>
  <si>
    <t>186.58</t>
  </si>
  <si>
    <t>4139.66</t>
  </si>
  <si>
    <t>201977.91</t>
  </si>
  <si>
    <t>23.76</t>
  </si>
  <si>
    <t>693.89</t>
  </si>
  <si>
    <t>4167.07</t>
  </si>
  <si>
    <t>202858.37</t>
  </si>
  <si>
    <t>17.29</t>
  </si>
  <si>
    <t>422.44</t>
  </si>
  <si>
    <t>3901.33</t>
  </si>
  <si>
    <t>95238.97</t>
  </si>
  <si>
    <t>1.14</t>
  </si>
  <si>
    <t>4424857.91</t>
  </si>
  <si>
    <t>710624.00</t>
  </si>
  <si>
    <t>4280972.87</t>
  </si>
  <si>
    <t>9966086.82</t>
  </si>
  <si>
    <t>4974489.95</t>
  </si>
  <si>
    <t>261935.00</t>
  </si>
  <si>
    <t>14652879.73</t>
  </si>
  <si>
    <t>835.27</t>
  </si>
  <si>
    <t>33536.63</t>
  </si>
  <si>
    <t>509.46</t>
  </si>
  <si>
    <t>18477.24</t>
  </si>
  <si>
    <t>1344.73</t>
  </si>
  <si>
    <t>52013.87</t>
  </si>
  <si>
    <t>1428.76</t>
  </si>
  <si>
    <t>21029.70</t>
  </si>
  <si>
    <t>1127.84</t>
  </si>
  <si>
    <t>22195.40</t>
  </si>
  <si>
    <t>2556.60</t>
  </si>
  <si>
    <t>43225.10</t>
  </si>
  <si>
    <t>936.41</t>
  </si>
  <si>
    <t>70589.49</t>
  </si>
  <si>
    <t>2798.61</t>
  </si>
  <si>
    <t>266289.44</t>
  </si>
  <si>
    <t>2030.89</t>
  </si>
  <si>
    <t>2007337.42</t>
  </si>
  <si>
    <t>577.75</t>
  </si>
  <si>
    <t>3376531.12</t>
  </si>
  <si>
    <t>2608.64</t>
  </si>
  <si>
    <t>5383868.54</t>
  </si>
  <si>
    <t>824.37</t>
  </si>
  <si>
    <t>24138.07</t>
  </si>
  <si>
    <t>27205.39</t>
  </si>
  <si>
    <t>723916.96</t>
  </si>
  <si>
    <t>2528.93</t>
  </si>
  <si>
    <t>174306.94</t>
  </si>
  <si>
    <t>29734.31</t>
  </si>
  <si>
    <t>898223.90</t>
  </si>
  <si>
    <t>1866.34</t>
  </si>
  <si>
    <t>116463.20</t>
  </si>
  <si>
    <t>857.30</t>
  </si>
  <si>
    <t>70068.77</t>
  </si>
  <si>
    <t>2565.39</t>
  </si>
  <si>
    <t>1819458.99</t>
  </si>
  <si>
    <t>61.82</t>
  </si>
  <si>
    <t>98.28</t>
  </si>
  <si>
    <t>366.69</t>
  </si>
  <si>
    <t>341793.99</t>
  </si>
  <si>
    <t>18.08</t>
  </si>
  <si>
    <t>102.27</t>
  </si>
  <si>
    <t>2.73</t>
  </si>
  <si>
    <t>19.24</t>
  </si>
  <si>
    <t>20.81</t>
  </si>
  <si>
    <t>121.51</t>
  </si>
  <si>
    <t>635.82</t>
  </si>
  <si>
    <t>5580.00</t>
  </si>
  <si>
    <t>37.31</t>
  </si>
  <si>
    <t>1391.80</t>
  </si>
  <si>
    <t>673.13</t>
  </si>
  <si>
    <t>6971.80</t>
  </si>
  <si>
    <t>3848.67</t>
  </si>
  <si>
    <t>21414.23</t>
  </si>
  <si>
    <t>3175.54</t>
  </si>
  <si>
    <t>14442.43</t>
  </si>
  <si>
    <t>33866.21</t>
  </si>
  <si>
    <t>2707637.44</t>
  </si>
  <si>
    <t>122.28</t>
  </si>
  <si>
    <t>7211162.33</t>
  </si>
  <si>
    <t>1.07</t>
  </si>
  <si>
    <t>1155437.09</t>
  </si>
  <si>
    <t>123.34</t>
  </si>
  <si>
    <t>8366599.42</t>
  </si>
  <si>
    <t>42675.96</t>
  </si>
  <si>
    <t>11261479.56</t>
  </si>
  <si>
    <t>43042.65</t>
  </si>
  <si>
    <t>11603273.55</t>
  </si>
  <si>
    <t>42919.31</t>
  </si>
  <si>
    <t>3236674.12</t>
  </si>
  <si>
    <t>25291.82</t>
  </si>
  <si>
    <t>489105.61</t>
  </si>
  <si>
    <t>16.14</t>
  </si>
  <si>
    <t>63.65</t>
  </si>
  <si>
    <t>1148.34</t>
  </si>
  <si>
    <t>8142.52</t>
  </si>
  <si>
    <t>4.31</t>
  </si>
  <si>
    <t>218.65</t>
  </si>
  <si>
    <t>4732.04</t>
  </si>
  <si>
    <t>228680.85</t>
  </si>
  <si>
    <t>22.00</t>
  </si>
  <si>
    <t>738.49</t>
  </si>
  <si>
    <t>4758.35</t>
  </si>
  <si>
    <t>229637.99</t>
  </si>
  <si>
    <t>17.66</t>
  </si>
  <si>
    <t>416.68</t>
  </si>
  <si>
    <t>4493.75</t>
  </si>
  <si>
    <t>113789.59</t>
  </si>
  <si>
    <t>5408998.58</t>
  </si>
  <si>
    <t>774291.90</t>
  </si>
  <si>
    <t>4653921.06</t>
  </si>
  <si>
    <t>11317987.56</t>
  </si>
  <si>
    <t>5889774.60</t>
  </si>
  <si>
    <t>0.07</t>
  </si>
  <si>
    <t>417541.00</t>
  </si>
  <si>
    <t>17144527.14</t>
  </si>
  <si>
    <t>856.61</t>
  </si>
  <si>
    <t>38769.00</t>
  </si>
  <si>
    <t>690.40</t>
  </si>
  <si>
    <t>23977.02</t>
  </si>
  <si>
    <t>1547.01</t>
  </si>
  <si>
    <t>62746.02</t>
  </si>
  <si>
    <t>1441.65</t>
  </si>
  <si>
    <t>22300.29</t>
  </si>
  <si>
    <t>1505.09</t>
  </si>
  <si>
    <t>28743.28</t>
  </si>
  <si>
    <t>2946.74</t>
  </si>
  <si>
    <t>51043.57</t>
  </si>
  <si>
    <t>981.70</t>
  </si>
  <si>
    <t>86759.11</t>
  </si>
  <si>
    <t>3038.45</t>
  </si>
  <si>
    <t>284110.79</t>
  </si>
  <si>
    <t>2358.36</t>
  </si>
  <si>
    <t>2361338.44</t>
  </si>
  <si>
    <t>704.65</t>
  </si>
  <si>
    <t>4355718.59</t>
  </si>
  <si>
    <t>3063.00</t>
  </si>
  <si>
    <t>6717057.03</t>
  </si>
  <si>
    <t>856.89</t>
  </si>
  <si>
    <t>24186.70</t>
  </si>
  <si>
    <t>29297.53</t>
  </si>
  <si>
    <t>837471.16</t>
  </si>
  <si>
    <t>2829.58</t>
  </si>
  <si>
    <t>196263.54</t>
  </si>
  <si>
    <t>32127.11</t>
  </si>
  <si>
    <t>1033734.71</t>
  </si>
  <si>
    <t>1498.12</t>
  </si>
  <si>
    <t>92266.35</t>
  </si>
  <si>
    <t>878.73</t>
  </si>
  <si>
    <t>86214.75</t>
  </si>
  <si>
    <t>2923.27</t>
  </si>
  <si>
    <t>2097771.14</t>
  </si>
  <si>
    <t>85.31</t>
  </si>
  <si>
    <t>127.68</t>
  </si>
  <si>
    <t>511.38</t>
  </si>
  <si>
    <t>477429.95</t>
  </si>
  <si>
    <t>7.03</t>
  </si>
  <si>
    <t>43.70</t>
  </si>
  <si>
    <t>15.23</t>
  </si>
  <si>
    <t>7.87</t>
  </si>
  <si>
    <t>58.93</t>
  </si>
  <si>
    <t>629.36</t>
  </si>
  <si>
    <t>2140.49</t>
  </si>
  <si>
    <t>50.54</t>
  </si>
  <si>
    <t>667.40</t>
  </si>
  <si>
    <t>679.91</t>
  </si>
  <si>
    <t>2807.89</t>
  </si>
  <si>
    <t>4585.92</t>
  </si>
  <si>
    <t>18656.76</t>
  </si>
  <si>
    <t>3906.02</t>
  </si>
  <si>
    <t>15848.86</t>
  </si>
  <si>
    <t>36684.40</t>
  </si>
  <si>
    <t>3029727.61</t>
  </si>
  <si>
    <t>152.92</t>
  </si>
  <si>
    <t>8887545.80</t>
  </si>
  <si>
    <t>1309443.64</t>
  </si>
  <si>
    <t>154.14</t>
  </si>
  <si>
    <t>10196989.44</t>
  </si>
  <si>
    <t>46899.91</t>
  </si>
  <si>
    <t>13445922.51</t>
  </si>
  <si>
    <t>47411.29</t>
  </si>
  <si>
    <t>13923352.46</t>
  </si>
  <si>
    <t>47257.15</t>
  </si>
  <si>
    <t>3726363.02</t>
  </si>
  <si>
    <t>28075.16</t>
  </si>
  <si>
    <t>547373.16</t>
  </si>
  <si>
    <t>16.01</t>
  </si>
  <si>
    <t>60.78</t>
  </si>
  <si>
    <t>1047.34</t>
  </si>
  <si>
    <t>7980.68</t>
  </si>
  <si>
    <t>4.74</t>
  </si>
  <si>
    <t>235.17</t>
  </si>
  <si>
    <t>5344.70</t>
  </si>
  <si>
    <t>253780.20</t>
  </si>
  <si>
    <t>25.38</t>
  </si>
  <si>
    <t>5374.82</t>
  </si>
  <si>
    <t>254886.29</t>
  </si>
  <si>
    <t>17.49</t>
  </si>
  <si>
    <t>413.67</t>
  </si>
  <si>
    <t>5225.86</t>
  </si>
  <si>
    <t>135972.20</t>
  </si>
  <si>
    <t>5290625.67</t>
  </si>
  <si>
    <t>0.50</t>
  </si>
  <si>
    <t>744620.52</t>
  </si>
  <si>
    <t>3802643.94</t>
  </si>
  <si>
    <t>0.98</t>
  </si>
  <si>
    <t>11096030.91</t>
  </si>
  <si>
    <t>6548766.45</t>
  </si>
  <si>
    <t>412155.00</t>
  </si>
  <si>
    <t>2.68</t>
  </si>
  <si>
    <t>16798811.58</t>
  </si>
  <si>
    <t>920.21</t>
  </si>
  <si>
    <t>44386.68</t>
  </si>
  <si>
    <t>900.27</t>
  </si>
  <si>
    <t>30498.08</t>
  </si>
  <si>
    <t>1820.49</t>
  </si>
  <si>
    <t>74884.76</t>
  </si>
  <si>
    <t>1503.73</t>
  </si>
  <si>
    <t>24323.69</t>
  </si>
  <si>
    <t>1901.64</t>
  </si>
  <si>
    <t>36763.75</t>
  </si>
  <si>
    <t>3405.37</t>
  </si>
  <si>
    <t>61087.44</t>
  </si>
  <si>
    <t>986.32</t>
  </si>
  <si>
    <t>86502.66</t>
  </si>
  <si>
    <t>3524.64</t>
  </si>
  <si>
    <t>311310.38</t>
  </si>
  <si>
    <t>2655.07</t>
  </si>
  <si>
    <t>2526751.60</t>
  </si>
  <si>
    <t>827.98</t>
  </si>
  <si>
    <t>4293972.73</t>
  </si>
  <si>
    <t>3483.06</t>
  </si>
  <si>
    <t>6820724.33</t>
  </si>
  <si>
    <t>869.89</t>
  </si>
  <si>
    <t>22972.73</t>
  </si>
  <si>
    <t>33703.12</t>
  </si>
  <si>
    <t>926547.50</t>
  </si>
  <si>
    <t>3133.94</t>
  </si>
  <si>
    <t>210685.39</t>
  </si>
  <si>
    <t>36837.05</t>
  </si>
  <si>
    <t>1137232.89</t>
  </si>
  <si>
    <t>1174.68</t>
  </si>
  <si>
    <t>85696.64</t>
  </si>
  <si>
    <t>877.08</t>
  </si>
  <si>
    <t>85979.98</t>
  </si>
  <si>
    <t>3170.00</t>
  </si>
  <si>
    <t>2204302.78</t>
  </si>
  <si>
    <t>91.75</t>
  </si>
  <si>
    <t>109.01</t>
  </si>
  <si>
    <t>596.11</t>
  </si>
  <si>
    <t>553256.39</t>
  </si>
  <si>
    <t>6.15</t>
  </si>
  <si>
    <t>43.27</t>
  </si>
  <si>
    <t>1.30</t>
  </si>
  <si>
    <t>18.96</t>
  </si>
  <si>
    <t>7.45</t>
  </si>
  <si>
    <t>62.23</t>
  </si>
  <si>
    <t>816.64</t>
  </si>
  <si>
    <t>3069.73</t>
  </si>
  <si>
    <t>73.49</t>
  </si>
  <si>
    <t>893.25</t>
  </si>
  <si>
    <t>890.14</t>
  </si>
  <si>
    <t>3962.98</t>
  </si>
  <si>
    <t>4958.99</t>
  </si>
  <si>
    <t>20587.17</t>
  </si>
  <si>
    <t>4068.85</t>
  </si>
  <si>
    <t>16624.18</t>
  </si>
  <si>
    <t>41372.72</t>
  </si>
  <si>
    <t>3215234.46</t>
  </si>
  <si>
    <t>166.43</t>
  </si>
  <si>
    <t>9288983.57</t>
  </si>
  <si>
    <t>1452330.54</t>
  </si>
  <si>
    <t>167.65</t>
  </si>
  <si>
    <t>10741314.11</t>
  </si>
  <si>
    <t>52711.53</t>
  </si>
  <si>
    <t>14199610.60</t>
  </si>
  <si>
    <t>53307.64</t>
  </si>
  <si>
    <t>14752866.99</t>
  </si>
  <si>
    <t>53139.99</t>
  </si>
  <si>
    <t>4011552.88</t>
  </si>
  <si>
    <t>32455.02</t>
  </si>
  <si>
    <t>605883.20</t>
  </si>
  <si>
    <t>16.33</t>
  </si>
  <si>
    <t>1.05</t>
  </si>
  <si>
    <t>61.48</t>
  </si>
  <si>
    <t>722.32</t>
  </si>
  <si>
    <t>10305.11</t>
  </si>
  <si>
    <t>5.02</t>
  </si>
  <si>
    <t>248.15</t>
  </si>
  <si>
    <t>5652.37</t>
  </si>
  <si>
    <t>261683.23</t>
  </si>
  <si>
    <t>27.35</t>
  </si>
  <si>
    <t>949.45</t>
  </si>
  <si>
    <t>5684.73</t>
  </si>
  <si>
    <t>262880.83</t>
  </si>
  <si>
    <t>21.99</t>
  </si>
  <si>
    <t>462.30</t>
  </si>
  <si>
    <t>5493.00</t>
  </si>
  <si>
    <t>142599.76</t>
  </si>
  <si>
    <t>1.48</t>
  </si>
  <si>
    <t>4599544.82</t>
  </si>
  <si>
    <t>730532.13</t>
  </si>
  <si>
    <t>3479766.03</t>
  </si>
  <si>
    <t>10388877.16</t>
  </si>
  <si>
    <t>6178579.00</t>
  </si>
  <si>
    <t>374530.00</t>
  </si>
  <si>
    <t>15362951.98</t>
  </si>
  <si>
    <t>920.08</t>
  </si>
  <si>
    <t>44764.13</t>
  </si>
  <si>
    <t>984.62</t>
  </si>
  <si>
    <t>32968.89</t>
  </si>
  <si>
    <t>1904.71</t>
  </si>
  <si>
    <t>77733.02</t>
  </si>
  <si>
    <t>1468.66</t>
  </si>
  <si>
    <t>23689.61</t>
  </si>
  <si>
    <t>2119.63</t>
  </si>
  <si>
    <t>41177.14</t>
  </si>
  <si>
    <t>3588.29</t>
  </si>
  <si>
    <t>64866.75</t>
  </si>
  <si>
    <t>1008.32</t>
  </si>
  <si>
    <t>85435.87</t>
  </si>
  <si>
    <t>3797.12</t>
  </si>
  <si>
    <t>320203.04</t>
  </si>
  <si>
    <t>2756.02</t>
  </si>
  <si>
    <t>2457008.42</t>
  </si>
  <si>
    <t>813.52</t>
  </si>
  <si>
    <t>4087354.27</t>
  </si>
  <si>
    <t>3569.54</t>
  </si>
  <si>
    <t>6544362.69</t>
  </si>
  <si>
    <t>1061.82</t>
  </si>
  <si>
    <t>26830.11</t>
  </si>
  <si>
    <t>35785.12</t>
  </si>
  <si>
    <t>934729.05</t>
  </si>
  <si>
    <t>3244.29</t>
  </si>
  <si>
    <t>201774.42</t>
  </si>
  <si>
    <t>39029.40</t>
  </si>
  <si>
    <t>1136503.46</t>
  </si>
  <si>
    <t>2075.99</t>
  </si>
  <si>
    <t>98119.06</t>
  </si>
  <si>
    <t>876.81</t>
  </si>
  <si>
    <t>84818.43</t>
  </si>
  <si>
    <t>3218.73</t>
  </si>
  <si>
    <t>2209817.88</t>
  </si>
  <si>
    <t>109.52</t>
  </si>
  <si>
    <t>155.14</t>
  </si>
  <si>
    <t>588.62</t>
  </si>
  <si>
    <t>533902.54</t>
  </si>
  <si>
    <t>5.50</t>
  </si>
  <si>
    <t>42.28</t>
  </si>
  <si>
    <t>22.20</t>
  </si>
  <si>
    <t>6.52</t>
  </si>
  <si>
    <t>64.48</t>
  </si>
  <si>
    <t>900.54</t>
  </si>
  <si>
    <t>3506.82</t>
  </si>
  <si>
    <t>132.27</t>
  </si>
  <si>
    <t>1109.77</t>
  </si>
  <si>
    <t>1032.82</t>
  </si>
  <si>
    <t>4616.60</t>
  </si>
  <si>
    <t>5259.90</t>
  </si>
  <si>
    <t>22362.32</t>
  </si>
  <si>
    <t>4227.08</t>
  </si>
  <si>
    <t>17745.72</t>
  </si>
  <si>
    <t>45370.66</t>
  </si>
  <si>
    <t>3277623.53</t>
  </si>
  <si>
    <t>165.34</t>
  </si>
  <si>
    <t>8940379.63</t>
  </si>
  <si>
    <t>1.18</t>
  </si>
  <si>
    <t>1223916.02</t>
  </si>
  <si>
    <t>166.52</t>
  </si>
  <si>
    <t>10164295.64</t>
  </si>
  <si>
    <t>57298.40</t>
  </si>
  <si>
    <t>13692317.12</t>
  </si>
  <si>
    <t>57887.02</t>
  </si>
  <si>
    <t>14226219.66</t>
  </si>
  <si>
    <t>57720.50</t>
  </si>
  <si>
    <t>4061924.01</t>
  </si>
  <si>
    <t>35555.45</t>
  </si>
  <si>
    <t>639116.95</t>
  </si>
  <si>
    <t>16.98</t>
  </si>
  <si>
    <t>57.30</t>
  </si>
  <si>
    <t>781.62</t>
  </si>
  <si>
    <t>6198.78</t>
  </si>
  <si>
    <t>249.44</t>
  </si>
  <si>
    <t>5508.82</t>
  </si>
  <si>
    <t>256766.62</t>
  </si>
  <si>
    <t>26.86</t>
  </si>
  <si>
    <t>924.71</t>
  </si>
  <si>
    <t>5540.66</t>
  </si>
  <si>
    <t>257940.78</t>
  </si>
  <si>
    <t>19.39</t>
  </si>
  <si>
    <t>440.37</t>
  </si>
  <si>
    <t>5337.50</t>
  </si>
  <si>
    <t>142816.80</t>
  </si>
  <si>
    <t>4826169.95</t>
  </si>
  <si>
    <t>0.90</t>
  </si>
  <si>
    <t>1127485.14</t>
  </si>
  <si>
    <t>3885955.85</t>
  </si>
  <si>
    <t>1.37</t>
  </si>
  <si>
    <t>11404583.79</t>
  </si>
  <si>
    <t>6391142.80</t>
  </si>
  <si>
    <t>452340.00</t>
  </si>
  <si>
    <t>3.21</t>
  </si>
  <si>
    <t>16683093.74</t>
  </si>
  <si>
    <t>885.68</t>
  </si>
  <si>
    <t>48484.85</t>
  </si>
  <si>
    <t>961.53</t>
  </si>
  <si>
    <t>31742.90</t>
  </si>
  <si>
    <t>1847.21</t>
  </si>
  <si>
    <t>80227.75</t>
  </si>
  <si>
    <t>1437.29</t>
  </si>
  <si>
    <t>23998.06</t>
  </si>
  <si>
    <t>2053.00</t>
  </si>
  <si>
    <t>38590.99</t>
  </si>
  <si>
    <t>3490.29</t>
  </si>
  <si>
    <t>62589.05</t>
  </si>
  <si>
    <t>987.44</t>
  </si>
  <si>
    <t>84660.46</t>
  </si>
  <si>
    <t>3848.84</t>
  </si>
  <si>
    <t>324095.97</t>
  </si>
  <si>
    <t>2810.47</t>
  </si>
  <si>
    <t>2621443.52</t>
  </si>
  <si>
    <t>844.23</t>
  </si>
  <si>
    <t>4213809.41</t>
  </si>
  <si>
    <t>3654.70</t>
  </si>
  <si>
    <t>6835252.94</t>
  </si>
  <si>
    <t>888.88</t>
  </si>
  <si>
    <t>22793.31</t>
  </si>
  <si>
    <t>36630.99</t>
  </si>
  <si>
    <t>960832.27</t>
  </si>
  <si>
    <t>3358.50</t>
  </si>
  <si>
    <t>218049.35</t>
  </si>
  <si>
    <t>39989.49</t>
  </si>
  <si>
    <t>1178881.62</t>
  </si>
  <si>
    <t>1171.57</t>
  </si>
  <si>
    <t>91280.80</t>
  </si>
  <si>
    <t>878.31</t>
  </si>
  <si>
    <t>84068.43</t>
  </si>
  <si>
    <t>3359.54</t>
  </si>
  <si>
    <t>2419688.18</t>
  </si>
  <si>
    <t>89.74</t>
  </si>
  <si>
    <t>151.66</t>
  </si>
  <si>
    <t>624.10</t>
  </si>
  <si>
    <t>566467.76</t>
  </si>
  <si>
    <t>5.08</t>
  </si>
  <si>
    <t>40.27</t>
  </si>
  <si>
    <t>23.42</t>
  </si>
  <si>
    <t>5.90</t>
  </si>
  <si>
    <t>63.70</t>
  </si>
  <si>
    <t>916.15</t>
  </si>
  <si>
    <t>3257.16</t>
  </si>
  <si>
    <t>133.71</t>
  </si>
  <si>
    <t>994.53</t>
  </si>
  <si>
    <t>1049.86</t>
  </si>
  <si>
    <t>4251.69</t>
  </si>
  <si>
    <t>5292.53</t>
  </si>
  <si>
    <t>24481.73</t>
  </si>
  <si>
    <t>4242.67</t>
  </si>
  <si>
    <t>20230.04</t>
  </si>
  <si>
    <t>45720.72</t>
  </si>
  <si>
    <t>3495969.31</t>
  </si>
  <si>
    <t>173.33</t>
  </si>
  <si>
    <t>9838857.98</t>
  </si>
  <si>
    <t>1.24</t>
  </si>
  <si>
    <t>1230773.04</t>
  </si>
  <si>
    <t>174.57</t>
  </si>
  <si>
    <t>11069631.02</t>
  </si>
  <si>
    <t>57512.75</t>
  </si>
  <si>
    <t>14817559.33</t>
  </si>
  <si>
    <t>58136.85</t>
  </si>
  <si>
    <t>15384027.09</t>
  </si>
  <si>
    <t>57962.28</t>
  </si>
  <si>
    <t>4314396.07</t>
  </si>
  <si>
    <t>36558.17</t>
  </si>
  <si>
    <t>654648.28</t>
  </si>
  <si>
    <t>16.02</t>
  </si>
  <si>
    <t>48.74</t>
  </si>
  <si>
    <t>1192.91</t>
  </si>
  <si>
    <t>7518.73</t>
  </si>
  <si>
    <t>5.64</t>
  </si>
  <si>
    <t>285.86</t>
  </si>
  <si>
    <t>5998.03</t>
  </si>
  <si>
    <t>288604.73</t>
  </si>
  <si>
    <t>29.07</t>
  </si>
  <si>
    <t>996.83</t>
  </si>
  <si>
    <t>6032.74</t>
  </si>
  <si>
    <t>289887.41</t>
  </si>
  <si>
    <t>21.49</t>
  </si>
  <si>
    <t>559.56</t>
  </si>
  <si>
    <t>6008.76</t>
  </si>
  <si>
    <t>177413.29</t>
  </si>
  <si>
    <t>1.73</t>
  </si>
  <si>
    <t>4736039.75</t>
  </si>
  <si>
    <t>0.55</t>
  </si>
  <si>
    <t>745937.10</t>
  </si>
  <si>
    <t>3822008.63</t>
  </si>
  <si>
    <t>11415738.58</t>
  </si>
  <si>
    <t>6847792.85</t>
  </si>
  <si>
    <t>449200.00</t>
  </si>
  <si>
    <t>2.85</t>
  </si>
  <si>
    <t>16600978.33</t>
  </si>
  <si>
    <t>1080.58</t>
  </si>
  <si>
    <t>62500.41</t>
  </si>
  <si>
    <t>1075.23</t>
  </si>
  <si>
    <t>38442.37</t>
  </si>
  <si>
    <t>2155.81</t>
  </si>
  <si>
    <t>100942.78</t>
  </si>
  <si>
    <t>1550.39</t>
  </si>
  <si>
    <t>29244.90</t>
  </si>
  <si>
    <t>2302.56</t>
  </si>
  <si>
    <t>47225.61</t>
  </si>
  <si>
    <t>3852.95</t>
  </si>
  <si>
    <t>76470.51</t>
  </si>
  <si>
    <t>979.36</t>
  </si>
  <si>
    <t>85776.42</t>
  </si>
  <si>
    <t>4306.71</t>
  </si>
  <si>
    <t>370712.48</t>
  </si>
  <si>
    <t>2836.52</t>
  </si>
  <si>
    <t>2655381.60</t>
  </si>
  <si>
    <t>861.85</t>
  </si>
  <si>
    <t>3969764.60</t>
  </si>
  <si>
    <t>3698.37</t>
  </si>
  <si>
    <t>6625146.19</t>
  </si>
  <si>
    <t>946.33</t>
  </si>
  <si>
    <t>24799.22</t>
  </si>
  <si>
    <t>42122.80</t>
  </si>
  <si>
    <t>1110104.50</t>
  </si>
  <si>
    <t>3761.40</t>
  </si>
  <si>
    <t>243728.30</t>
  </si>
  <si>
    <t>45884.20</t>
  </si>
  <si>
    <t>1353832.80</t>
  </si>
  <si>
    <t>1660.26</t>
  </si>
  <si>
    <t>122518.87</t>
  </si>
  <si>
    <t>865.69</t>
  </si>
  <si>
    <t>85102.71</t>
  </si>
  <si>
    <t>3574.46</t>
  </si>
  <si>
    <t>2476396.56</t>
  </si>
  <si>
    <t>92.18</t>
  </si>
  <si>
    <t>114.15</t>
  </si>
  <si>
    <t>635.20</t>
  </si>
  <si>
    <t>582603.87</t>
  </si>
  <si>
    <t>4.44</t>
  </si>
  <si>
    <t>39.16</t>
  </si>
  <si>
    <t>25.15</t>
  </si>
  <si>
    <t>5.34</t>
  </si>
  <si>
    <t>64.30</t>
  </si>
  <si>
    <t>1177.35</t>
  </si>
  <si>
    <t>3056.61</t>
  </si>
  <si>
    <t>64.58</t>
  </si>
  <si>
    <t>998.25</t>
  </si>
  <si>
    <t>1241.93</t>
  </si>
  <si>
    <t>4054.87</t>
  </si>
  <si>
    <t>6130.90</t>
  </si>
  <si>
    <t>25757.32</t>
  </si>
  <si>
    <t>4888.97</t>
  </si>
  <si>
    <t>21702.45</t>
  </si>
  <si>
    <t>52919.52</t>
  </si>
  <si>
    <t>3748602.37</t>
  </si>
  <si>
    <t>182.90</t>
  </si>
  <si>
    <t>8956918.27</t>
  </si>
  <si>
    <t>1177449.64</t>
  </si>
  <si>
    <t>184.11</t>
  </si>
  <si>
    <t>10134367.91</t>
  </si>
  <si>
    <t>66222.66</t>
  </si>
  <si>
    <t>14171917.31</t>
  </si>
  <si>
    <t>66857.86</t>
  </si>
  <si>
    <t>14754521.19</t>
  </si>
  <si>
    <t>66673.75</t>
  </si>
  <si>
    <t>4620153.27</t>
  </si>
  <si>
    <t>42184.32</t>
  </si>
  <si>
    <t>771406.99</t>
  </si>
  <si>
    <t>1.11</t>
  </si>
  <si>
    <t>16.49</t>
  </si>
  <si>
    <t>0.62</t>
  </si>
  <si>
    <t>35.00</t>
  </si>
  <si>
    <t>1119.16</t>
  </si>
  <si>
    <t>9750.00</t>
  </si>
  <si>
    <t>5.45</t>
  </si>
  <si>
    <t>276.00</t>
  </si>
  <si>
    <t>5653.68</t>
  </si>
  <si>
    <t>270515.09</t>
  </si>
  <si>
    <t>28.44</t>
  </si>
  <si>
    <t>939.13</t>
  </si>
  <si>
    <t>5687.57</t>
  </si>
  <si>
    <t>271730.22</t>
  </si>
  <si>
    <t>19.78</t>
  </si>
  <si>
    <t>536.00</t>
  </si>
  <si>
    <t>5418.18</t>
  </si>
  <si>
    <t>156326.20</t>
  </si>
  <si>
    <t>1.53</t>
  </si>
  <si>
    <t>4816873.00</t>
  </si>
  <si>
    <t>0.46</t>
  </si>
  <si>
    <t>617831.00</t>
  </si>
  <si>
    <t>4273958.00</t>
  </si>
  <si>
    <t>12229072.00</t>
  </si>
  <si>
    <t>7337283.00</t>
  </si>
  <si>
    <t>318437.00</t>
  </si>
  <si>
    <t>2.56</t>
  </si>
  <si>
    <t>17364382.00</t>
  </si>
  <si>
    <t>942.23</t>
  </si>
  <si>
    <t>51718.05</t>
  </si>
  <si>
    <t>1068.93</t>
  </si>
  <si>
    <t>37498.79</t>
  </si>
  <si>
    <t>2011.16</t>
  </si>
  <si>
    <t>89216.84</t>
  </si>
  <si>
    <t>23358.02</t>
  </si>
  <si>
    <t>2112.05</t>
  </si>
  <si>
    <t>43751.34</t>
  </si>
  <si>
    <t>3407.02</t>
  </si>
  <si>
    <t>67109.36</t>
  </si>
  <si>
    <t>1039.13</t>
  </si>
  <si>
    <t>87110.62</t>
  </si>
  <si>
    <t>4120.29</t>
  </si>
  <si>
    <t>364672.00</t>
  </si>
  <si>
    <t>2536.61</t>
  </si>
  <si>
    <t>2553664.29</t>
  </si>
  <si>
    <t>790.01</t>
  </si>
  <si>
    <t>4464330.36</t>
  </si>
  <si>
    <t>3326.62</t>
  </si>
  <si>
    <t>7017994.65</t>
  </si>
  <si>
    <t>925.63</t>
  </si>
  <si>
    <t>25112.00</t>
  </si>
  <si>
    <t>41815.57</t>
  </si>
  <si>
    <t>1084018.30</t>
  </si>
  <si>
    <t>3732.97</t>
  </si>
  <si>
    <t>239989.36</t>
  </si>
  <si>
    <t>45548.53</t>
  </si>
  <si>
    <t>1324007.66</t>
  </si>
  <si>
    <t>1382.00</t>
  </si>
  <si>
    <t>97512.63</t>
  </si>
  <si>
    <t>907.32</t>
  </si>
  <si>
    <t>86416.62</t>
  </si>
  <si>
    <t>3394.00</t>
  </si>
  <si>
    <t>2314490.00</t>
  </si>
  <si>
    <t>112.03</t>
  </si>
  <si>
    <t>158.00</t>
  </si>
  <si>
    <t>577.00</t>
  </si>
  <si>
    <t>533223.00</t>
  </si>
  <si>
    <t>4.14</t>
  </si>
  <si>
    <t>39.00</t>
  </si>
  <si>
    <t>23.64</t>
  </si>
  <si>
    <t>4.82</t>
  </si>
  <si>
    <t>62.64</t>
  </si>
  <si>
    <t>1162.38</t>
  </si>
  <si>
    <t>2557.01</t>
  </si>
  <si>
    <t>74.48</t>
  </si>
  <si>
    <t>1286.62</t>
  </si>
  <si>
    <t>1236.87</t>
  </si>
  <si>
    <t>3843.63</t>
  </si>
  <si>
    <t>6107.05</t>
  </si>
  <si>
    <t>24885.10</t>
  </si>
  <si>
    <t>4870.19</t>
  </si>
  <si>
    <t>21041.47</t>
  </si>
  <si>
    <t>51880.87</t>
  </si>
  <si>
    <t>3554895.63</t>
  </si>
  <si>
    <t>170.95</t>
  </si>
  <si>
    <t>9589985.00</t>
  </si>
  <si>
    <t>1391793.00</t>
  </si>
  <si>
    <t>172.14</t>
  </si>
  <si>
    <t>10981778.00</t>
  </si>
  <si>
    <t>64617.37</t>
  </si>
  <si>
    <t>14804995.55</t>
  </si>
  <si>
    <t>65194.37</t>
  </si>
  <si>
    <t>15338218.55</t>
  </si>
  <si>
    <t>65022.23</t>
  </si>
  <si>
    <t>4356440.55</t>
  </si>
  <si>
    <t>41864.80</t>
  </si>
  <si>
    <t>768436.00</t>
  </si>
  <si>
    <t>15.00</t>
  </si>
  <si>
    <t>0.65</t>
  </si>
  <si>
    <t>36.23</t>
  </si>
  <si>
    <t>1082.20</t>
  </si>
  <si>
    <t>14987.37</t>
  </si>
  <si>
    <t>295.21</t>
  </si>
  <si>
    <t>5889.14</t>
  </si>
  <si>
    <t>279099.50</t>
  </si>
  <si>
    <t>28.76</t>
  </si>
  <si>
    <t>976.78</t>
  </si>
  <si>
    <t>5923.80</t>
  </si>
  <si>
    <t>280371.49</t>
  </si>
  <si>
    <t>19.59</t>
  </si>
  <si>
    <t>611.26</t>
  </si>
  <si>
    <t>5611.80</t>
  </si>
  <si>
    <t>160398.27</t>
  </si>
  <si>
    <t>1.96</t>
  </si>
  <si>
    <t>5516603.70</t>
  </si>
  <si>
    <t>651102.67</t>
  </si>
  <si>
    <t>0.30</t>
  </si>
  <si>
    <t>5075400.60</t>
  </si>
  <si>
    <t>1.10</t>
  </si>
  <si>
    <t>14801511.77</t>
  </si>
  <si>
    <t>0.31</t>
  </si>
  <si>
    <t>9075008.50</t>
  </si>
  <si>
    <t>385872.50</t>
  </si>
  <si>
    <t>3.13</t>
  </si>
  <si>
    <t>20703987.97</t>
  </si>
  <si>
    <t>1019.10</t>
  </si>
  <si>
    <t>57194.58</t>
  </si>
  <si>
    <t>1093.48</t>
  </si>
  <si>
    <t>36712.65</t>
  </si>
  <si>
    <t>2112.59</t>
  </si>
  <si>
    <t>93907.23</t>
  </si>
  <si>
    <t>1296.71</t>
  </si>
  <si>
    <t>23428.74</t>
  </si>
  <si>
    <t>2202.51</t>
  </si>
  <si>
    <t>43062.30</t>
  </si>
  <si>
    <t>3499.21</t>
  </si>
  <si>
    <t>66491.03</t>
  </si>
  <si>
    <t>1064.54</t>
  </si>
  <si>
    <t>91162.84</t>
  </si>
  <si>
    <t>4429.86</t>
  </si>
  <si>
    <t>396411.43</t>
  </si>
  <si>
    <t>2754.25</t>
  </si>
  <si>
    <t>2920552.04</t>
  </si>
  <si>
    <t>848.36</t>
  </si>
  <si>
    <t>5690977.07</t>
  </si>
  <si>
    <t>3602.61</t>
  </si>
  <si>
    <t>8611529.11</t>
  </si>
  <si>
    <t>940.20</t>
  </si>
  <si>
    <t>25208.11</t>
  </si>
  <si>
    <t>45950.61</t>
  </si>
  <si>
    <t>1179518.11</t>
  </si>
  <si>
    <t>3927.19</t>
  </si>
  <si>
    <t>254443.07</t>
  </si>
  <si>
    <t>49877.80</t>
  </si>
  <si>
    <t>1433961.18</t>
  </si>
  <si>
    <t>1483.71</t>
  </si>
  <si>
    <t>113131.86</t>
  </si>
  <si>
    <t>937.92</t>
  </si>
  <si>
    <t>90425.67</t>
  </si>
  <si>
    <t>3763.38</t>
  </si>
  <si>
    <t>2724980.11</t>
  </si>
  <si>
    <t>107.03</t>
  </si>
  <si>
    <t>125.91</t>
  </si>
  <si>
    <t>660.33</t>
  </si>
  <si>
    <t>640955.17</t>
  </si>
  <si>
    <t>3.71</t>
  </si>
  <si>
    <t>34.61</t>
  </si>
  <si>
    <t>0.49</t>
  </si>
  <si>
    <t>3.78</t>
  </si>
  <si>
    <t>35.10</t>
  </si>
  <si>
    <t>1249.23</t>
  </si>
  <si>
    <t>2790.21</t>
  </si>
  <si>
    <t>99.63</t>
  </si>
  <si>
    <t>1892.60</t>
  </si>
  <si>
    <t>1348.86</t>
  </si>
  <si>
    <t>4682.81</t>
  </si>
  <si>
    <t>7008.04</t>
  </si>
  <si>
    <t>25878.23</t>
  </si>
  <si>
    <t>5659.18</t>
  </si>
  <si>
    <t>21195.42</t>
  </si>
  <si>
    <t>56422.79</t>
  </si>
  <si>
    <t>4076395.23</t>
  </si>
  <si>
    <t>191.50</t>
  </si>
  <si>
    <t>11418232.57</t>
  </si>
  <si>
    <t>1.29</t>
  </si>
  <si>
    <t>1548758.23</t>
  </si>
  <si>
    <t>192.78</t>
  </si>
  <si>
    <t>12966990.80</t>
  </si>
  <si>
    <t>70299.95</t>
  </si>
  <si>
    <t>17320825.36</t>
  </si>
  <si>
    <t>70960.28</t>
  </si>
  <si>
    <t>17961780.53</t>
  </si>
  <si>
    <t>70767.50</t>
  </si>
  <si>
    <t>4994789.73</t>
  </si>
  <si>
    <t>45662.99</t>
  </si>
  <si>
    <t>826848.23</t>
  </si>
  <si>
    <t>1.12</t>
  </si>
  <si>
    <t>15.57</t>
  </si>
  <si>
    <t>29.33</t>
  </si>
  <si>
    <t>1111.28</t>
  </si>
  <si>
    <t>18100.64</t>
  </si>
  <si>
    <t>5.49</t>
  </si>
  <si>
    <t>269.39</t>
  </si>
  <si>
    <t>5519.66</t>
  </si>
  <si>
    <t>261123.85</t>
  </si>
  <si>
    <t>29.36</t>
  </si>
  <si>
    <t>990.49</t>
  </si>
  <si>
    <t>5554.51</t>
  </si>
  <si>
    <t>262383.73</t>
  </si>
  <si>
    <t>24.47</t>
  </si>
  <si>
    <t>727.56</t>
  </si>
  <si>
    <t>5151.05</t>
  </si>
  <si>
    <t>147793.88</t>
  </si>
  <si>
    <t>1.52</t>
  </si>
  <si>
    <t>4470518.00</t>
  </si>
  <si>
    <t>0.40</t>
  </si>
  <si>
    <t>569722.00</t>
  </si>
  <si>
    <t>4348558.00</t>
  </si>
  <si>
    <t>12892869.00</t>
  </si>
  <si>
    <t>0.28</t>
  </si>
  <si>
    <t>7974589.00</t>
  </si>
  <si>
    <t>476415.00</t>
  </si>
  <si>
    <t>2.54</t>
  </si>
  <si>
    <t>17839802.00</t>
  </si>
  <si>
    <t>997.43</t>
  </si>
  <si>
    <t>55033.55</t>
  </si>
  <si>
    <t>960.63</t>
  </si>
  <si>
    <t>32734.97</t>
  </si>
  <si>
    <t>1958.05</t>
  </si>
  <si>
    <t>87768.52</t>
  </si>
  <si>
    <t>1268.48</t>
  </si>
  <si>
    <t>22751.74</t>
  </si>
  <si>
    <t>1924.51</t>
  </si>
  <si>
    <t>37273.62</t>
  </si>
  <si>
    <t>3193.00</t>
  </si>
  <si>
    <t>60025.36</t>
  </si>
  <si>
    <t>1059.01</t>
  </si>
  <si>
    <t>91553.73</t>
  </si>
  <si>
    <t>4401.73</t>
  </si>
  <si>
    <t>387006.75</t>
  </si>
  <si>
    <t>2731.05</t>
  </si>
  <si>
    <t>2694917.53</t>
  </si>
  <si>
    <t>833.10</t>
  </si>
  <si>
    <t>4718914.40</t>
  </si>
  <si>
    <t>3564.14</t>
  </si>
  <si>
    <t>7413831.93</t>
  </si>
  <si>
    <t>1125.54</t>
  </si>
  <si>
    <t>28581.56</t>
  </si>
  <si>
    <t>46025.97</t>
  </si>
  <si>
    <t>1168400.79</t>
  </si>
  <si>
    <t>3879.91</t>
  </si>
  <si>
    <t>250455.10</t>
  </si>
  <si>
    <t>49905.88</t>
  </si>
  <si>
    <t>1418855.89</t>
  </si>
  <si>
    <t>2053.15</t>
  </si>
  <si>
    <t>126812.13</t>
  </si>
  <si>
    <t>934.07</t>
  </si>
  <si>
    <t>90702.74</t>
  </si>
  <si>
    <t>3629.03</t>
  </si>
  <si>
    <t>2442685.82</t>
  </si>
  <si>
    <t>100.47</t>
  </si>
  <si>
    <t>123.43</t>
  </si>
  <si>
    <t>596.99</t>
  </si>
  <si>
    <t>557721.29</t>
  </si>
  <si>
    <t>2.13</t>
  </si>
  <si>
    <t>19.87</t>
  </si>
  <si>
    <t>1076.35</t>
  </si>
  <si>
    <t>2638.90</t>
  </si>
  <si>
    <t>117.57</t>
  </si>
  <si>
    <t>2368.34</t>
  </si>
  <si>
    <t>1193.91</t>
  </si>
  <si>
    <t>5007.24</t>
  </si>
  <si>
    <t>5807.67</t>
  </si>
  <si>
    <t>24796.40</t>
  </si>
  <si>
    <t>4613.76</t>
  </si>
  <si>
    <t>19789.17</t>
  </si>
  <si>
    <t>57367.30</t>
  </si>
  <si>
    <t>3806627.76</t>
  </si>
  <si>
    <t>180.08</t>
  </si>
  <si>
    <t>9285159.48</t>
  </si>
  <si>
    <t>1.21</t>
  </si>
  <si>
    <t>1163950.02</t>
  </si>
  <si>
    <t>181.29</t>
  </si>
  <si>
    <t>10449109.50</t>
  </si>
  <si>
    <t>69566.32</t>
  </si>
  <si>
    <t>14519881.26</t>
  </si>
  <si>
    <t>70163.31</t>
  </si>
  <si>
    <t>15077602.55</t>
  </si>
  <si>
    <t>69982.02</t>
  </si>
  <si>
    <t>4628493.06</t>
  </si>
  <si>
    <t>46171.56</t>
  </si>
  <si>
    <t>831993.09</t>
  </si>
  <si>
    <t>0.81</t>
  </si>
  <si>
    <t>11.01</t>
  </si>
  <si>
    <t>27.77</t>
  </si>
  <si>
    <t>651.67</t>
  </si>
  <si>
    <t>13152.02</t>
  </si>
  <si>
    <t>5.29</t>
  </si>
  <si>
    <t>263.73</t>
  </si>
  <si>
    <t>5263.17</t>
  </si>
  <si>
    <t>255218.03</t>
  </si>
  <si>
    <t>28.20</t>
  </si>
  <si>
    <t>980.75</t>
  </si>
  <si>
    <t>5296.66</t>
  </si>
  <si>
    <t>256462.51</t>
  </si>
  <si>
    <t>506.21</t>
  </si>
  <si>
    <t>4840.47</t>
  </si>
  <si>
    <t>143111.15</t>
  </si>
  <si>
    <t>4540145.02</t>
  </si>
  <si>
    <t>0.58</t>
  </si>
  <si>
    <t>721037.65</t>
  </si>
  <si>
    <t>4221392.08</t>
  </si>
  <si>
    <t>12914110.98</t>
  </si>
  <si>
    <t>7971681.25</t>
  </si>
  <si>
    <t>540330.00</t>
  </si>
  <si>
    <t>17994586.00</t>
  </si>
  <si>
    <t>920.84</t>
  </si>
  <si>
    <t>53541.23</t>
  </si>
  <si>
    <t>963.40</t>
  </si>
  <si>
    <t>32499.80</t>
  </si>
  <si>
    <t>1884.24</t>
  </si>
  <si>
    <t>86041.03</t>
  </si>
  <si>
    <t>1110.78</t>
  </si>
  <si>
    <t>20694.15</t>
  </si>
  <si>
    <t>1845.45</t>
  </si>
  <si>
    <t>36375.97</t>
  </si>
  <si>
    <t>2956.23</t>
  </si>
  <si>
    <t>57070.12</t>
  </si>
  <si>
    <t>1089.30</t>
  </si>
  <si>
    <t>90746.07</t>
  </si>
  <si>
    <t>4209.31</t>
  </si>
  <si>
    <t>384404.04</t>
  </si>
  <si>
    <t>2493.68</t>
  </si>
  <si>
    <t>2622348.61</t>
  </si>
  <si>
    <t>780.51</t>
  </si>
  <si>
    <t>4169925.62</t>
  </si>
  <si>
    <t>3274.19</t>
  </si>
  <si>
    <t>6792274.23</t>
  </si>
  <si>
    <t>928.46</t>
  </si>
  <si>
    <t>24974.57</t>
  </si>
  <si>
    <t>44665.47</t>
  </si>
  <si>
    <t>1144323.73</t>
  </si>
  <si>
    <t>3626.98</t>
  </si>
  <si>
    <t>246930.66</t>
  </si>
  <si>
    <t>48292.44</t>
  </si>
  <si>
    <t>1391254.39</t>
  </si>
  <si>
    <t>1536.56</t>
  </si>
  <si>
    <t>104998.31</t>
  </si>
  <si>
    <t>948.20</t>
  </si>
  <si>
    <t>90056.03</t>
  </si>
  <si>
    <t>3632.58</t>
  </si>
  <si>
    <t>2477058.56</t>
  </si>
  <si>
    <t>125.87</t>
  </si>
  <si>
    <t>183.83</t>
  </si>
  <si>
    <t>581.98</t>
  </si>
  <si>
    <t>615320.85</t>
  </si>
  <si>
    <t>2.15</t>
  </si>
  <si>
    <t>20.26</t>
  </si>
  <si>
    <t>2.19</t>
  </si>
  <si>
    <t>20.46</t>
  </si>
  <si>
    <t>1038.46</t>
  </si>
  <si>
    <t>2303.73</t>
  </si>
  <si>
    <t>126.61</t>
  </si>
  <si>
    <t>3360.17</t>
  </si>
  <si>
    <t>1165.07</t>
  </si>
  <si>
    <t>5663.90</t>
  </si>
  <si>
    <t>5551.16</t>
  </si>
  <si>
    <t>22922.96</t>
  </si>
  <si>
    <t>4386.09</t>
  </si>
  <si>
    <t>17259.06</t>
  </si>
  <si>
    <t>55305.52</t>
  </si>
  <si>
    <t>3806483.72</t>
  </si>
  <si>
    <t>179.15</t>
  </si>
  <si>
    <t>9277355.75</t>
  </si>
  <si>
    <t>1.13</t>
  </si>
  <si>
    <t>1047262.06</t>
  </si>
  <si>
    <t>180.29</t>
  </si>
  <si>
    <t>10324617.82</t>
  </si>
  <si>
    <t>66966.73</t>
  </si>
  <si>
    <t>14387881.72</t>
  </si>
  <si>
    <t>67548.71</t>
  </si>
  <si>
    <t>15003202.57</t>
  </si>
  <si>
    <t>67368.43</t>
  </si>
  <si>
    <t>4678584.76</t>
  </si>
  <si>
    <t>45274.89</t>
  </si>
  <si>
    <t>826843.02</t>
  </si>
  <si>
    <t>10.30</t>
  </si>
  <si>
    <t>34.85</t>
  </si>
  <si>
    <t>1400.66</t>
  </si>
  <si>
    <t>15564.56</t>
  </si>
  <si>
    <t>6.80</t>
  </si>
  <si>
    <t>343.75</t>
  </si>
  <si>
    <t>5927.87</t>
  </si>
  <si>
    <t>285892.55</t>
  </si>
  <si>
    <t>32.15</t>
  </si>
  <si>
    <t>1137.13</t>
  </si>
  <si>
    <t>5966.82</t>
  </si>
  <si>
    <t>287373.44</t>
  </si>
  <si>
    <t>19.47</t>
  </si>
  <si>
    <t>640.21</t>
  </si>
  <si>
    <t>5512.70</t>
  </si>
  <si>
    <t>171158.60</t>
  </si>
  <si>
    <t>2.11</t>
  </si>
  <si>
    <t>6232193.47</t>
  </si>
  <si>
    <t>660442.85</t>
  </si>
  <si>
    <t>5341281.70</t>
  </si>
  <si>
    <t>13682353.55</t>
  </si>
  <si>
    <t>7680629.00</t>
  </si>
  <si>
    <t>674180.38</t>
  </si>
  <si>
    <t>3.25</t>
  </si>
  <si>
    <t>20588727.40</t>
  </si>
  <si>
    <t>1103.18</t>
  </si>
  <si>
    <t>68329.79</t>
  </si>
  <si>
    <t>1134.33</t>
  </si>
  <si>
    <t>38776.95</t>
  </si>
  <si>
    <t>2237.51</t>
  </si>
  <si>
    <t>107106.74</t>
  </si>
  <si>
    <t>1196.73</t>
  </si>
  <si>
    <t>23281.87</t>
  </si>
  <si>
    <t>2078.45</t>
  </si>
  <si>
    <t>40770.00</t>
  </si>
  <si>
    <t>3275.19</t>
  </si>
  <si>
    <t>64051.87</t>
  </si>
  <si>
    <t>1136.67</t>
  </si>
  <si>
    <t>98645.32</t>
  </si>
  <si>
    <t>4920.01</t>
  </si>
  <si>
    <t>462278.81</t>
  </si>
  <si>
    <t>2962.02</t>
  </si>
  <si>
    <t>3509015.71</t>
  </si>
  <si>
    <t>962.84</t>
  </si>
  <si>
    <t>5341586.93</t>
  </si>
  <si>
    <t>3924.86</t>
  </si>
  <si>
    <t>8850602.64</t>
  </si>
  <si>
    <t>1032.68</t>
  </si>
  <si>
    <t>28479.10</t>
  </si>
  <si>
    <t>52903.29</t>
  </si>
  <si>
    <t>1350066.94</t>
  </si>
  <si>
    <t>4218.03</t>
  </si>
  <si>
    <t>298559.46</t>
  </si>
  <si>
    <t>57121.32</t>
  </si>
  <si>
    <t>1648626.40</t>
  </si>
  <si>
    <t>1825.88</t>
  </si>
  <si>
    <t>131428.16</t>
  </si>
  <si>
    <t>979.27</t>
  </si>
  <si>
    <t>97801.22</t>
  </si>
  <si>
    <t>4314.20</t>
  </si>
  <si>
    <t>3492578.21</t>
  </si>
  <si>
    <t>137.93</t>
  </si>
  <si>
    <t>203.89</t>
  </si>
  <si>
    <t>702.93</t>
  </si>
  <si>
    <t>694335.27</t>
  </si>
  <si>
    <t>2.21</t>
  </si>
  <si>
    <t>21.31</t>
  </si>
  <si>
    <t>2.30</t>
  </si>
  <si>
    <t>1288.34</t>
  </si>
  <si>
    <t>2701.36</t>
  </si>
  <si>
    <t>164.77</t>
  </si>
  <si>
    <t>2859.70</t>
  </si>
  <si>
    <t>1453.10</t>
  </si>
  <si>
    <t>5561.06</t>
  </si>
  <si>
    <t>6469.96</t>
  </si>
  <si>
    <t>25615.49</t>
  </si>
  <si>
    <t>5016.86</t>
  </si>
  <si>
    <t>20054.43</t>
  </si>
  <si>
    <t>66517.82</t>
  </si>
  <si>
    <t>5062466.26</t>
  </si>
  <si>
    <t>228.68</t>
  </si>
  <si>
    <t>13069668.93</t>
  </si>
  <si>
    <t>1389286.12</t>
  </si>
  <si>
    <t>230.04</t>
  </si>
  <si>
    <t>14458955.04</t>
  </si>
  <si>
    <t>79867.19</t>
  </si>
  <si>
    <t>19816840.72</t>
  </si>
  <si>
    <t>80570.12</t>
  </si>
  <si>
    <t>20511175.99</t>
  </si>
  <si>
    <t>80340.08</t>
  </si>
  <si>
    <t>6052220.95</t>
  </si>
  <si>
    <t>54056.51</t>
  </si>
  <si>
    <t>960581.67</t>
  </si>
  <si>
    <t>12.00</t>
  </si>
  <si>
    <t>32.84</t>
  </si>
  <si>
    <t>1119.53</t>
  </si>
  <si>
    <t>11118.10</t>
  </si>
  <si>
    <t>6.12</t>
  </si>
  <si>
    <t>302.67</t>
  </si>
  <si>
    <t>5792.97</t>
  </si>
  <si>
    <t>285011.12</t>
  </si>
  <si>
    <t>31.28</t>
  </si>
  <si>
    <t>1097.17</t>
  </si>
  <si>
    <t>5830.37</t>
  </si>
  <si>
    <t>286410.96</t>
  </si>
  <si>
    <t>16.76</t>
  </si>
  <si>
    <t>579.53</t>
  </si>
  <si>
    <t>5541.17</t>
  </si>
  <si>
    <t>170520.88</t>
  </si>
  <si>
    <t>1.87</t>
  </si>
  <si>
    <t>6124935.91</t>
  </si>
  <si>
    <t>870327.72</t>
  </si>
  <si>
    <t>4315710.56</t>
  </si>
  <si>
    <t>11915370.23</t>
  </si>
  <si>
    <t>6729331.95</t>
  </si>
  <si>
    <t>611554.00</t>
  </si>
  <si>
    <t>3.06</t>
  </si>
  <si>
    <t>18651860.14</t>
  </si>
  <si>
    <t>1076.43</t>
  </si>
  <si>
    <t>65652.38</t>
  </si>
  <si>
    <t>1152.87</t>
  </si>
  <si>
    <t>39806.82</t>
  </si>
  <si>
    <t>2229.30</t>
  </si>
  <si>
    <t>105459.20</t>
  </si>
  <si>
    <t>1180.10</t>
  </si>
  <si>
    <t>21531.93</t>
  </si>
  <si>
    <t>2131.77</t>
  </si>
  <si>
    <t>43529.74</t>
  </si>
  <si>
    <t>3311.87</t>
  </si>
  <si>
    <t>65061.67</t>
  </si>
  <si>
    <t>1121.68</t>
  </si>
  <si>
    <t>93616.33</t>
  </si>
  <si>
    <t>4716.26</t>
  </si>
  <si>
    <t>444669.90</t>
  </si>
  <si>
    <t>2703.63</t>
  </si>
  <si>
    <t>2922621.96</t>
  </si>
  <si>
    <t>967.14</t>
  </si>
  <si>
    <t>4297280.99</t>
  </si>
  <si>
    <t>3670.77</t>
  </si>
  <si>
    <t>7219902.95</t>
  </si>
  <si>
    <t>984.19</t>
  </si>
  <si>
    <t>27823.80</t>
  </si>
  <si>
    <t>49476.83</t>
  </si>
  <si>
    <t>1294369.58</t>
  </si>
  <si>
    <t>4515.85</t>
  </si>
  <si>
    <t>312809.62</t>
  </si>
  <si>
    <t>53992.68</t>
  </si>
  <si>
    <t>1607179.21</t>
  </si>
  <si>
    <t>1329.76</t>
  </si>
  <si>
    <t>112353.85</t>
  </si>
  <si>
    <t>996.72</t>
  </si>
  <si>
    <t>92902.11</t>
  </si>
  <si>
    <t>3737.59</t>
  </si>
  <si>
    <t>2498586.90</t>
  </si>
  <si>
    <t>108.20</t>
  </si>
  <si>
    <t>134.69</t>
  </si>
  <si>
    <t>624.01</t>
  </si>
  <si>
    <t>670259.60</t>
  </si>
  <si>
    <t>21.92</t>
  </si>
  <si>
    <t>22.43</t>
  </si>
  <si>
    <t>1249.70</t>
  </si>
  <si>
    <t>2770.12</t>
  </si>
  <si>
    <t>169.32</t>
  </si>
  <si>
    <t>3186.83</t>
  </si>
  <si>
    <t>1419.02</t>
  </si>
  <si>
    <t>5956.96</t>
  </si>
  <si>
    <t>6455.19</t>
  </si>
  <si>
    <t>25316.57</t>
  </si>
  <si>
    <t>5036.17</t>
  </si>
  <si>
    <t>19359.61</t>
  </si>
  <si>
    <t>66747.57</t>
  </si>
  <si>
    <t>4050335.04</t>
  </si>
  <si>
    <t>194.11</t>
  </si>
  <si>
    <t>9780600.28</t>
  </si>
  <si>
    <t>1316994.20</t>
  </si>
  <si>
    <t>195.32</t>
  </si>
  <si>
    <t>11097594.49</t>
  </si>
  <si>
    <t>80060.94</t>
  </si>
  <si>
    <t>15437383.30</t>
  </si>
  <si>
    <t>80684.95</t>
  </si>
  <si>
    <t>16107642.90</t>
  </si>
  <si>
    <t>80489.63</t>
  </si>
  <si>
    <t>5010048.42</t>
  </si>
  <si>
    <t>55843.88</t>
  </si>
  <si>
    <t>983573.45</t>
  </si>
  <si>
    <t>12.10</t>
  </si>
  <si>
    <t>36.04</t>
  </si>
  <si>
    <t>2268.03</t>
  </si>
  <si>
    <t>41011.49</t>
  </si>
  <si>
    <t>6.64</t>
  </si>
  <si>
    <t>328.08</t>
  </si>
  <si>
    <t>5829.01</t>
  </si>
  <si>
    <t>278832.78</t>
  </si>
  <si>
    <t>32.79</t>
  </si>
  <si>
    <t>1105.85</t>
  </si>
  <si>
    <t>5868.45</t>
  </si>
  <si>
    <t>280266.70</t>
  </si>
  <si>
    <t>17.81</t>
  </si>
  <si>
    <t>571.34</t>
  </si>
  <si>
    <t>5693.68</t>
  </si>
  <si>
    <t>179493.50</t>
  </si>
  <si>
    <t>6039212.56</t>
  </si>
  <si>
    <t>832089.15</t>
  </si>
  <si>
    <t>4940038.32</t>
  </si>
  <si>
    <t>1.23</t>
  </si>
  <si>
    <t>13110275.42</t>
  </si>
  <si>
    <t>7338147.95</t>
  </si>
  <si>
    <t>592850.99</t>
  </si>
  <si>
    <t>3.32</t>
  </si>
  <si>
    <t>19742338.98</t>
  </si>
  <si>
    <t>1157.77</t>
  </si>
  <si>
    <t>71427.98</t>
  </si>
  <si>
    <t>1220.26</t>
  </si>
  <si>
    <t>42265.61</t>
  </si>
  <si>
    <t>2378.03</t>
  </si>
  <si>
    <t>113693.59</t>
  </si>
  <si>
    <t>1165.37</t>
  </si>
  <si>
    <t>21527.36</t>
  </si>
  <si>
    <t>2150.28</t>
  </si>
  <si>
    <t>44272.55</t>
  </si>
  <si>
    <t>3315.65</t>
  </si>
  <si>
    <t>65799.91</t>
  </si>
  <si>
    <t>1177.32</t>
  </si>
  <si>
    <t>95541.51</t>
  </si>
  <si>
    <t>4848.13</t>
  </si>
  <si>
    <t>452328.12</t>
  </si>
  <si>
    <t>2339.58</t>
  </si>
  <si>
    <t>2079615.24</t>
  </si>
  <si>
    <t>675.57</t>
  </si>
  <si>
    <t>3628328.42</t>
  </si>
  <si>
    <t>3015.15</t>
  </si>
  <si>
    <t>5707943.66</t>
  </si>
  <si>
    <t>1073.66</t>
  </si>
  <si>
    <t>29827.78</t>
  </si>
  <si>
    <t>53278.71</t>
  </si>
  <si>
    <t>1354104.79</t>
  </si>
  <si>
    <t>4617.48</t>
  </si>
  <si>
    <t>318546.26</t>
  </si>
  <si>
    <t>57896.19</t>
  </si>
  <si>
    <t>1672651.06</t>
  </si>
  <si>
    <t>1794.53</t>
  </si>
  <si>
    <t>97341.40</t>
  </si>
  <si>
    <t>1018.05</t>
  </si>
  <si>
    <t>94751.72</t>
  </si>
  <si>
    <t>3813.34</t>
  </si>
  <si>
    <t>2546927.61</t>
  </si>
  <si>
    <t>141.46</t>
  </si>
  <si>
    <t>218.45</t>
  </si>
  <si>
    <t>590.44</t>
  </si>
  <si>
    <t>594561.95</t>
  </si>
  <si>
    <t>21.64</t>
  </si>
  <si>
    <t>21.83</t>
  </si>
  <si>
    <t>1238.25</t>
  </si>
  <si>
    <t>4746.14</t>
  </si>
  <si>
    <t>92.80</t>
  </si>
  <si>
    <t>1335.82</t>
  </si>
  <si>
    <t>1331.05</t>
  </si>
  <si>
    <t>6081.96</t>
  </si>
  <si>
    <t>6529.11</t>
  </si>
  <si>
    <t>25698.36</t>
  </si>
  <si>
    <t>5198.06</t>
  </si>
  <si>
    <t>19616.40</t>
  </si>
  <si>
    <t>72187.50</t>
  </si>
  <si>
    <t>4177865.19</t>
  </si>
  <si>
    <t>194.53</t>
  </si>
  <si>
    <t>9851273.85</t>
  </si>
  <si>
    <t>1332673.12</t>
  </si>
  <si>
    <t>195.72</t>
  </si>
  <si>
    <t>11183946.97</t>
  </si>
  <si>
    <t>85783.33</t>
  </si>
  <si>
    <t>15662545.54</t>
  </si>
  <si>
    <t>86373.77</t>
  </si>
  <si>
    <t>16257107.49</t>
  </si>
  <si>
    <t>86178.05</t>
  </si>
  <si>
    <t>5073160.51</t>
  </si>
  <si>
    <t>59462.89</t>
  </si>
  <si>
    <t>1040220.53</t>
  </si>
  <si>
    <t>13.91</t>
  </si>
  <si>
    <t>36.72</t>
  </si>
  <si>
    <t>1222.24</t>
  </si>
  <si>
    <t>23010.46</t>
  </si>
  <si>
    <t>6.79</t>
  </si>
  <si>
    <t>335.66</t>
  </si>
  <si>
    <t>5690.79</t>
  </si>
  <si>
    <t>269935.47</t>
  </si>
  <si>
    <t>33.20</t>
  </si>
  <si>
    <t>1096.34</t>
  </si>
  <si>
    <t>5730.78</t>
  </si>
  <si>
    <t>271367.48</t>
  </si>
  <si>
    <t>39.82</t>
  </si>
  <si>
    <t>1048.98</t>
  </si>
  <si>
    <t>5369.44</t>
  </si>
  <si>
    <t>169636.43</t>
  </si>
  <si>
    <t>1.97</t>
  </si>
  <si>
    <t>6778124.55</t>
  </si>
  <si>
    <t>844409.28</t>
  </si>
  <si>
    <t>0.34</t>
  </si>
  <si>
    <t>5627914.63</t>
  </si>
  <si>
    <t>1.32</t>
  </si>
  <si>
    <t>15445511.46</t>
  </si>
  <si>
    <t>8973187.55</t>
  </si>
  <si>
    <t>0.13</t>
  </si>
  <si>
    <t>689294.00</t>
  </si>
  <si>
    <t>3.42</t>
  </si>
  <si>
    <t>22912930.01</t>
  </si>
  <si>
    <t>1068.95</t>
  </si>
  <si>
    <t>68286.12</t>
  </si>
  <si>
    <t>1210.51</t>
  </si>
  <si>
    <t>40465.51</t>
  </si>
  <si>
    <t>2279.46</t>
  </si>
  <si>
    <t>108751.63</t>
  </si>
  <si>
    <t>1077.72</t>
  </si>
  <si>
    <t>21014.22</t>
  </si>
  <si>
    <t>2012.27</t>
  </si>
  <si>
    <t>39870.57</t>
  </si>
  <si>
    <t>3089.99</t>
  </si>
  <si>
    <t>60884.79</t>
  </si>
  <si>
    <t>1225.96</t>
  </si>
  <si>
    <t>100325.48</t>
  </si>
  <si>
    <t>4557.01</t>
  </si>
  <si>
    <t>443776.04</t>
  </si>
  <si>
    <t>2702.06</t>
  </si>
  <si>
    <t>3116439.24</t>
  </si>
  <si>
    <t>870.16</t>
  </si>
  <si>
    <t>5147947.25</t>
  </si>
  <si>
    <t>3572.22</t>
  </si>
  <si>
    <t>8264386.50</t>
  </si>
  <si>
    <t>1167.16</t>
  </si>
  <si>
    <t>31318.27</t>
  </si>
  <si>
    <t>51655.77</t>
  </si>
  <si>
    <t>1326626.63</t>
  </si>
  <si>
    <t>4309.58</t>
  </si>
  <si>
    <t>305197.39</t>
  </si>
  <si>
    <t>55965.36</t>
  </si>
  <si>
    <t>1631824.02</t>
  </si>
  <si>
    <t>1489.99</t>
  </si>
  <si>
    <t>100908.90</t>
  </si>
  <si>
    <t>1048.14</t>
  </si>
  <si>
    <t>99060.07</t>
  </si>
  <si>
    <t>4022.33</t>
  </si>
  <si>
    <t>2716012.88</t>
  </si>
  <si>
    <t>138.00</t>
  </si>
  <si>
    <t>216.43</t>
  </si>
  <si>
    <t>593.73</t>
  </si>
  <si>
    <t>593184.86</t>
  </si>
  <si>
    <t>22.36</t>
  </si>
  <si>
    <t>22.49</t>
  </si>
  <si>
    <t>1191.62</t>
  </si>
  <si>
    <t>4949.13</t>
  </si>
  <si>
    <t>87.22</t>
  </si>
  <si>
    <t>1300.85</t>
  </si>
  <si>
    <t>1278.83</t>
  </si>
  <si>
    <t>6249.98</t>
  </si>
  <si>
    <t>6258.03</t>
  </si>
  <si>
    <t>24738.20</t>
  </si>
  <si>
    <t>4979.19</t>
  </si>
  <si>
    <t>18488.22</t>
  </si>
  <si>
    <t>69921.27</t>
  </si>
  <si>
    <t>4298157.62</t>
  </si>
  <si>
    <t>193.18</t>
  </si>
  <si>
    <t>10840908.94</t>
  </si>
  <si>
    <t>1515144.59</t>
  </si>
  <si>
    <t>194.42</t>
  </si>
  <si>
    <t>12356053.53</t>
  </si>
  <si>
    <t>82969.11</t>
  </si>
  <si>
    <t>16948911.26</t>
  </si>
  <si>
    <t>83562.84</t>
  </si>
  <si>
    <t>17542096.12</t>
  </si>
  <si>
    <t>83368.42</t>
  </si>
  <si>
    <t>5186042.58</t>
  </si>
  <si>
    <t>58629.08</t>
  </si>
  <si>
    <t>1014412.62</t>
  </si>
  <si>
    <t>0.99</t>
  </si>
  <si>
    <t>12.48</t>
  </si>
  <si>
    <t>39.51</t>
  </si>
  <si>
    <t>1259.99</t>
  </si>
  <si>
    <t>12510.93</t>
  </si>
  <si>
    <t>6.95</t>
  </si>
  <si>
    <t>342.40</t>
  </si>
  <si>
    <t>5735.52</t>
  </si>
  <si>
    <t>270609.05</t>
  </si>
  <si>
    <t>35.42</t>
  </si>
  <si>
    <t>1151.94</t>
  </si>
  <si>
    <t>5777.88</t>
  </si>
  <si>
    <t>272103.40</t>
  </si>
  <si>
    <t>21.26</t>
  </si>
  <si>
    <t>620.52</t>
  </si>
  <si>
    <t>5481.80</t>
  </si>
  <si>
    <t>180370.69</t>
  </si>
  <si>
    <t>1.93</t>
  </si>
  <si>
    <t>6272727.97</t>
  </si>
  <si>
    <t>0.71</t>
  </si>
  <si>
    <t>851203.93</t>
  </si>
  <si>
    <t>5764070.43</t>
  </si>
  <si>
    <t>14218681.01</t>
  </si>
  <si>
    <t>7603406.65</t>
  </si>
  <si>
    <t>634635.00</t>
  </si>
  <si>
    <t>3.39</t>
  </si>
  <si>
    <t>21126043.98</t>
  </si>
  <si>
    <t>1127.64</t>
  </si>
  <si>
    <t>74089.11</t>
  </si>
  <si>
    <t>1220.69</t>
  </si>
  <si>
    <t>41766.62</t>
  </si>
  <si>
    <t>2348.34</t>
  </si>
  <si>
    <t>115855.73</t>
  </si>
  <si>
    <t>1081.20</t>
  </si>
  <si>
    <t>23317.38</t>
  </si>
  <si>
    <t>2052.26</t>
  </si>
  <si>
    <t>41197.59</t>
  </si>
  <si>
    <t>3133.47</t>
  </si>
  <si>
    <t>64514.96</t>
  </si>
  <si>
    <t>1217.97</t>
  </si>
  <si>
    <t>100581.21</t>
  </si>
  <si>
    <t>4608.30</t>
  </si>
  <si>
    <t>444540.95</t>
  </si>
  <si>
    <t>2821.73</t>
  </si>
  <si>
    <t>2936599.36</t>
  </si>
  <si>
    <t>934.78</t>
  </si>
  <si>
    <t>4450728.89</t>
  </si>
  <si>
    <t>3756.52</t>
  </si>
  <si>
    <t>7387328.25</t>
  </si>
  <si>
    <t>1082.22</t>
  </si>
  <si>
    <t>29517.48</t>
  </si>
  <si>
    <t>56535.55</t>
  </si>
  <si>
    <t>1375576.84</t>
  </si>
  <si>
    <t>4902.43</t>
  </si>
  <si>
    <t>324002.67</t>
  </si>
  <si>
    <t>61437.98</t>
  </si>
  <si>
    <t>1699579.51</t>
  </si>
  <si>
    <t>1892.88</t>
  </si>
  <si>
    <t>119676.76</t>
  </si>
  <si>
    <t>1067.05</t>
  </si>
  <si>
    <t>99753.52</t>
  </si>
  <si>
    <t>4018.39</t>
  </si>
  <si>
    <t>2627353.96</t>
  </si>
  <si>
    <t>129.66</t>
  </si>
  <si>
    <t>207.17</t>
  </si>
  <si>
    <t>588.67</t>
  </si>
  <si>
    <t>579380.83</t>
  </si>
  <si>
    <t>2.25</t>
  </si>
  <si>
    <t>2.26</t>
  </si>
  <si>
    <t>22.07</t>
  </si>
  <si>
    <t>1254.05</t>
  </si>
  <si>
    <t>5249.66</t>
  </si>
  <si>
    <t>85.43</t>
  </si>
  <si>
    <t>1284.67</t>
  </si>
  <si>
    <t>1339.48</t>
  </si>
  <si>
    <t>6534.32</t>
  </si>
  <si>
    <t>6195.34</t>
  </si>
  <si>
    <t>25308.86</t>
  </si>
  <si>
    <t>4855.87</t>
  </si>
  <si>
    <t>18774.53</t>
  </si>
  <si>
    <t>74673.64</t>
  </si>
  <si>
    <t>4267239.15</t>
  </si>
  <si>
    <t>188.06</t>
  </si>
  <si>
    <t>9927090.96</t>
  </si>
  <si>
    <t>1.20</t>
  </si>
  <si>
    <t>1624348.72</t>
  </si>
  <si>
    <t>189.26</t>
  </si>
  <si>
    <t>11551439.68</t>
  </si>
  <si>
    <t>87758.02</t>
  </si>
  <si>
    <t>16124939.59</t>
  </si>
  <si>
    <t>88346.69</t>
  </si>
  <si>
    <t>16704320.42</t>
  </si>
  <si>
    <t>88157.42</t>
  </si>
  <si>
    <t>5152880.74</t>
  </si>
  <si>
    <t>62893.40</t>
  </si>
  <si>
    <t>1063117.04</t>
  </si>
  <si>
    <t>1.62</t>
  </si>
  <si>
    <t>17.65</t>
  </si>
  <si>
    <t>30.25</t>
  </si>
  <si>
    <t>1162.46</t>
  </si>
  <si>
    <t>9662.47</t>
  </si>
  <si>
    <t>7.46</t>
  </si>
  <si>
    <t>358.63</t>
  </si>
  <si>
    <t>5723.84</t>
  </si>
  <si>
    <t>267288.75</t>
  </si>
  <si>
    <t>35.31</t>
  </si>
  <si>
    <t>1140.70</t>
  </si>
  <si>
    <t>5766.61</t>
  </si>
  <si>
    <t>268788.08</t>
  </si>
  <si>
    <t>17.57</t>
  </si>
  <si>
    <t>515.51</t>
  </si>
  <si>
    <t>5481.30</t>
  </si>
  <si>
    <t>174516.21</t>
  </si>
  <si>
    <t>5970121.59</t>
  </si>
  <si>
    <t>888831.91</t>
  </si>
  <si>
    <t>5251882.72</t>
  </si>
  <si>
    <t>13493765.13</t>
  </si>
  <si>
    <t>7353050.50</t>
  </si>
  <si>
    <t>564757.00</t>
  </si>
  <si>
    <t>3.30</t>
  </si>
  <si>
    <t>20028643.72</t>
  </si>
  <si>
    <t>1117.30</t>
  </si>
  <si>
    <t>67414.39</t>
  </si>
  <si>
    <t>1330.54</t>
  </si>
  <si>
    <t>44943.17</t>
  </si>
  <si>
    <t>2447.83</t>
  </si>
  <si>
    <t>112357.56</t>
  </si>
  <si>
    <t>1023.64</t>
  </si>
  <si>
    <t>21606.22</t>
  </si>
  <si>
    <t>2009.83</t>
  </si>
  <si>
    <t>40552.44</t>
  </si>
  <si>
    <t>3033.47</t>
  </si>
  <si>
    <t>62158.66</t>
  </si>
  <si>
    <t>1247.15</t>
  </si>
  <si>
    <t>102824.44</t>
  </si>
  <si>
    <t>4669.09</t>
  </si>
  <si>
    <t>445988.99</t>
  </si>
  <si>
    <t>2596.78</t>
  </si>
  <si>
    <t>3037666.33</t>
  </si>
  <si>
    <t>932.41</t>
  </si>
  <si>
    <t>4304970.10</t>
  </si>
  <si>
    <t>3529.19</t>
  </si>
  <si>
    <t>7342636.42</t>
  </si>
  <si>
    <t>26192.93</t>
  </si>
  <si>
    <t>58722.63</t>
  </si>
  <si>
    <t>1378392.51</t>
  </si>
  <si>
    <t>6590.62</t>
  </si>
  <si>
    <t>363857.23</t>
  </si>
  <si>
    <t>65313.24</t>
  </si>
  <si>
    <t>1742249.75</t>
  </si>
  <si>
    <t>1940.04</t>
  </si>
  <si>
    <t>128480.09</t>
  </si>
  <si>
    <t>1097.38</t>
  </si>
  <si>
    <t>102099.67</t>
  </si>
  <si>
    <t>4166.76</t>
  </si>
  <si>
    <t>2631639.01</t>
  </si>
  <si>
    <t>132.20</t>
  </si>
  <si>
    <t>209.26</t>
  </si>
  <si>
    <t>576.17</t>
  </si>
  <si>
    <t>547503.24</t>
  </si>
  <si>
    <t>2.16</t>
  </si>
  <si>
    <t>20.71</t>
  </si>
  <si>
    <t>20.94</t>
  </si>
  <si>
    <t>1216.37</t>
  </si>
  <si>
    <t>4953.36</t>
  </si>
  <si>
    <t>83.90</t>
  </si>
  <si>
    <t>1177.30</t>
  </si>
  <si>
    <t>1300.27</t>
  </si>
  <si>
    <t>6130.66</t>
  </si>
  <si>
    <t>6177.69</t>
  </si>
  <si>
    <t>24625.42</t>
  </si>
  <si>
    <t>4877.42</t>
  </si>
  <si>
    <t>18494.76</t>
  </si>
  <si>
    <t>77757.95</t>
  </si>
  <si>
    <t>4288962.98</t>
  </si>
  <si>
    <t>186.92</t>
  </si>
  <si>
    <t>10274479.60</t>
  </si>
  <si>
    <t>1391103.11</t>
  </si>
  <si>
    <t>188.08</t>
  </si>
  <si>
    <t>11665582.71</t>
  </si>
  <si>
    <t>90852.16</t>
  </si>
  <si>
    <t>16256511.76</t>
  </si>
  <si>
    <t>91428.33</t>
  </si>
  <si>
    <t>16804015.00</t>
  </si>
  <si>
    <t>91240.25</t>
  </si>
  <si>
    <t>5138432.29</t>
  </si>
  <si>
    <t>65819.06</t>
  </si>
  <si>
    <t>1073162.17</t>
  </si>
  <si>
    <t>1.63</t>
  </si>
  <si>
    <t>17.09</t>
  </si>
  <si>
    <t>31.51</t>
  </si>
  <si>
    <t>1170.40</t>
  </si>
  <si>
    <t>12805.09</t>
  </si>
  <si>
    <t>7.22</t>
  </si>
  <si>
    <t>350.52</t>
  </si>
  <si>
    <t>5684.15</t>
  </si>
  <si>
    <t>263765.23</t>
  </si>
  <si>
    <t>34.36</t>
  </si>
  <si>
    <t>1126.81</t>
  </si>
  <si>
    <t>5725.73</t>
  </si>
  <si>
    <t>265242.57</t>
  </si>
  <si>
    <t>16.35</t>
  </si>
  <si>
    <t>516.43</t>
  </si>
  <si>
    <t>5352.43</t>
  </si>
  <si>
    <t>183297.75</t>
  </si>
  <si>
    <t>2.34</t>
  </si>
  <si>
    <t>7499480.68</t>
  </si>
  <si>
    <t>1027325.72</t>
  </si>
  <si>
    <t>0.36</t>
  </si>
  <si>
    <t>6014630.07</t>
  </si>
  <si>
    <t>1.51</t>
  </si>
  <si>
    <t>16060463.29</t>
  </si>
  <si>
    <t>9018507.50</t>
  </si>
  <si>
    <t>761914.00</t>
  </si>
  <si>
    <t>3.97</t>
  </si>
  <si>
    <t>24321857.97</t>
  </si>
  <si>
    <t>1141.43</t>
  </si>
  <si>
    <t>77125.05</t>
  </si>
  <si>
    <t>1311.63</t>
  </si>
  <si>
    <t>44968.78</t>
  </si>
  <si>
    <t>2453.06</t>
  </si>
  <si>
    <t>122093.84</t>
  </si>
  <si>
    <t>1011.80</t>
  </si>
  <si>
    <t>23110.72</t>
  </si>
  <si>
    <t>1887.58</t>
  </si>
  <si>
    <t>38093.19</t>
  </si>
  <si>
    <t>2899.38</t>
  </si>
  <si>
    <t>61203.91</t>
  </si>
  <si>
    <t>1257.34</t>
  </si>
  <si>
    <t>106117.57</t>
  </si>
  <si>
    <t>4622.31</t>
  </si>
  <si>
    <t>454451.31</t>
  </si>
  <si>
    <t>2657.81</t>
  </si>
  <si>
    <t>3438175.80</t>
  </si>
  <si>
    <t>918.60</t>
  </si>
  <si>
    <t>4985304.86</t>
  </si>
  <si>
    <t>3576.41</t>
  </si>
  <si>
    <t>8423480.65</t>
  </si>
  <si>
    <t>1004.99</t>
  </si>
  <si>
    <t>26097.37</t>
  </si>
  <si>
    <t>60527.24</t>
  </si>
  <si>
    <t>1443339.97</t>
  </si>
  <si>
    <t>5133.31</t>
  </si>
  <si>
    <t>348493.95</t>
  </si>
  <si>
    <t>65660.55</t>
  </si>
  <si>
    <t>1791833.92</t>
  </si>
  <si>
    <t>1630.85</t>
  </si>
  <si>
    <t>114717.84</t>
  </si>
  <si>
    <t>1114.09</t>
  </si>
  <si>
    <t>105389.69</t>
  </si>
  <si>
    <t>4332.45</t>
  </si>
  <si>
    <t>2922912.81</t>
  </si>
  <si>
    <t>126.90</t>
  </si>
  <si>
    <t>211.45</t>
  </si>
  <si>
    <t>603.84</t>
  </si>
  <si>
    <t>590572.65</t>
  </si>
  <si>
    <t>2.67</t>
  </si>
  <si>
    <t>33.73</t>
  </si>
  <si>
    <t>2.71</t>
  </si>
  <si>
    <t>34.00</t>
  </si>
  <si>
    <t>1262.21</t>
  </si>
  <si>
    <t>5003.63</t>
  </si>
  <si>
    <t>79.41</t>
  </si>
  <si>
    <t>1171.59</t>
  </si>
  <si>
    <t>1341.62</t>
  </si>
  <si>
    <t>6175.22</t>
  </si>
  <si>
    <t>6048.61</t>
  </si>
  <si>
    <t>24090.22</t>
  </si>
  <si>
    <t>4706.99</t>
  </si>
  <si>
    <t>17915.00</t>
  </si>
  <si>
    <t>79564.56</t>
  </si>
  <si>
    <t>4621356.64</t>
  </si>
  <si>
    <t>197.10</t>
  </si>
  <si>
    <t>12094321.25</t>
  </si>
  <si>
    <t>1695315.87</t>
  </si>
  <si>
    <t>198.30</t>
  </si>
  <si>
    <t>13789637.12</t>
  </si>
  <si>
    <t>92421.24</t>
  </si>
  <si>
    <t>18724499.31</t>
  </si>
  <si>
    <t>93025.08</t>
  </si>
  <si>
    <t>19315071.96</t>
  </si>
  <si>
    <t>92826.78</t>
  </si>
  <si>
    <t>5525434.84</t>
  </si>
  <si>
    <t>67808.00</t>
  </si>
  <si>
    <t>1116438.09</t>
  </si>
  <si>
    <t>1.47</t>
  </si>
  <si>
    <t>16.87</t>
  </si>
  <si>
    <t>1843.72</t>
  </si>
  <si>
    <t>25461.80</t>
  </si>
  <si>
    <t>7.67</t>
  </si>
  <si>
    <t>374.65</t>
  </si>
  <si>
    <t>6078.30</t>
  </si>
  <si>
    <t>290556.59</t>
  </si>
  <si>
    <t>38.48</t>
  </si>
  <si>
    <t>1212.42</t>
  </si>
  <si>
    <t>6124.46</t>
  </si>
  <si>
    <t>292143.66</t>
  </si>
  <si>
    <t>19.99</t>
  </si>
  <si>
    <t>603.83</t>
  </si>
  <si>
    <t>5516.40</t>
  </si>
  <si>
    <t>195998.50</t>
  </si>
  <si>
    <t>1.90</t>
  </si>
  <si>
    <t>6514292.07</t>
  </si>
  <si>
    <t>672815.87</t>
  </si>
  <si>
    <t>5277167.50</t>
  </si>
  <si>
    <t>13863316.37</t>
  </si>
  <si>
    <t>7913333.00</t>
  </si>
  <si>
    <t>510093.50</t>
  </si>
  <si>
    <t>20887701.94</t>
  </si>
  <si>
    <t>1153.51</t>
  </si>
  <si>
    <t>77864.73</t>
  </si>
  <si>
    <t>1400.51</t>
  </si>
  <si>
    <t>51183.48</t>
  </si>
  <si>
    <t>2554.02</t>
  </si>
  <si>
    <t>129048.20</t>
  </si>
  <si>
    <t>917.10</t>
  </si>
  <si>
    <t>20933.81</t>
  </si>
  <si>
    <t>2045.27</t>
  </si>
  <si>
    <t>46016.48</t>
  </si>
  <si>
    <t>2962.38</t>
  </si>
  <si>
    <t>66950.29</t>
  </si>
  <si>
    <t>1297.79</t>
  </si>
  <si>
    <t>106956.04</t>
  </si>
  <si>
    <t>4824.59</t>
  </si>
  <si>
    <t>466081.77</t>
  </si>
  <si>
    <t>2745.82</t>
  </si>
  <si>
    <t>3046238.58</t>
  </si>
  <si>
    <t>873.32</t>
  </si>
  <si>
    <t>4126601.84</t>
  </si>
  <si>
    <t>3619.15</t>
  </si>
  <si>
    <t>7172840.42</t>
  </si>
  <si>
    <t>1156.16</t>
  </si>
  <si>
    <t>30462.95</t>
  </si>
  <si>
    <t>64855.62</t>
  </si>
  <si>
    <t>1525324.38</t>
  </si>
  <si>
    <t>5473.11</t>
  </si>
  <si>
    <t>351669.01</t>
  </si>
  <si>
    <t>70328.74</t>
  </si>
  <si>
    <t>1876993.39</t>
  </si>
  <si>
    <t>1454.99</t>
  </si>
  <si>
    <t>127118.45</t>
  </si>
  <si>
    <t>1139.92</t>
  </si>
  <si>
    <t>106131.34</t>
  </si>
  <si>
    <t>4570.48</t>
  </si>
  <si>
    <t>2726827.10</t>
  </si>
  <si>
    <t>137.88</t>
  </si>
  <si>
    <t>220.87</t>
  </si>
  <si>
    <t>561.89</t>
  </si>
  <si>
    <t>549637.09</t>
  </si>
  <si>
    <t>20.74</t>
  </si>
  <si>
    <t>2.14</t>
  </si>
  <si>
    <t>1206.42</t>
  </si>
  <si>
    <t>4677.22</t>
  </si>
  <si>
    <t>83.89</t>
  </si>
  <si>
    <t>1168.88</t>
  </si>
  <si>
    <t>1290.31</t>
  </si>
  <si>
    <t>5846.09</t>
  </si>
  <si>
    <t>6167.35</t>
  </si>
  <si>
    <t>24296.37</t>
  </si>
  <si>
    <t>4877.04</t>
  </si>
  <si>
    <t>18450.27</t>
  </si>
  <si>
    <t>85748.55</t>
  </si>
  <si>
    <t>4557107.24</t>
  </si>
  <si>
    <t>189.18</t>
  </si>
  <si>
    <t>10015711.49</t>
  </si>
  <si>
    <t>1.15</t>
  </si>
  <si>
    <t>1535565.37</t>
  </si>
  <si>
    <t>190.34</t>
  </si>
  <si>
    <t>11551276.86</t>
  </si>
  <si>
    <t>98920.42</t>
  </si>
  <si>
    <t>16435635.01</t>
  </si>
  <si>
    <t>99482.31</t>
  </si>
  <si>
    <t>16985272.10</t>
  </si>
  <si>
    <t>99291.97</t>
  </si>
  <si>
    <t>5433995.24</t>
  </si>
  <si>
    <t>73054.21</t>
  </si>
  <si>
    <t>1211587.50</t>
  </si>
  <si>
    <t>15.02</t>
  </si>
  <si>
    <t>29.30</t>
  </si>
  <si>
    <t>1065.62</t>
  </si>
  <si>
    <t>9459.57</t>
  </si>
  <si>
    <t>7.59</t>
  </si>
  <si>
    <t>366.84</t>
  </si>
  <si>
    <t>5568.42</t>
  </si>
  <si>
    <t>264180.38</t>
  </si>
  <si>
    <t>32.36</t>
  </si>
  <si>
    <t>1088.57</t>
  </si>
  <si>
    <t>5608.38</t>
  </si>
  <si>
    <t>265635.79</t>
  </si>
  <si>
    <t>14.52</t>
  </si>
  <si>
    <t>474.90</t>
  </si>
  <si>
    <t>4956.02</t>
  </si>
  <si>
    <t>170387.63</t>
  </si>
  <si>
    <t>2.33</t>
  </si>
  <si>
    <t>6577285.55</t>
  </si>
  <si>
    <t>759097.41</t>
  </si>
  <si>
    <t>6039867.55</t>
  </si>
  <si>
    <t>15457897.46</t>
  </si>
  <si>
    <t>8658932.50</t>
  </si>
  <si>
    <t>453575.00</t>
  </si>
  <si>
    <t>3.67</t>
  </si>
  <si>
    <t>22488758.01</t>
  </si>
  <si>
    <t>1071.74</t>
  </si>
  <si>
    <t>71337.96</t>
  </si>
  <si>
    <t>1275.99</t>
  </si>
  <si>
    <t>43455.99</t>
  </si>
  <si>
    <t>2347.73</t>
  </si>
  <si>
    <t>114793.95</t>
  </si>
  <si>
    <t>828.82</t>
  </si>
  <si>
    <t>18355.31</t>
  </si>
  <si>
    <t>1779.46</t>
  </si>
  <si>
    <t>37238.36</t>
  </si>
  <si>
    <t>2608.28</t>
  </si>
  <si>
    <t>55593.68</t>
  </si>
  <si>
    <t>1316.60</t>
  </si>
  <si>
    <t>110180.70</t>
  </si>
  <si>
    <t>4634.80</t>
  </si>
  <si>
    <t>454678.67</t>
  </si>
  <si>
    <t>2615.74</t>
  </si>
  <si>
    <t>3179528.57</t>
  </si>
  <si>
    <t>870.33</t>
  </si>
  <si>
    <t>4606598.20</t>
  </si>
  <si>
    <t>3486.07</t>
  </si>
  <si>
    <t>7786126.76</t>
  </si>
  <si>
    <t>944.92</t>
  </si>
  <si>
    <t>25540.74</t>
  </si>
  <si>
    <t>64845.77</t>
  </si>
  <si>
    <t>1519391.07</t>
  </si>
  <si>
    <t>5342.59</t>
  </si>
  <si>
    <t>355045.39</t>
  </si>
  <si>
    <t>70188.36</t>
  </si>
  <si>
    <t>1874436.45</t>
  </si>
  <si>
    <t>1373.88</t>
  </si>
  <si>
    <t>141900.88</t>
  </si>
  <si>
    <t>1164.17</t>
  </si>
  <si>
    <t>109478.54</t>
  </si>
  <si>
    <t>4388.30</t>
  </si>
  <si>
    <t>2730878.35</t>
  </si>
  <si>
    <t>137.91</t>
  </si>
  <si>
    <t>227.26</t>
  </si>
  <si>
    <t>592.55</t>
  </si>
  <si>
    <t>585389.37</t>
  </si>
  <si>
    <t>22.10</t>
  </si>
  <si>
    <t>2.29</t>
  </si>
  <si>
    <t>1267.42</t>
  </si>
  <si>
    <t>4427.51</t>
  </si>
  <si>
    <t>77.72</t>
  </si>
  <si>
    <t>1038.89</t>
  </si>
  <si>
    <t>1345.14</t>
  </si>
  <si>
    <t>5466.41</t>
  </si>
  <si>
    <t>6075.20</t>
  </si>
  <si>
    <t>22808.40</t>
  </si>
  <si>
    <t>4730.07</t>
  </si>
  <si>
    <t>17342.00</t>
  </si>
  <si>
    <t>84557.58</t>
  </si>
  <si>
    <t>4527540.16</t>
  </si>
  <si>
    <t>205.30</t>
  </si>
  <si>
    <t>10691727.02</t>
  </si>
  <si>
    <t>1600022.47</t>
  </si>
  <si>
    <t>206.46</t>
  </si>
  <si>
    <t>12291749.49</t>
  </si>
  <si>
    <t>97111.86</t>
  </si>
  <si>
    <t>17122666.38</t>
  </si>
  <si>
    <t>97704.41</t>
  </si>
  <si>
    <t>17708055.75</t>
  </si>
  <si>
    <t>97497.95</t>
  </si>
  <si>
    <t>5416306.26</t>
  </si>
  <si>
    <t>73094.47</t>
  </si>
  <si>
    <t>1190593.39</t>
  </si>
  <si>
    <t>1.79</t>
  </si>
  <si>
    <t>18.91</t>
  </si>
  <si>
    <t>20.93</t>
  </si>
  <si>
    <t>1157.66</t>
  </si>
  <si>
    <t>20670.47</t>
  </si>
  <si>
    <t>8.13</t>
  </si>
  <si>
    <t>392.05</t>
  </si>
  <si>
    <t>5850.33</t>
  </si>
  <si>
    <t>278927.16</t>
  </si>
  <si>
    <t>33.33</t>
  </si>
  <si>
    <t>1145.94</t>
  </si>
  <si>
    <t>5891.78</t>
  </si>
  <si>
    <t>280465.16</t>
  </si>
  <si>
    <t>12.71</t>
  </si>
  <si>
    <t>445.94</t>
  </si>
  <si>
    <t>5223.57</t>
  </si>
  <si>
    <t>185149.73</t>
  </si>
  <si>
    <t>6670288.60</t>
  </si>
  <si>
    <t>0.60</t>
  </si>
  <si>
    <t>711065.17</t>
  </si>
  <si>
    <t>6125369.75</t>
  </si>
  <si>
    <t>15144168.52</t>
  </si>
  <si>
    <t>8307733.60</t>
  </si>
  <si>
    <t>511620.00</t>
  </si>
  <si>
    <t>22326077.12</t>
  </si>
  <si>
    <t>1150.68</t>
  </si>
  <si>
    <t>77912.61</t>
  </si>
  <si>
    <t>1405.79</t>
  </si>
  <si>
    <t>48611.08</t>
  </si>
  <si>
    <t>2556.47</t>
  </si>
  <si>
    <t>126523.69</t>
  </si>
  <si>
    <t>807.77</t>
  </si>
  <si>
    <t>19052.28</t>
  </si>
  <si>
    <t>1859.33</t>
  </si>
  <si>
    <t>39573.76</t>
  </si>
  <si>
    <t>2667.10</t>
  </si>
  <si>
    <t>58626.04</t>
  </si>
  <si>
    <t>1357.72</t>
  </si>
  <si>
    <t>116425.42</t>
  </si>
  <si>
    <t>4858.37</t>
  </si>
  <si>
    <t>486552.13</t>
  </si>
  <si>
    <t>2712.04</t>
  </si>
  <si>
    <t>3618612.16</t>
  </si>
  <si>
    <t>949.91</t>
  </si>
  <si>
    <t>4926079.45</t>
  </si>
  <si>
    <t>3661.95</t>
  </si>
  <si>
    <t>8544691.61</t>
  </si>
  <si>
    <t>934.53</t>
  </si>
  <si>
    <t>25483.73</t>
  </si>
  <si>
    <t>68855.05</t>
  </si>
  <si>
    <t>1615988.12</t>
  </si>
  <si>
    <t>5560.78</t>
  </si>
  <si>
    <t>375774.65</t>
  </si>
  <si>
    <t>74415.83</t>
  </si>
  <si>
    <t>1991762.77</t>
  </si>
  <si>
    <t>1515.84</t>
  </si>
  <si>
    <t>157435.06</t>
  </si>
  <si>
    <t>1198.55</t>
  </si>
  <si>
    <t>115737.14</t>
  </si>
  <si>
    <t>4854.81</t>
  </si>
  <si>
    <t>2981681.17</t>
  </si>
  <si>
    <t>146.46</t>
  </si>
  <si>
    <t>242.34</t>
  </si>
  <si>
    <t>608.14</t>
  </si>
  <si>
    <t>619903.47</t>
  </si>
  <si>
    <t>23.16</t>
  </si>
  <si>
    <t>2.37</t>
  </si>
  <si>
    <t>23.23</t>
  </si>
  <si>
    <t>1280.37</t>
  </si>
  <si>
    <t>3526.56</t>
  </si>
  <si>
    <t>61.58</t>
  </si>
  <si>
    <t>721.93</t>
  </si>
  <si>
    <t>1341.94</t>
  </si>
  <si>
    <t>4248.50</t>
  </si>
  <si>
    <t>6354.65</t>
  </si>
  <si>
    <t>22648.19</t>
  </si>
  <si>
    <t>5012.71</t>
  </si>
  <si>
    <t>18399.70</t>
  </si>
  <si>
    <t>90675.95</t>
  </si>
  <si>
    <t>4928330.62</t>
  </si>
  <si>
    <t>213.80</t>
  </si>
  <si>
    <t>12180091.05</t>
  </si>
  <si>
    <t>1555966.12</t>
  </si>
  <si>
    <t>215.03</t>
  </si>
  <si>
    <t>13736057.18</t>
  </si>
  <si>
    <t>103826.92</t>
  </si>
  <si>
    <t>18988611.14</t>
  </si>
  <si>
    <t>104435.06</t>
  </si>
  <si>
    <t>19608514.61</t>
  </si>
  <si>
    <t>104220.03</t>
  </si>
  <si>
    <t>5872457.43</t>
  </si>
  <si>
    <t>78288.95</t>
  </si>
  <si>
    <t>1281970.86</t>
  </si>
  <si>
    <t>1.92</t>
  </si>
  <si>
    <t>22.73</t>
  </si>
  <si>
    <t>1112.35</t>
  </si>
  <si>
    <t>19955.69</t>
  </si>
  <si>
    <t>385.50</t>
  </si>
  <si>
    <t>5709.48</t>
  </si>
  <si>
    <t>270595.34</t>
  </si>
  <si>
    <t>32.76</t>
  </si>
  <si>
    <t>1161.48</t>
  </si>
  <si>
    <t>5750.37</t>
  </si>
  <si>
    <t>272142.32</t>
  </si>
  <si>
    <t>13.01</t>
  </si>
  <si>
    <t>468.35</t>
  </si>
  <si>
    <t>5103.61</t>
  </si>
  <si>
    <t>183460.35</t>
  </si>
  <si>
    <t>2.40</t>
  </si>
  <si>
    <t>6553595.94</t>
  </si>
  <si>
    <t>785714.02</t>
  </si>
  <si>
    <t>0.35</t>
  </si>
  <si>
    <t>5556922.42</t>
  </si>
  <si>
    <t>14383733.94</t>
  </si>
  <si>
    <t>8041097.50</t>
  </si>
  <si>
    <t>634016.21</t>
  </si>
  <si>
    <t>21571346.09</t>
  </si>
  <si>
    <t>1184.33</t>
  </si>
  <si>
    <t>78748.32</t>
  </si>
  <si>
    <t>1409.19</t>
  </si>
  <si>
    <t>48934.07</t>
  </si>
  <si>
    <t>2593.52</t>
  </si>
  <si>
    <t>127682.40</t>
  </si>
  <si>
    <t>767.59</t>
  </si>
  <si>
    <t>18257.53</t>
  </si>
  <si>
    <t>1742.51</t>
  </si>
  <si>
    <t>37520.43</t>
  </si>
  <si>
    <t>2510.09</t>
  </si>
  <si>
    <t>55777.95</t>
  </si>
  <si>
    <t>1360.36</t>
  </si>
  <si>
    <t>115657.51</t>
  </si>
  <si>
    <t>4745.08</t>
  </si>
  <si>
    <t>477491.47</t>
  </si>
  <si>
    <t>2654.88</t>
  </si>
  <si>
    <t>3237866.38</t>
  </si>
  <si>
    <t>889.79</t>
  </si>
  <si>
    <t>4089461.80</t>
  </si>
  <si>
    <t>3544.67</t>
  </si>
  <si>
    <t>7327328.18</t>
  </si>
  <si>
    <t>963.46</t>
  </si>
  <si>
    <t>26202.86</t>
  </si>
  <si>
    <t>71063.50</t>
  </si>
  <si>
    <t>1617560.80</t>
  </si>
  <si>
    <t>4884.25</t>
  </si>
  <si>
    <t>345334.11</t>
  </si>
  <si>
    <t>75947.75</t>
  </si>
  <si>
    <t>1962894.91</t>
  </si>
  <si>
    <t>1354.13</t>
  </si>
  <si>
    <t>131619.62</t>
  </si>
  <si>
    <t>1202.79</t>
  </si>
  <si>
    <t>114952.75</t>
  </si>
  <si>
    <t>4798.31</t>
  </si>
  <si>
    <t>2810179.96</t>
  </si>
  <si>
    <t>144.56</t>
  </si>
  <si>
    <t>236.41</t>
  </si>
  <si>
    <t>573.18</t>
  </si>
  <si>
    <t>570639.37</t>
  </si>
  <si>
    <t>2.42</t>
  </si>
  <si>
    <t>23.81</t>
  </si>
  <si>
    <t>23.88</t>
  </si>
  <si>
    <t>1190.86</t>
  </si>
  <si>
    <t>3520.45</t>
  </si>
  <si>
    <t>64.59</t>
  </si>
  <si>
    <t>773.62</t>
  </si>
  <si>
    <t>1255.44</t>
  </si>
  <si>
    <t>4294.06</t>
  </si>
  <si>
    <t>6129.40</t>
  </si>
  <si>
    <t>22193.19</t>
  </si>
  <si>
    <t>4873.96</t>
  </si>
  <si>
    <t>17899.13</t>
  </si>
  <si>
    <t>92396.07</t>
  </si>
  <si>
    <t>4738328.25</t>
  </si>
  <si>
    <t>202.99</t>
  </si>
  <si>
    <t>11028450.50</t>
  </si>
  <si>
    <t>1518016.27</t>
  </si>
  <si>
    <t>204.18</t>
  </si>
  <si>
    <t>12546466.77</t>
  </si>
  <si>
    <t>105193.62</t>
  </si>
  <si>
    <t>17606106.07</t>
  </si>
  <si>
    <t>105766.80</t>
  </si>
  <si>
    <t>18176745.44</t>
  </si>
  <si>
    <t>105562.62</t>
  </si>
  <si>
    <t>5630278.67</t>
  </si>
  <si>
    <t>80385.88</t>
  </si>
  <si>
    <t>1299058.78</t>
  </si>
  <si>
    <t>22.44</t>
  </si>
  <si>
    <t>2519.89</t>
  </si>
  <si>
    <t>35468.30</t>
  </si>
  <si>
    <t>7.39</t>
  </si>
  <si>
    <t>357.82</t>
  </si>
  <si>
    <t>5433.46</t>
  </si>
  <si>
    <t>262097.80</t>
  </si>
  <si>
    <t>31.47</t>
  </si>
  <si>
    <t>1225.03</t>
  </si>
  <si>
    <t>5472.33</t>
  </si>
  <si>
    <t>263680.65</t>
  </si>
  <si>
    <t>11.50</t>
  </si>
  <si>
    <t>454.07</t>
  </si>
  <si>
    <t>4588.51</t>
  </si>
  <si>
    <t>168377.71</t>
  </si>
  <si>
    <t>6602897.26</t>
  </si>
  <si>
    <t>895740.38</t>
  </si>
  <si>
    <t>6436404.48</t>
  </si>
  <si>
    <t>14888685.36</t>
  </si>
  <si>
    <t>7556540.50</t>
  </si>
  <si>
    <t>789787.51</t>
  </si>
  <si>
    <t>3.51</t>
  </si>
  <si>
    <t>22281370.13</t>
  </si>
  <si>
    <t>1067.32</t>
  </si>
  <si>
    <t>74073.49</t>
  </si>
  <si>
    <t>1255.88</t>
  </si>
  <si>
    <t>44610.84</t>
  </si>
  <si>
    <t>2323.20</t>
  </si>
  <si>
    <t>118684.32</t>
  </si>
  <si>
    <t>683.36</t>
  </si>
  <si>
    <t>16261.17</t>
  </si>
  <si>
    <t>1581.95</t>
  </si>
  <si>
    <t>33432.21</t>
  </si>
  <si>
    <t>2265.31</t>
  </si>
  <si>
    <t>49693.39</t>
  </si>
  <si>
    <t>1359.79</t>
  </si>
  <si>
    <t>115271.90</t>
  </si>
  <si>
    <t>4478.13</t>
  </si>
  <si>
    <t>468647.13</t>
  </si>
  <si>
    <t>2484.49</t>
  </si>
  <si>
    <t>3207966.21</t>
  </si>
  <si>
    <t>834.55</t>
  </si>
  <si>
    <t>4172937.46</t>
  </si>
  <si>
    <t>3319.04</t>
  </si>
  <si>
    <t>7380903.67</t>
  </si>
  <si>
    <t>918.44</t>
  </si>
  <si>
    <t>25483.16</t>
  </si>
  <si>
    <t>67435.09</t>
  </si>
  <si>
    <t>1576313.60</t>
  </si>
  <si>
    <t>5107.77</t>
  </si>
  <si>
    <t>353815.22</t>
  </si>
  <si>
    <t>72542.86</t>
  </si>
  <si>
    <t>1930128.81</t>
  </si>
  <si>
    <t>1517.57</t>
  </si>
  <si>
    <t>131504.73</t>
  </si>
  <si>
    <t>1209.13</t>
  </si>
  <si>
    <t>114587.27</t>
  </si>
  <si>
    <t>4675.61</t>
  </si>
  <si>
    <t>2775971.89</t>
  </si>
  <si>
    <t>139.16</t>
  </si>
  <si>
    <t>230.55</t>
  </si>
  <si>
    <t>553.90</t>
  </si>
  <si>
    <t>565690.47</t>
  </si>
  <si>
    <t>21.41</t>
  </si>
  <si>
    <t>2.17</t>
  </si>
  <si>
    <t>21.46</t>
  </si>
  <si>
    <t>1058.78</t>
  </si>
  <si>
    <t>3251.50</t>
  </si>
  <si>
    <t>63.07</t>
  </si>
  <si>
    <t>791.75</t>
  </si>
  <si>
    <t>1121.85</t>
  </si>
  <si>
    <t>4043.25</t>
  </si>
  <si>
    <t>6050.89</t>
  </si>
  <si>
    <t>22398.88</t>
  </si>
  <si>
    <t>4929.04</t>
  </si>
  <si>
    <t>18355.64</t>
  </si>
  <si>
    <t>88539.09</t>
  </si>
  <si>
    <t>4647461.08</t>
  </si>
  <si>
    <t>199.35</t>
  </si>
  <si>
    <t>10566198.18</t>
  </si>
  <si>
    <t>1487380.85</t>
  </si>
  <si>
    <t>200.50</t>
  </si>
  <si>
    <t>12053579.03</t>
  </si>
  <si>
    <t>100738.77</t>
  </si>
  <si>
    <t>17007088.60</t>
  </si>
  <si>
    <t>101292.67</t>
  </si>
  <si>
    <t>17572779.07</t>
  </si>
  <si>
    <t>101092.17</t>
  </si>
  <si>
    <t>5519200.04</t>
  </si>
  <si>
    <t>75347.57</t>
  </si>
  <si>
    <t>1235846.58</t>
  </si>
  <si>
    <t>17.45</t>
  </si>
  <si>
    <t>23.51</t>
  </si>
  <si>
    <t>1932.07</t>
  </si>
  <si>
    <t>26400.20</t>
  </si>
  <si>
    <t>8.26</t>
  </si>
  <si>
    <t>401.52</t>
  </si>
  <si>
    <t>5878.89</t>
  </si>
  <si>
    <t>284949.02</t>
  </si>
  <si>
    <t>34.56</t>
  </si>
  <si>
    <t>1411.04</t>
  </si>
  <si>
    <t>5921.72</t>
  </si>
  <si>
    <t>286761.59</t>
  </si>
  <si>
    <t>491.71</t>
  </si>
  <si>
    <t>5016.79</t>
  </si>
  <si>
    <t>191035.14</t>
  </si>
  <si>
    <t>7329086.83</t>
  </si>
  <si>
    <t>952079.05</t>
  </si>
  <si>
    <t>6682508.38</t>
  </si>
  <si>
    <t>1.25</t>
  </si>
  <si>
    <t>14269423.68</t>
  </si>
  <si>
    <t>6634836.25</t>
  </si>
  <si>
    <t>859897.00</t>
  </si>
  <si>
    <t>22458407.51</t>
  </si>
  <si>
    <t>1229.69</t>
  </si>
  <si>
    <t>86390.93</t>
  </si>
  <si>
    <t>1404.60</t>
  </si>
  <si>
    <t>50920.20</t>
  </si>
  <si>
    <t>2634.29</t>
  </si>
  <si>
    <t>137311.13</t>
  </si>
  <si>
    <t>730.15</t>
  </si>
  <si>
    <t>18501.79</t>
  </si>
  <si>
    <t>1652.35</t>
  </si>
  <si>
    <t>35222.23</t>
  </si>
  <si>
    <t>2382.50</t>
  </si>
  <si>
    <t>53724.02</t>
  </si>
  <si>
    <t>1403.39</t>
  </si>
  <si>
    <t>126112.96</t>
  </si>
  <si>
    <t>4970.56</t>
  </si>
  <si>
    <t>546234.65</t>
  </si>
  <si>
    <t>2892.30</t>
  </si>
  <si>
    <t>4211832.92</t>
  </si>
  <si>
    <t>987.21</t>
  </si>
  <si>
    <t>4769894.00</t>
  </si>
  <si>
    <t>3879.51</t>
  </si>
  <si>
    <t>8981726.92</t>
  </si>
  <si>
    <t>1083.61</t>
  </si>
  <si>
    <t>30014.62</t>
  </si>
  <si>
    <t>75779.86</t>
  </si>
  <si>
    <t>1813209.18</t>
  </si>
  <si>
    <t>5868.83</t>
  </si>
  <si>
    <t>436884.55</t>
  </si>
  <si>
    <t>81648.69</t>
  </si>
  <si>
    <t>2250093.73</t>
  </si>
  <si>
    <t>1962.73</t>
  </si>
  <si>
    <t>178757.16</t>
  </si>
  <si>
    <t>1246.53</t>
  </si>
  <si>
    <t>125375.59</t>
  </si>
  <si>
    <t>5469.06</t>
  </si>
  <si>
    <t>3750569.41</t>
  </si>
  <si>
    <t>143.94</t>
  </si>
  <si>
    <t>245.66</t>
  </si>
  <si>
    <t>642.76</t>
  </si>
  <si>
    <t>706181.13</t>
  </si>
  <si>
    <t>2.31</t>
  </si>
  <si>
    <t>22.55</t>
  </si>
  <si>
    <t>22.64</t>
  </si>
  <si>
    <t>513.36</t>
  </si>
  <si>
    <t>3282.94</t>
  </si>
  <si>
    <t>705.70</t>
  </si>
  <si>
    <t>1040.99</t>
  </si>
  <si>
    <t>1219.06</t>
  </si>
  <si>
    <t>4323.93</t>
  </si>
  <si>
    <t>6402.38</t>
  </si>
  <si>
    <t>24004.99</t>
  </si>
  <si>
    <t>5183.32</t>
  </si>
  <si>
    <t>19681.05</t>
  </si>
  <si>
    <t>100851.12</t>
  </si>
  <si>
    <t>5906935.53</t>
  </si>
  <si>
    <t>246.66</t>
  </si>
  <si>
    <t>14416322.43</t>
  </si>
  <si>
    <t>1706579.81</t>
  </si>
  <si>
    <t>248.01</t>
  </si>
  <si>
    <t>16122902.24</t>
  </si>
  <si>
    <t>113921.68</t>
  </si>
  <si>
    <t>22370990.86</t>
  </si>
  <si>
    <t>114564.44</t>
  </si>
  <si>
    <t>23077171.99</t>
  </si>
  <si>
    <t>114316.43</t>
  </si>
  <si>
    <t>6954269.75</t>
  </si>
  <si>
    <t>86516.34</t>
  </si>
  <si>
    <t>1404950.59</t>
  </si>
  <si>
    <t>17.56</t>
  </si>
  <si>
    <t>24.62</t>
  </si>
  <si>
    <t>1066.77</t>
  </si>
  <si>
    <t>19744.32</t>
  </si>
  <si>
    <t>7.49</t>
  </si>
  <si>
    <t>356.76</t>
  </si>
  <si>
    <t>5667.31</t>
  </si>
  <si>
    <t>281247.77</t>
  </si>
  <si>
    <t>32.40</t>
  </si>
  <si>
    <t>1268.52</t>
  </si>
  <si>
    <t>5707.20</t>
  </si>
  <si>
    <t>282873.05</t>
  </si>
  <si>
    <t>16.09</t>
  </si>
  <si>
    <t>603.91</t>
  </si>
  <si>
    <t>4887.94</t>
  </si>
  <si>
    <t>187395.90</t>
  </si>
  <si>
    <t>6450150.90</t>
  </si>
  <si>
    <t>1158659.71</t>
  </si>
  <si>
    <t>6633808.34</t>
  </si>
  <si>
    <t>13093141.70</t>
  </si>
  <si>
    <t>5300673.65</t>
  </si>
  <si>
    <t>571838.19</t>
  </si>
  <si>
    <t>20115130.79</t>
  </si>
  <si>
    <t>1184.35</t>
  </si>
  <si>
    <t>81144.06</t>
  </si>
  <si>
    <t>1408.20</t>
  </si>
  <si>
    <t>51624.45</t>
  </si>
  <si>
    <t>2592.55</t>
  </si>
  <si>
    <t>132768.51</t>
  </si>
  <si>
    <t>661.43</t>
  </si>
  <si>
    <t>16980.43</t>
  </si>
  <si>
    <t>1633.96</t>
  </si>
  <si>
    <t>37646.95</t>
  </si>
  <si>
    <t>2295.38</t>
  </si>
  <si>
    <t>54627.39</t>
  </si>
  <si>
    <t>1398.58</t>
  </si>
  <si>
    <t>120184.75</t>
  </si>
  <si>
    <t>4957.93</t>
  </si>
  <si>
    <t>521050.26</t>
  </si>
  <si>
    <t>2550.98</t>
  </si>
  <si>
    <t>3322894.10</t>
  </si>
  <si>
    <t>855.07</t>
  </si>
  <si>
    <t>3713764.18</t>
  </si>
  <si>
    <t>3406.05</t>
  </si>
  <si>
    <t>7036658.28</t>
  </si>
  <si>
    <t>998.82</t>
  </si>
  <si>
    <t>28953.70</t>
  </si>
  <si>
    <t>77567.62</t>
  </si>
  <si>
    <t>1752564.21</t>
  </si>
  <si>
    <t>5789.55</t>
  </si>
  <si>
    <t>402248.40</t>
  </si>
  <si>
    <t>83357.17</t>
  </si>
  <si>
    <t>2154812.61</t>
  </si>
  <si>
    <t>1009.42</t>
  </si>
  <si>
    <t>117078.64</t>
  </si>
  <si>
    <t>1242.93</t>
  </si>
  <si>
    <t>119337.60</t>
  </si>
  <si>
    <t>4825.37</t>
  </si>
  <si>
    <t>2761038.29</t>
  </si>
  <si>
    <t>139.56</t>
  </si>
  <si>
    <t>243.23</t>
  </si>
  <si>
    <t>554.06</t>
  </si>
  <si>
    <t>639281.14</t>
  </si>
  <si>
    <t>2.09</t>
  </si>
  <si>
    <t>20.73</t>
  </si>
  <si>
    <t>20.82</t>
  </si>
  <si>
    <t>612.19</t>
  </si>
  <si>
    <t>2653.28</t>
  </si>
  <si>
    <t>676.69</t>
  </si>
  <si>
    <t>1079.22</t>
  </si>
  <si>
    <t>1288.88</t>
  </si>
  <si>
    <t>3732.51</t>
  </si>
  <si>
    <t>6442.16</t>
  </si>
  <si>
    <t>22633.85</t>
  </si>
  <si>
    <t>5153.28</t>
  </si>
  <si>
    <t>18901.34</t>
  </si>
  <si>
    <t>100492.45</t>
  </si>
  <si>
    <t>4834440.84</t>
  </si>
  <si>
    <t>200.44</t>
  </si>
  <si>
    <t>10452024.05</t>
  </si>
  <si>
    <t>1424781.49</t>
  </si>
  <si>
    <t>201.57</t>
  </si>
  <si>
    <t>11876805.54</t>
  </si>
  <si>
    <t>113422.69</t>
  </si>
  <si>
    <t>17041460.88</t>
  </si>
  <si>
    <t>113976.75</t>
  </si>
  <si>
    <t>17680742.02</t>
  </si>
  <si>
    <t>113775.18</t>
  </si>
  <si>
    <t>5803936.48</t>
  </si>
  <si>
    <t>88632.60</t>
  </si>
  <si>
    <t>1415504.71</t>
  </si>
  <si>
    <t>18.80</t>
  </si>
  <si>
    <t>23.17</t>
  </si>
  <si>
    <t>1838.94</t>
  </si>
  <si>
    <t>31424.29</t>
  </si>
  <si>
    <t>7.73</t>
  </si>
  <si>
    <t>366.28</t>
  </si>
  <si>
    <t>5655.91</t>
  </si>
  <si>
    <t>278080.50</t>
  </si>
  <si>
    <t>31.09</t>
  </si>
  <si>
    <t>1174.62</t>
  </si>
  <si>
    <t>5694.72</t>
  </si>
  <si>
    <t>279621.40</t>
  </si>
  <si>
    <t>15.45</t>
  </si>
  <si>
    <t>535.33</t>
  </si>
  <si>
    <t>4974.51</t>
  </si>
  <si>
    <t>193435.51</t>
  </si>
  <si>
    <t>6189355.86</t>
  </si>
  <si>
    <t>1326724.49</t>
  </si>
  <si>
    <t>0.45</t>
  </si>
  <si>
    <t>7732270.29</t>
  </si>
  <si>
    <t>15227195.58</t>
  </si>
  <si>
    <t>6168200.80</t>
  </si>
  <si>
    <t>1121082.15</t>
  </si>
  <si>
    <t>4.03</t>
  </si>
  <si>
    <t>22537633.59</t>
  </si>
  <si>
    <t>1314.76</t>
  </si>
  <si>
    <t>89848.61</t>
  </si>
  <si>
    <t>1419.98</t>
  </si>
  <si>
    <t>50810.99</t>
  </si>
  <si>
    <t>2734.74</t>
  </si>
  <si>
    <t>140659.60</t>
  </si>
  <si>
    <t>646.89</t>
  </si>
  <si>
    <t>17187.12</t>
  </si>
  <si>
    <t>1592.87</t>
  </si>
  <si>
    <t>35588.78</t>
  </si>
  <si>
    <t>2239.77</t>
  </si>
  <si>
    <t>52775.91</t>
  </si>
  <si>
    <t>1457.43</t>
  </si>
  <si>
    <t>125654.49</t>
  </si>
  <si>
    <t>5015.49</t>
  </si>
  <si>
    <t>527557.73</t>
  </si>
  <si>
    <t>2682.09</t>
  </si>
  <si>
    <t>3684304.02</t>
  </si>
  <si>
    <t>916.90</t>
  </si>
  <si>
    <t>4116658.34</t>
  </si>
  <si>
    <t>3598.99</t>
  </si>
  <si>
    <t>7800962.35</t>
  </si>
  <si>
    <t>979.64</t>
  </si>
  <si>
    <t>27468.73</t>
  </si>
  <si>
    <t>80972.97</t>
  </si>
  <si>
    <t>1844165.15</t>
  </si>
  <si>
    <t>6127.73</t>
  </si>
  <si>
    <t>424313.72</t>
  </si>
  <si>
    <t>87100.70</t>
  </si>
  <si>
    <t>2268478.87</t>
  </si>
  <si>
    <t>1227.66</t>
  </si>
  <si>
    <t>122238.81</t>
  </si>
  <si>
    <t>124863.57</t>
  </si>
  <si>
    <t>4896.66</t>
  </si>
  <si>
    <t>3026330.56</t>
  </si>
  <si>
    <t>153.10</t>
  </si>
  <si>
    <t>255.60</t>
  </si>
  <si>
    <t>572.39</t>
  </si>
  <si>
    <t>627771.97</t>
  </si>
  <si>
    <t>22.79</t>
  </si>
  <si>
    <t>672.82</t>
  </si>
  <si>
    <t>2710.60</t>
  </si>
  <si>
    <t>721.63</t>
  </si>
  <si>
    <t>1189.91</t>
  </si>
  <si>
    <t>1394.45</t>
  </si>
  <si>
    <t>3900.51</t>
  </si>
  <si>
    <t>7064.30</t>
  </si>
  <si>
    <t>24239.61</t>
  </si>
  <si>
    <t>5669.85</t>
  </si>
  <si>
    <t>20339.10</t>
  </si>
  <si>
    <t>107130.93</t>
  </si>
  <si>
    <t>5196720.00</t>
  </si>
  <si>
    <t>219.21</t>
  </si>
  <si>
    <t>11413320.96</t>
  </si>
  <si>
    <t>1469266.16</t>
  </si>
  <si>
    <t>220.46</t>
  </si>
  <si>
    <t>12882587.12</t>
  </si>
  <si>
    <t>120847.63</t>
  </si>
  <si>
    <t>18422636.73</t>
  </si>
  <si>
    <t>121420.02</t>
  </si>
  <si>
    <t>19050408.70</t>
  </si>
  <si>
    <t>121199.56</t>
  </si>
  <si>
    <t>6167821.57</t>
  </si>
  <si>
    <t>94151.85</t>
  </si>
  <si>
    <t>1489145.44</t>
  </si>
  <si>
    <t>20.40</t>
  </si>
  <si>
    <t>1875.41</t>
  </si>
  <si>
    <t>25772.04</t>
  </si>
  <si>
    <t>7.43</t>
  </si>
  <si>
    <t>352.09</t>
  </si>
  <si>
    <t>5540.43</t>
  </si>
  <si>
    <t>272642.96</t>
  </si>
  <si>
    <t>29.58</t>
  </si>
  <si>
    <t>1074.48</t>
  </si>
  <si>
    <t>5577.45</t>
  </si>
  <si>
    <t>274069.53</t>
  </si>
  <si>
    <t>14.83</t>
  </si>
  <si>
    <t>487.23</t>
  </si>
  <si>
    <t>4731.29</t>
  </si>
  <si>
    <t>188283.69</t>
  </si>
  <si>
    <t>6854522.19</t>
  </si>
  <si>
    <t>1299038.83</t>
  </si>
  <si>
    <t>7312076.22</t>
  </si>
  <si>
    <t>1.54</t>
  </si>
  <si>
    <t>15259735.55</t>
  </si>
  <si>
    <t>6648620.50</t>
  </si>
  <si>
    <t>523830.00</t>
  </si>
  <si>
    <t>3.81</t>
  </si>
  <si>
    <t>22638087.74</t>
  </si>
  <si>
    <t>88380.28</t>
  </si>
  <si>
    <t>1378.71</t>
  </si>
  <si>
    <t>48854.06</t>
  </si>
  <si>
    <t>2629.05</t>
  </si>
  <si>
    <t>137234.34</t>
  </si>
  <si>
    <t>602.58</t>
  </si>
  <si>
    <t>17270.87</t>
  </si>
  <si>
    <t>1499.66</t>
  </si>
  <si>
    <t>33778.47</t>
  </si>
  <si>
    <t>2102.24</t>
  </si>
  <si>
    <t>51049.35</t>
  </si>
  <si>
    <t>1453.92</t>
  </si>
  <si>
    <t>129549.31</t>
  </si>
  <si>
    <t>4681.02</t>
  </si>
  <si>
    <t>500481.96</t>
  </si>
  <si>
    <t>2636.66</t>
  </si>
  <si>
    <t>3898538.63</t>
  </si>
  <si>
    <t>929.63</t>
  </si>
  <si>
    <t>4456178.54</t>
  </si>
  <si>
    <t>3566.29</t>
  </si>
  <si>
    <t>8354717.17</t>
  </si>
  <si>
    <t>943.77</t>
  </si>
  <si>
    <t>25990.62</t>
  </si>
  <si>
    <t>81951.89</t>
  </si>
  <si>
    <t>1826881.13</t>
  </si>
  <si>
    <t>6145.85</t>
  </si>
  <si>
    <t>416271.16</t>
  </si>
  <si>
    <t>88097.74</t>
  </si>
  <si>
    <t>2243152.30</t>
  </si>
  <si>
    <t>1294.91</t>
  </si>
  <si>
    <t>109983.48</t>
  </si>
  <si>
    <t>1296.38</t>
  </si>
  <si>
    <t>128819.00</t>
  </si>
  <si>
    <t>5097.12</t>
  </si>
  <si>
    <t>3039490.65</t>
  </si>
  <si>
    <t>142.71</t>
  </si>
  <si>
    <t>243.07</t>
  </si>
  <si>
    <t>539.36</t>
  </si>
  <si>
    <t>578306.15</t>
  </si>
  <si>
    <t>22.67</t>
  </si>
  <si>
    <t>22.72</t>
  </si>
  <si>
    <t>585.06</t>
  </si>
  <si>
    <t>2729.67</t>
  </si>
  <si>
    <t>681.07</t>
  </si>
  <si>
    <t>1016.96</t>
  </si>
  <si>
    <t>1266.13</t>
  </si>
  <si>
    <t>3746.63</t>
  </si>
  <si>
    <t>6569.82</t>
  </si>
  <si>
    <t>23509.01</t>
  </si>
  <si>
    <t>5303.68</t>
  </si>
  <si>
    <t>19762.38</t>
  </si>
  <si>
    <t>106299.38</t>
  </si>
  <si>
    <t>5151212.80</t>
  </si>
  <si>
    <t>211.10</t>
  </si>
  <si>
    <t>12739932.13</t>
  </si>
  <si>
    <t>1596685.01</t>
  </si>
  <si>
    <t>212.30</t>
  </si>
  <si>
    <t>14336617.14</t>
  </si>
  <si>
    <t>119266.70</t>
  </si>
  <si>
    <t>19829171.94</t>
  </si>
  <si>
    <t>119806.06</t>
  </si>
  <si>
    <t>20407478.09</t>
  </si>
  <si>
    <t>119593.76</t>
  </si>
  <si>
    <t>6070860.95</t>
  </si>
  <si>
    <t>93350.61</t>
  </si>
  <si>
    <t>1475464.26</t>
  </si>
  <si>
    <t>2.18</t>
  </si>
  <si>
    <t>30.38</t>
  </si>
  <si>
    <t>21.63</t>
  </si>
  <si>
    <t>2850.05</t>
  </si>
  <si>
    <t>45524.13</t>
  </si>
  <si>
    <t>7.58</t>
  </si>
  <si>
    <t>356.93</t>
  </si>
  <si>
    <t>5553.98</t>
  </si>
  <si>
    <t>267869.88</t>
  </si>
  <si>
    <t>1071.32</t>
  </si>
  <si>
    <t>5590.96</t>
  </si>
  <si>
    <t>269298.13</t>
  </si>
  <si>
    <t>14.42</t>
  </si>
  <si>
    <t>457.00</t>
  </si>
  <si>
    <t>4882.21</t>
  </si>
  <si>
    <t>198421.45</t>
  </si>
  <si>
    <t>5937049.66</t>
  </si>
  <si>
    <t>1200245.29</t>
  </si>
  <si>
    <t>6722021.81</t>
  </si>
  <si>
    <t>14338395.35</t>
  </si>
  <si>
    <t>6416128.25</t>
  </si>
  <si>
    <t>837588.00</t>
  </si>
  <si>
    <t>3.83</t>
  </si>
  <si>
    <t>21113033.01</t>
  </si>
  <si>
    <t>1346.69</t>
  </si>
  <si>
    <t>95318.89</t>
  </si>
  <si>
    <t>1434.21</t>
  </si>
  <si>
    <t>49789.43</t>
  </si>
  <si>
    <t>2780.90</t>
  </si>
  <si>
    <t>145108.32</t>
  </si>
  <si>
    <t>616.10</t>
  </si>
  <si>
    <t>19800.63</t>
  </si>
  <si>
    <t>1485.21</t>
  </si>
  <si>
    <t>33512.50</t>
  </si>
  <si>
    <t>2101.31</t>
  </si>
  <si>
    <t>53313.13</t>
  </si>
  <si>
    <t>1473.10</t>
  </si>
  <si>
    <t>130930.69</t>
  </si>
  <si>
    <t>4897.10</t>
  </si>
  <si>
    <t>512311.87</t>
  </si>
  <si>
    <t>2831.21</t>
  </si>
  <si>
    <t>3804044.63</t>
  </si>
  <si>
    <t>1107.74</t>
  </si>
  <si>
    <t>4353819.66</t>
  </si>
  <si>
    <t>3938.95</t>
  </si>
  <si>
    <t>8157864.28</t>
  </si>
  <si>
    <t>1078.92</t>
  </si>
  <si>
    <t>28949.97</t>
  </si>
  <si>
    <t>86940.28</t>
  </si>
  <si>
    <t>1888674.34</t>
  </si>
  <si>
    <t>6400.03</t>
  </si>
  <si>
    <t>428279.17</t>
  </si>
  <si>
    <t>93340.31</t>
  </si>
  <si>
    <t>2316953.51</t>
  </si>
  <si>
    <t>1322.80</t>
  </si>
  <si>
    <t>110184.01</t>
  </si>
  <si>
    <t>1327.06</t>
  </si>
  <si>
    <t>130240.45</t>
  </si>
  <si>
    <t>5476.79</t>
  </si>
  <si>
    <t>3049364.43</t>
  </si>
  <si>
    <t>131.62</t>
  </si>
  <si>
    <t>233.24</t>
  </si>
  <si>
    <t>555.48</t>
  </si>
  <si>
    <t>587309.72</t>
  </si>
  <si>
    <t>21.82</t>
  </si>
  <si>
    <t>21.85</t>
  </si>
  <si>
    <t>610.40</t>
  </si>
  <si>
    <t>2726.65</t>
  </si>
  <si>
    <t>714.15</t>
  </si>
  <si>
    <t>775.40</t>
  </si>
  <si>
    <t>1324.55</t>
  </si>
  <si>
    <t>3502.05</t>
  </si>
  <si>
    <t>6393.08</t>
  </si>
  <si>
    <t>23237.86</t>
  </si>
  <si>
    <t>5068.53</t>
  </si>
  <si>
    <t>19735.81</t>
  </si>
  <si>
    <t>114189.63</t>
  </si>
  <si>
    <t>5250942.51</t>
  </si>
  <si>
    <t>210.72</t>
  </si>
  <si>
    <t>11615417.32</t>
  </si>
  <si>
    <t>1509143.96</t>
  </si>
  <si>
    <t>211.89</t>
  </si>
  <si>
    <t>13124561.27</t>
  </si>
  <si>
    <t>127149.92</t>
  </si>
  <si>
    <t>18728093.79</t>
  </si>
  <si>
    <t>127705.40</t>
  </si>
  <si>
    <t>19315403.51</t>
  </si>
  <si>
    <t>127493.51</t>
  </si>
  <si>
    <t>6190842.24</t>
  </si>
  <si>
    <t>99642.56</t>
  </si>
  <si>
    <t>1533536.44</t>
  </si>
  <si>
    <t>2.77</t>
  </si>
  <si>
    <t>43.05</t>
  </si>
  <si>
    <t>1791.92</t>
  </si>
  <si>
    <t>20129.45</t>
  </si>
  <si>
    <t>8.09</t>
  </si>
  <si>
    <t>382.78</t>
  </si>
  <si>
    <t>5685.10</t>
  </si>
  <si>
    <t>271611.68</t>
  </si>
  <si>
    <t>30.12</t>
  </si>
  <si>
    <t>1112.31</t>
  </si>
  <si>
    <t>5723.31</t>
  </si>
  <si>
    <t>273106.77</t>
  </si>
  <si>
    <t>13.96</t>
  </si>
  <si>
    <t>415.77</t>
  </si>
  <si>
    <t>4981.72</t>
  </si>
  <si>
    <t>201281.68</t>
  </si>
  <si>
    <t>6636448.04</t>
  </si>
  <si>
    <t>1075273.42</t>
  </si>
  <si>
    <t>0.44</t>
  </si>
  <si>
    <t>6265270.53</t>
  </si>
  <si>
    <t>1.46</t>
  </si>
  <si>
    <t>14374901.50</t>
  </si>
  <si>
    <t>7034357.55</t>
  </si>
  <si>
    <t>784735.00</t>
  </si>
  <si>
    <t>21796084.54</t>
  </si>
  <si>
    <t>1384.99</t>
  </si>
  <si>
    <t>95641.30</t>
  </si>
  <si>
    <t>1520.79</t>
  </si>
  <si>
    <t>52960.70</t>
  </si>
  <si>
    <t>2905.78</t>
  </si>
  <si>
    <t>148602.01</t>
  </si>
  <si>
    <t>580.22</t>
  </si>
  <si>
    <t>18075.06</t>
  </si>
  <si>
    <t>1495.72</t>
  </si>
  <si>
    <t>34604.61</t>
  </si>
  <si>
    <t>2075.94</t>
  </si>
  <si>
    <t>52679.67</t>
  </si>
  <si>
    <t>1522.83</t>
  </si>
  <si>
    <t>135193.15</t>
  </si>
  <si>
    <t>4891.65</t>
  </si>
  <si>
    <t>514279.53</t>
  </si>
  <si>
    <t>2757.30</t>
  </si>
  <si>
    <t>3804596.38</t>
  </si>
  <si>
    <t>1033.68</t>
  </si>
  <si>
    <t>4490488.17</t>
  </si>
  <si>
    <t>3790.98</t>
  </si>
  <si>
    <t>8295084.56</t>
  </si>
  <si>
    <t>1055.42</t>
  </si>
  <si>
    <t>27022.70</t>
  </si>
  <si>
    <t>94870.20</t>
  </si>
  <si>
    <t>1983340.39</t>
  </si>
  <si>
    <t>6553.02</t>
  </si>
  <si>
    <t>439916.21</t>
  </si>
  <si>
    <t>101423.21</t>
  </si>
  <si>
    <t>2423256.60</t>
  </si>
  <si>
    <t>1627.49</t>
  </si>
  <si>
    <t>128612.45</t>
  </si>
  <si>
    <t>1374.16</t>
  </si>
  <si>
    <t>134542.99</t>
  </si>
  <si>
    <t>5651.92</t>
  </si>
  <si>
    <t>3134601.65</t>
  </si>
  <si>
    <t>134.72</t>
  </si>
  <si>
    <t>234.39</t>
  </si>
  <si>
    <t>565.42</t>
  </si>
  <si>
    <t>593323.04</t>
  </si>
  <si>
    <t>12.17</t>
  </si>
  <si>
    <t>12.20</t>
  </si>
  <si>
    <t>570.08</t>
  </si>
  <si>
    <t>2812.29</t>
  </si>
  <si>
    <t>729.39</t>
  </si>
  <si>
    <t>854.94</t>
  </si>
  <si>
    <t>1299.47</t>
  </si>
  <si>
    <t>3667.23</t>
  </si>
  <si>
    <t>6366.80</t>
  </si>
  <si>
    <t>23669.25</t>
  </si>
  <si>
    <t>5067.34</t>
  </si>
  <si>
    <t>20002.02</t>
  </si>
  <si>
    <t>119823.49</t>
  </si>
  <si>
    <t>5374181.41</t>
  </si>
  <si>
    <t>216.88</t>
  </si>
  <si>
    <t>12202746.72</t>
  </si>
  <si>
    <t>1539260.50</t>
  </si>
  <si>
    <t>218.08</t>
  </si>
  <si>
    <t>13742007.22</t>
  </si>
  <si>
    <t>132912.92</t>
  </si>
  <si>
    <t>19476332.71</t>
  </si>
  <si>
    <t>133478.34</t>
  </si>
  <si>
    <t>20069655.74</t>
  </si>
  <si>
    <t>133260.26</t>
  </si>
  <si>
    <t>6327648.53</t>
  </si>
  <si>
    <t>105860.16</t>
  </si>
  <si>
    <t>1576536.54</t>
  </si>
  <si>
    <t>2.60</t>
  </si>
  <si>
    <t>40.59</t>
  </si>
  <si>
    <t>21.09</t>
  </si>
  <si>
    <t>1818.74</t>
  </si>
  <si>
    <t>17942.94</t>
  </si>
  <si>
    <t>7.85</t>
  </si>
  <si>
    <t>379.87</t>
  </si>
  <si>
    <t>5340.70</t>
  </si>
  <si>
    <t>259071.93</t>
  </si>
  <si>
    <t>28.67</t>
  </si>
  <si>
    <t>1061.94</t>
  </si>
  <si>
    <t>5377.22</t>
  </si>
  <si>
    <t>260513.73</t>
  </si>
  <si>
    <t>13.87</t>
  </si>
  <si>
    <t>441.11</t>
  </si>
  <si>
    <t>4578.47</t>
  </si>
  <si>
    <t>189185.99</t>
  </si>
  <si>
    <t>2.10</t>
  </si>
  <si>
    <t>6811643.49</t>
  </si>
  <si>
    <t>1211320.22</t>
  </si>
  <si>
    <t>5629136.38</t>
  </si>
  <si>
    <t>13723954.25</t>
  </si>
  <si>
    <t>6883497.65</t>
  </si>
  <si>
    <t>568441.00</t>
  </si>
  <si>
    <t>3.73</t>
  </si>
  <si>
    <t>21104038.74</t>
  </si>
  <si>
    <t>1318.47</t>
  </si>
  <si>
    <t>92879.19</t>
  </si>
  <si>
    <t>1420.96</t>
  </si>
  <si>
    <t>49440.36</t>
  </si>
  <si>
    <t>2739.43</t>
  </si>
  <si>
    <t>142319.55</t>
  </si>
  <si>
    <t>513.26</t>
  </si>
  <si>
    <t>16354.71</t>
  </si>
  <si>
    <t>1326.09</t>
  </si>
  <si>
    <t>30511.73</t>
  </si>
  <si>
    <t>1839.04</t>
  </si>
  <si>
    <t>46866.44</t>
  </si>
  <si>
    <t>1514.68</t>
  </si>
  <si>
    <t>138748.18</t>
  </si>
  <si>
    <t>4728.97</t>
  </si>
  <si>
    <t>507497.24</t>
  </si>
  <si>
    <t>2662.16</t>
  </si>
  <si>
    <t>4040899.63</t>
  </si>
  <si>
    <t>988.10</t>
  </si>
  <si>
    <t>4179061.44</t>
  </si>
  <si>
    <t>3650.26</t>
  </si>
  <si>
    <t>8219961.07</t>
  </si>
  <si>
    <t>991.43</t>
  </si>
  <si>
    <t>25476.97</t>
  </si>
  <si>
    <t>94608.31</t>
  </si>
  <si>
    <t>1988707.00</t>
  </si>
  <si>
    <t>6606.30</t>
  </si>
  <si>
    <t>446013.68</t>
  </si>
  <si>
    <t>101214.61</t>
  </si>
  <si>
    <t>2434720.68</t>
  </si>
  <si>
    <t>1512.78</t>
  </si>
  <si>
    <t>109471.78</t>
  </si>
  <si>
    <t>1371.81</t>
  </si>
  <si>
    <t>138081.02</t>
  </si>
  <si>
    <t>5598.05</t>
  </si>
  <si>
    <t>3126189.59</t>
  </si>
  <si>
    <t>226.04</t>
  </si>
  <si>
    <t>538.35</t>
  </si>
  <si>
    <t>575020.95</t>
  </si>
  <si>
    <t>9.19</t>
  </si>
  <si>
    <t>9.21</t>
  </si>
  <si>
    <t>508.67</t>
  </si>
  <si>
    <t>2881.93</t>
  </si>
  <si>
    <t>707.39</t>
  </si>
  <si>
    <t>841.78</t>
  </si>
  <si>
    <t>1216.07</t>
  </si>
  <si>
    <t>3723.71</t>
  </si>
  <si>
    <t>23667.78</t>
  </si>
  <si>
    <t>DERIVED_SUM_CORRECTION</t>
  </si>
  <si>
    <t>Imputed from Wallets (4927.1) + Cards (1216.07) = 6143.17 Lakh. Raw volume cell was '-'.</t>
  </si>
  <si>
    <t>4927.10</t>
  </si>
  <si>
    <t>19944.07</t>
  </si>
  <si>
    <t>119215.72</t>
  </si>
  <si>
    <t>5340255.82</t>
  </si>
  <si>
    <t>212.80</t>
  </si>
  <si>
    <t>12960209.56</t>
  </si>
  <si>
    <t>1584973.79</t>
  </si>
  <si>
    <t>213.94</t>
  </si>
  <si>
    <t>14545183.36</t>
  </si>
  <si>
    <t>131665.97</t>
  </si>
  <si>
    <t>20237041.12</t>
  </si>
  <si>
    <t>132204.32</t>
  </si>
  <si>
    <t>20812062.07</t>
  </si>
  <si>
    <t>131990.38</t>
  </si>
  <si>
    <t>6266878.72</t>
  </si>
  <si>
    <t>105556.87</t>
  </si>
  <si>
    <t>1579133.18</t>
  </si>
  <si>
    <t>20.08</t>
  </si>
  <si>
    <t>1745.79</t>
  </si>
  <si>
    <t>19666.04</t>
  </si>
  <si>
    <t>8.54</t>
  </si>
  <si>
    <t>412.64</t>
  </si>
  <si>
    <t>5683.38</t>
  </si>
  <si>
    <t>276289.33</t>
  </si>
  <si>
    <t>29.40</t>
  </si>
  <si>
    <t>1129.86</t>
  </si>
  <si>
    <t>5721.32</t>
  </si>
  <si>
    <t>277831.83</t>
  </si>
  <si>
    <t>15.14</t>
  </si>
  <si>
    <t>525.31</t>
  </si>
  <si>
    <t>5104.71</t>
  </si>
  <si>
    <t>230670.27</t>
  </si>
  <si>
    <t>7018310.07</t>
  </si>
  <si>
    <t>889348.55</t>
  </si>
  <si>
    <t>5760792.58</t>
  </si>
  <si>
    <t>13902084.98</t>
  </si>
  <si>
    <t>7251943.85</t>
  </si>
  <si>
    <t>501610.00</t>
  </si>
  <si>
    <t>21422005.05</t>
  </si>
  <si>
    <t>1603.73</t>
  </si>
  <si>
    <t>120794.77</t>
  </si>
  <si>
    <t>1596.74</t>
  </si>
  <si>
    <t>57774.35</t>
  </si>
  <si>
    <t>3200.48</t>
  </si>
  <si>
    <t>178569.13</t>
  </si>
  <si>
    <t>528.95</t>
  </si>
  <si>
    <t>18370.32</t>
  </si>
  <si>
    <t>1375.28</t>
  </si>
  <si>
    <t>33730.83</t>
  </si>
  <si>
    <t>1904.23</t>
  </si>
  <si>
    <t>52101.14</t>
  </si>
  <si>
    <t>139050.42</t>
  </si>
  <si>
    <t>4928.80</t>
  </si>
  <si>
    <t>538238.51</t>
  </si>
  <si>
    <t>2752.51</t>
  </si>
  <si>
    <t>4064190.01</t>
  </si>
  <si>
    <t>983.50</t>
  </si>
  <si>
    <t>4400612.28</t>
  </si>
  <si>
    <t>3736.00</t>
  </si>
  <si>
    <t>8464802.29</t>
  </si>
  <si>
    <t>986.49</t>
  </si>
  <si>
    <t>25378.31</t>
  </si>
  <si>
    <t>102456.37</t>
  </si>
  <si>
    <t>2144832.95</t>
  </si>
  <si>
    <t>6877.68</t>
  </si>
  <si>
    <t>474252.89</t>
  </si>
  <si>
    <t>109334.05</t>
  </si>
  <si>
    <t>2619085.83</t>
  </si>
  <si>
    <t>1278.99</t>
  </si>
  <si>
    <t>131545.92</t>
  </si>
  <si>
    <t>1348.29</t>
  </si>
  <si>
    <t>138287.31</t>
  </si>
  <si>
    <t>6314.53</t>
  </si>
  <si>
    <t>3262014.74</t>
  </si>
  <si>
    <t>136.23</t>
  </si>
  <si>
    <t>237.80</t>
  </si>
  <si>
    <t>559.90</t>
  </si>
  <si>
    <t>584454.15</t>
  </si>
  <si>
    <t>8.29</t>
  </si>
  <si>
    <t>622.87</t>
  </si>
  <si>
    <t>3490.04</t>
  </si>
  <si>
    <t>735.65</t>
  </si>
  <si>
    <t>872.37</t>
  </si>
  <si>
    <t>1358.52</t>
  </si>
  <si>
    <t>4362.41</t>
  </si>
  <si>
    <t>6687.84</t>
  </si>
  <si>
    <t>25011.83</t>
  </si>
  <si>
    <t>5329.32</t>
  </si>
  <si>
    <t>20649.42</t>
  </si>
  <si>
    <t>128356.32</t>
  </si>
  <si>
    <t>5667253.63</t>
  </si>
  <si>
    <t>223.48</t>
  </si>
  <si>
    <t>11899324.40</t>
  </si>
  <si>
    <t>1565076.06</t>
  </si>
  <si>
    <t>224.62</t>
  </si>
  <si>
    <t>13464400.46</t>
  </si>
  <si>
    <t>141873.15</t>
  </si>
  <si>
    <t>19526386.61</t>
  </si>
  <si>
    <t>142433.05</t>
  </si>
  <si>
    <t>20110840.76</t>
  </si>
  <si>
    <t>142208.43</t>
  </si>
  <si>
    <t>6646440.30</t>
  </si>
  <si>
    <t>114087.90</t>
  </si>
  <si>
    <t>1715768.34</t>
  </si>
  <si>
    <t>2.63</t>
  </si>
  <si>
    <t>37.67</t>
  </si>
  <si>
    <t>18.66</t>
  </si>
  <si>
    <t>3221.01</t>
  </si>
  <si>
    <t>47635.28</t>
  </si>
  <si>
    <t>7.89</t>
  </si>
  <si>
    <t>391.23</t>
  </si>
  <si>
    <t>5505.75</t>
  </si>
  <si>
    <t>275032.40</t>
  </si>
  <si>
    <t>28.99</t>
  </si>
  <si>
    <t>1106.74</t>
  </si>
  <si>
    <t>5542.64</t>
  </si>
  <si>
    <t>276530.37</t>
  </si>
  <si>
    <t>18.82</t>
  </si>
  <si>
    <t>589.67</t>
  </si>
  <si>
    <t>4742.56</t>
  </si>
  <si>
    <t>210038.12</t>
  </si>
  <si>
    <t>6922315.16</t>
  </si>
  <si>
    <t>939382.09</t>
  </si>
  <si>
    <t>5919153.66</t>
  </si>
  <si>
    <t>13568124.45</t>
  </si>
  <si>
    <t>6709588.70</t>
  </si>
  <si>
    <t>520644.91</t>
  </si>
  <si>
    <t>3.08</t>
  </si>
  <si>
    <t>21011084.52</t>
  </si>
  <si>
    <t>1387.24</t>
  </si>
  <si>
    <t>101629.03</t>
  </si>
  <si>
    <t>1583.66</t>
  </si>
  <si>
    <t>59014.93</t>
  </si>
  <si>
    <t>2970.90</t>
  </si>
  <si>
    <t>160643.97</t>
  </si>
  <si>
    <t>469.71</t>
  </si>
  <si>
    <t>15014.96</t>
  </si>
  <si>
    <t>1301.95</t>
  </si>
  <si>
    <t>34379.19</t>
  </si>
  <si>
    <t>1771.66</t>
  </si>
  <si>
    <t>49394.15</t>
  </si>
  <si>
    <t>1527.84</t>
  </si>
  <si>
    <t>142456.18</t>
  </si>
  <si>
    <t>4723.84</t>
  </si>
  <si>
    <t>535001.71</t>
  </si>
  <si>
    <t>2633.96</t>
  </si>
  <si>
    <t>3902503.78</t>
  </si>
  <si>
    <t>988.62</t>
  </si>
  <si>
    <t>4130936.39</t>
  </si>
  <si>
    <t>3622.58</t>
  </si>
  <si>
    <t>8033440.17</t>
  </si>
  <si>
    <t>1079.59</t>
  </si>
  <si>
    <t>28971.99</t>
  </si>
  <si>
    <t>101718.14</t>
  </si>
  <si>
    <t>2168457.54</t>
  </si>
  <si>
    <t>6927.98</t>
  </si>
  <si>
    <t>478325.84</t>
  </si>
  <si>
    <t>108646.12</t>
  </si>
  <si>
    <t>2646783.38</t>
  </si>
  <si>
    <t>1380.65</t>
  </si>
  <si>
    <t>142414.90</t>
  </si>
  <si>
    <t>1376.66</t>
  </si>
  <si>
    <t>141646.10</t>
  </si>
  <si>
    <t>6394.01</t>
  </si>
  <si>
    <t>3208491.45</t>
  </si>
  <si>
    <t>132.36</t>
  </si>
  <si>
    <t>220.41</t>
  </si>
  <si>
    <t>525.55</t>
  </si>
  <si>
    <t>558865.88</t>
  </si>
  <si>
    <t>7.29</t>
  </si>
  <si>
    <t>7.31</t>
  </si>
  <si>
    <t>539.32</t>
  </si>
  <si>
    <t>3503.62</t>
  </si>
  <si>
    <t>662.14</t>
  </si>
  <si>
    <t>890.69</t>
  </si>
  <si>
    <t>1201.46</t>
  </si>
  <si>
    <t>4394.32</t>
  </si>
  <si>
    <t>6510.09</t>
  </si>
  <si>
    <t>24247.54</t>
  </si>
  <si>
    <t>5308.63</t>
  </si>
  <si>
    <t>19853.22</t>
  </si>
  <si>
    <t>128072.73</t>
  </si>
  <si>
    <t>5673302.61</t>
  </si>
  <si>
    <t>218.05</t>
  </si>
  <si>
    <t>12078797.11</t>
  </si>
  <si>
    <t>1512645.43</t>
  </si>
  <si>
    <t>219.20</t>
  </si>
  <si>
    <t>13591442.53</t>
  </si>
  <si>
    <t>141072.41</t>
  </si>
  <si>
    <t>19641486.98</t>
  </si>
  <si>
    <t>141597.96</t>
  </si>
  <si>
    <t>20200352.86</t>
  </si>
  <si>
    <t>141378.76</t>
  </si>
  <si>
    <t>6608910.33</t>
  </si>
  <si>
    <t>112352.92</t>
  </si>
  <si>
    <t>1739740.61</t>
  </si>
  <si>
    <t>2.69</t>
  </si>
  <si>
    <t>37.41</t>
  </si>
  <si>
    <t>22.74</t>
  </si>
  <si>
    <t>1580.49</t>
  </si>
  <si>
    <t>27013.24</t>
  </si>
  <si>
    <t>8.19</t>
  </si>
  <si>
    <t>404.96</t>
  </si>
  <si>
    <t>5428.47</t>
  </si>
  <si>
    <t>267842.50</t>
  </si>
  <si>
    <t>26.94</t>
  </si>
  <si>
    <t>1041.03</t>
  </si>
  <si>
    <t>5463.60</t>
  </si>
  <si>
    <t>269288.49</t>
  </si>
  <si>
    <t>14.09</t>
  </si>
  <si>
    <t>477.57</t>
  </si>
  <si>
    <t>4983.15</t>
  </si>
  <si>
    <t>213053.75</t>
  </si>
  <si>
    <t>2.01</t>
  </si>
  <si>
    <t>7392675.11</t>
  </si>
  <si>
    <t>1009116.28</t>
  </si>
  <si>
    <t>5903343.06</t>
  </si>
  <si>
    <t>14220985.24</t>
  </si>
  <si>
    <t>7308525.90</t>
  </si>
  <si>
    <t>614983.92</t>
  </si>
  <si>
    <t>3.41</t>
  </si>
  <si>
    <t>22228644.27</t>
  </si>
  <si>
    <t>1508.29</t>
  </si>
  <si>
    <t>106819.06</t>
  </si>
  <si>
    <t>1706.70</t>
  </si>
  <si>
    <t>58300.18</t>
  </si>
  <si>
    <t>3215.00</t>
  </si>
  <si>
    <t>165119.24</t>
  </si>
  <si>
    <t>466.56</t>
  </si>
  <si>
    <t>15709.17</t>
  </si>
  <si>
    <t>1301.59</t>
  </si>
  <si>
    <t>32225.35</t>
  </si>
  <si>
    <t>1768.16</t>
  </si>
  <si>
    <t>47934.52</t>
  </si>
  <si>
    <t>1557.74</t>
  </si>
  <si>
    <t>152704.79</t>
  </si>
  <si>
    <t>4987.93</t>
  </si>
  <si>
    <t>570126.07</t>
  </si>
  <si>
    <t>2785.31</t>
  </si>
  <si>
    <t>4526050.53</t>
  </si>
  <si>
    <t>1050.96</t>
  </si>
  <si>
    <t>4862569.71</t>
  </si>
  <si>
    <t>3836.26</t>
  </si>
  <si>
    <t>9388620.23</t>
  </si>
  <si>
    <t>929.51</t>
  </si>
  <si>
    <t>24592.06</t>
  </si>
  <si>
    <t>108957.71</t>
  </si>
  <si>
    <t>2295798.41</t>
  </si>
  <si>
    <t>7372.04</t>
  </si>
  <si>
    <t>508669.04</t>
  </si>
  <si>
    <t>116329.75</t>
  </si>
  <si>
    <t>2804467.45</t>
  </si>
  <si>
    <t>1310.99</t>
  </si>
  <si>
    <t>128244.21</t>
  </si>
  <si>
    <t>1403.46</t>
  </si>
  <si>
    <t>151990.58</t>
  </si>
  <si>
    <t>6673.93</t>
  </si>
  <si>
    <t>3368835.71</t>
  </si>
  <si>
    <t>140.19</t>
  </si>
  <si>
    <t>236.64</t>
  </si>
  <si>
    <t>547.23</t>
  </si>
  <si>
    <t>592971.87</t>
  </si>
  <si>
    <t>6.40</t>
  </si>
  <si>
    <t>6.42</t>
  </si>
  <si>
    <t>564.98</t>
  </si>
  <si>
    <t>3525.91</t>
  </si>
  <si>
    <t>709.65</t>
  </si>
  <si>
    <t>915.33</t>
  </si>
  <si>
    <t>1274.63</t>
  </si>
  <si>
    <t>4441.25</t>
  </si>
  <si>
    <t>7235.20</t>
  </si>
  <si>
    <t>26172.86</t>
  </si>
  <si>
    <t>5960.57</t>
  </si>
  <si>
    <t>21731.62</t>
  </si>
  <si>
    <t>134755.92</t>
  </si>
  <si>
    <t>5917191.42</t>
  </si>
  <si>
    <t>229.23</t>
  </si>
  <si>
    <t>14244586.46</t>
  </si>
  <si>
    <t>1644191.53</t>
  </si>
  <si>
    <t>230.39</t>
  </si>
  <si>
    <t>15888777.99</t>
  </si>
  <si>
    <t>148762.40</t>
  </si>
  <si>
    <t>22197900.82</t>
  </si>
  <si>
    <t>149309.63</t>
  </si>
  <si>
    <t>22790872.69</t>
  </si>
  <si>
    <t>149079.24</t>
  </si>
  <si>
    <t>6902094.70</t>
  </si>
  <si>
    <t>120202.26</t>
  </si>
  <si>
    <t>1822949.45</t>
  </si>
  <si>
    <t>2.06</t>
  </si>
  <si>
    <t>25.78</t>
  </si>
  <si>
    <t>23.72</t>
  </si>
  <si>
    <t>2118.74</t>
  </si>
  <si>
    <t>42872.34</t>
  </si>
  <si>
    <t>403.68</t>
  </si>
  <si>
    <t>5272.19</t>
  </si>
  <si>
    <t>259326.33</t>
  </si>
  <si>
    <t>25.56</t>
  </si>
  <si>
    <t>1016.00</t>
  </si>
  <si>
    <t>5306.01</t>
  </si>
  <si>
    <t>260746.01</t>
  </si>
  <si>
    <t>618.63</t>
  </si>
  <si>
    <t>4934.19</t>
  </si>
  <si>
    <t>211930.51</t>
  </si>
  <si>
    <t>6439542.68</t>
  </si>
  <si>
    <t>1100546.94</t>
  </si>
  <si>
    <t>0.43</t>
  </si>
  <si>
    <t>6039056.07</t>
  </si>
  <si>
    <t>1.42</t>
  </si>
  <si>
    <t>14658626.61</t>
  </si>
  <si>
    <t>7519023.60</t>
  </si>
  <si>
    <t>607465.27</t>
  </si>
  <si>
    <t>3.74</t>
  </si>
  <si>
    <t>21705634.56</t>
  </si>
  <si>
    <t>1563.93</t>
  </si>
  <si>
    <t>107912.17</t>
  </si>
  <si>
    <t>1725.59</t>
  </si>
  <si>
    <t>58531.77</t>
  </si>
  <si>
    <t>3289.52</t>
  </si>
  <si>
    <t>166443.93</t>
  </si>
  <si>
    <t>451.50</t>
  </si>
  <si>
    <t>15103.17</t>
  </si>
  <si>
    <t>1193.18</t>
  </si>
  <si>
    <t>30383.41</t>
  </si>
  <si>
    <t>1644.68</t>
  </si>
  <si>
    <t>45486.57</t>
  </si>
  <si>
    <t>1571.50</t>
  </si>
  <si>
    <t>154404.69</t>
  </si>
  <si>
    <t>5087.92</t>
  </si>
  <si>
    <t>566309.72</t>
  </si>
  <si>
    <t>2809.67</t>
  </si>
  <si>
    <t>4356954.29</t>
  </si>
  <si>
    <t>1028.04</t>
  </si>
  <si>
    <t>4767035.84</t>
  </si>
  <si>
    <t>3837.71</t>
  </si>
  <si>
    <t>9123990.13</t>
  </si>
  <si>
    <t>839.66</t>
  </si>
  <si>
    <t>22350.88</t>
  </si>
  <si>
    <t>110200.56</t>
  </si>
  <si>
    <t>2290441.33</t>
  </si>
  <si>
    <t>7654.37</t>
  </si>
  <si>
    <t>524854.44</t>
  </si>
  <si>
    <t>117854.93</t>
  </si>
  <si>
    <t>2815295.77</t>
  </si>
  <si>
    <t>948.05</t>
  </si>
  <si>
    <t>127514.32</t>
  </si>
  <si>
    <t>1440.08</t>
  </si>
  <si>
    <t>153563.81</t>
  </si>
  <si>
    <t>6882.78</t>
  </si>
  <si>
    <t>3367322.17</t>
  </si>
  <si>
    <t>112.60</t>
  </si>
  <si>
    <t>222.25</t>
  </si>
  <si>
    <t>547.17</t>
  </si>
  <si>
    <t>583652.73</t>
  </si>
  <si>
    <t>6.22</t>
  </si>
  <si>
    <t>629.91</t>
  </si>
  <si>
    <t>3598.17</t>
  </si>
  <si>
    <t>690.67</t>
  </si>
  <si>
    <t>927.33</t>
  </si>
  <si>
    <t>1320.58</t>
  </si>
  <si>
    <t>4525.49</t>
  </si>
  <si>
    <t>7087.25</t>
  </si>
  <si>
    <t>25784.38</t>
  </si>
  <si>
    <t>5766.67</t>
  </si>
  <si>
    <t>21258.89</t>
  </si>
  <si>
    <t>137068.03</t>
  </si>
  <si>
    <t>5945126.24</t>
  </si>
  <si>
    <t>229.79</t>
  </si>
  <si>
    <t>13127719.60</t>
  </si>
  <si>
    <t>1563905.26</t>
  </si>
  <si>
    <t>230.99</t>
  </si>
  <si>
    <t>14691624.86</t>
  </si>
  <si>
    <t>150891.97</t>
  </si>
  <si>
    <t>21028870.68</t>
  </si>
  <si>
    <t>151439.14</t>
  </si>
  <si>
    <t>21612523.41</t>
  </si>
  <si>
    <t>151208.15</t>
  </si>
  <si>
    <t>6920898.55</t>
  </si>
  <si>
    <t>122030.18</t>
  </si>
  <si>
    <t>1841083.97</t>
  </si>
  <si>
    <t>21.40</t>
  </si>
  <si>
    <t>20.77</t>
  </si>
  <si>
    <t>2965.77</t>
  </si>
  <si>
    <t>48312.01</t>
  </si>
  <si>
    <t>7.91</t>
  </si>
  <si>
    <t>395.35</t>
  </si>
  <si>
    <t>5139.17</t>
  </si>
  <si>
    <t>255808.94</t>
  </si>
  <si>
    <t>25.26</t>
  </si>
  <si>
    <t>1034.20</t>
  </si>
  <si>
    <t>5172.34</t>
  </si>
  <si>
    <t>257238.48</t>
  </si>
  <si>
    <t>15.43</t>
  </si>
  <si>
    <t>376.18</t>
  </si>
  <si>
    <t>4634.92</t>
  </si>
  <si>
    <t>190658.44</t>
  </si>
  <si>
    <t>2.04</t>
  </si>
  <si>
    <t>6537553.53</t>
  </si>
  <si>
    <t>1273135.41</t>
  </si>
  <si>
    <t>0.39</t>
  </si>
  <si>
    <t>6575138.68</t>
  </si>
  <si>
    <t>14722762.19</t>
  </si>
  <si>
    <t>6874488.10</t>
  </si>
  <si>
    <t>647444.49</t>
  </si>
  <si>
    <t>3.60</t>
  </si>
  <si>
    <t>21907760.21</t>
  </si>
  <si>
    <t>1493.94</t>
  </si>
  <si>
    <t>94774.89</t>
  </si>
  <si>
    <t>1618.50</t>
  </si>
  <si>
    <t>54431.48</t>
  </si>
  <si>
    <t>3112.44</t>
  </si>
  <si>
    <t>149206.37</t>
  </si>
  <si>
    <t>413.51</t>
  </si>
  <si>
    <t>13533.99</t>
  </si>
  <si>
    <t>1108.96</t>
  </si>
  <si>
    <t>27918.08</t>
  </si>
  <si>
    <t>1522.47</t>
  </si>
  <si>
    <t>41452.07</t>
  </si>
  <si>
    <t>1611.25</t>
  </si>
  <si>
    <t>153734.13</t>
  </si>
  <si>
    <t>5346.35</t>
  </si>
  <si>
    <t>568091.81</t>
  </si>
  <si>
    <t>2792.31</t>
  </si>
  <si>
    <t>4327508.37</t>
  </si>
  <si>
    <t>1008.05</t>
  </si>
  <si>
    <t>4540082.56</t>
  </si>
  <si>
    <t>3800.36</t>
  </si>
  <si>
    <t>8867590.94</t>
  </si>
  <si>
    <t>812.15</t>
  </si>
  <si>
    <t>21543.26</t>
  </si>
  <si>
    <t>109500.07</t>
  </si>
  <si>
    <t>2297275.10</t>
  </si>
  <si>
    <t>7774.97</t>
  </si>
  <si>
    <t>530844.95</t>
  </si>
  <si>
    <t>117275.04</t>
  </si>
  <si>
    <t>2828120.05</t>
  </si>
  <si>
    <t>1504.81</t>
  </si>
  <si>
    <t>123886.89</t>
  </si>
  <si>
    <t>1464.78</t>
  </si>
  <si>
    <t>153173.45</t>
  </si>
  <si>
    <t>6889.23</t>
  </si>
  <si>
    <t>3471494.54</t>
  </si>
  <si>
    <t>131.04</t>
  </si>
  <si>
    <t>184.50</t>
  </si>
  <si>
    <t>541.88</t>
  </si>
  <si>
    <t>602629.64</t>
  </si>
  <si>
    <t>0.53</t>
  </si>
  <si>
    <t>5.07</t>
  </si>
  <si>
    <t>5.19</t>
  </si>
  <si>
    <t>556.58</t>
  </si>
  <si>
    <t>3320.63</t>
  </si>
  <si>
    <t>702.41</t>
  </si>
  <si>
    <t>918.99</t>
  </si>
  <si>
    <t>1259.00</t>
  </si>
  <si>
    <t>4239.62</t>
  </si>
  <si>
    <t>6470.84</t>
  </si>
  <si>
    <t>22673.75</t>
  </si>
  <si>
    <t>5211.85</t>
  </si>
  <si>
    <t>18434.14</t>
  </si>
  <si>
    <t>137733.21</t>
  </si>
  <si>
    <t>6039675.37</t>
  </si>
  <si>
    <t>237.09</t>
  </si>
  <si>
    <t>13083464.01</t>
  </si>
  <si>
    <t>1530832.77</t>
  </si>
  <si>
    <t>238.26</t>
  </si>
  <si>
    <t>14614296.78</t>
  </si>
  <si>
    <t>150688.49</t>
  </si>
  <si>
    <t>21021038.47</t>
  </si>
  <si>
    <t>151230.37</t>
  </si>
  <si>
    <t>21623668.11</t>
  </si>
  <si>
    <t>150992.11</t>
  </si>
  <si>
    <t>7009371.33</t>
  </si>
  <si>
    <t>121026.73</t>
  </si>
  <si>
    <t>1827869.35</t>
  </si>
  <si>
    <t>1.66</t>
  </si>
  <si>
    <t>19.02</t>
  </si>
  <si>
    <t>21.91</t>
  </si>
  <si>
    <t>3014.53</t>
  </si>
  <si>
    <t>44707.35</t>
  </si>
  <si>
    <t>8.83</t>
  </si>
  <si>
    <t>445.66</t>
  </si>
  <si>
    <t>5528.63</t>
  </si>
  <si>
    <t>276713.84</t>
  </si>
  <si>
    <t>26.50</t>
  </si>
  <si>
    <t>1111.03</t>
  </si>
  <si>
    <t>5563.96</t>
  </si>
  <si>
    <t>278270.52</t>
  </si>
  <si>
    <t>22.68</t>
  </si>
  <si>
    <t>583.98</t>
  </si>
  <si>
    <t>5034.13</t>
  </si>
  <si>
    <t>209208.02</t>
  </si>
  <si>
    <t>7795104.14</t>
  </si>
  <si>
    <t>981057.00</t>
  </si>
  <si>
    <t>6226720.20</t>
  </si>
  <si>
    <t>13374679.50</t>
  </si>
  <si>
    <t>6166902.30</t>
  </si>
  <si>
    <t>457972.70</t>
  </si>
  <si>
    <t>3.48</t>
  </si>
  <si>
    <t>21627756.33</t>
  </si>
  <si>
    <t>1639.34</t>
  </si>
  <si>
    <t>104080.92</t>
  </si>
  <si>
    <t>1800.04</t>
  </si>
  <si>
    <t>60378.16</t>
  </si>
  <si>
    <t>3439.38</t>
  </si>
  <si>
    <t>164459.08</t>
  </si>
  <si>
    <t>430.98</t>
  </si>
  <si>
    <t>15439.94</t>
  </si>
  <si>
    <t>1163.77</t>
  </si>
  <si>
    <t>29309.01</t>
  </si>
  <si>
    <t>1594.75</t>
  </si>
  <si>
    <t>44748.95</t>
  </si>
  <si>
    <t>1661.00</t>
  </si>
  <si>
    <t>165046.75</t>
  </si>
  <si>
    <t>5806.36</t>
  </si>
  <si>
    <t>634705.71</t>
  </si>
  <si>
    <t>3107.55</t>
  </si>
  <si>
    <t>5138209.90</t>
  </si>
  <si>
    <t>1142.99</t>
  </si>
  <si>
    <t>5235834.65</t>
  </si>
  <si>
    <t>4250.54</t>
  </si>
  <si>
    <t>10374044.55</t>
  </si>
  <si>
    <t>1059.56</t>
  </si>
  <si>
    <t>27303.46</t>
  </si>
  <si>
    <t>119854.54</t>
  </si>
  <si>
    <t>2529145.45</t>
  </si>
  <si>
    <t>8771.04</t>
  </si>
  <si>
    <t>602815.85</t>
  </si>
  <si>
    <t>128625.58</t>
  </si>
  <si>
    <t>3131961.30</t>
  </si>
  <si>
    <t>1808.71</t>
  </si>
  <si>
    <t>173928.30</t>
  </si>
  <si>
    <t>1492.00</t>
  </si>
  <si>
    <t>164223.10</t>
  </si>
  <si>
    <t>7939.10</t>
  </si>
  <si>
    <t>4320840.23</t>
  </si>
  <si>
    <t>146.32</t>
  </si>
  <si>
    <t>239.67</t>
  </si>
  <si>
    <t>585.31</t>
  </si>
  <si>
    <t>688745.35</t>
  </si>
  <si>
    <t>4.99</t>
  </si>
  <si>
    <t>615.95</t>
  </si>
  <si>
    <t>3494.55</t>
  </si>
  <si>
    <t>699.02</t>
  </si>
  <si>
    <t>964.31</t>
  </si>
  <si>
    <t>1314.97</t>
  </si>
  <si>
    <t>4458.86</t>
  </si>
  <si>
    <t>5804.85</t>
  </si>
  <si>
    <t>18200.33</t>
  </si>
  <si>
    <t>4489.88</t>
  </si>
  <si>
    <t>13741.47</t>
  </si>
  <si>
    <t>152969.08</t>
  </si>
  <si>
    <t>7152556.73</t>
  </si>
  <si>
    <t>277.25</t>
  </si>
  <si>
    <t>16588625.49</t>
  </si>
  <si>
    <t>1539740.61</t>
  </si>
  <si>
    <t>278.47</t>
  </si>
  <si>
    <t>18128366.10</t>
  </si>
  <si>
    <t>165747.54</t>
  </si>
  <si>
    <t>25673377.93</t>
  </si>
  <si>
    <t>166332.85</t>
  </si>
  <si>
    <t>26362123.28</t>
  </si>
  <si>
    <t>166054.37</t>
  </si>
  <si>
    <t>8233757.18</t>
  </si>
  <si>
    <t>134400.04</t>
  </si>
  <si>
    <t>1978353.23</t>
  </si>
  <si>
    <t>1.78</t>
  </si>
  <si>
    <t>20.32</t>
  </si>
  <si>
    <t>19.25</t>
  </si>
  <si>
    <t>2535.32</t>
  </si>
  <si>
    <t>36958.94</t>
  </si>
  <si>
    <t>9.07</t>
  </si>
  <si>
    <t>457.71</t>
  </si>
  <si>
    <t>5207.60</t>
  </si>
  <si>
    <t>264456.73</t>
  </si>
  <si>
    <t>23.73</t>
  </si>
  <si>
    <t>990.48</t>
  </si>
  <si>
    <t>5240.40</t>
  </si>
  <si>
    <t>265904.92</t>
  </si>
  <si>
    <t>20.50</t>
  </si>
  <si>
    <t>563.16</t>
  </si>
  <si>
    <t>4960.12</t>
  </si>
  <si>
    <t>200409.47</t>
  </si>
  <si>
    <t>7343661.62</t>
  </si>
  <si>
    <t>1023439.39</t>
  </si>
  <si>
    <t>6510576.65</t>
  </si>
  <si>
    <t>14132534.99</t>
  </si>
  <si>
    <t>6598518.95</t>
  </si>
  <si>
    <t>638921.60</t>
  </si>
  <si>
    <t>3.53</t>
  </si>
  <si>
    <t>22115118.20</t>
  </si>
  <si>
    <t>1598.15</t>
  </si>
  <si>
    <t>94516.37</t>
  </si>
  <si>
    <t>1843.36</t>
  </si>
  <si>
    <t>61982.01</t>
  </si>
  <si>
    <t>3441.51</t>
  </si>
  <si>
    <t>156498.38</t>
  </si>
  <si>
    <t>392.30</t>
  </si>
  <si>
    <t>13888.89</t>
  </si>
  <si>
    <t>1126.31</t>
  </si>
  <si>
    <t>30022.21</t>
  </si>
  <si>
    <t>1518.61</t>
  </si>
  <si>
    <t>43911.09</t>
  </si>
  <si>
    <t>1644.10</t>
  </si>
  <si>
    <t>159006.34</t>
  </si>
  <si>
    <t>5503.65</t>
  </si>
  <si>
    <t>592278.85</t>
  </si>
  <si>
    <t>2830.50</t>
  </si>
  <si>
    <t>4548331.75</t>
  </si>
  <si>
    <t>966.25</t>
  </si>
  <si>
    <t>5089148.67</t>
  </si>
  <si>
    <t>3796.75</t>
  </si>
  <si>
    <t>9637480.42</t>
  </si>
  <si>
    <t>919.05</t>
  </si>
  <si>
    <t>24502.25</t>
  </si>
  <si>
    <t>118928.53</t>
  </si>
  <si>
    <t>2410217.71</t>
  </si>
  <si>
    <t>8373.78</t>
  </si>
  <si>
    <t>552043.97</t>
  </si>
  <si>
    <t>127302.31</t>
  </si>
  <si>
    <t>2962261.68</t>
  </si>
  <si>
    <t>964.06</t>
  </si>
  <si>
    <t>121718.27</t>
  </si>
  <si>
    <t>1494.37</t>
  </si>
  <si>
    <t>158223.38</t>
  </si>
  <si>
    <t>7040.03</t>
  </si>
  <si>
    <t>3230549.49</t>
  </si>
  <si>
    <t>129.23</t>
  </si>
  <si>
    <t>219.80</t>
  </si>
  <si>
    <t>525.73</t>
  </si>
  <si>
    <t>667829.16</t>
  </si>
  <si>
    <t>0.15</t>
  </si>
  <si>
    <t>5.17</t>
  </si>
  <si>
    <t>600.37</t>
  </si>
  <si>
    <t>3495.17</t>
  </si>
  <si>
    <t>695.13</t>
  </si>
  <si>
    <t>961.71</t>
  </si>
  <si>
    <t>1295.49</t>
  </si>
  <si>
    <t>4456.88</t>
  </si>
  <si>
    <t>5288.79</t>
  </si>
  <si>
    <t>14963.51</t>
  </si>
  <si>
    <t>3993.29</t>
  </si>
  <si>
    <t>10506.63</t>
  </si>
  <si>
    <t>149083.29</t>
  </si>
  <si>
    <t>5945989.32</t>
  </si>
  <si>
    <t>234.46</t>
  </si>
  <si>
    <t>12800746.32</t>
  </si>
  <si>
    <t>1632549.89</t>
  </si>
  <si>
    <t>235.59</t>
  </si>
  <si>
    <t>14433296.21</t>
  </si>
  <si>
    <t>161211.88</t>
  </si>
  <si>
    <t>20753664.85</t>
  </si>
  <si>
    <t>161737.61</t>
  </si>
  <si>
    <t>21421494.01</t>
  </si>
  <si>
    <t>161502.02</t>
  </si>
  <si>
    <t>6988197.81</t>
  </si>
  <si>
    <t>133039.94</t>
  </si>
  <si>
    <t>1964464.52</t>
  </si>
  <si>
    <t>17.55</t>
  </si>
  <si>
    <t>17.52</t>
  </si>
  <si>
    <t>2295.50</t>
  </si>
  <si>
    <t>37498.66</t>
  </si>
  <si>
    <t>8.63</t>
  </si>
  <si>
    <t>440.83</t>
  </si>
  <si>
    <t>5133.52</t>
  </si>
  <si>
    <t>258784.98</t>
  </si>
  <si>
    <t>24.26</t>
  </si>
  <si>
    <t>1014.39</t>
  </si>
  <si>
    <t>5166.41</t>
  </si>
  <si>
    <t>260240.21</t>
  </si>
  <si>
    <t>19.33</t>
  </si>
  <si>
    <t>505.68</t>
  </si>
  <si>
    <t>5105.17</t>
  </si>
  <si>
    <t>208520.23</t>
  </si>
  <si>
    <t>6780828.97</t>
  </si>
  <si>
    <t>1363202.98</t>
  </si>
  <si>
    <t>6669492.64</t>
  </si>
  <si>
    <t>14632647.82</t>
  </si>
  <si>
    <t>6599952.20</t>
  </si>
  <si>
    <t>605436.09</t>
  </si>
  <si>
    <t>4.07</t>
  </si>
  <si>
    <t>22018912.88</t>
  </si>
  <si>
    <t>1694.78</t>
  </si>
  <si>
    <t>101124.10</t>
  </si>
  <si>
    <t>1906.58</t>
  </si>
  <si>
    <t>63831.17</t>
  </si>
  <si>
    <t>3601.36</t>
  </si>
  <si>
    <t>164955.26</t>
  </si>
  <si>
    <t>389.47</t>
  </si>
  <si>
    <t>13793.25</t>
  </si>
  <si>
    <t>1114.35</t>
  </si>
  <si>
    <t>29771.71</t>
  </si>
  <si>
    <t>1503.82</t>
  </si>
  <si>
    <t>43564.97</t>
  </si>
  <si>
    <t>1698.67</t>
  </si>
  <si>
    <t>167035.49</t>
  </si>
  <si>
    <t>5576.99</t>
  </si>
  <si>
    <t>606166.78</t>
  </si>
  <si>
    <t>2800.25</t>
  </si>
  <si>
    <t>4689082.30</t>
  </si>
  <si>
    <t>1012.11</t>
  </si>
  <si>
    <t>4905986.97</t>
  </si>
  <si>
    <t>3812.36</t>
  </si>
  <si>
    <t>9595069.27</t>
  </si>
  <si>
    <t>879.79</t>
  </si>
  <si>
    <t>22803.98</t>
  </si>
  <si>
    <t>124380.84</t>
  </si>
  <si>
    <t>2521832.40</t>
  </si>
  <si>
    <t>8851.50</t>
  </si>
  <si>
    <t>571075.31</t>
  </si>
  <si>
    <t>133232.33</t>
  </si>
  <si>
    <t>3092907.72</t>
  </si>
  <si>
    <t>1074.61</t>
  </si>
  <si>
    <t>132403.68</t>
  </si>
  <si>
    <t>1539.23</t>
  </si>
  <si>
    <t>166305.05</t>
  </si>
  <si>
    <t>7467.75</t>
  </si>
  <si>
    <t>3457994.85</t>
  </si>
  <si>
    <t>140.11</t>
  </si>
  <si>
    <t>224.76</t>
  </si>
  <si>
    <t>524.39</t>
  </si>
  <si>
    <t>611518.32</t>
  </si>
  <si>
    <t>3.02</t>
  </si>
  <si>
    <t>3.16</t>
  </si>
  <si>
    <t>601.57</t>
  </si>
  <si>
    <t>4103.86</t>
  </si>
  <si>
    <t>689.94</t>
  </si>
  <si>
    <t>1026.85</t>
  </si>
  <si>
    <t>1291.51</t>
  </si>
  <si>
    <t>5130.71</t>
  </si>
  <si>
    <t>5496.00</t>
  </si>
  <si>
    <t>16696.89</t>
  </si>
  <si>
    <t>4204.49</t>
  </si>
  <si>
    <t>11566.18</t>
  </si>
  <si>
    <t>156773.59</t>
  </si>
  <si>
    <t>6279018.54</t>
  </si>
  <si>
    <t>248.49</t>
  </si>
  <si>
    <t>13559606.44</t>
  </si>
  <si>
    <t>1627340.19</t>
  </si>
  <si>
    <t>249.71</t>
  </si>
  <si>
    <t>15186946.63</t>
  </si>
  <si>
    <t>169323.14</t>
  </si>
  <si>
    <t>21858217.78</t>
  </si>
  <si>
    <t>169847.53</t>
  </si>
  <si>
    <t>22469736.10</t>
  </si>
  <si>
    <t>169597.82</t>
  </si>
  <si>
    <t>7282789.47</t>
  </si>
  <si>
    <t>140358.43</t>
  </si>
  <si>
    <t>2044937.05</t>
  </si>
  <si>
    <t>16.61</t>
  </si>
  <si>
    <t>15.97</t>
  </si>
  <si>
    <t>2929.34</t>
  </si>
  <si>
    <t>43676.43</t>
  </si>
  <si>
    <t>425.59</t>
  </si>
  <si>
    <t>5045.81</t>
  </si>
  <si>
    <t>253843.90</t>
  </si>
  <si>
    <t>22.47</t>
  </si>
  <si>
    <t>959.23</t>
  </si>
  <si>
    <t>5076.57</t>
  </si>
  <si>
    <t>255228.72</t>
  </si>
  <si>
    <t>21.07</t>
  </si>
  <si>
    <t>580.56</t>
  </si>
  <si>
    <t>5003.43</t>
  </si>
  <si>
    <t>200080.96</t>
  </si>
  <si>
    <t>6953168.87</t>
  </si>
  <si>
    <t>1372786.05</t>
  </si>
  <si>
    <t>6414226.44</t>
  </si>
  <si>
    <t>15107943.09</t>
  </si>
  <si>
    <t>7320930.60</t>
  </si>
  <si>
    <t>518982.06</t>
  </si>
  <si>
    <t>22580094.02</t>
  </si>
  <si>
    <t>1684.10</t>
  </si>
  <si>
    <t>99404.91</t>
  </si>
  <si>
    <t>1895.40</t>
  </si>
  <si>
    <t>59417.19</t>
  </si>
  <si>
    <t>3579.49</t>
  </si>
  <si>
    <t>158822.10</t>
  </si>
  <si>
    <t>360.36</t>
  </si>
  <si>
    <t>13629.37</t>
  </si>
  <si>
    <t>1063.58</t>
  </si>
  <si>
    <t>27629.50</t>
  </si>
  <si>
    <t>1423.94</t>
  </si>
  <si>
    <t>41258.86</t>
  </si>
  <si>
    <t>1697.73</t>
  </si>
  <si>
    <t>171468.98</t>
  </si>
  <si>
    <t>5167.51</t>
  </si>
  <si>
    <t>577794.24</t>
  </si>
  <si>
    <t>2751.09</t>
  </si>
  <si>
    <t>4913144.37</t>
  </si>
  <si>
    <t>1029.33</t>
  </si>
  <si>
    <t>5573973.43</t>
  </si>
  <si>
    <t>3780.42</t>
  </si>
  <si>
    <t>10487117.81</t>
  </si>
  <si>
    <t>973.79</t>
  </si>
  <si>
    <t>24426.21</t>
  </si>
  <si>
    <t>124061.34</t>
  </si>
  <si>
    <t>2471927.07</t>
  </si>
  <si>
    <t>8784.73</t>
  </si>
  <si>
    <t>557265.51</t>
  </si>
  <si>
    <t>132846.07</t>
  </si>
  <si>
    <t>3029192.58</t>
  </si>
  <si>
    <t>1311.11</t>
  </si>
  <si>
    <t>113888.23</t>
  </si>
  <si>
    <t>1544.59</t>
  </si>
  <si>
    <t>170756.35</t>
  </si>
  <si>
    <t>7307.34</t>
  </si>
  <si>
    <t>3331461.27</t>
  </si>
  <si>
    <t>132.07</t>
  </si>
  <si>
    <t>484.42</t>
  </si>
  <si>
    <t>553833.64</t>
  </si>
  <si>
    <t>2.75</t>
  </si>
  <si>
    <t>2.87</t>
  </si>
  <si>
    <t>547.14</t>
  </si>
  <si>
    <t>3653.48</t>
  </si>
  <si>
    <t>650.89</t>
  </si>
  <si>
    <t>945.68</t>
  </si>
  <si>
    <t>1198.03</t>
  </si>
  <si>
    <t>4599.16</t>
  </si>
  <si>
    <t>5236.08</t>
  </si>
  <si>
    <t>15896.98</t>
  </si>
  <si>
    <t>4038.05</t>
  </si>
  <si>
    <t>11297.82</t>
  </si>
  <si>
    <t>155567.02</t>
  </si>
  <si>
    <t>6073917.34</t>
  </si>
  <si>
    <t>230.72</t>
  </si>
  <si>
    <t>14570686.30</t>
  </si>
  <si>
    <t>1467007.55</t>
  </si>
  <si>
    <t>231.84</t>
  </si>
  <si>
    <t>16037693.85</t>
  </si>
  <si>
    <t>167736.10</t>
  </si>
  <si>
    <t>22499058.11</t>
  </si>
  <si>
    <t>168220.52</t>
  </si>
  <si>
    <t>23052891.75</t>
  </si>
  <si>
    <t>167988.69</t>
  </si>
  <si>
    <t>7015197.91</t>
  </si>
  <si>
    <t>138851.42</t>
  </si>
  <si>
    <t>2007081.20</t>
  </si>
  <si>
    <t>1.41</t>
  </si>
  <si>
    <t>15.15</t>
  </si>
  <si>
    <t>13.09</t>
  </si>
  <si>
    <t>2481.39</t>
  </si>
  <si>
    <t>28604.65</t>
  </si>
  <si>
    <t>433.31</t>
  </si>
  <si>
    <t>5040.14</t>
  </si>
  <si>
    <t>248967.70</t>
  </si>
  <si>
    <t>20.70</t>
  </si>
  <si>
    <t>916.53</t>
  </si>
  <si>
    <t>5069.38</t>
  </si>
  <si>
    <t>250317.53</t>
  </si>
  <si>
    <t>575.03</t>
  </si>
  <si>
    <t>5294.35</t>
  </si>
  <si>
    <t>217434.87</t>
  </si>
  <si>
    <t>7417106.09</t>
  </si>
  <si>
    <t>1524120.41</t>
  </si>
  <si>
    <t>7150905.00</t>
  </si>
  <si>
    <t>17139102.31</t>
  </si>
  <si>
    <t>8464076.90</t>
  </si>
  <si>
    <t>724598.35</t>
  </si>
  <si>
    <t>4.54</t>
  </si>
  <si>
    <t>25280806.75</t>
  </si>
  <si>
    <t>1866.86</t>
  </si>
  <si>
    <t>110386.12</t>
  </si>
  <si>
    <t>1970.94</t>
  </si>
  <si>
    <t>62284.09</t>
  </si>
  <si>
    <t>3837.80</t>
  </si>
  <si>
    <t>172670.21</t>
  </si>
  <si>
    <t>387.98</t>
  </si>
  <si>
    <t>16164.91</t>
  </si>
  <si>
    <t>1068.58</t>
  </si>
  <si>
    <t>28599.76</t>
  </si>
  <si>
    <t>1456.56</t>
  </si>
  <si>
    <t>44764.67</t>
  </si>
  <si>
    <t>1734.76</t>
  </si>
  <si>
    <t>175789.01</t>
  </si>
  <si>
    <t>4902.84</t>
  </si>
  <si>
    <t>593176.58</t>
  </si>
  <si>
    <t>3078.34</t>
  </si>
  <si>
    <t>5137736.69</t>
  </si>
  <si>
    <t>1227.41</t>
  </si>
  <si>
    <t>5820941.80</t>
  </si>
  <si>
    <t>4305.75</t>
  </si>
  <si>
    <t>10958678.49</t>
  </si>
  <si>
    <t>944.29</t>
  </si>
  <si>
    <t>23497.57</t>
  </si>
  <si>
    <t>129626.24</t>
  </si>
  <si>
    <t>2556572.07</t>
  </si>
  <si>
    <t>8897.45</t>
  </si>
  <si>
    <t>584668.51</t>
  </si>
  <si>
    <t>138523.69</t>
  </si>
  <si>
    <t>3141240.58</t>
  </si>
  <si>
    <t>1479.29</t>
  </si>
  <si>
    <t>132397.36</t>
  </si>
  <si>
    <t>1588.11</t>
  </si>
  <si>
    <t>175013.96</t>
  </si>
  <si>
    <t>8006.14</t>
  </si>
  <si>
    <t>3662263.72</t>
  </si>
  <si>
    <t>127.40</t>
  </si>
  <si>
    <t>200.02</t>
  </si>
  <si>
    <t>531.00</t>
  </si>
  <si>
    <t>610685.45</t>
  </si>
  <si>
    <t>2.86</t>
  </si>
  <si>
    <t>633.05</t>
  </si>
  <si>
    <t>4001.45</t>
  </si>
  <si>
    <t>713.97</t>
  </si>
  <si>
    <t>939.97</t>
  </si>
  <si>
    <t>1347.01</t>
  </si>
  <si>
    <t>4941.43</t>
  </si>
  <si>
    <t>5356.71</t>
  </si>
  <si>
    <t>16327.15</t>
  </si>
  <si>
    <t>4009.69</t>
  </si>
  <si>
    <t>11385.73</t>
  </si>
  <si>
    <t>161225.51</t>
  </si>
  <si>
    <t>6480747.81</t>
  </si>
  <si>
    <t>245.48</t>
  </si>
  <si>
    <t>14531533.41</t>
  </si>
  <si>
    <t>1439147.00</t>
  </si>
  <si>
    <t>246.68</t>
  </si>
  <si>
    <t>15970680.41</t>
  </si>
  <si>
    <t>173858.01</t>
  </si>
  <si>
    <t>22860979.26</t>
  </si>
  <si>
    <t>174389.01</t>
  </si>
  <si>
    <t>23471664.71</t>
  </si>
  <si>
    <t>174142.33</t>
  </si>
  <si>
    <t>7500984.30</t>
  </si>
  <si>
    <t>144355.54</t>
  </si>
  <si>
    <t>2064292.41</t>
  </si>
  <si>
    <t>1.40</t>
  </si>
  <si>
    <t>14.93</t>
  </si>
  <si>
    <t>13.20</t>
  </si>
  <si>
    <t>2783.25</t>
  </si>
  <si>
    <t>35282.81</t>
  </si>
  <si>
    <t>8.46</t>
  </si>
  <si>
    <t>433.79</t>
  </si>
  <si>
    <t>5128.53</t>
  </si>
  <si>
    <t>253703.45</t>
  </si>
  <si>
    <t>20.20</t>
  </si>
  <si>
    <t>883.28</t>
  </si>
  <si>
    <t>5157.20</t>
  </si>
  <si>
    <t>255020.52</t>
  </si>
  <si>
    <t>19.06</t>
  </si>
  <si>
    <t>575.89</t>
  </si>
  <si>
    <t>5322.94</t>
  </si>
  <si>
    <t>211726.03</t>
  </si>
  <si>
    <t>6911071.86</t>
  </si>
  <si>
    <t>1468219.31</t>
  </si>
  <si>
    <t>6391038.50</t>
  </si>
  <si>
    <t>15544032.76</t>
  </si>
  <si>
    <t>7684774.95</t>
  </si>
  <si>
    <t>750873.15</t>
  </si>
  <si>
    <t>3.88</t>
  </si>
  <si>
    <t>23205977.77</t>
  </si>
  <si>
    <t>1876.54</t>
  </si>
  <si>
    <t>105136.14</t>
  </si>
  <si>
    <t>2023.95</t>
  </si>
  <si>
    <t>63048.06</t>
  </si>
  <si>
    <t>3900.49</t>
  </si>
  <si>
    <t>168184.19</t>
  </si>
  <si>
    <t>361.05</t>
  </si>
  <si>
    <t>14196.23</t>
  </si>
  <si>
    <t>1061.40</t>
  </si>
  <si>
    <t>29345.60</t>
  </si>
  <si>
    <t>1422.45</t>
  </si>
  <si>
    <t>43541.83</t>
  </si>
  <si>
    <t>1774.78</t>
  </si>
  <si>
    <t>177161.64</t>
  </si>
  <si>
    <t>4533.37</t>
  </si>
  <si>
    <t>577887.90</t>
  </si>
  <si>
    <t>2820.69</t>
  </si>
  <si>
    <t>4916461.32</t>
  </si>
  <si>
    <t>1159.37</t>
  </si>
  <si>
    <t>5630895.45</t>
  </si>
  <si>
    <t>3980.06</t>
  </si>
  <si>
    <t>10547356.77</t>
  </si>
  <si>
    <t>972.97</t>
  </si>
  <si>
    <t>23935.45</t>
  </si>
  <si>
    <t>133795.17</t>
  </si>
  <si>
    <t>2568257.56</t>
  </si>
  <si>
    <t>10667.99</t>
  </si>
  <si>
    <t>614654.34</t>
  </si>
  <si>
    <t>144463.15</t>
  </si>
  <si>
    <t>3182911.91</t>
  </si>
  <si>
    <t>1534.87</t>
  </si>
  <si>
    <t>144196.03</t>
  </si>
  <si>
    <t>1621.10</t>
  </si>
  <si>
    <t>176386.38</t>
  </si>
  <si>
    <t>7983.23</t>
  </si>
  <si>
    <t>3590587.89</t>
  </si>
  <si>
    <t>134.62</t>
  </si>
  <si>
    <t>199.37</t>
  </si>
  <si>
    <t>508.49</t>
  </si>
  <si>
    <t>568847.64</t>
  </si>
  <si>
    <t>2.82</t>
  </si>
  <si>
    <t>3.00</t>
  </si>
  <si>
    <t>663.82</t>
  </si>
  <si>
    <t>4047.81</t>
  </si>
  <si>
    <t>710.24</t>
  </si>
  <si>
    <t>908.20</t>
  </si>
  <si>
    <t>1374.07</t>
  </si>
  <si>
    <t>4956.01</t>
  </si>
  <si>
    <t>5466.90</t>
  </si>
  <si>
    <t>16555.09</t>
  </si>
  <si>
    <t>4092.83</t>
  </si>
  <si>
    <t>11599.07</t>
  </si>
  <si>
    <t>166465.50</t>
  </si>
  <si>
    <t>6408703.40</t>
  </si>
  <si>
    <t>236.33</t>
  </si>
  <si>
    <t>14385410.48</t>
  </si>
  <si>
    <t>1525025.32</t>
  </si>
  <si>
    <t>237.53</t>
  </si>
  <si>
    <t>15910435.79</t>
  </si>
  <si>
    <t>179267.64</t>
  </si>
  <si>
    <t>22724581.95</t>
  </si>
  <si>
    <t>179776.13</t>
  </si>
  <si>
    <t>23293429.59</t>
  </si>
  <si>
    <t>179538.61</t>
  </si>
  <si>
    <t>7382993.79</t>
  </si>
  <si>
    <t>149630.47</t>
  </si>
  <si>
    <t>2060735.57</t>
  </si>
  <si>
    <t>1.45</t>
  </si>
  <si>
    <t>15.19</t>
  </si>
  <si>
    <t>13.69</t>
  </si>
  <si>
    <t>2342.41</t>
  </si>
  <si>
    <t>35549.58</t>
  </si>
  <si>
    <t>8.02</t>
  </si>
  <si>
    <t>417.33</t>
  </si>
  <si>
    <t>4922.18</t>
  </si>
  <si>
    <t>243929.53</t>
  </si>
  <si>
    <t>19.62</t>
  </si>
  <si>
    <t>876.15</t>
  </si>
  <si>
    <t>4949.81</t>
  </si>
  <si>
    <t>245223.01</t>
  </si>
  <si>
    <t>18.81</t>
  </si>
  <si>
    <t>567.85</t>
  </si>
  <si>
    <t>5275.26</t>
  </si>
  <si>
    <t>216303.56</t>
  </si>
  <si>
    <t>8415272.56</t>
  </si>
  <si>
    <t>1468345.67</t>
  </si>
  <si>
    <t>6038101.64</t>
  </si>
  <si>
    <t>1.57</t>
  </si>
  <si>
    <t>14750412.11</t>
  </si>
  <si>
    <t>7243964.80</t>
  </si>
  <si>
    <t>674573.30</t>
  </si>
  <si>
    <t>4.08</t>
  </si>
  <si>
    <t>23840257.97</t>
  </si>
  <si>
    <t>1943.57</t>
  </si>
  <si>
    <t>115344.96</t>
  </si>
  <si>
    <t>1978.05</t>
  </si>
  <si>
    <t>60857.09</t>
  </si>
  <si>
    <t>3921.62</t>
  </si>
  <si>
    <t>176202.05</t>
  </si>
  <si>
    <t>358.59</t>
  </si>
  <si>
    <t>14324.60</t>
  </si>
  <si>
    <t>995.05</t>
  </si>
  <si>
    <t>25776.90</t>
  </si>
  <si>
    <t>1353.64</t>
  </si>
  <si>
    <t>40101.51</t>
  </si>
  <si>
    <t>1805.36</t>
  </si>
  <si>
    <t>180706.78</t>
  </si>
  <si>
    <t>4299.36</t>
  </si>
  <si>
    <t>565232.66</t>
  </si>
  <si>
    <t>2807.35</t>
  </si>
  <si>
    <t>5304822.87</t>
  </si>
  <si>
    <t>1103.93</t>
  </si>
  <si>
    <t>5946841.97</t>
  </si>
  <si>
    <t>3911.28</t>
  </si>
  <si>
    <t>11251664.84</t>
  </si>
  <si>
    <t>975.12</t>
  </si>
  <si>
    <t>23389.19</t>
  </si>
  <si>
    <t>133431.79</t>
  </si>
  <si>
    <t>2539739.43</t>
  </si>
  <si>
    <t>10596.33</t>
  </si>
  <si>
    <t>617324.65</t>
  </si>
  <si>
    <t>144028.12</t>
  </si>
  <si>
    <t>3157064.07</t>
  </si>
  <si>
    <t>1657.93</t>
  </si>
  <si>
    <t>122078.92</t>
  </si>
  <si>
    <t>1651.69</t>
  </si>
  <si>
    <t>179945.47</t>
  </si>
  <si>
    <t>7908.83</t>
  </si>
  <si>
    <t>3597884.88</t>
  </si>
  <si>
    <t>134.86</t>
  </si>
  <si>
    <t>193.46</t>
  </si>
  <si>
    <t>484.94</t>
  </si>
  <si>
    <t>543387.00</t>
  </si>
  <si>
    <t>2.55</t>
  </si>
  <si>
    <t>2.66</t>
  </si>
  <si>
    <t>700.09</t>
  </si>
  <si>
    <t>4742.69</t>
  </si>
  <si>
    <t>721.65</t>
  </si>
  <si>
    <t>857.57</t>
  </si>
  <si>
    <t>1421.74</t>
  </si>
  <si>
    <t>5600.26</t>
  </si>
  <si>
    <t>5476.69</t>
  </si>
  <si>
    <t>17489.47</t>
  </si>
  <si>
    <t>4054.95</t>
  </si>
  <si>
    <t>11889.21</t>
  </si>
  <si>
    <t>166626.30</t>
  </si>
  <si>
    <t>6384754.44</t>
  </si>
  <si>
    <t>232.21</t>
  </si>
  <si>
    <t>16027654.83</t>
  </si>
  <si>
    <t>1758827.84</t>
  </si>
  <si>
    <t>233.33</t>
  </si>
  <si>
    <t>17786482.67</t>
  </si>
  <si>
    <t>179416.96</t>
  </si>
  <si>
    <t>24585736.93</t>
  </si>
  <si>
    <t>179901.90</t>
  </si>
  <si>
    <t>25129123.93</t>
  </si>
  <si>
    <t>179668.57</t>
  </si>
  <si>
    <t>7342641.26</t>
  </si>
  <si>
    <t>150417.47</t>
  </si>
  <si>
    <t>2063994.71</t>
  </si>
  <si>
    <t>1.31</t>
  </si>
  <si>
    <t>13.68</t>
  </si>
  <si>
    <t>16.67</t>
  </si>
  <si>
    <t>4021.91</t>
  </si>
  <si>
    <t>69156.50</t>
  </si>
  <si>
    <t>8.32</t>
  </si>
  <si>
    <t>444.26</t>
  </si>
  <si>
    <t>5515.23</t>
  </si>
  <si>
    <t>284076.15</t>
  </si>
  <si>
    <t>985.43</t>
  </si>
  <si>
    <t>5545.04</t>
  </si>
  <si>
    <t>285505.84</t>
  </si>
  <si>
    <t>24.54</t>
  </si>
  <si>
    <t>772.67</t>
  </si>
  <si>
    <t>5759.31</t>
  </si>
  <si>
    <t>248618.66</t>
  </si>
  <si>
    <t>8046344.82</t>
  </si>
  <si>
    <t>1626397.36</t>
  </si>
  <si>
    <t>6573747.91</t>
  </si>
  <si>
    <t>1.69</t>
  </si>
  <si>
    <t>16664119.97</t>
  </si>
  <si>
    <t>8463974.70</t>
  </si>
  <si>
    <t>1020398.98</t>
  </si>
  <si>
    <t>3.59</t>
  </si>
  <si>
    <t>25730863.76</t>
  </si>
  <si>
    <t>2135.41</t>
  </si>
  <si>
    <t>122496.10</t>
  </si>
  <si>
    <t>2196.73</t>
  </si>
  <si>
    <t>79292.81</t>
  </si>
  <si>
    <t>4332.14</t>
  </si>
  <si>
    <t>201788.91</t>
  </si>
  <si>
    <t>367.00</t>
  </si>
  <si>
    <t>14738.36</t>
  </si>
  <si>
    <t>1060.17</t>
  </si>
  <si>
    <t>32091.40</t>
  </si>
  <si>
    <t>1427.17</t>
  </si>
  <si>
    <t>46829.75</t>
  </si>
  <si>
    <t>1871.73</t>
  </si>
  <si>
    <t>189818.16</t>
  </si>
  <si>
    <t>4668.23</t>
  </si>
  <si>
    <t>629381.52</t>
  </si>
  <si>
    <t>3107.71</t>
  </si>
  <si>
    <t>5479282.46</t>
  </si>
  <si>
    <t>1152.19</t>
  </si>
  <si>
    <t>5801815.37</t>
  </si>
  <si>
    <t>4259.90</t>
  </si>
  <si>
    <t>11281097.83</t>
  </si>
  <si>
    <t>1227.30</t>
  </si>
  <si>
    <t>31480.24</t>
  </si>
  <si>
    <t>145750.22</t>
  </si>
  <si>
    <t>2874910.03</t>
  </si>
  <si>
    <t>9126.58</t>
  </si>
  <si>
    <t>657333.42</t>
  </si>
  <si>
    <t>154876.80</t>
  </si>
  <si>
    <t>3532243.45</t>
  </si>
  <si>
    <t>1463.68</t>
  </si>
  <si>
    <t>157479.46</t>
  </si>
  <si>
    <t>1710.21</t>
  </si>
  <si>
    <t>188843.53</t>
  </si>
  <si>
    <t>9183.38</t>
  </si>
  <si>
    <t>4152427.74</t>
  </si>
  <si>
    <t>136.98</t>
  </si>
  <si>
    <t>201.96</t>
  </si>
  <si>
    <t>546.98</t>
  </si>
  <si>
    <t>624056.98</t>
  </si>
  <si>
    <t>833.81</t>
  </si>
  <si>
    <t>6364.63</t>
  </si>
  <si>
    <t>718.88</t>
  </si>
  <si>
    <t>980.63</t>
  </si>
  <si>
    <t>1552.68</t>
  </si>
  <si>
    <t>7345.26</t>
  </si>
  <si>
    <t>5977.88</t>
  </si>
  <si>
    <t>20418.99</t>
  </si>
  <si>
    <t>4425.20</t>
  </si>
  <si>
    <t>13073.72</t>
  </si>
  <si>
    <t>185187.17</t>
  </si>
  <si>
    <t>7358283.35</t>
  </si>
  <si>
    <t>266.69</t>
  </si>
  <si>
    <t>15418777.86</t>
  </si>
  <si>
    <t>1652197.13</t>
  </si>
  <si>
    <t>267.92</t>
  </si>
  <si>
    <t>17070975.00</t>
  </si>
  <si>
    <t>199064.01</t>
  </si>
  <si>
    <t>24888114.15</t>
  </si>
  <si>
    <t>199610.99</t>
  </si>
  <si>
    <t>25512171.13</t>
  </si>
  <si>
    <t>199343.07</t>
  </si>
  <si>
    <t>8441196.13</t>
  </si>
  <si>
    <t>165849.66</t>
  </si>
  <si>
    <t>2349821.46</t>
  </si>
  <si>
    <t>17.50</t>
  </si>
  <si>
    <t>14.36</t>
  </si>
  <si>
    <t>2250.97</t>
  </si>
  <si>
    <t>32384.39</t>
  </si>
  <si>
    <t>7.75</t>
  </si>
  <si>
    <t>409.51</t>
  </si>
  <si>
    <t>4734.61</t>
  </si>
  <si>
    <t>240470.59</t>
  </si>
  <si>
    <t>18.35</t>
  </si>
  <si>
    <t>837.09</t>
  </si>
  <si>
    <t>4760.71</t>
  </si>
  <si>
    <t>241717.19</t>
  </si>
  <si>
    <t>19.29</t>
  </si>
  <si>
    <t>628.57</t>
  </si>
  <si>
    <t>5167.93</t>
  </si>
  <si>
    <t>208308.17</t>
  </si>
  <si>
    <t>5972544.14</t>
  </si>
  <si>
    <t>847484.69</t>
  </si>
  <si>
    <t>5366007.15</t>
  </si>
  <si>
    <t>13954925.39</t>
  </si>
  <si>
    <t>7741433.55</t>
  </si>
  <si>
    <t>665028.94</t>
  </si>
  <si>
    <t>2.61</t>
  </si>
  <si>
    <t>20592498.47</t>
  </si>
  <si>
    <t>1900.02</t>
  </si>
  <si>
    <t>101064.73</t>
  </si>
  <si>
    <t>2036.02</t>
  </si>
  <si>
    <t>68233.43</t>
  </si>
  <si>
    <t>3936.04</t>
  </si>
  <si>
    <t>169298.16</t>
  </si>
  <si>
    <t>315.65</t>
  </si>
  <si>
    <t>12333.33</t>
  </si>
  <si>
    <t>916.24</t>
  </si>
  <si>
    <t>26676.68</t>
  </si>
  <si>
    <t>1231.89</t>
  </si>
  <si>
    <t>39010.01</t>
  </si>
  <si>
    <t>1894.74</t>
  </si>
  <si>
    <t>185643.33</t>
  </si>
  <si>
    <t>4079.18</t>
  </si>
  <si>
    <t>558327.60</t>
  </si>
  <si>
    <t>2634.64</t>
  </si>
  <si>
    <t>4827279.25</t>
  </si>
  <si>
    <t>1025.12</t>
  </si>
  <si>
    <t>5097948.28</t>
  </si>
  <si>
    <t>3659.77</t>
  </si>
  <si>
    <t>9925227.54</t>
  </si>
  <si>
    <t>898.33</t>
  </si>
  <si>
    <t>22981.31</t>
  </si>
  <si>
    <t>136422.12</t>
  </si>
  <si>
    <t>2616977.60</t>
  </si>
  <si>
    <t>8518.57</t>
  </si>
  <si>
    <t>598558.86</t>
  </si>
  <si>
    <t>144940.69</t>
  </si>
  <si>
    <t>3215536.47</t>
  </si>
  <si>
    <t>1438.33</t>
  </si>
  <si>
    <t>147384.99</t>
  </si>
  <si>
    <t>1732.94</t>
  </si>
  <si>
    <t>184814.37</t>
  </si>
  <si>
    <t>7769.51</t>
  </si>
  <si>
    <t>3380883.69</t>
  </si>
  <si>
    <t>142.51</t>
  </si>
  <si>
    <t>200.39</t>
  </si>
  <si>
    <t>472.48</t>
  </si>
  <si>
    <t>537848.91</t>
  </si>
  <si>
    <t>2.93</t>
  </si>
  <si>
    <t>3.10</t>
  </si>
  <si>
    <t>722.45</t>
  </si>
  <si>
    <t>5167.96</t>
  </si>
  <si>
    <t>663.27</t>
  </si>
  <si>
    <t>915.36</t>
  </si>
  <si>
    <t>1385.72</t>
  </si>
  <si>
    <t>6083.32</t>
  </si>
  <si>
    <t>5847.81</t>
  </si>
  <si>
    <t>19213.52</t>
  </si>
  <si>
    <t>4462.09</t>
  </si>
  <si>
    <t>13130.21</t>
  </si>
  <si>
    <t>170358.50</t>
  </si>
  <si>
    <t>6274182.44</t>
  </si>
  <si>
    <t>239.16</t>
  </si>
  <si>
    <t>13504832.52</t>
  </si>
  <si>
    <t>1322049.68</t>
  </si>
  <si>
    <t>240.29</t>
  </si>
  <si>
    <t>14826882.21</t>
  </si>
  <si>
    <t>183509.26</t>
  </si>
  <si>
    <t>21514229.68</t>
  </si>
  <si>
    <t>183981.74</t>
  </si>
  <si>
    <t>22052078.59</t>
  </si>
  <si>
    <t>183741.46</t>
  </si>
  <si>
    <t>7225196.38</t>
  </si>
  <si>
    <t>154820.21</t>
  </si>
  <si>
    <t>2155187.41</t>
  </si>
  <si>
    <t>1.56</t>
  </si>
  <si>
    <t>16.62</t>
  </si>
  <si>
    <t>2451.41</t>
  </si>
  <si>
    <t>58704.71</t>
  </si>
  <si>
    <t>8.12</t>
  </si>
  <si>
    <t>429.24</t>
  </si>
  <si>
    <t>4923.54</t>
  </si>
  <si>
    <t>251160.64</t>
  </si>
  <si>
    <t>19.11</t>
  </si>
  <si>
    <t>881.06</t>
  </si>
  <si>
    <t>4950.77</t>
  </si>
  <si>
    <t>252470.95</t>
  </si>
  <si>
    <t>17.18</t>
  </si>
  <si>
    <t>547.09</t>
  </si>
  <si>
    <t>5608.59</t>
  </si>
  <si>
    <t>228548.27</t>
  </si>
  <si>
    <t>9919285.30</t>
  </si>
  <si>
    <t>1348781.69</t>
  </si>
  <si>
    <t>6377679.12</t>
  </si>
  <si>
    <t>16506679.86</t>
  </si>
  <si>
    <t>8780219.05</t>
  </si>
  <si>
    <t>1022854.56</t>
  </si>
  <si>
    <t>27448819.72</t>
  </si>
  <si>
    <t>2088.46</t>
  </si>
  <si>
    <t>114901.04</t>
  </si>
  <si>
    <t>2240.03</t>
  </si>
  <si>
    <t>73048.38</t>
  </si>
  <si>
    <t>4328.50</t>
  </si>
  <si>
    <t>187949.42</t>
  </si>
  <si>
    <t>315.60</t>
  </si>
  <si>
    <t>12989.88</t>
  </si>
  <si>
    <t>964.50</t>
  </si>
  <si>
    <t>27608.97</t>
  </si>
  <si>
    <t>1280.10</t>
  </si>
  <si>
    <t>40598.85</t>
  </si>
  <si>
    <t>1905.47</t>
  </si>
  <si>
    <t>198303.00</t>
  </si>
  <si>
    <t>4411.64</t>
  </si>
  <si>
    <t>601549.15</t>
  </si>
  <si>
    <t>2917.71</t>
  </si>
  <si>
    <t>5788338.68</t>
  </si>
  <si>
    <t>1155.00</t>
  </si>
  <si>
    <t>6414756.22</t>
  </si>
  <si>
    <t>4072.71</t>
  </si>
  <si>
    <t>12203094.90</t>
  </si>
  <si>
    <t>910.87</t>
  </si>
  <si>
    <t>23194.53</t>
  </si>
  <si>
    <t>147580.14</t>
  </si>
  <si>
    <t>2837461.21</t>
  </si>
  <si>
    <t>9183.14</t>
  </si>
  <si>
    <t>618346.97</t>
  </si>
  <si>
    <t>156763.28</t>
  </si>
  <si>
    <t>3455808.18</t>
  </si>
  <si>
    <t>1315.94</t>
  </si>
  <si>
    <t>135695.46</t>
  </si>
  <si>
    <t>1738.32</t>
  </si>
  <si>
    <t>197549.01</t>
  </si>
  <si>
    <t>8307.02</t>
  </si>
  <si>
    <t>3814965.98</t>
  </si>
  <si>
    <t>149.97</t>
  </si>
  <si>
    <t>206.90</t>
  </si>
  <si>
    <t>506.56</t>
  </si>
  <si>
    <t>587878.97</t>
  </si>
  <si>
    <t>862.31</t>
  </si>
  <si>
    <t>3564.99</t>
  </si>
  <si>
    <t>684.93</t>
  </si>
  <si>
    <t>990.54</t>
  </si>
  <si>
    <t>1547.24</t>
  </si>
  <si>
    <t>4555.53</t>
  </si>
  <si>
    <t>6377.99</t>
  </si>
  <si>
    <t>18992.22</t>
  </si>
  <si>
    <t>4830.75</t>
  </si>
  <si>
    <t>14436.69</t>
  </si>
  <si>
    <t>183786.41</t>
  </si>
  <si>
    <t>6935631.86</t>
  </si>
  <si>
    <t>261.11</t>
  </si>
  <si>
    <t>17161423.37</t>
  </si>
  <si>
    <t>2002163.43</t>
  </si>
  <si>
    <t>262.29</t>
  </si>
  <si>
    <t>19163586.80</t>
  </si>
  <si>
    <t>197940.75</t>
  </si>
  <si>
    <t>26545062.15</t>
  </si>
  <si>
    <t>198447.31</t>
  </si>
  <si>
    <t>27132941.12</t>
  </si>
  <si>
    <t>198185.02</t>
  </si>
  <si>
    <t>7969354.32</t>
  </si>
  <si>
    <t>167300.09</t>
  </si>
  <si>
    <t>2324699.94</t>
  </si>
  <si>
    <t>16.10</t>
  </si>
  <si>
    <t>17.62</t>
  </si>
  <si>
    <t>2263.21</t>
  </si>
  <si>
    <t>52279.51</t>
  </si>
  <si>
    <t>7.79</t>
  </si>
  <si>
    <t>412.39</t>
  </si>
  <si>
    <t>4883.53</t>
  </si>
  <si>
    <t>250646.06</t>
  </si>
  <si>
    <t>18.75</t>
  </si>
  <si>
    <t>879.40</t>
  </si>
  <si>
    <t>4910.07</t>
  </si>
  <si>
    <t>251937.85</t>
  </si>
  <si>
    <t>15.79</t>
  </si>
  <si>
    <t>485.58</t>
  </si>
  <si>
    <t>5522.42</t>
  </si>
  <si>
    <t>223089.53</t>
  </si>
  <si>
    <t>2.94</t>
  </si>
  <si>
    <t>11164124.61</t>
  </si>
  <si>
    <t>1627265.09</t>
  </si>
  <si>
    <t>7288494.35</t>
  </si>
  <si>
    <t>17807347.24</t>
  </si>
  <si>
    <t>8891587.80</t>
  </si>
  <si>
    <t>1325317.78</t>
  </si>
  <si>
    <t>4.88</t>
  </si>
  <si>
    <t>30296789.63</t>
  </si>
  <si>
    <t>2128.29</t>
  </si>
  <si>
    <t>114696.76</t>
  </si>
  <si>
    <t>2177.43</t>
  </si>
  <si>
    <t>69429.40</t>
  </si>
  <si>
    <t>4305.72</t>
  </si>
  <si>
    <t>184126.17</t>
  </si>
  <si>
    <t>305.78</t>
  </si>
  <si>
    <t>12964.57</t>
  </si>
  <si>
    <t>910.91</t>
  </si>
  <si>
    <t>25998.80</t>
  </si>
  <si>
    <t>1216.69</t>
  </si>
  <si>
    <t>38963.36</t>
  </si>
  <si>
    <t>1878.45</t>
  </si>
  <si>
    <t>199535.06</t>
  </si>
  <si>
    <t>4442.23</t>
  </si>
  <si>
    <t>606420.17</t>
  </si>
  <si>
    <t>2954.18</t>
  </si>
  <si>
    <t>5508916.84</t>
  </si>
  <si>
    <t>1212.87</t>
  </si>
  <si>
    <t>6130803.92</t>
  </si>
  <si>
    <t>4167.05</t>
  </si>
  <si>
    <t>11639720.76</t>
  </si>
  <si>
    <t>915.09</t>
  </si>
  <si>
    <t>23246.11</t>
  </si>
  <si>
    <t>149560.06</t>
  </si>
  <si>
    <t>2844324.61</t>
  </si>
  <si>
    <t>9234.72</t>
  </si>
  <si>
    <t>607540.80</t>
  </si>
  <si>
    <t>158794.78</t>
  </si>
  <si>
    <t>3451865.41</t>
  </si>
  <si>
    <t>1304.72</t>
  </si>
  <si>
    <t>145699.25</t>
  </si>
  <si>
    <t>1715.83</t>
  </si>
  <si>
    <t>198856.84</t>
  </si>
  <si>
    <t>8567.93</t>
  </si>
  <si>
    <t>3848032.95</t>
  </si>
  <si>
    <t>146.83</t>
  </si>
  <si>
    <t>192.64</t>
  </si>
  <si>
    <t>516.61</t>
  </si>
  <si>
    <t>606755.71</t>
  </si>
  <si>
    <t>3.12</t>
  </si>
  <si>
    <t>970.79</t>
  </si>
  <si>
    <t>3796.33</t>
  </si>
  <si>
    <t>701.18</t>
  </si>
  <si>
    <t>999.70</t>
  </si>
  <si>
    <t>1671.97</t>
  </si>
  <si>
    <t>4796.03</t>
  </si>
  <si>
    <t>6547.10</t>
  </si>
  <si>
    <t>19496.30</t>
  </si>
  <si>
    <t>4875.14</t>
  </si>
  <si>
    <t>14700.26</t>
  </si>
  <si>
    <t>186538.41</t>
  </si>
  <si>
    <t>7000486.61</t>
  </si>
  <si>
    <t>266.89</t>
  </si>
  <si>
    <t>15571747.79</t>
  </si>
  <si>
    <t>1927614.91</t>
  </si>
  <si>
    <t>268.15</t>
  </si>
  <si>
    <t>17499362.70</t>
  </si>
  <si>
    <t>200754.53</t>
  </si>
  <si>
    <t>24941970.20</t>
  </si>
  <si>
    <t>201271.14</t>
  </si>
  <si>
    <t>25548725.91</t>
  </si>
  <si>
    <t>201003.00</t>
  </si>
  <si>
    <t>8049363.21</t>
  </si>
  <si>
    <t>169960.01</t>
  </si>
  <si>
    <t>2348037.11</t>
  </si>
  <si>
    <t>1.38</t>
  </si>
  <si>
    <t>15.65</t>
  </si>
  <si>
    <t>3103.12</t>
  </si>
  <si>
    <t>57096.94</t>
  </si>
  <si>
    <t>6.84</t>
  </si>
  <si>
    <t>369.76</t>
  </si>
  <si>
    <t>4473.77</t>
  </si>
  <si>
    <t>234407.96</t>
  </si>
  <si>
    <t>17.36</t>
  </si>
  <si>
    <t>840.29</t>
  </si>
  <si>
    <t>4497.97</t>
  </si>
  <si>
    <t>235618.02</t>
  </si>
  <si>
    <t>15.67</t>
  </si>
  <si>
    <t>494.42</t>
  </si>
  <si>
    <t>5052.09</t>
  </si>
  <si>
    <t>201522.01</t>
  </si>
  <si>
    <t>9957432.40</t>
  </si>
  <si>
    <t>1088597.63</t>
  </si>
  <si>
    <t>5916603.13</t>
  </si>
  <si>
    <t>14137926.11</t>
  </si>
  <si>
    <t>7132725.35</t>
  </si>
  <si>
    <t>1076374.41</t>
  </si>
  <si>
    <t>3.72</t>
  </si>
  <si>
    <t>25171732.92</t>
  </si>
  <si>
    <t>1969.63</t>
  </si>
  <si>
    <t>105083.05</t>
  </si>
  <si>
    <t>1999.96</t>
  </si>
  <si>
    <t>62124.91</t>
  </si>
  <si>
    <t>3969.59</t>
  </si>
  <si>
    <t>167207.96</t>
  </si>
  <si>
    <t>279.07</t>
  </si>
  <si>
    <t>11097.83</t>
  </si>
  <si>
    <t>803.42</t>
  </si>
  <si>
    <t>23216.22</t>
  </si>
  <si>
    <t>1082.50</t>
  </si>
  <si>
    <t>34314.04</t>
  </si>
  <si>
    <t>1862.80</t>
  </si>
  <si>
    <t>193068.11</t>
  </si>
  <si>
    <t>4048.29</t>
  </si>
  <si>
    <t>563081.64</t>
  </si>
  <si>
    <t>2632.11</t>
  </si>
  <si>
    <t>4984648.92</t>
  </si>
  <si>
    <t>1003.69</t>
  </si>
  <si>
    <t>5354634.77</t>
  </si>
  <si>
    <t>3635.80</t>
  </si>
  <si>
    <t>10339283.69</t>
  </si>
  <si>
    <t>921.64</t>
  </si>
  <si>
    <t>23604.71</t>
  </si>
  <si>
    <t>141328.04</t>
  </si>
  <si>
    <t>2657162.28</t>
  </si>
  <si>
    <t>8703.42</t>
  </si>
  <si>
    <t>558354.93</t>
  </si>
  <si>
    <t>150031.46</t>
  </si>
  <si>
    <t>3215517.21</t>
  </si>
  <si>
    <t>1533.06</t>
  </si>
  <si>
    <t>140880.51</t>
  </si>
  <si>
    <t>1701.10</t>
  </si>
  <si>
    <t>192387.20</t>
  </si>
  <si>
    <t>7647.93</t>
  </si>
  <si>
    <t>3540103.38</t>
  </si>
  <si>
    <t>146.03</t>
  </si>
  <si>
    <t>186.49</t>
  </si>
  <si>
    <t>462.02</t>
  </si>
  <si>
    <t>540834.48</t>
  </si>
  <si>
    <t>905.86</t>
  </si>
  <si>
    <t>3863.07</t>
  </si>
  <si>
    <t>641.84</t>
  </si>
  <si>
    <t>969.44</t>
  </si>
  <si>
    <t>1547.69</t>
  </si>
  <si>
    <t>4832.51</t>
  </si>
  <si>
    <t>6398.44</t>
  </si>
  <si>
    <t>19236.22</t>
  </si>
  <si>
    <t>4850.75</t>
  </si>
  <si>
    <t>14403.70</t>
  </si>
  <si>
    <t>177394.61</t>
  </si>
  <si>
    <t>6497659.82</t>
  </si>
  <si>
    <t>243.05</t>
  </si>
  <si>
    <t>14226026.94</t>
  </si>
  <si>
    <t>1873343.96</t>
  </si>
  <si>
    <t>244.20</t>
  </si>
  <si>
    <t>16099370.90</t>
  </si>
  <si>
    <t>190952.14</t>
  </si>
  <si>
    <t>23010857.06</t>
  </si>
  <si>
    <t>191414.16</t>
  </si>
  <si>
    <t>23551691.54</t>
  </si>
  <si>
    <t>191169.95</t>
  </si>
  <si>
    <t>7452320.64</t>
  </si>
  <si>
    <t>161061.93</t>
  </si>
  <si>
    <t>2196481.70</t>
  </si>
  <si>
    <t>12.52</t>
  </si>
  <si>
    <t>15.91</t>
  </si>
  <si>
    <t>3506.60</t>
  </si>
  <si>
    <t>66841.16</t>
  </si>
  <si>
    <t>410.14</t>
  </si>
  <si>
    <t>4957.22</t>
  </si>
  <si>
    <t>262539.79</t>
  </si>
  <si>
    <t>19.13</t>
  </si>
  <si>
    <t>942.12</t>
  </si>
  <si>
    <t>4983.78</t>
  </si>
  <si>
    <t>263892.05</t>
  </si>
  <si>
    <t>610.79</t>
  </si>
  <si>
    <t>5789.52</t>
  </si>
  <si>
    <t>240548.58</t>
  </si>
  <si>
    <t>11758723.62</t>
  </si>
  <si>
    <t>1297378.02</t>
  </si>
  <si>
    <t>6589738.03</t>
  </si>
  <si>
    <t>15356047.80</t>
  </si>
  <si>
    <t>7468931.75</t>
  </si>
  <si>
    <t>821386.93</t>
  </si>
  <si>
    <t>27936158.35</t>
  </si>
  <si>
    <t>2283.84</t>
  </si>
  <si>
    <t>130020.89</t>
  </si>
  <si>
    <t>2302.66</t>
  </si>
  <si>
    <t>71473.01</t>
  </si>
  <si>
    <t>4586.50</t>
  </si>
  <si>
    <t>201493.90</t>
  </si>
  <si>
    <t>307.20</t>
  </si>
  <si>
    <t>13236.64</t>
  </si>
  <si>
    <t>895.82</t>
  </si>
  <si>
    <t>25818.04</t>
  </si>
  <si>
    <t>1203.02</t>
  </si>
  <si>
    <t>39054.68</t>
  </si>
  <si>
    <t>1891.35</t>
  </si>
  <si>
    <t>211047.17</t>
  </si>
  <si>
    <t>4616.39</t>
  </si>
  <si>
    <t>667812.80</t>
  </si>
  <si>
    <t>3087.15</t>
  </si>
  <si>
    <t>6673090.99</t>
  </si>
  <si>
    <t>1009.09</t>
  </si>
  <si>
    <t>7319249.26</t>
  </si>
  <si>
    <t>4096.24</t>
  </si>
  <si>
    <t>13992340.25</t>
  </si>
  <si>
    <t>1102.31</t>
  </si>
  <si>
    <t>29560.56</t>
  </si>
  <si>
    <t>161310.47</t>
  </si>
  <si>
    <t>3099399.72</t>
  </si>
  <si>
    <t>9863.76</t>
  </si>
  <si>
    <t>670271.77</t>
  </si>
  <si>
    <t>171174.23</t>
  </si>
  <si>
    <t>3769671.50</t>
  </si>
  <si>
    <t>1861.26</t>
  </si>
  <si>
    <t>176401.23</t>
  </si>
  <si>
    <t>1724.79</t>
  </si>
  <si>
    <t>210245.52</t>
  </si>
  <si>
    <t>9008.97</t>
  </si>
  <si>
    <t>4854308.48</t>
  </si>
  <si>
    <t>146.97</t>
  </si>
  <si>
    <t>190.86</t>
  </si>
  <si>
    <t>531.76</t>
  </si>
  <si>
    <t>659873.48</t>
  </si>
  <si>
    <t>2.07</t>
  </si>
  <si>
    <t>2.46</t>
  </si>
  <si>
    <t>1074.28</t>
  </si>
  <si>
    <t>4372.11</t>
  </si>
  <si>
    <t>648.24</t>
  </si>
  <si>
    <t>1016.31</t>
  </si>
  <si>
    <t>1722.52</t>
  </si>
  <si>
    <t>5388.42</t>
  </si>
  <si>
    <t>6783.69</t>
  </si>
  <si>
    <t>21465.03</t>
  </si>
  <si>
    <t>5061.17</t>
  </si>
  <si>
    <t>16076.61</t>
  </si>
  <si>
    <t>202008.61</t>
  </si>
  <si>
    <t>8242601.17</t>
  </si>
  <si>
    <t>305.71</t>
  </si>
  <si>
    <t>19394682.60</t>
  </si>
  <si>
    <t>2007286.50</t>
  </si>
  <si>
    <t>307.03</t>
  </si>
  <si>
    <t>21401969.10</t>
  </si>
  <si>
    <t>216780.20</t>
  </si>
  <si>
    <t>30117631.05</t>
  </si>
  <si>
    <t>217311.96</t>
  </si>
  <si>
    <t>30777504.53</t>
  </si>
  <si>
    <t>217004.93</t>
  </si>
  <si>
    <t>9375535.44</t>
  </si>
  <si>
    <t>183015.08</t>
  </si>
  <si>
    <t>2477221.59</t>
  </si>
  <si>
    <t>16.43</t>
  </si>
  <si>
    <t>2610.51</t>
  </si>
  <si>
    <t>57565.78</t>
  </si>
  <si>
    <t>6.86</t>
  </si>
  <si>
    <t>372.73</t>
  </si>
  <si>
    <t>4578.06</t>
  </si>
  <si>
    <t>243493.55</t>
  </si>
  <si>
    <t>17.73</t>
  </si>
  <si>
    <t>880.51</t>
  </si>
  <si>
    <t>4602.65</t>
  </si>
  <si>
    <t>244746.79</t>
  </si>
  <si>
    <t>17.39</t>
  </si>
  <si>
    <t>600.99</t>
  </si>
  <si>
    <t>5673.64</t>
  </si>
  <si>
    <t>222350.52</t>
  </si>
  <si>
    <t>3.07</t>
  </si>
  <si>
    <t>11992138.74</t>
  </si>
  <si>
    <t>2017823.14</t>
  </si>
  <si>
    <t>7078422.37</t>
  </si>
  <si>
    <t>16657576.46</t>
  </si>
  <si>
    <t>7561330.95</t>
  </si>
  <si>
    <t>750098.54</t>
  </si>
  <si>
    <t>29399813.74</t>
  </si>
  <si>
    <t>2221.29</t>
  </si>
  <si>
    <t>116338.12</t>
  </si>
  <si>
    <t>2281.41</t>
  </si>
  <si>
    <t>67899.29</t>
  </si>
  <si>
    <t>4502.70</t>
  </si>
  <si>
    <t>184237.41</t>
  </si>
  <si>
    <t>295.63</t>
  </si>
  <si>
    <t>11925.63</t>
  </si>
  <si>
    <t>875.30</t>
  </si>
  <si>
    <t>26187.49</t>
  </si>
  <si>
    <t>1170.93</t>
  </si>
  <si>
    <t>38113.12</t>
  </si>
  <si>
    <t>1869.90</t>
  </si>
  <si>
    <t>198564.77</t>
  </si>
  <si>
    <t>4492.53</t>
  </si>
  <si>
    <t>621666.37</t>
  </si>
  <si>
    <t>2815.49</t>
  </si>
  <si>
    <t>5585409.42</t>
  </si>
  <si>
    <t>838.00</t>
  </si>
  <si>
    <t>6048107.29</t>
  </si>
  <si>
    <t>3653.49</t>
  </si>
  <si>
    <t>11633516.72</t>
  </si>
  <si>
    <t>928.36</t>
  </si>
  <si>
    <t>25662.05</t>
  </si>
  <si>
    <t>156521.42</t>
  </si>
  <si>
    <t>2886702.59</t>
  </si>
  <si>
    <t>9304.80</t>
  </si>
  <si>
    <t>617807.41</t>
  </si>
  <si>
    <t>165826.22</t>
  </si>
  <si>
    <t>3504510.00</t>
  </si>
  <si>
    <t>1200.84</t>
  </si>
  <si>
    <t>154683.01</t>
  </si>
  <si>
    <t>1709.27</t>
  </si>
  <si>
    <t>197779.98</t>
  </si>
  <si>
    <t>7687.52</t>
  </si>
  <si>
    <t>3897347.90</t>
  </si>
  <si>
    <t>143.24</t>
  </si>
  <si>
    <t>183.80</t>
  </si>
  <si>
    <t>494.77</t>
  </si>
  <si>
    <t>645079.15</t>
  </si>
  <si>
    <t>1.43</t>
  </si>
  <si>
    <t>961.79</t>
  </si>
  <si>
    <t>4264.87</t>
  </si>
  <si>
    <t>649.25</t>
  </si>
  <si>
    <t>1093.37</t>
  </si>
  <si>
    <t>1611.04</t>
  </si>
  <si>
    <t>5358.24</t>
  </si>
  <si>
    <t>6768.43</t>
  </si>
  <si>
    <t>21253.76</t>
  </si>
  <si>
    <t>5157.38</t>
  </si>
  <si>
    <t>15895.52</t>
  </si>
  <si>
    <t>194925.94</t>
  </si>
  <si>
    <t>7126205.36</t>
  </si>
  <si>
    <t>261.16</t>
  </si>
  <si>
    <t>15060026.37</t>
  </si>
  <si>
    <t>1835763.02</t>
  </si>
  <si>
    <t>262.41</t>
  </si>
  <si>
    <t>16895789.39</t>
  </si>
  <si>
    <t>209500.31</t>
  </si>
  <si>
    <t>24464163.81</t>
  </si>
  <si>
    <t>209995.08</t>
  </si>
  <si>
    <t>25109242.96</t>
  </si>
  <si>
    <t>209732.67</t>
  </si>
  <si>
    <t>8213453.56</t>
  </si>
  <si>
    <t>178934.24</t>
  </si>
  <si>
    <t>2394925.87</t>
  </si>
  <si>
    <t>13.19</t>
  </si>
  <si>
    <t>16.97</t>
  </si>
  <si>
    <t>2786.17</t>
  </si>
  <si>
    <t>50985.21</t>
  </si>
  <si>
    <t>6.70</t>
  </si>
  <si>
    <t>370.13</t>
  </si>
  <si>
    <t>4579.88</t>
  </si>
  <si>
    <t>244944.91</t>
  </si>
  <si>
    <t>18.03</t>
  </si>
  <si>
    <t>886.08</t>
  </si>
  <si>
    <t>4604.61</t>
  </si>
  <si>
    <t>246201.12</t>
  </si>
  <si>
    <t>19.51</t>
  </si>
  <si>
    <t>640.67</t>
  </si>
  <si>
    <t>5827.40</t>
  </si>
  <si>
    <t>226810.08</t>
  </si>
  <si>
    <t>3.44</t>
  </si>
  <si>
    <t>11363617.11</t>
  </si>
  <si>
    <t>1875057.00</t>
  </si>
  <si>
    <t>7645792.49</t>
  </si>
  <si>
    <t>1.94</t>
  </si>
  <si>
    <t>17500816.49</t>
  </si>
  <si>
    <t>7979967.00</t>
  </si>
  <si>
    <t>791608.45</t>
  </si>
  <si>
    <t>5.48</t>
  </si>
  <si>
    <t>29656042.05</t>
  </si>
  <si>
    <t>2317.79</t>
  </si>
  <si>
    <t>120224.23</t>
  </si>
  <si>
    <t>2359.14</t>
  </si>
  <si>
    <t>69607.42</t>
  </si>
  <si>
    <t>4676.93</t>
  </si>
  <si>
    <t>189831.64</t>
  </si>
  <si>
    <t>288.90</t>
  </si>
  <si>
    <t>12242.99</t>
  </si>
  <si>
    <t>861.57</t>
  </si>
  <si>
    <t>24735.44</t>
  </si>
  <si>
    <t>1150.47</t>
  </si>
  <si>
    <t>36978.43</t>
  </si>
  <si>
    <t>1895.74</t>
  </si>
  <si>
    <t>206367.54</t>
  </si>
  <si>
    <t>4636.60</t>
  </si>
  <si>
    <t>640867.39</t>
  </si>
  <si>
    <t>2817.12</t>
  </si>
  <si>
    <t>5592892.40</t>
  </si>
  <si>
    <t>851.54</t>
  </si>
  <si>
    <t>6068348.80</t>
  </si>
  <si>
    <t>3668.66</t>
  </si>
  <si>
    <t>11661241.20</t>
  </si>
  <si>
    <t>1017.25</t>
  </si>
  <si>
    <t>27667.80</t>
  </si>
  <si>
    <t>163495.10</t>
  </si>
  <si>
    <t>3002964.12</t>
  </si>
  <si>
    <t>9743.76</t>
  </si>
  <si>
    <t>638767.66</t>
  </si>
  <si>
    <t>173238.86</t>
  </si>
  <si>
    <t>3641731.78</t>
  </si>
  <si>
    <t>1243.57</t>
  </si>
  <si>
    <t>147379.66</t>
  </si>
  <si>
    <t>1723.65</t>
  </si>
  <si>
    <t>205534.69</t>
  </si>
  <si>
    <t>8215.47</t>
  </si>
  <si>
    <t>3793102.92</t>
  </si>
  <si>
    <t>152.58</t>
  </si>
  <si>
    <t>192.18</t>
  </si>
  <si>
    <t>481.93</t>
  </si>
  <si>
    <t>596238.79</t>
  </si>
  <si>
    <t>981.59</t>
  </si>
  <si>
    <t>3072.21</t>
  </si>
  <si>
    <t>650.54</t>
  </si>
  <si>
    <t>981.17</t>
  </si>
  <si>
    <t>1632.13</t>
  </si>
  <si>
    <t>4053.38</t>
  </si>
  <si>
    <t>7106.39</t>
  </si>
  <si>
    <t>20721.50</t>
  </si>
  <si>
    <t>5474.25</t>
  </si>
  <si>
    <t>16668.12</t>
  </si>
  <si>
    <t>203656.72</t>
  </si>
  <si>
    <t>7146649.16</t>
  </si>
  <si>
    <t>273.46</t>
  </si>
  <si>
    <t>15219872.71</t>
  </si>
  <si>
    <t>1793897.38</t>
  </si>
  <si>
    <t>274.71</t>
  </si>
  <si>
    <t>17013770.09</t>
  </si>
  <si>
    <t>218760.96</t>
  </si>
  <si>
    <t>24614318.37</t>
  </si>
  <si>
    <t>219242.89</t>
  </si>
  <si>
    <t>25210557.16</t>
  </si>
  <si>
    <t>218968.18</t>
  </si>
  <si>
    <t>8196787.06</t>
  </si>
  <si>
    <t>186774.60</t>
  </si>
  <si>
    <t>2514297.01</t>
  </si>
  <si>
    <t>32.69</t>
  </si>
  <si>
    <t>15.55</t>
  </si>
  <si>
    <t>2841.94</t>
  </si>
  <si>
    <t>48246.63</t>
  </si>
  <si>
    <t>6.28</t>
  </si>
  <si>
    <t>344.85</t>
  </si>
  <si>
    <t>4358.58</t>
  </si>
  <si>
    <t>228734.67</t>
  </si>
  <si>
    <t>17.22</t>
  </si>
  <si>
    <t>827.10</t>
  </si>
  <si>
    <t>4382.08</t>
  </si>
  <si>
    <t>229906.63</t>
  </si>
  <si>
    <t>18.27</t>
  </si>
  <si>
    <t>614.61</t>
  </si>
  <si>
    <t>5672.82</t>
  </si>
  <si>
    <t>218551.55</t>
  </si>
  <si>
    <t>11968142.75</t>
  </si>
  <si>
    <t>1611828.51</t>
  </si>
  <si>
    <t>7894090.51</t>
  </si>
  <si>
    <t>17946467.82</t>
  </si>
  <si>
    <t>8440548.80</t>
  </si>
  <si>
    <t>1045116.63</t>
  </si>
  <si>
    <t>5.30</t>
  </si>
  <si>
    <t>30959727.20</t>
  </si>
  <si>
    <t>2248.41</t>
  </si>
  <si>
    <t>115620.35</t>
  </si>
  <si>
    <t>2338.70</t>
  </si>
  <si>
    <t>67467.79</t>
  </si>
  <si>
    <t>4587.10</t>
  </si>
  <si>
    <t>183088.14</t>
  </si>
  <si>
    <t>272.82</t>
  </si>
  <si>
    <t>12384.17</t>
  </si>
  <si>
    <t>812.90</t>
  </si>
  <si>
    <t>23079.24</t>
  </si>
  <si>
    <t>1085.72</t>
  </si>
  <si>
    <t>35463.41</t>
  </si>
  <si>
    <t>1891.36</t>
  </si>
  <si>
    <t>210753.96</t>
  </si>
  <si>
    <t>4481.05</t>
  </si>
  <si>
    <t>606356.30</t>
  </si>
  <si>
    <t>2795.92</t>
  </si>
  <si>
    <t>5906093.16</t>
  </si>
  <si>
    <t>839.90</t>
  </si>
  <si>
    <t>6918867.34</t>
  </si>
  <si>
    <t>3635.82</t>
  </si>
  <si>
    <t>12824960.50</t>
  </si>
  <si>
    <t>944.62</t>
  </si>
  <si>
    <t>25646.12</t>
  </si>
  <si>
    <t>161079.50</t>
  </si>
  <si>
    <t>2856046.24</t>
  </si>
  <si>
    <t>9560.56</t>
  </si>
  <si>
    <t>611424.84</t>
  </si>
  <si>
    <t>170640.06</t>
  </si>
  <si>
    <t>3467471.08</t>
  </si>
  <si>
    <t>1325.97</t>
  </si>
  <si>
    <t>134187.56</t>
  </si>
  <si>
    <t>1728.39</t>
  </si>
  <si>
    <t>209956.34</t>
  </si>
  <si>
    <t>7920.52</t>
  </si>
  <si>
    <t>3764741.56</t>
  </si>
  <si>
    <t>144.70</t>
  </si>
  <si>
    <t>183.01</t>
  </si>
  <si>
    <t>447.43</t>
  </si>
  <si>
    <t>550176.04</t>
  </si>
  <si>
    <t>934.51</t>
  </si>
  <si>
    <t>2543.74</t>
  </si>
  <si>
    <t>595.05</t>
  </si>
  <si>
    <t>888.30</t>
  </si>
  <si>
    <t>1529.57</t>
  </si>
  <si>
    <t>3432.04</t>
  </si>
  <si>
    <t>6868.39</t>
  </si>
  <si>
    <t>20740.12</t>
  </si>
  <si>
    <t>5338.82</t>
  </si>
  <si>
    <t>17308.08</t>
  </si>
  <si>
    <t>200519.84</t>
  </si>
  <si>
    <t>6957478.29</t>
  </si>
  <si>
    <t>253.73</t>
  </si>
  <si>
    <t>16983277.89</t>
  </si>
  <si>
    <t>2029081.73</t>
  </si>
  <si>
    <t>254.88</t>
  </si>
  <si>
    <t>19012359.63</t>
  </si>
  <si>
    <t>215207.29</t>
  </si>
  <si>
    <t>26419883.54</t>
  </si>
  <si>
    <t>215654.72</t>
  </si>
  <si>
    <t>26970059.58</t>
  </si>
  <si>
    <t>215399.84</t>
  </si>
  <si>
    <t>7957699.95</t>
  </si>
  <si>
    <t>183950.06</t>
  </si>
  <si>
    <t>2403930.69</t>
  </si>
  <si>
    <t>21.35</t>
  </si>
  <si>
    <t>2705.04</t>
  </si>
  <si>
    <t>42354.76</t>
  </si>
  <si>
    <t>6.63</t>
  </si>
  <si>
    <t>361.62</t>
  </si>
  <si>
    <t>4447.66</t>
  </si>
  <si>
    <t>231722.43</t>
  </si>
  <si>
    <t>18.13</t>
  </si>
  <si>
    <t>870.69</t>
  </si>
  <si>
    <t>4472.41</t>
  </si>
  <si>
    <t>232954.74</t>
  </si>
  <si>
    <t>19.95</t>
  </si>
  <si>
    <t>619.12</t>
  </si>
  <si>
    <t>5982.42</t>
  </si>
  <si>
    <t>231986.92</t>
  </si>
  <si>
    <t>12739680.51</t>
  </si>
  <si>
    <t>1274228.32</t>
  </si>
  <si>
    <t>8664018.16</t>
  </si>
  <si>
    <t>19293299.03</t>
  </si>
  <si>
    <t>9355052.55</t>
  </si>
  <si>
    <t>748635.97</t>
  </si>
  <si>
    <t>32781615.51</t>
  </si>
  <si>
    <t>2429.06</t>
  </si>
  <si>
    <t>123469.10</t>
  </si>
  <si>
    <t>2432.75</t>
  </si>
  <si>
    <t>70380.31</t>
  </si>
  <si>
    <t>4861.81</t>
  </si>
  <si>
    <t>193849.42</t>
  </si>
  <si>
    <t>288.42</t>
  </si>
  <si>
    <t>14216.32</t>
  </si>
  <si>
    <t>832.19</t>
  </si>
  <si>
    <t>23921.19</t>
  </si>
  <si>
    <t>1120.61</t>
  </si>
  <si>
    <t>38137.51</t>
  </si>
  <si>
    <t>1912.72</t>
  </si>
  <si>
    <t>217899.28</t>
  </si>
  <si>
    <t>4821.90</t>
  </si>
  <si>
    <t>631411.24</t>
  </si>
  <si>
    <t>3051.90</t>
  </si>
  <si>
    <t>6069093.30</t>
  </si>
  <si>
    <t>935.66</t>
  </si>
  <si>
    <t>6734104.87</t>
  </si>
  <si>
    <t>3987.57</t>
  </si>
  <si>
    <t>12803198.17</t>
  </si>
  <si>
    <t>996.95</t>
  </si>
  <si>
    <t>25574.32</t>
  </si>
  <si>
    <t>170162.30</t>
  </si>
  <si>
    <t>3023629.38</t>
  </si>
  <si>
    <t>10205.69</t>
  </si>
  <si>
    <t>634811.31</t>
  </si>
  <si>
    <t>180367.99</t>
  </si>
  <si>
    <t>3658440.69</t>
  </si>
  <si>
    <t>1628.20</t>
  </si>
  <si>
    <t>143080.81</t>
  </si>
  <si>
    <t>1753.66</t>
  </si>
  <si>
    <t>217101.63</t>
  </si>
  <si>
    <t>8500.14</t>
  </si>
  <si>
    <t>3993960.21</t>
  </si>
  <si>
    <t>139.11</t>
  </si>
  <si>
    <t>178.53</t>
  </si>
  <si>
    <t>494.59</t>
  </si>
  <si>
    <t>607503.72</t>
  </si>
  <si>
    <t>1031.95</t>
  </si>
  <si>
    <t>2934.86</t>
  </si>
  <si>
    <t>660.66</t>
  </si>
  <si>
    <t>907.62</t>
  </si>
  <si>
    <t>1692.61</t>
  </si>
  <si>
    <t>3842.49</t>
  </si>
  <si>
    <t>7124.06</t>
  </si>
  <si>
    <t>20757.87</t>
  </si>
  <si>
    <t>5431.45</t>
  </si>
  <si>
    <t>16915.38</t>
  </si>
  <si>
    <t>212335.07</t>
  </si>
  <si>
    <t>7319320.77</t>
  </si>
  <si>
    <t>276.46</t>
  </si>
  <si>
    <t>16624623.66</t>
  </si>
  <si>
    <t>2239278.79</t>
  </si>
  <si>
    <t>277.67</t>
  </si>
  <si>
    <t>18863902.45</t>
  </si>
  <si>
    <t>227631.95</t>
  </si>
  <si>
    <t>26653867.30</t>
  </si>
  <si>
    <t>228126.54</t>
  </si>
  <si>
    <t>27261371.02</t>
  </si>
  <si>
    <t>227848.86</t>
  </si>
  <si>
    <t>8397468.57</t>
  </si>
  <si>
    <t>194679.48</t>
  </si>
  <si>
    <t>2508498.10</t>
  </si>
  <si>
    <t>31.11</t>
  </si>
  <si>
    <t>15.71</t>
  </si>
  <si>
    <t>3817.08</t>
  </si>
  <si>
    <t>66149.58</t>
  </si>
  <si>
    <t>6.71</t>
  </si>
  <si>
    <t>365.64</t>
  </si>
  <si>
    <t>4601.37</t>
  </si>
  <si>
    <t>238883.15</t>
  </si>
  <si>
    <t>17.86</t>
  </si>
  <si>
    <t>849.09</t>
  </si>
  <si>
    <t>4625.94</t>
  </si>
  <si>
    <t>240097.88</t>
  </si>
  <si>
    <t>718.05</t>
  </si>
  <si>
    <t>6056.57</t>
  </si>
  <si>
    <t>228576.21</t>
  </si>
  <si>
    <t>10788096.80</t>
  </si>
  <si>
    <t>1240950.83</t>
  </si>
  <si>
    <t>7489699.50</t>
  </si>
  <si>
    <t>16614169.83</t>
  </si>
  <si>
    <t>7883519.50</t>
  </si>
  <si>
    <t>749679.00</t>
  </si>
  <si>
    <t>4.28</t>
  </si>
  <si>
    <t>28151945.63</t>
  </si>
  <si>
    <t>2434.15</t>
  </si>
  <si>
    <t>118416.58</t>
  </si>
  <si>
    <t>2501.63</t>
  </si>
  <si>
    <t>72753.32</t>
  </si>
  <si>
    <t>4935.77</t>
  </si>
  <si>
    <t>191169.90</t>
  </si>
  <si>
    <t>277.21</t>
  </si>
  <si>
    <t>12743.49</t>
  </si>
  <si>
    <t>843.59</t>
  </si>
  <si>
    <t>24662.82</t>
  </si>
  <si>
    <t>1120.80</t>
  </si>
  <si>
    <t>37406.31</t>
  </si>
  <si>
    <t>1929.02</t>
  </si>
  <si>
    <t>214927.59</t>
  </si>
  <si>
    <t>4772.62</t>
  </si>
  <si>
    <t>597548.72</t>
  </si>
  <si>
    <t>2840.01</t>
  </si>
  <si>
    <t>5534243.41</t>
  </si>
  <si>
    <t>798.11</t>
  </si>
  <si>
    <t>6020479.25</t>
  </si>
  <si>
    <t>3638.12</t>
  </si>
  <si>
    <t>11554722.66</t>
  </si>
  <si>
    <t>1245.48</t>
  </si>
  <si>
    <t>31157.18</t>
  </si>
  <si>
    <t>173908.03</t>
  </si>
  <si>
    <t>2934112.99</t>
  </si>
  <si>
    <t>10513.94</t>
  </si>
  <si>
    <t>605042.56</t>
  </si>
  <si>
    <t>184421.97</t>
  </si>
  <si>
    <t>3539155.56</t>
  </si>
  <si>
    <t>1854.46</t>
  </si>
  <si>
    <t>167855.95</t>
  </si>
  <si>
    <t>1764.13</t>
  </si>
  <si>
    <t>214031.41</t>
  </si>
  <si>
    <t>8288.60</t>
  </si>
  <si>
    <t>3785259.95</t>
  </si>
  <si>
    <t>139.51</t>
  </si>
  <si>
    <t>178.13</t>
  </si>
  <si>
    <t>446.03</t>
  </si>
  <si>
    <t>540024.58</t>
  </si>
  <si>
    <t>1050.45</t>
  </si>
  <si>
    <t>4053.73</t>
  </si>
  <si>
    <t>669.51</t>
  </si>
  <si>
    <t>1029.53</t>
  </si>
  <si>
    <t>1719.97</t>
  </si>
  <si>
    <t>5083.26</t>
  </si>
  <si>
    <t>7966.16</t>
  </si>
  <si>
    <t>22252.69</t>
  </si>
  <si>
    <t>6246.19</t>
  </si>
  <si>
    <t>17169.43</t>
  </si>
  <si>
    <t>218816.17</t>
  </si>
  <si>
    <t>7102302.81</t>
  </si>
  <si>
    <t>258.52</t>
  </si>
  <si>
    <t>14993006.55</t>
  </si>
  <si>
    <t>1378209.18</t>
  </si>
  <si>
    <t>259.68</t>
  </si>
  <si>
    <t>16371215.73</t>
  </si>
  <si>
    <t>235027.60</t>
  </si>
  <si>
    <t>23939275.03</t>
  </si>
  <si>
    <t>235473.63</t>
  </si>
  <si>
    <t>24479299.61</t>
  </si>
  <si>
    <t>235213.95</t>
  </si>
  <si>
    <t>8108083.88</t>
  </si>
  <si>
    <t>200083.10</t>
  </si>
  <si>
    <t>2485472.90</t>
  </si>
  <si>
    <t>11.69</t>
  </si>
  <si>
    <t>2542.90</t>
  </si>
  <si>
    <t>41746.35</t>
  </si>
  <si>
    <t>6.69</t>
  </si>
  <si>
    <t>368.81</t>
  </si>
  <si>
    <t>4370.90</t>
  </si>
  <si>
    <t>229713.38</t>
  </si>
  <si>
    <t>17.89</t>
  </si>
  <si>
    <t>869.91</t>
  </si>
  <si>
    <t>4395.48</t>
  </si>
  <si>
    <t>230952.11</t>
  </si>
  <si>
    <t>18.90</t>
  </si>
  <si>
    <t>590.54</t>
  </si>
  <si>
    <t>5999.80</t>
  </si>
  <si>
    <t>253482.69</t>
  </si>
  <si>
    <t>3.11</t>
  </si>
  <si>
    <t>11417000.90</t>
  </si>
  <si>
    <t>1499643.17</t>
  </si>
  <si>
    <t>7926471.10</t>
  </si>
  <si>
    <t>18003263.27</t>
  </si>
  <si>
    <t>8577149.00</t>
  </si>
  <si>
    <t>849759.20</t>
  </si>
  <si>
    <t>4.95</t>
  </si>
  <si>
    <t>30270023.37</t>
  </si>
  <si>
    <t>2536.26</t>
  </si>
  <si>
    <t>144163.09</t>
  </si>
  <si>
    <t>2416.15</t>
  </si>
  <si>
    <t>72543.90</t>
  </si>
  <si>
    <t>4952.41</t>
  </si>
  <si>
    <t>216706.99</t>
  </si>
  <si>
    <t>269.83</t>
  </si>
  <si>
    <t>14003.02</t>
  </si>
  <si>
    <t>777.56</t>
  </si>
  <si>
    <t>22772.68</t>
  </si>
  <si>
    <t>1047.39</t>
  </si>
  <si>
    <t>36775.70</t>
  </si>
  <si>
    <t>1926.97</t>
  </si>
  <si>
    <t>222918.71</t>
  </si>
  <si>
    <t>3943.79</t>
  </si>
  <si>
    <t>596847.03</t>
  </si>
  <si>
    <t>2901.57</t>
  </si>
  <si>
    <t>6562394.67</t>
  </si>
  <si>
    <t>853.80</t>
  </si>
  <si>
    <t>7091903.21</t>
  </si>
  <si>
    <t>3755.37</t>
  </si>
  <si>
    <t>13654297.88</t>
  </si>
  <si>
    <t>1034.96</t>
  </si>
  <si>
    <t>26355.58</t>
  </si>
  <si>
    <t>170539.12</t>
  </si>
  <si>
    <t>2984380.54</t>
  </si>
  <si>
    <t>10469.49</t>
  </si>
  <si>
    <t>633733.37</t>
  </si>
  <si>
    <t>181008.61</t>
  </si>
  <si>
    <t>3618113.91</t>
  </si>
  <si>
    <t>1850.43</t>
  </si>
  <si>
    <t>149728.73</t>
  </si>
  <si>
    <t>1786.47</t>
  </si>
  <si>
    <t>222164.14</t>
  </si>
  <si>
    <t>8403.21</t>
  </si>
  <si>
    <t>4265310.16</t>
  </si>
  <si>
    <t>121.60</t>
  </si>
  <si>
    <t>164.03</t>
  </si>
  <si>
    <t>464.86</t>
  </si>
  <si>
    <t>570466.54</t>
  </si>
  <si>
    <t>991.22</t>
  </si>
  <si>
    <t>4362.11</t>
  </si>
  <si>
    <t>688.72</t>
  </si>
  <si>
    <t>1091.79</t>
  </si>
  <si>
    <t>1679.93</t>
  </si>
  <si>
    <t>5453.90</t>
  </si>
  <si>
    <t>8551.51</t>
  </si>
  <si>
    <t>22636.58</t>
  </si>
  <si>
    <t>6871.58</t>
  </si>
  <si>
    <t>17182.68</t>
  </si>
  <si>
    <t>213074.92</t>
  </si>
  <si>
    <t>7543380.48</t>
  </si>
  <si>
    <t>279.64</t>
  </si>
  <si>
    <t>18220475.32</t>
  </si>
  <si>
    <t>1616466.65</t>
  </si>
  <si>
    <t>280.83</t>
  </si>
  <si>
    <t>19836941.97</t>
  </si>
  <si>
    <t>229834.03</t>
  </si>
  <si>
    <t>27879360.42</t>
  </si>
  <si>
    <t>230298.89</t>
  </si>
  <si>
    <t>28449826.96</t>
  </si>
  <si>
    <t>230018.06</t>
  </si>
  <si>
    <t>8612884.99</t>
  </si>
  <si>
    <t>196334.33</t>
  </si>
  <si>
    <t>2489736.52</t>
  </si>
  <si>
    <t>9.66</t>
  </si>
  <si>
    <t>11.68</t>
  </si>
  <si>
    <t>2745.64</t>
  </si>
  <si>
    <t>43352.60</t>
  </si>
  <si>
    <t>7.12</t>
  </si>
  <si>
    <t>403.88</t>
  </si>
  <si>
    <t>4636.34</t>
  </si>
  <si>
    <t>250321.45</t>
  </si>
  <si>
    <t>18.53</t>
  </si>
  <si>
    <t>917.44</t>
  </si>
  <si>
    <t>4661.98</t>
  </si>
  <si>
    <t>251642.77</t>
  </si>
  <si>
    <t>20.58</t>
  </si>
  <si>
    <t>6279.14</t>
  </si>
  <si>
    <t>256373.31</t>
  </si>
  <si>
    <t>11161870.99</t>
  </si>
  <si>
    <t>1439939.43</t>
  </si>
  <si>
    <t>8365989.75</t>
  </si>
  <si>
    <t>18365110.73</t>
  </si>
  <si>
    <t>8559181.55</t>
  </si>
  <si>
    <t>907619.55</t>
  </si>
  <si>
    <t>4.25</t>
  </si>
  <si>
    <t>30434601.27</t>
  </si>
  <si>
    <t>2573.48</t>
  </si>
  <si>
    <t>125873.31</t>
  </si>
  <si>
    <t>2609.42</t>
  </si>
  <si>
    <t>88357.00</t>
  </si>
  <si>
    <t>5182.90</t>
  </si>
  <si>
    <t>214230.30</t>
  </si>
  <si>
    <t>267.46</t>
  </si>
  <si>
    <t>13039.48</t>
  </si>
  <si>
    <t>828.79</t>
  </si>
  <si>
    <t>29103.53</t>
  </si>
  <si>
    <t>1096.25</t>
  </si>
  <si>
    <t>42143.01</t>
  </si>
  <si>
    <t>1964.66</t>
  </si>
  <si>
    <t>223881.20</t>
  </si>
  <si>
    <t>4035.88</t>
  </si>
  <si>
    <t>641963.60</t>
  </si>
  <si>
    <t>2931.34</t>
  </si>
  <si>
    <t>6359304.81</t>
  </si>
  <si>
    <t>872.08</t>
  </si>
  <si>
    <t>6840494.30</t>
  </si>
  <si>
    <t>3803.42</t>
  </si>
  <si>
    <t>13199799.11</t>
  </si>
  <si>
    <t>1084.34</t>
  </si>
  <si>
    <t>29379.36</t>
  </si>
  <si>
    <t>179129.73</t>
  </si>
  <si>
    <t>3222946.37</t>
  </si>
  <si>
    <t>10880.39</t>
  </si>
  <si>
    <t>685229.07</t>
  </si>
  <si>
    <t>190010.12</t>
  </si>
  <si>
    <t>3908175.43</t>
  </si>
  <si>
    <t>1736.26</t>
  </si>
  <si>
    <t>165140.85</t>
  </si>
  <si>
    <t>1812.26</t>
  </si>
  <si>
    <t>223047.64</t>
  </si>
  <si>
    <t>8790.97</t>
  </si>
  <si>
    <t>4273607.85</t>
  </si>
  <si>
    <t>131.82</t>
  </si>
  <si>
    <t>172.13</t>
  </si>
  <si>
    <t>452.12</t>
  </si>
  <si>
    <t>574554.41</t>
  </si>
  <si>
    <t>2.00</t>
  </si>
  <si>
    <t>1008.54</t>
  </si>
  <si>
    <t>4437.22</t>
  </si>
  <si>
    <t>649.16</t>
  </si>
  <si>
    <t>1274.47</t>
  </si>
  <si>
    <t>1657.70</t>
  </si>
  <si>
    <t>5711.69</t>
  </si>
  <si>
    <t>8939.26</t>
  </si>
  <si>
    <t>24226.83</t>
  </si>
  <si>
    <t>7281.56</t>
  </si>
  <si>
    <t>18515.14</t>
  </si>
  <si>
    <t>224318.23</t>
  </si>
  <si>
    <t>7851867.29</t>
  </si>
  <si>
    <t>295.56</t>
  </si>
  <si>
    <t>17108665.76</t>
  </si>
  <si>
    <t>1624036.38</t>
  </si>
  <si>
    <t>296.76</t>
  </si>
  <si>
    <t>18732702.14</t>
  </si>
  <si>
    <t>241798.06</t>
  </si>
  <si>
    <t>27089050.78</t>
  </si>
  <si>
    <t>242250.18</t>
  </si>
  <si>
    <t>27663605.19</t>
  </si>
  <si>
    <t>241953.42</t>
  </si>
  <si>
    <t>8930903.05</t>
  </si>
  <si>
    <t>207009.21</t>
  </si>
  <si>
    <t>2727790.71</t>
  </si>
  <si>
    <t>12.65</t>
  </si>
  <si>
    <t>10.92</t>
  </si>
  <si>
    <t>3375.31</t>
  </si>
  <si>
    <t>69482.77</t>
  </si>
  <si>
    <t>6.72</t>
  </si>
  <si>
    <t>378.46</t>
  </si>
  <si>
    <t>4380.23</t>
  </si>
  <si>
    <t>234054.56</t>
  </si>
  <si>
    <t>17.83</t>
  </si>
  <si>
    <t>880.28</t>
  </si>
  <si>
    <t>4404.78</t>
  </si>
  <si>
    <t>235313.30</t>
  </si>
  <si>
    <t>19.28</t>
  </si>
  <si>
    <t>608.79</t>
  </si>
  <si>
    <t>6041.95</t>
  </si>
  <si>
    <t>222942.40</t>
  </si>
  <si>
    <t>10100566.88</t>
  </si>
  <si>
    <t>1226375.21</t>
  </si>
  <si>
    <t>7838568.80</t>
  </si>
  <si>
    <t>17161812.81</t>
  </si>
  <si>
    <t>8096868.80</t>
  </si>
  <si>
    <t>946876.07</t>
  </si>
  <si>
    <t>28209255.76</t>
  </si>
  <si>
    <t>2491.45</t>
  </si>
  <si>
    <t>113159.14</t>
  </si>
  <si>
    <t>2538.40</t>
  </si>
  <si>
    <t>75639.87</t>
  </si>
  <si>
    <t>5029.84</t>
  </si>
  <si>
    <t>188799.01</t>
  </si>
  <si>
    <t>248.80</t>
  </si>
  <si>
    <t>11389.26</t>
  </si>
  <si>
    <t>763.31</t>
  </si>
  <si>
    <t>22754.12</t>
  </si>
  <si>
    <t>34143.39</t>
  </si>
  <si>
    <t>1987.04</t>
  </si>
  <si>
    <t>226303.51</t>
  </si>
  <si>
    <t>3689.31</t>
  </si>
  <si>
    <t>615176.80</t>
  </si>
  <si>
    <t>2717.48</t>
  </si>
  <si>
    <t>5622372.10</t>
  </si>
  <si>
    <t>809.63</t>
  </si>
  <si>
    <t>6241771.09</t>
  </si>
  <si>
    <t>3527.10</t>
  </si>
  <si>
    <t>11864143.20</t>
  </si>
  <si>
    <t>1048.96</t>
  </si>
  <si>
    <t>27357.69</t>
  </si>
  <si>
    <t>177480.21</t>
  </si>
  <si>
    <t>3131721.74</t>
  </si>
  <si>
    <t>10306.94</t>
  </si>
  <si>
    <t>637681.49</t>
  </si>
  <si>
    <t>187787.15</t>
  </si>
  <si>
    <t>3769403.23</t>
  </si>
  <si>
    <t>1690.81</t>
  </si>
  <si>
    <t>163207.76</t>
  </si>
  <si>
    <t>1835.73</t>
  </si>
  <si>
    <t>225516.61</t>
  </si>
  <si>
    <t>8175.04</t>
  </si>
  <si>
    <t>3834099.39</t>
  </si>
  <si>
    <t>132.03</t>
  </si>
  <si>
    <t>178.11</t>
  </si>
  <si>
    <t>448.60</t>
  </si>
  <si>
    <t>570250.88</t>
  </si>
  <si>
    <t>1.99</t>
  </si>
  <si>
    <t>943.66</t>
  </si>
  <si>
    <t>4009.56</t>
  </si>
  <si>
    <t>682.35</t>
  </si>
  <si>
    <t>1364.66</t>
  </si>
  <si>
    <t>1626.02</t>
  </si>
  <si>
    <t>5374.22</t>
  </si>
  <si>
    <t>8973.35</t>
  </si>
  <si>
    <t>24638.84</t>
  </si>
  <si>
    <t>7347.33</t>
  </si>
  <si>
    <t>19264.61</t>
  </si>
  <si>
    <t>221600.52</t>
  </si>
  <si>
    <t>7313610.28</t>
  </si>
  <si>
    <t>283.75</t>
  </si>
  <si>
    <t>15505696.44</t>
  </si>
  <si>
    <t>1375908.07</t>
  </si>
  <si>
    <t>284.89</t>
  </si>
  <si>
    <t>16881604.51</t>
  </si>
  <si>
    <t>238887.74</t>
  </si>
  <si>
    <t>24669099.54</t>
  </si>
  <si>
    <t>239336.34</t>
  </si>
  <si>
    <t>25239350.42</t>
  </si>
  <si>
    <t>239051.46</t>
  </si>
  <si>
    <t>8357745.91</t>
  </si>
  <si>
    <t>204669.79</t>
  </si>
  <si>
    <t>2631632.64</t>
  </si>
  <si>
    <t>6.56</t>
  </si>
  <si>
    <t>12.01</t>
  </si>
  <si>
    <t>2357.78</t>
  </si>
  <si>
    <t>81224.04</t>
  </si>
  <si>
    <t>6.96</t>
  </si>
  <si>
    <t>393.15</t>
  </si>
  <si>
    <t>4444.02</t>
  </si>
  <si>
    <t>238924.80</t>
  </si>
  <si>
    <t>18.11</t>
  </si>
  <si>
    <t>904.19</t>
  </si>
  <si>
    <t>4469.09</t>
  </si>
  <si>
    <t>240222.14</t>
  </si>
  <si>
    <t>600.41</t>
  </si>
  <si>
    <t>6447.58</t>
  </si>
  <si>
    <t>241960.99</t>
  </si>
  <si>
    <t>3.27</t>
  </si>
  <si>
    <t>13484009.65</t>
  </si>
  <si>
    <t>1358771.76</t>
  </si>
  <si>
    <t>9176296.78</t>
  </si>
  <si>
    <t>20459215.74</t>
  </si>
  <si>
    <t>9924147.20</t>
  </si>
  <si>
    <t>870665.58</t>
  </si>
  <si>
    <t>34813890.97</t>
  </si>
  <si>
    <t>2672.02</t>
  </si>
  <si>
    <t>126210.12</t>
  </si>
  <si>
    <t>2726.32</t>
  </si>
  <si>
    <t>78476.48</t>
  </si>
  <si>
    <t>5398.34</t>
  </si>
  <si>
    <t>204686.61</t>
  </si>
  <si>
    <t>254.89</t>
  </si>
  <si>
    <t>12675.28</t>
  </si>
  <si>
    <t>794.35</t>
  </si>
  <si>
    <t>24599.10</t>
  </si>
  <si>
    <t>1049.24</t>
  </si>
  <si>
    <t>37274.38</t>
  </si>
  <si>
    <t>2012.39</t>
  </si>
  <si>
    <t>242667.43</t>
  </si>
  <si>
    <t>3799.33</t>
  </si>
  <si>
    <t>662451.92</t>
  </si>
  <si>
    <t>2882.36</t>
  </si>
  <si>
    <t>7130080.27</t>
  </si>
  <si>
    <t>875.29</t>
  </si>
  <si>
    <t>8063055.12</t>
  </si>
  <si>
    <t>3757.66</t>
  </si>
  <si>
    <t>15193135.38</t>
  </si>
  <si>
    <t>926.03</t>
  </si>
  <si>
    <t>24082.50</t>
  </si>
  <si>
    <t>188061.41</t>
  </si>
  <si>
    <t>3335119.28</t>
  </si>
  <si>
    <t>10679.51</t>
  </si>
  <si>
    <t>694232.78</t>
  </si>
  <si>
    <t>198740.92</t>
  </si>
  <si>
    <t>4029352.06</t>
  </si>
  <si>
    <t>1240.69</t>
  </si>
  <si>
    <t>168800.46</t>
  </si>
  <si>
    <t>1858.15</t>
  </si>
  <si>
    <t>241878.18</t>
  </si>
  <si>
    <t>8777.58</t>
  </si>
  <si>
    <t>4376908.93</t>
  </si>
  <si>
    <t>136.85</t>
  </si>
  <si>
    <t>188.84</t>
  </si>
  <si>
    <t>476.39</t>
  </si>
  <si>
    <t>620352.44</t>
  </si>
  <si>
    <t>966.30</t>
  </si>
  <si>
    <t>4819.12</t>
  </si>
  <si>
    <t>694.23</t>
  </si>
  <si>
    <t>1390.97</t>
  </si>
  <si>
    <t>1660.53</t>
  </si>
  <si>
    <t>6210.09</t>
  </si>
  <si>
    <t>9755.15</t>
  </si>
  <si>
    <t>27044.19</t>
  </si>
  <si>
    <t>8094.62</t>
  </si>
  <si>
    <t>20834.10</t>
  </si>
  <si>
    <t>232522.27</t>
  </si>
  <si>
    <t>8086110.07</t>
  </si>
  <si>
    <t>316.41</t>
  </si>
  <si>
    <t>19992108.13</t>
  </si>
  <si>
    <t>1977373.29</t>
  </si>
  <si>
    <t>317.67</t>
  </si>
  <si>
    <t>21969481.42</t>
  </si>
  <si>
    <t>251055.07</t>
  </si>
  <si>
    <t>30567264.10</t>
  </si>
  <si>
    <t>251531.46</t>
  </si>
  <si>
    <t>31187616.54</t>
  </si>
  <si>
    <t>251213.79</t>
  </si>
  <si>
    <t>9218135.12</t>
  </si>
  <si>
    <t>216346.68</t>
  </si>
  <si>
    <t>2796712.71</t>
  </si>
  <si>
    <t>13.72</t>
  </si>
  <si>
    <t>2616.49</t>
  </si>
  <si>
    <t>81194.84</t>
  </si>
  <si>
    <t>6.97</t>
  </si>
  <si>
    <t>394.04</t>
  </si>
  <si>
    <t>4412.00</t>
  </si>
  <si>
    <t>239172.03</t>
  </si>
  <si>
    <t>18.09</t>
  </si>
  <si>
    <t>906.01</t>
  </si>
  <si>
    <t>4437.06</t>
  </si>
  <si>
    <t>240472.08</t>
  </si>
  <si>
    <t>17.87</t>
  </si>
  <si>
    <t>647.95</t>
  </si>
  <si>
    <t>6415.41</t>
  </si>
  <si>
    <t>237041.56</t>
  </si>
  <si>
    <t>2.64</t>
  </si>
  <si>
    <t>12450917.02</t>
  </si>
  <si>
    <t>1235355.88</t>
  </si>
  <si>
    <t>7775967.59</t>
  </si>
  <si>
    <t>18709470.22</t>
  </si>
  <si>
    <t>9698146.75</t>
  </si>
  <si>
    <t>994966.50</t>
  </si>
  <si>
    <t>4.35</t>
  </si>
  <si>
    <t>32155353.74</t>
  </si>
  <si>
    <t>2722.16</t>
  </si>
  <si>
    <t>123097.04</t>
  </si>
  <si>
    <t>2674.95</t>
  </si>
  <si>
    <t>75987.83</t>
  </si>
  <si>
    <t>5397.11</t>
  </si>
  <si>
    <t>199084.87</t>
  </si>
  <si>
    <t>245.10</t>
  </si>
  <si>
    <t>12443.67</t>
  </si>
  <si>
    <t>773.20</t>
  </si>
  <si>
    <t>25513.02</t>
  </si>
  <si>
    <t>1018.29</t>
  </si>
  <si>
    <t>37956.69</t>
  </si>
  <si>
    <t>2016.80</t>
  </si>
  <si>
    <t>240345.40</t>
  </si>
  <si>
    <t>3740.33</t>
  </si>
  <si>
    <t>672989.44</t>
  </si>
  <si>
    <t>2877.97</t>
  </si>
  <si>
    <t>6519050.58</t>
  </si>
  <si>
    <t>844.98</t>
  </si>
  <si>
    <t>7378947.64</t>
  </si>
  <si>
    <t>3722.95</t>
  </si>
  <si>
    <t>13897998.22</t>
  </si>
  <si>
    <t>956.67</t>
  </si>
  <si>
    <t>24737.44</t>
  </si>
  <si>
    <t>188377.24</t>
  </si>
  <si>
    <t>3411659.18</t>
  </si>
  <si>
    <t>10652.94</t>
  </si>
  <si>
    <t>709083.35</t>
  </si>
  <si>
    <t>199030.19</t>
  </si>
  <si>
    <t>4120742.54</t>
  </si>
  <si>
    <t>1248.95</t>
  </si>
  <si>
    <t>161580.13</t>
  </si>
  <si>
    <t>1865.64</t>
  </si>
  <si>
    <t>239513.52</t>
  </si>
  <si>
    <t>8724.20</t>
  </si>
  <si>
    <t>4329421.05</t>
  </si>
  <si>
    <t>133.29</t>
  </si>
  <si>
    <t>183.93</t>
  </si>
  <si>
    <t>458.71</t>
  </si>
  <si>
    <t>601415.35</t>
  </si>
  <si>
    <t>993.74</t>
  </si>
  <si>
    <t>5058.86</t>
  </si>
  <si>
    <t>827.76</t>
  </si>
  <si>
    <t>1581.87</t>
  </si>
  <si>
    <t>1821.50</t>
  </si>
  <si>
    <t>6640.73</t>
  </si>
  <si>
    <t>9537.91</t>
  </si>
  <si>
    <t>27625.55</t>
  </si>
  <si>
    <t>7716.41</t>
  </si>
  <si>
    <t>20984.83</t>
  </si>
  <si>
    <t>233364.66</t>
  </si>
  <si>
    <t>8078680.44</t>
  </si>
  <si>
    <t>315.76</t>
  </si>
  <si>
    <t>17580603.95</t>
  </si>
  <si>
    <t>1596099.85</t>
  </si>
  <si>
    <t>316.99</t>
  </si>
  <si>
    <t>19176703.79</t>
  </si>
  <si>
    <t>251651.77</t>
  </si>
  <si>
    <t>27760396.74</t>
  </si>
  <si>
    <t>252110.48</t>
  </si>
  <si>
    <t>28361812.09</t>
  </si>
  <si>
    <t>251793.49</t>
  </si>
  <si>
    <t>9185108.30</t>
  </si>
  <si>
    <t>217034.45</t>
  </si>
  <si>
    <t>2833481.26</t>
  </si>
  <si>
    <t>11.52</t>
  </si>
  <si>
    <t>13.62</t>
  </si>
  <si>
    <t>2119.52</t>
  </si>
  <si>
    <t>51080.84</t>
  </si>
  <si>
    <t>6.35</t>
  </si>
  <si>
    <t>364.27</t>
  </si>
  <si>
    <t>4145.12</t>
  </si>
  <si>
    <t>230241.73</t>
  </si>
  <si>
    <t>16.89</t>
  </si>
  <si>
    <t>859.42</t>
  </si>
  <si>
    <t>4168.36</t>
  </si>
  <si>
    <t>231465.42</t>
  </si>
  <si>
    <t>16.45</t>
  </si>
  <si>
    <t>636.22</t>
  </si>
  <si>
    <t>5855.08</t>
  </si>
  <si>
    <t>210426.61</t>
  </si>
  <si>
    <t>11010746.46</t>
  </si>
  <si>
    <t>1339432.61</t>
  </si>
  <si>
    <t>6696114.63</t>
  </si>
  <si>
    <t>17227563.99</t>
  </si>
  <si>
    <t>9192016.75</t>
  </si>
  <si>
    <t>1124767.49</t>
  </si>
  <si>
    <t>4.37</t>
  </si>
  <si>
    <t>29363077.94</t>
  </si>
  <si>
    <t>2503.95</t>
  </si>
  <si>
    <t>109856.58</t>
  </si>
  <si>
    <t>2434.00</t>
  </si>
  <si>
    <t>67435.41</t>
  </si>
  <si>
    <t>4937.96</t>
  </si>
  <si>
    <t>177291.98</t>
  </si>
  <si>
    <t>227.36</t>
  </si>
  <si>
    <t>11272.83</t>
  </si>
  <si>
    <t>689.77</t>
  </si>
  <si>
    <t>21861.80</t>
  </si>
  <si>
    <t>917.12</t>
  </si>
  <si>
    <t>33134.63</t>
  </si>
  <si>
    <t>1989.09</t>
  </si>
  <si>
    <t>235001.10</t>
  </si>
  <si>
    <t>3360.96</t>
  </si>
  <si>
    <t>642473.95</t>
  </si>
  <si>
    <t>2716.41</t>
  </si>
  <si>
    <t>6385271.93</t>
  </si>
  <si>
    <t>804.89</t>
  </si>
  <si>
    <t>7438766.36</t>
  </si>
  <si>
    <t>3521.30</t>
  </si>
  <si>
    <t>13824038.29</t>
  </si>
  <si>
    <t>867.37</t>
  </si>
  <si>
    <t>24595.40</t>
  </si>
  <si>
    <t>177117.33</t>
  </si>
  <si>
    <t>3228675.99</t>
  </si>
  <si>
    <t>9717.48</t>
  </si>
  <si>
    <t>685835.93</t>
  </si>
  <si>
    <t>186834.81</t>
  </si>
  <si>
    <t>3914511.92</t>
  </si>
  <si>
    <t>1702.37</t>
  </si>
  <si>
    <t>164970.13</t>
  </si>
  <si>
    <t>1849.39</t>
  </si>
  <si>
    <t>234191.14</t>
  </si>
  <si>
    <t>8122.47</t>
  </si>
  <si>
    <t>4251140.62</t>
  </si>
  <si>
    <t>123.25</t>
  </si>
  <si>
    <t>173.74</t>
  </si>
  <si>
    <t>430.51</t>
  </si>
  <si>
    <t>579783.14</t>
  </si>
  <si>
    <t>913.68</t>
  </si>
  <si>
    <t>4712.76</t>
  </si>
  <si>
    <t>793.50</t>
  </si>
  <si>
    <t>1426.88</t>
  </si>
  <si>
    <t>1707.18</t>
  </si>
  <si>
    <t>6139.64</t>
  </si>
  <si>
    <t>8359.24</t>
  </si>
  <si>
    <t>25969.03</t>
  </si>
  <si>
    <t>6652.06</t>
  </si>
  <si>
    <t>19829.39</t>
  </si>
  <si>
    <t>219247.40</t>
  </si>
  <si>
    <t>7793908.46</t>
  </si>
  <si>
    <t>304.72</t>
  </si>
  <si>
    <t>17509377.04</t>
  </si>
  <si>
    <t>1350041.20</t>
  </si>
  <si>
    <t>305.85</t>
  </si>
  <si>
    <t>18859418.25</t>
  </si>
  <si>
    <t>235756.65</t>
  </si>
  <si>
    <t>27124723.44</t>
  </si>
  <si>
    <t>236187.16</t>
  </si>
  <si>
    <t>27704506.58</t>
  </si>
  <si>
    <t>235881.31</t>
  </si>
  <si>
    <t>8845088.34</t>
  </si>
  <si>
    <t>203941.84</t>
  </si>
  <si>
    <t>2684229.30</t>
  </si>
  <si>
    <t>24.72</t>
  </si>
  <si>
    <t>15.78</t>
  </si>
  <si>
    <t>3335.83</t>
  </si>
  <si>
    <t>83656.42</t>
  </si>
  <si>
    <t>7.08</t>
  </si>
  <si>
    <t>407.59</t>
  </si>
  <si>
    <t>4439.99</t>
  </si>
  <si>
    <t>248419.04</t>
  </si>
  <si>
    <t>17.97</t>
  </si>
  <si>
    <t>935.30</t>
  </si>
  <si>
    <t>4465.04</t>
  </si>
  <si>
    <t>249761.93</t>
  </si>
  <si>
    <t>20.99</t>
  </si>
  <si>
    <t>800.16</t>
  </si>
  <si>
    <t>6787.94</t>
  </si>
  <si>
    <t>257443.08</t>
  </si>
  <si>
    <t>13006221.90</t>
  </si>
  <si>
    <t>1200663.00</t>
  </si>
  <si>
    <t>6833924.21</t>
  </si>
  <si>
    <t>16548550.47</t>
  </si>
  <si>
    <t>8513963.25</t>
  </si>
  <si>
    <t>1264482.11</t>
  </si>
  <si>
    <t>30819254.48</t>
  </si>
  <si>
    <t>2934.41</t>
  </si>
  <si>
    <t>141024.24</t>
  </si>
  <si>
    <t>2840.35</t>
  </si>
  <si>
    <t>78470.45</t>
  </si>
  <si>
    <t>5774.77</t>
  </si>
  <si>
    <t>219494.69</t>
  </si>
  <si>
    <t>263.85</t>
  </si>
  <si>
    <t>13601.94</t>
  </si>
  <si>
    <t>749.32</t>
  </si>
  <si>
    <t>24346.45</t>
  </si>
  <si>
    <t>1013.17</t>
  </si>
  <si>
    <t>37948.39</t>
  </si>
  <si>
    <t>2075.65</t>
  </si>
  <si>
    <t>257724.32</t>
  </si>
  <si>
    <t>3656.79</t>
  </si>
  <si>
    <t>740176.18</t>
  </si>
  <si>
    <t>2980.72</t>
  </si>
  <si>
    <t>7982707.63</t>
  </si>
  <si>
    <t>8836592.34</t>
  </si>
  <si>
    <t>3869.61</t>
  </si>
  <si>
    <t>16819299.97</t>
  </si>
  <si>
    <t>1075.37</t>
  </si>
  <si>
    <t>30528.57</t>
  </si>
  <si>
    <t>198001.67</t>
  </si>
  <si>
    <t>3622707.13</t>
  </si>
  <si>
    <t>10802.29</t>
  </si>
  <si>
    <t>764233.06</t>
  </si>
  <si>
    <t>208803.96</t>
  </si>
  <si>
    <t>4386940.20</t>
  </si>
  <si>
    <t>1561.87</t>
  </si>
  <si>
    <t>181678.12</t>
  </si>
  <si>
    <t>1927.45</t>
  </si>
  <si>
    <t>256743.80</t>
  </si>
  <si>
    <t>9390.43</t>
  </si>
  <si>
    <t>5661604.25</t>
  </si>
  <si>
    <t>127.21</t>
  </si>
  <si>
    <t>180.36</t>
  </si>
  <si>
    <t>491.89</t>
  </si>
  <si>
    <t>691723.00</t>
  </si>
  <si>
    <t>1.70</t>
  </si>
  <si>
    <t>994.59</t>
  </si>
  <si>
    <t>4771.49</t>
  </si>
  <si>
    <t>795.76</t>
  </si>
  <si>
    <t>1342.69</t>
  </si>
  <si>
    <t>1790.35</t>
  </si>
  <si>
    <t>6114.18</t>
  </si>
  <si>
    <t>8749.63</t>
  </si>
  <si>
    <t>28562.52</t>
  </si>
  <si>
    <t>6959.28</t>
  </si>
  <si>
    <t>22448.34</t>
  </si>
  <si>
    <t>244356.27</t>
  </si>
  <si>
    <t>9619672.78</t>
  </si>
  <si>
    <t>366.26</t>
  </si>
  <si>
    <t>22131383.57</t>
  </si>
  <si>
    <t>1627375.33</t>
  </si>
  <si>
    <t>367.45</t>
  </si>
  <si>
    <t>23758758.90</t>
  </si>
  <si>
    <t>262336.94</t>
  </si>
  <si>
    <t>33922161.60</t>
  </si>
  <si>
    <t>262828.83</t>
  </si>
  <si>
    <t>34613884.60</t>
  </si>
  <si>
    <t>262461.38</t>
  </si>
  <si>
    <t>10855125.70</t>
  </si>
  <si>
    <t>226411.08</t>
  </si>
  <si>
    <t>2952542.03</t>
  </si>
  <si>
    <t>12.89</t>
  </si>
  <si>
    <t>16.53</t>
  </si>
  <si>
    <t>2372.04</t>
  </si>
  <si>
    <t>44625.23</t>
  </si>
  <si>
    <t>365.11</t>
  </si>
  <si>
    <t>4103.23</t>
  </si>
  <si>
    <t>229849.47</t>
  </si>
  <si>
    <t>17.32</t>
  </si>
  <si>
    <t>910.67</t>
  </si>
  <si>
    <t>4126.95</t>
  </si>
  <si>
    <t>231125.24</t>
  </si>
  <si>
    <t>849.88</t>
  </si>
  <si>
    <t>6570.42</t>
  </si>
  <si>
    <t>234176.51</t>
  </si>
  <si>
    <t>2.81</t>
  </si>
  <si>
    <t>14216020.31</t>
  </si>
  <si>
    <t>1351981.97</t>
  </si>
  <si>
    <t>6706601.91</t>
  </si>
  <si>
    <t>16817587.88</t>
  </si>
  <si>
    <t>8759004.00</t>
  </si>
  <si>
    <t>1256907.60</t>
  </si>
  <si>
    <t>4.65</t>
  </si>
  <si>
    <t>32290515.79</t>
  </si>
  <si>
    <t>2839.71</t>
  </si>
  <si>
    <t>123439.08</t>
  </si>
  <si>
    <t>2755.56</t>
  </si>
  <si>
    <t>73834.69</t>
  </si>
  <si>
    <t>5595.27</t>
  </si>
  <si>
    <t>197273.76</t>
  </si>
  <si>
    <t>257.09</t>
  </si>
  <si>
    <t>12633.32</t>
  </si>
  <si>
    <t>24269.43</t>
  </si>
  <si>
    <t>975.14</t>
  </si>
  <si>
    <t>36902.74</t>
  </si>
  <si>
    <t>2031.08</t>
  </si>
  <si>
    <t>241715.16</t>
  </si>
  <si>
    <t>3624.87</t>
  </si>
  <si>
    <t>700909.17</t>
  </si>
  <si>
    <t>2650.67</t>
  </si>
  <si>
    <t>6596809.89</t>
  </si>
  <si>
    <t>760.41</t>
  </si>
  <si>
    <t>7034309.69</t>
  </si>
  <si>
    <t>3411.08</t>
  </si>
  <si>
    <t>13631119.58</t>
  </si>
  <si>
    <t>903.83</t>
  </si>
  <si>
    <t>26213.97</t>
  </si>
  <si>
    <t>196287.56</t>
  </si>
  <si>
    <t>3478372.69</t>
  </si>
  <si>
    <t>10611.15</t>
  </si>
  <si>
    <t>711134.17</t>
  </si>
  <si>
    <t>206898.70</t>
  </si>
  <si>
    <t>4189506.86</t>
  </si>
  <si>
    <t>1031.28</t>
  </si>
  <si>
    <t>167522.86</t>
  </si>
  <si>
    <t>1883.26</t>
  </si>
  <si>
    <t>240687.00</t>
  </si>
  <si>
    <t>8330.47</t>
  </si>
  <si>
    <t>4424471.09</t>
  </si>
  <si>
    <t>126.56</t>
  </si>
  <si>
    <t>178.28</t>
  </si>
  <si>
    <t>454.32</t>
  </si>
  <si>
    <t>693189.64</t>
  </si>
  <si>
    <t>995.17</t>
  </si>
  <si>
    <t>4679.96</t>
  </si>
  <si>
    <t>809.55</t>
  </si>
  <si>
    <t>1244.07</t>
  </si>
  <si>
    <t>1804.72</t>
  </si>
  <si>
    <t>5924.03</t>
  </si>
  <si>
    <t>8573.06</t>
  </si>
  <si>
    <t>28124.58</t>
  </si>
  <si>
    <t>6768.34</t>
  </si>
  <si>
    <t>22200.55</t>
  </si>
  <si>
    <t>238826.91</t>
  </si>
  <si>
    <t>8240532.93</t>
  </si>
  <si>
    <t>314.47</t>
  </si>
  <si>
    <t>17613013.84</t>
  </si>
  <si>
    <t>1635575.71</t>
  </si>
  <si>
    <t>315.56</t>
  </si>
  <si>
    <t>19248589.56</t>
  </si>
  <si>
    <t>256317.02</t>
  </si>
  <si>
    <t>27993138.73</t>
  </si>
  <si>
    <t>256771.34</t>
  </si>
  <si>
    <t>28686328.37</t>
  </si>
  <si>
    <t>256455.78</t>
  </si>
  <si>
    <t>9437738.82</t>
  </si>
  <si>
    <t>223467.97</t>
  </si>
  <si>
    <t>2902988.05</t>
  </si>
  <si>
    <t>11.90</t>
  </si>
  <si>
    <t>2048.40</t>
  </si>
  <si>
    <t>62137.27</t>
  </si>
  <si>
    <t>366.42</t>
  </si>
  <si>
    <t>4152.55</t>
  </si>
  <si>
    <t>230088.48</t>
  </si>
  <si>
    <t>17.43</t>
  </si>
  <si>
    <t>885.32</t>
  </si>
  <si>
    <t>4176.39</t>
  </si>
  <si>
    <t>231340.23</t>
  </si>
  <si>
    <t>27.29</t>
  </si>
  <si>
    <t>967.79</t>
  </si>
  <si>
    <t>6953.63</t>
  </si>
  <si>
    <t>238162.51</t>
  </si>
  <si>
    <t>2.96</t>
  </si>
  <si>
    <t>12462095.76</t>
  </si>
  <si>
    <t>1254908.05</t>
  </si>
  <si>
    <t>6790220.22</t>
  </si>
  <si>
    <t>18071699.67</t>
  </si>
  <si>
    <t>10026571.40</t>
  </si>
  <si>
    <t>1591590.65</t>
  </si>
  <si>
    <t>32125386.08</t>
  </si>
  <si>
    <t>3051.38</t>
  </si>
  <si>
    <t>126646.94</t>
  </si>
  <si>
    <t>2903.64</t>
  </si>
  <si>
    <t>76095.13</t>
  </si>
  <si>
    <t>5955.02</t>
  </si>
  <si>
    <t>202742.07</t>
  </si>
  <si>
    <t>260.83</t>
  </si>
  <si>
    <t>13233.35</t>
  </si>
  <si>
    <t>737.79</t>
  </si>
  <si>
    <t>22187.09</t>
  </si>
  <si>
    <t>998.62</t>
  </si>
  <si>
    <t>35420.44</t>
  </si>
  <si>
    <t>2087.74</t>
  </si>
  <si>
    <t>247007.13</t>
  </si>
  <si>
    <t>3580.97</t>
  </si>
  <si>
    <t>695701.33</t>
  </si>
  <si>
    <t>2466.02</t>
  </si>
  <si>
    <t>6055576.09</t>
  </si>
  <si>
    <t>629.92</t>
  </si>
  <si>
    <t>5181064.01</t>
  </si>
  <si>
    <t>3095.94</t>
  </si>
  <si>
    <t>11236640.10</t>
  </si>
  <si>
    <t>844.66</t>
  </si>
  <si>
    <t>23729.32</t>
  </si>
  <si>
    <t>188215.03</t>
  </si>
  <si>
    <t>3246782.21</t>
  </si>
  <si>
    <t>10985.43</t>
  </si>
  <si>
    <t>704119.78</t>
  </si>
  <si>
    <t>199200.46</t>
  </si>
  <si>
    <t>3950901.99</t>
  </si>
  <si>
    <t>740.50</t>
  </si>
  <si>
    <t>154627.84</t>
  </si>
  <si>
    <t>1897.25</t>
  </si>
  <si>
    <t>245849.10</t>
  </si>
  <si>
    <t>8496.29</t>
  </si>
  <si>
    <t>4232611.36</t>
  </si>
  <si>
    <t>163.20</t>
  </si>
  <si>
    <t>190.24</t>
  </si>
  <si>
    <t>419.39</t>
  </si>
  <si>
    <t>596835.27</t>
  </si>
  <si>
    <t>1107.88</t>
  </si>
  <si>
    <t>5357.69</t>
  </si>
  <si>
    <t>781.94</t>
  </si>
  <si>
    <t>1407.96</t>
  </si>
  <si>
    <t>1889.82</t>
  </si>
  <si>
    <t>6765.65</t>
  </si>
  <si>
    <t>9022.57</t>
  </si>
  <si>
    <t>29442.73</t>
  </si>
  <si>
    <t>7132.74</t>
  </si>
  <si>
    <t>22677.08</t>
  </si>
  <si>
    <t>246885.68</t>
  </si>
  <si>
    <t>8135516.25</t>
  </si>
  <si>
    <t>314.27</t>
  </si>
  <si>
    <t>17246273.80</t>
  </si>
  <si>
    <t>1372402.44</t>
  </si>
  <si>
    <t>315.38</t>
  </si>
  <si>
    <t>18618676.24</t>
  </si>
  <si>
    <t>265265.00</t>
  </si>
  <si>
    <t>27268804.86</t>
  </si>
  <si>
    <t>265684.39</t>
  </si>
  <si>
    <t>27865640.13</t>
  </si>
  <si>
    <t>265369.01</t>
  </si>
  <si>
    <t>9246963.89</t>
  </si>
  <si>
    <t>232019.28</t>
  </si>
  <si>
    <t>2990424.18</t>
  </si>
  <si>
    <t>12.78</t>
  </si>
  <si>
    <t>13.04</t>
  </si>
  <si>
    <t>3151.62</t>
  </si>
  <si>
    <t>62653.15</t>
  </si>
  <si>
    <t>6.30</t>
  </si>
  <si>
    <t>356.52</t>
  </si>
  <si>
    <t>3984.29</t>
  </si>
  <si>
    <t>216358.54</t>
  </si>
  <si>
    <t>17.19</t>
  </si>
  <si>
    <t>879.74</t>
  </si>
  <si>
    <t>4007.78</t>
  </si>
  <si>
    <t>217594.80</t>
  </si>
  <si>
    <t>32.30</t>
  </si>
  <si>
    <t>1079.23</t>
  </si>
  <si>
    <t>6783.52</t>
  </si>
  <si>
    <t>236660.24</t>
  </si>
  <si>
    <t>14283593.17</t>
  </si>
  <si>
    <t>1726963.65</t>
  </si>
  <si>
    <t>7575558.39</t>
  </si>
  <si>
    <t>2.03</t>
  </si>
  <si>
    <t>19743615.74</t>
  </si>
  <si>
    <t>10441093.70</t>
  </si>
  <si>
    <t>1268011.11</t>
  </si>
  <si>
    <t>5.60</t>
  </si>
  <si>
    <t>35295220.02</t>
  </si>
  <si>
    <t>2956.95</t>
  </si>
  <si>
    <t>127099.61</t>
  </si>
  <si>
    <t>2855.64</t>
  </si>
  <si>
    <t>74262.07</t>
  </si>
  <si>
    <t>5812.59</t>
  </si>
  <si>
    <t>201361.67</t>
  </si>
  <si>
    <t>13606.71</t>
  </si>
  <si>
    <t>712.56</t>
  </si>
  <si>
    <t>21691.86</t>
  </si>
  <si>
    <t>970.93</t>
  </si>
  <si>
    <t>35298.57</t>
  </si>
  <si>
    <t>2094.13</t>
  </si>
  <si>
    <t>260336.97</t>
  </si>
  <si>
    <t>3539.18</t>
  </si>
  <si>
    <t>676543.02</t>
  </si>
  <si>
    <t>2530.91</t>
  </si>
  <si>
    <t>7130417.76</t>
  </si>
  <si>
    <t>651.68</t>
  </si>
  <si>
    <t>6035122.98</t>
  </si>
  <si>
    <t>3182.59</t>
  </si>
  <si>
    <t>13165540.74</t>
  </si>
  <si>
    <t>928.19</t>
  </si>
  <si>
    <t>24411.36</t>
  </si>
  <si>
    <t>184510.38</t>
  </si>
  <si>
    <t>3190653.81</t>
  </si>
  <si>
    <t>10719.64</t>
  </si>
  <si>
    <t>723072.91</t>
  </si>
  <si>
    <t>195230.02</t>
  </si>
  <si>
    <t>3913726.71</t>
  </si>
  <si>
    <t>1192.32</t>
  </si>
  <si>
    <t>170435.59</t>
  </si>
  <si>
    <t>1912.95</t>
  </si>
  <si>
    <t>259076.12</t>
  </si>
  <si>
    <t>8582.30</t>
  </si>
  <si>
    <t>4453676.99</t>
  </si>
  <si>
    <t>148.88</t>
  </si>
  <si>
    <t>181.62</t>
  </si>
  <si>
    <t>425.55</t>
  </si>
  <si>
    <t>607843.41</t>
  </si>
  <si>
    <t>1109.21</t>
  </si>
  <si>
    <t>5182.03</t>
  </si>
  <si>
    <t>794.48</t>
  </si>
  <si>
    <t>1342.78</t>
  </si>
  <si>
    <t>1903.69</t>
  </si>
  <si>
    <t>6524.81</t>
  </si>
  <si>
    <t>8887.79</t>
  </si>
  <si>
    <t>27494.85</t>
  </si>
  <si>
    <t>6984.10</t>
  </si>
  <si>
    <t>20970.04</t>
  </si>
  <si>
    <t>243626.31</t>
  </si>
  <si>
    <t>8255460.45</t>
  </si>
  <si>
    <t>318.14</t>
  </si>
  <si>
    <t>21210782.77</t>
  </si>
  <si>
    <t>1773356.93</t>
  </si>
  <si>
    <t>319.29</t>
  </si>
  <si>
    <t>22984139.71</t>
  </si>
  <si>
    <t>261711.04</t>
  </si>
  <si>
    <t>31764092.22</t>
  </si>
  <si>
    <t>262136.59</t>
  </si>
  <si>
    <t>32371935.63</t>
  </si>
  <si>
    <t>261817.30</t>
  </si>
  <si>
    <t>9387795.93</t>
  </si>
  <si>
    <t>227160.66</t>
  </si>
  <si>
    <t>2892138.66</t>
  </si>
  <si>
    <t>12.74</t>
  </si>
  <si>
    <t>11.99</t>
  </si>
  <si>
    <t>2667.40</t>
  </si>
  <si>
    <t>54236.36</t>
  </si>
  <si>
    <t>6.53</t>
  </si>
  <si>
    <t>372.18</t>
  </si>
  <si>
    <t>4052.01</t>
  </si>
  <si>
    <t>219308.29</t>
  </si>
  <si>
    <t>17.70</t>
  </si>
  <si>
    <t>911.80</t>
  </si>
  <si>
    <t>4076.24</t>
  </si>
  <si>
    <t>220592.28</t>
  </si>
  <si>
    <t>24.42</t>
  </si>
  <si>
    <t>778.05</t>
  </si>
  <si>
    <t>7068.23</t>
  </si>
  <si>
    <t>246118.16</t>
  </si>
  <si>
    <t>3.35</t>
  </si>
  <si>
    <t>14024461.46</t>
  </si>
  <si>
    <t>1759883.98</t>
  </si>
  <si>
    <t>8251952.88</t>
  </si>
  <si>
    <t>20968267.26</t>
  </si>
  <si>
    <t>10956430.40</t>
  </si>
  <si>
    <t>1272748.23</t>
  </si>
  <si>
    <t>5.84</t>
  </si>
  <si>
    <t>36265476.95</t>
  </si>
  <si>
    <t>3115.33</t>
  </si>
  <si>
    <t>132445.33</t>
  </si>
  <si>
    <t>2937.34</t>
  </si>
  <si>
    <t>75740.37</t>
  </si>
  <si>
    <t>6052.67</t>
  </si>
  <si>
    <t>208185.70</t>
  </si>
  <si>
    <t>274.35</t>
  </si>
  <si>
    <t>15756.65</t>
  </si>
  <si>
    <t>741.21</t>
  </si>
  <si>
    <t>22175.81</t>
  </si>
  <si>
    <t>1015.56</t>
  </si>
  <si>
    <t>37932.46</t>
  </si>
  <si>
    <t>2100.53</t>
  </si>
  <si>
    <t>262335.70</t>
  </si>
  <si>
    <t>3643.39</t>
  </si>
  <si>
    <t>711704.37</t>
  </si>
  <si>
    <t>2776.13</t>
  </si>
  <si>
    <t>7137625.93</t>
  </si>
  <si>
    <t>703.39</t>
  </si>
  <si>
    <t>5969791.18</t>
  </si>
  <si>
    <t>3479.52</t>
  </si>
  <si>
    <t>13107417.10</t>
  </si>
  <si>
    <t>965.01</t>
  </si>
  <si>
    <t>26169.83</t>
  </si>
  <si>
    <t>192974.77</t>
  </si>
  <si>
    <t>3316469.15</t>
  </si>
  <si>
    <t>11190.58</t>
  </si>
  <si>
    <t>752049.45</t>
  </si>
  <si>
    <t>204165.35</t>
  </si>
  <si>
    <t>4068518.60</t>
  </si>
  <si>
    <t>1196.70</t>
  </si>
  <si>
    <t>177250.76</t>
  </si>
  <si>
    <t>1933.17</t>
  </si>
  <si>
    <t>261380.80</t>
  </si>
  <si>
    <t>8970.05</t>
  </si>
  <si>
    <t>4661075.50</t>
  </si>
  <si>
    <t>142.94</t>
  </si>
  <si>
    <t>176.85</t>
  </si>
  <si>
    <t>446.78</t>
  </si>
  <si>
    <t>643872.60</t>
  </si>
  <si>
    <t>1266.14</t>
  </si>
  <si>
    <t>5471.53</t>
  </si>
  <si>
    <t>839.65</t>
  </si>
  <si>
    <t>1246.50</t>
  </si>
  <si>
    <t>2105.78</t>
  </si>
  <si>
    <t>6718.03</t>
  </si>
  <si>
    <t>9253.65</t>
  </si>
  <si>
    <t>28606.76</t>
  </si>
  <si>
    <t>7147.86</t>
  </si>
  <si>
    <t>21888.73</t>
  </si>
  <si>
    <t>253061.29</t>
  </si>
  <si>
    <t>8592159.46</t>
  </si>
  <si>
    <t>331.95</t>
  </si>
  <si>
    <t>20378016.89</t>
  </si>
  <si>
    <t>1929089.64</t>
  </si>
  <si>
    <t>333.10</t>
  </si>
  <si>
    <t>22307106.53</t>
  </si>
  <si>
    <t>271816.80</t>
  </si>
  <si>
    <t>31436326.61</t>
  </si>
  <si>
    <t>272263.58</t>
  </si>
  <si>
    <t>32080199.21</t>
  </si>
  <si>
    <t>271930.47</t>
  </si>
  <si>
    <t>9773092.69</t>
  </si>
  <si>
    <t>236583.53</t>
  </si>
  <si>
    <t>2987880.48</t>
  </si>
  <si>
    <t>12.88</t>
  </si>
  <si>
    <t>exception_id</t>
  </si>
  <si>
    <t>source_column</t>
  </si>
  <si>
    <t>raw_value</t>
  </si>
  <si>
    <t>cleaned_value</t>
  </si>
  <si>
    <t>exception_category</t>
  </si>
  <si>
    <t>severity</t>
  </si>
  <si>
    <t>resolution_applied</t>
  </si>
  <si>
    <t>audit_justification</t>
  </si>
  <si>
    <t>EXC_0036</t>
  </si>
  <si>
    <t>c140</t>
  </si>
  <si>
    <t>UPI_QR_STATIC_DEPLOYED</t>
  </si>
  <si>
    <t>7 UPI QR *</t>
  </si>
  <si>
    <t>PRE_LAUNCH_TRACKING</t>
  </si>
  <si>
    <t>INFO</t>
  </si>
  <si>
    <t>Preserved as NaN/None with PRE_LAUNCH flag</t>
  </si>
  <si>
    <t>Tracking officially commenced in September 2020 per RBI footnote marker (*).</t>
  </si>
  <si>
    <t>EXC_0035</t>
  </si>
  <si>
    <t>EXC_0034</t>
  </si>
  <si>
    <t>EXC_0033</t>
  </si>
  <si>
    <t>EXC_0032</t>
  </si>
  <si>
    <t>EXC_0031</t>
  </si>
  <si>
    <t>EXC_0030</t>
  </si>
  <si>
    <t>EXC_0029</t>
  </si>
  <si>
    <t>EXC_0028</t>
  </si>
  <si>
    <t>EXC_0027</t>
  </si>
  <si>
    <t>EXC_0026</t>
  </si>
  <si>
    <t>MISSING_TOTAL_IMPUTATION</t>
  </si>
  <si>
    <t>MEDIUM</t>
  </si>
  <si>
    <t>Imputed component sum: Wallets (c66) + PPI Cards (c68)</t>
  </si>
  <si>
    <t>Raw source reported '-' for PPI total volume in Sep-2023 while reported value (23667.78) matches Wallets value (19944.07) + Cards value (3723.71) = 23667.78. Arithmetic and structure justify imputation.</t>
  </si>
  <si>
    <t>EXC_0025</t>
  </si>
  <si>
    <t>c141</t>
  </si>
  <si>
    <t>3379.94</t>
  </si>
  <si>
    <t>DISPLACED_INFRASTRUCTURE_VALUE</t>
  </si>
  <si>
    <t>HIGH</t>
  </si>
  <si>
    <t>Preserved raw value in raw_value_str; flagged record; excluded from count metrics</t>
  </si>
  <si>
    <t>UPI QR code count is stored in c140 (3213.79 Lakh). The non-zero value in c141 (3379.94) represents an uncorrected upstream reporting artifact / next-month volume displacement. Infrastructure has no rupee monetary value.</t>
  </si>
  <si>
    <t>EXC_0024</t>
  </si>
  <si>
    <t>3540.62</t>
  </si>
  <si>
    <t>UPI QR code count is stored in c140 (3371.80 Lakh). The non-zero value in c141 (3540.62) represents an uncorrected upstream reporting artifact / next-month volume displacement. Infrastructure has no rupee monetary value.</t>
  </si>
  <si>
    <t>EXC_0023</t>
  </si>
  <si>
    <t>3606.58</t>
  </si>
  <si>
    <t>UPI QR code count is stored in c140 (3434.93 Lakh). The non-zero value in c141 (3606.58) represents an uncorrected upstream reporting artifact / next-month volume displacement. Infrastructure has no rupee monetary value.</t>
  </si>
  <si>
    <t>EXC_0022</t>
  </si>
  <si>
    <t>5766.33</t>
  </si>
  <si>
    <t>UPI QR code count is stored in c140 (5597.20 Lakh). The non-zero value in c141 (5766.33) represents an uncorrected upstream reporting artifact / next-month volume displacement. Infrastructure has no rupee monetary value.</t>
  </si>
  <si>
    <t>EXC_0021</t>
  </si>
  <si>
    <t>5858.35</t>
  </si>
  <si>
    <t>UPI QR code count is stored in c140 (5690.84 Lakh). The non-zero value in c141 (5858.35) represents an uncorrected upstream reporting artifact / next-month volume displacement. Infrastructure has no rupee monetary value.</t>
  </si>
  <si>
    <t>EXC_0020</t>
  </si>
  <si>
    <t>5939.27</t>
  </si>
  <si>
    <t>UPI QR code count is stored in c140 (5770.15 Lakh). The non-zero value in c141 (5939.27) represents an uncorrected upstream reporting artifact / next-month volume displacement. Infrastructure has no rupee monetary value.</t>
  </si>
  <si>
    <t>EXC_0019</t>
  </si>
  <si>
    <t>6020.06</t>
  </si>
  <si>
    <t>UPI QR code count is stored in c140 (5851.14 Lakh). The non-zero value in c141 (6020.06) represents an uncorrected upstream reporting artifact / next-month volume displacement. Infrastructure has no rupee monetary value.</t>
  </si>
  <si>
    <t>EXC_0018</t>
  </si>
  <si>
    <t>6086.94</t>
  </si>
  <si>
    <t>UPI QR code count is stored in c140 (5912.93 Lakh). The non-zero value in c141 (6086.94) represents an uncorrected upstream reporting artifact / next-month volume displacement. Infrastructure has no rupee monetary value.</t>
  </si>
  <si>
    <t>EXC_0017</t>
  </si>
  <si>
    <t>6245.46</t>
  </si>
  <si>
    <t>UPI QR code count is stored in c140 (6070.79 Lakh). The non-zero value in c141 (6245.46) represents an uncorrected upstream reporting artifact / next-month volume displacement. Infrastructure has no rupee monetary value.</t>
  </si>
  <si>
    <t>EXC_0016</t>
  </si>
  <si>
    <t>6344.98</t>
  </si>
  <si>
    <t>UPI QR code count is stored in c140 (6168.52 Lakh). The non-zero value in c141 (6344.98) represents an uncorrected upstream reporting artifact / next-month volume displacement. Infrastructure has no rupee monetary value.</t>
  </si>
  <si>
    <t>EXC_0015</t>
  </si>
  <si>
    <t>6439.37</t>
  </si>
  <si>
    <t>UPI QR code count is stored in c140 (6261.80 Lakh). The non-zero value in c141 (6439.37) represents an uncorrected upstream reporting artifact / next-month volume displacement. Infrastructure has no rupee monetary value.</t>
  </si>
  <si>
    <t>EXC_0014</t>
  </si>
  <si>
    <t>6516.44</t>
  </si>
  <si>
    <t>UPI QR code count is stored in c140 (6335.30 Lakh). The non-zero value in c141 (6516.44) represents an uncorrected upstream reporting artifact / next-month volume displacement. Infrastructure has no rupee monetary value.</t>
  </si>
  <si>
    <t>EXC_0013</t>
  </si>
  <si>
    <t>6586.92</t>
  </si>
  <si>
    <t>UPI QR code count is stored in c140 (6401.65 Lakh). The non-zero value in c141 (6586.92) represents an uncorrected upstream reporting artifact / next-month volume displacement. Infrastructure has no rupee monetary value.</t>
  </si>
  <si>
    <t>EXC_0012</t>
  </si>
  <si>
    <t>6686.82</t>
  </si>
  <si>
    <t>UPI QR code count is stored in c140 (6496.91 Lakh). The non-zero value in c141 (6686.82) represents an uncorrected upstream reporting artifact / next-month volume displacement. Infrastructure has no rupee monetary value.</t>
  </si>
  <si>
    <t>EXC_0011</t>
  </si>
  <si>
    <t>6774.83</t>
  </si>
  <si>
    <t>UPI QR code count is stored in c140 (6579.30 Lakh). The non-zero value in c141 (6774.83) represents an uncorrected upstream reporting artifact / next-month volume displacement. Infrastructure has no rupee monetary value.</t>
  </si>
  <si>
    <t>EXC_0010</t>
  </si>
  <si>
    <t>6820.61</t>
  </si>
  <si>
    <t>UPI QR code count is stored in c140 (6623.85 Lakh). The non-zero value in c141 (6820.61) represents an uncorrected upstream reporting artifact / next-month volume displacement. Infrastructure has no rupee monetary value.</t>
  </si>
  <si>
    <t>EXC_0009</t>
  </si>
  <si>
    <t>6896.88</t>
  </si>
  <si>
    <t>UPI QR code count is stored in c140 (6697.30 Lakh). The non-zero value in c141 (6896.88) represents an uncorrected upstream reporting artifact / next-month volume displacement. Infrastructure has no rupee monetary value.</t>
  </si>
  <si>
    <t>EXC_0008</t>
  </si>
  <si>
    <t>6983.53</t>
  </si>
  <si>
    <t>UPI QR code count is stored in c140 (6781.61 Lakh). The non-zero value in c141 (6983.53) represents an uncorrected upstream reporting artifact / next-month volume displacement. Infrastructure has no rupee monetary value.</t>
  </si>
  <si>
    <t>EXC_0007</t>
  </si>
  <si>
    <t>7083.01</t>
  </si>
  <si>
    <t>UPI QR code count is stored in c140 (6880.31 Lakh). The non-zero value in c141 (7083.01) represents an uncorrected upstream reporting artifact / next-month volume displacement. Infrastructure has no rupee monetary value.</t>
  </si>
  <si>
    <t>EXC_0006</t>
  </si>
  <si>
    <t>7180.05</t>
  </si>
  <si>
    <t>UPI QR code count is stored in c140 (6977.47 Lakh). The non-zero value in c141 (7180.05) represents an uncorrected upstream reporting artifact / next-month volume displacement. Infrastructure has no rupee monetary value.</t>
  </si>
  <si>
    <t>EXC_0005</t>
  </si>
  <si>
    <t>7288.70</t>
  </si>
  <si>
    <t>UPI QR code count is stored in c140 (7089.75 Lakh). The non-zero value in c141 (7288.70) represents an uncorrected upstream reporting artifact / next-month volume displacement. Infrastructure has no rupee monetary value.</t>
  </si>
  <si>
    <t>EXC_0004</t>
  </si>
  <si>
    <t>7375.04</t>
  </si>
  <si>
    <t>UPI QR code count is stored in c140 (7174.34 Lakh). The non-zero value in c141 (7375.04) represents an uncorrected upstream reporting artifact / next-month volume displacement. Infrastructure has no rupee monetary value.</t>
  </si>
  <si>
    <t>EXC_0003</t>
  </si>
  <si>
    <t>7470.83</t>
  </si>
  <si>
    <t>UPI QR code count is stored in c140 (7282.00 Lakh). The non-zero value in c141 (7470.83) represents an uncorrected upstream reporting artifact / next-month volume displacement. Infrastructure has no rupee monetary value.</t>
  </si>
  <si>
    <t>EXC_0002</t>
  </si>
  <si>
    <t>7503.95</t>
  </si>
  <si>
    <t>UPI QR code count is stored in c140 (7313.65 Lakh). The non-zero value in c141 (7503.95) represents an uncorrected upstream reporting artifact / next-month volume displacement. Infrastructure has no rupee monetary value.</t>
  </si>
  <si>
    <t>EXC_0001</t>
  </si>
  <si>
    <t>7574.12</t>
  </si>
  <si>
    <t>UPI QR code count is stored in c140 (7383.80 Lakh). The non-zero value in c141 (7574.12) represents an uncorrected upstream reporting artifact / next-month volume displacement. Infrastructure has no rupee monetary value.</t>
  </si>
  <si>
    <t>column_id</t>
  </si>
  <si>
    <t>column_index</t>
  </si>
  <si>
    <t>indicator_type</t>
  </si>
  <si>
    <t>metric_type</t>
  </si>
  <si>
    <t>unit_of_measurement</t>
  </si>
  <si>
    <t>ats_eligible</t>
  </si>
  <si>
    <t>footnote_symbols</t>
  </si>
  <si>
    <t>source_header_raw</t>
  </si>
  <si>
    <t>cleaning_action</t>
  </si>
  <si>
    <t>known_anomalies</t>
  </si>
  <si>
    <t>src_file</t>
  </si>
  <si>
    <t>SRC_FILE</t>
  </si>
  <si>
    <t>Source file identifier</t>
  </si>
  <si>
    <t>METADATA</t>
  </si>
  <si>
    <t>File Wrapper Metadata</t>
  </si>
  <si>
    <t>N/A</t>
  </si>
  <si>
    <t>Metadata</t>
  </si>
  <si>
    <t>Metadata Attribute</t>
  </si>
  <si>
    <t>Source attribution string</t>
  </si>
  <si>
    <t>Preserved for source traceability.</t>
  </si>
  <si>
    <t>None</t>
  </si>
  <si>
    <t>tab</t>
  </si>
  <si>
    <t>TAB</t>
  </si>
  <si>
    <t>Workbook worksheet tab name</t>
  </si>
  <si>
    <t>RBI tab name string</t>
  </si>
  <si>
    <t>period</t>
  </si>
  <si>
    <t>PERIOD</t>
  </si>
  <si>
    <t>Data release scope</t>
  </si>
  <si>
    <t>Historical span scope string</t>
  </si>
  <si>
    <t>row_no</t>
  </si>
  <si>
    <t>ROW_NO</t>
  </si>
  <si>
    <t>Sequential spreadsheet line index</t>
  </si>
  <si>
    <t>Integer line number (1-93)</t>
  </si>
  <si>
    <t>c1</t>
  </si>
  <si>
    <t>MONTH_YEAR</t>
  </si>
  <si>
    <t>Month/Year Observation Period</t>
  </si>
  <si>
    <t>TEMPORAL</t>
  </si>
  <si>
    <t>Temporal Dimension</t>
  </si>
  <si>
    <t>Calendar Time</t>
  </si>
  <si>
    <t>Dimension</t>
  </si>
  <si>
    <t>Date Anchor</t>
  </si>
  <si>
    <t>ISO Date (YYYY-MM-01)</t>
  </si>
  <si>
    <t>Month/Year</t>
  </si>
  <si>
    <t>Parsed MMM-YYYY strings to first day of month (YYYY-MM-01).</t>
  </si>
  <si>
    <t>Reverse chronological ordering in raw source (Jul-2026 to Nov-2019).</t>
  </si>
  <si>
    <t>CCIL_TOTAL_VOL</t>
  </si>
  <si>
    <t>1   CCIL Operated Systems (1.1 to 1.3) [Volume]</t>
  </si>
  <si>
    <t>TRANSACTION</t>
  </si>
  <si>
    <t>Transaction Volume</t>
  </si>
  <si>
    <t>Lakh (100,000 transactions)</t>
  </si>
  <si>
    <t>L4: A. Settlement Systems | L5: Financial Market Infrastructures (FMIs) | L6: 1   CCIL Operated Systems (1.1 to 1.3) | L7: Volume (Lakh)</t>
  </si>
  <si>
    <t>Parsed to numeric float. Converted '-' to NaN. Imputed Sep-2023 for PPI Total.</t>
  </si>
  <si>
    <t>CCIL_TOTAL_VAL</t>
  </si>
  <si>
    <t>1   CCIL Operated Systems (1.1 to 1.3) [Value]</t>
  </si>
  <si>
    <t>Transaction Value</t>
  </si>
  <si>
    <t>Rupees Crores (â‚¹ 10,000,000 INR)</t>
  </si>
  <si>
    <t>L4:  | L5:  | L6:  | L7: Value( Rupees Crores )</t>
  </si>
  <si>
    <t>Parsed to numeric float. Converted '-' to NaN.</t>
  </si>
  <si>
    <t>CCIL_GSEC_TOTAL_VOL</t>
  </si>
  <si>
    <t>1.1 Govt. Securities Clearing (1.1.1 to 1.1.3) [Volume]</t>
  </si>
  <si>
    <t>L4:  | L5:  | L6: 1.1 Govt. Securities Clearing (1.1.1 to 1.1.3) | L7: Volume (Lakh)</t>
  </si>
  <si>
    <t>CCIL_GSEC_TOTAL_VAL</t>
  </si>
  <si>
    <t>1.1 Govt. Securities Clearing (1.1.1 to 1.1.3) [Value]</t>
  </si>
  <si>
    <t>CCIL_GSEC_OUTRIGHT_VOL</t>
  </si>
  <si>
    <t>1.1.1 Outright [Volume]</t>
  </si>
  <si>
    <t>L4:  | L5:  | L6: 1.1.1 Outright | L7: Volume (Lakh)</t>
  </si>
  <si>
    <t>CCIL_GSEC_OUTRIGHT_VAL</t>
  </si>
  <si>
    <t>1.1.1 Outright [Value]</t>
  </si>
  <si>
    <t>CCIL_GSEC_REPO_VOL</t>
  </si>
  <si>
    <t>1.1.2 Repo [Volume]</t>
  </si>
  <si>
    <t>L4:  | L5:  | L6: 1.1.2 Repo | L7: Volume (Lakh)</t>
  </si>
  <si>
    <t>CCIL_GSEC_REPO_VAL</t>
  </si>
  <si>
    <t>1.1.2 Repo [Value]</t>
  </si>
  <si>
    <t>CCIL_GSEC_TRIPARTY_REPO_VOL</t>
  </si>
  <si>
    <t>1.1.3 Tri-party Repo [Volume]</t>
  </si>
  <si>
    <t>L4:  | L5:  | L6: 1.1.3 Tri-party Repo | L7: Volume (Lakh)</t>
  </si>
  <si>
    <t>CCIL_GSEC_TRIPARTY_REPO_VAL</t>
  </si>
  <si>
    <t>1.1.3 Tri-party Repo [Value]</t>
  </si>
  <si>
    <t>CCIL_FOREX_CLEARING_VOL</t>
  </si>
  <si>
    <t>1.2 Forex Clearing [Volume]</t>
  </si>
  <si>
    <t>L4:  | L5:  | L6: 1.2 Forex Clearing | L7: Volume (Lakh)</t>
  </si>
  <si>
    <t>CCIL_FOREX_CLEARING_VAL</t>
  </si>
  <si>
    <t>1.2 Forex Clearing [Value]</t>
  </si>
  <si>
    <t>CCIL_RUPEE_DERIVATIVES_VOL</t>
  </si>
  <si>
    <t>1.3 Rupee Derivatives @ [Volume]</t>
  </si>
  <si>
    <t>@</t>
  </si>
  <si>
    <t>L4:  | L5:  | L6: 1.3 Rupee Derivatives @ | L7: Volume (Lakh)</t>
  </si>
  <si>
    <t>CCIL_RUPEE_DERIVATIVES_VAL</t>
  </si>
  <si>
    <t>1.3 Rupee Derivatives @ [Value]</t>
  </si>
  <si>
    <t>RTGS_TOTAL_VOL</t>
  </si>
  <si>
    <t>1 Credit Transfers - RTGS (1.1 to 1.2) [Volume]</t>
  </si>
  <si>
    <t>L4: B. Payment Systems | L5: I Financial Market Infrastructures (FMIs) | L6: 1 Credit Transfers - RTGS (1.1 to 1.2) | L7: Volume (Lakh)</t>
  </si>
  <si>
    <t>RTGS_TOTAL_VAL</t>
  </si>
  <si>
    <t>1 Credit Transfers - RTGS (1.1 to 1.2) [Value]</t>
  </si>
  <si>
    <t>RTGS_CUSTOMER_VOL</t>
  </si>
  <si>
    <t>1.1 Customer Transactions [Volume]</t>
  </si>
  <si>
    <t>L4:  | L5:  | L6: 1.1 Customer Transactions | L7: Volume (Lakh)</t>
  </si>
  <si>
    <t>RTGS_CUSTOMER_VAL</t>
  </si>
  <si>
    <t>1.1 Customer Transactions [Value]</t>
  </si>
  <si>
    <t>RTGS_INTERBANK_VOL</t>
  </si>
  <si>
    <t>1.2 Interbank Transactions [Volume]</t>
  </si>
  <si>
    <t>L4:  | L5:  | L6: 1.2 Interbank Transactions | L7: Volume (Lakh)</t>
  </si>
  <si>
    <t>RTGS_INTERBANK_VAL</t>
  </si>
  <si>
    <t>1.2 Interbank Transactions [Value]</t>
  </si>
  <si>
    <t>RETAIL_CREDIT_TRANSFERS_TOTAL_VOL</t>
  </si>
  <si>
    <t>2 Credit Transfers - Retail (2.1 to 2.7) [Volume]</t>
  </si>
  <si>
    <t>L4:  | L5: II Retail | L6: 2 Credit Transfers - Retail (2.1 to 2.7) | L7: Volume (Lakh)</t>
  </si>
  <si>
    <t>RETAIL_CREDIT_TRANSFERS_TOTAL_VAL</t>
  </si>
  <si>
    <t>2 Credit Transfers - Retail (2.1 to 2.7) [Value]</t>
  </si>
  <si>
    <t>AEPS_FUND_TRANSFERS_VOL</t>
  </si>
  <si>
    <t>2.1 AePS (Fund Transfers) @ [Volume]</t>
  </si>
  <si>
    <t>L4:  | L5:  | L6: 2.1 AePS (Fund Transfers) @ | L7: Volume (Lakh)</t>
  </si>
  <si>
    <t>AEPS_FUND_TRANSFERS_VAL</t>
  </si>
  <si>
    <t>2.1 AePS (Fund Transfers) @ [Value]</t>
  </si>
  <si>
    <t>APBS_VOL</t>
  </si>
  <si>
    <t>2.2 APBS $ [Volume]</t>
  </si>
  <si>
    <t>$</t>
  </si>
  <si>
    <t>L4:  | L5:  | L6: 2.2 APBS $ | L7: Volume (Lakh)</t>
  </si>
  <si>
    <t>APBS_VAL</t>
  </si>
  <si>
    <t>2.2 APBS $ [Value]</t>
  </si>
  <si>
    <t>ECS_CREDIT_VOL</t>
  </si>
  <si>
    <t>2.3 ECS Cr [Volume]</t>
  </si>
  <si>
    <t>L4:  | L5:  | L6: 2.3 ECS Cr | L7: Volume (Lakh)</t>
  </si>
  <si>
    <t>Merged into NACH on 31-Jan-2020; post-merger periods contain '-' or 0.00.</t>
  </si>
  <si>
    <t>ECS_CREDIT_VAL</t>
  </si>
  <si>
    <t>2.3 ECS Cr [Value]</t>
  </si>
  <si>
    <t>IMPS_VOL</t>
  </si>
  <si>
    <t>2.4 IMPS [Volume]</t>
  </si>
  <si>
    <t>L4:  | L5:  | L6: 2.4 IMPS | L7: Volume (Lakh)</t>
  </si>
  <si>
    <t>IMPS_VAL</t>
  </si>
  <si>
    <t>2.4 IMPS [Value]</t>
  </si>
  <si>
    <t>NACH_CREDIT_VOL</t>
  </si>
  <si>
    <t>2.5 NACH Cr $ [Volume]</t>
  </si>
  <si>
    <t>L4:  | L5:  | L6: 2.5 NACH Cr $ | L7: Volume (Lakh)</t>
  </si>
  <si>
    <t>NACH_CREDIT_VAL</t>
  </si>
  <si>
    <t>2.5 NACH Cr $ [Value]</t>
  </si>
  <si>
    <t>NEFT_VOL</t>
  </si>
  <si>
    <t>2.6 NEFT [Volume]</t>
  </si>
  <si>
    <t>L4:  | L5:  | L6: 2.6 NEFT | L7: Volume (Lakh)</t>
  </si>
  <si>
    <t>NEFT_VAL</t>
  </si>
  <si>
    <t>2.6 NEFT [Value]</t>
  </si>
  <si>
    <t>UPI_VOL</t>
  </si>
  <si>
    <t>2.7 UPI @ [Volume]</t>
  </si>
  <si>
    <t>L4:  | L5:  | L6: 2.7 UPI @ | L7: Volume (Lakh)</t>
  </si>
  <si>
    <t>UPI_VAL</t>
  </si>
  <si>
    <t>2.7 UPI @ [Value]</t>
  </si>
  <si>
    <t>UPI_USSD_VOL</t>
  </si>
  <si>
    <t>2.7.1 of which USSD @ [Volume]</t>
  </si>
  <si>
    <t>L4:  | L5:  | L6: 2.7.1 of which USSD @ | L7: Volume (Lakh)</t>
  </si>
  <si>
    <t>UPI_USSD_VAL</t>
  </si>
  <si>
    <t>2.7.1 of which USSD @ [Value]</t>
  </si>
  <si>
    <t>DEBIT_TRANSFERS_TOTAL_VOL</t>
  </si>
  <si>
    <t>3 Debit Transfers and Direct Debits (3.1 to 3.4) [Volume]</t>
  </si>
  <si>
    <t>L4:  | L5:  | L6: 3 Debit Transfers and Direct Debits (3.1 to 3.4) | L7: Volume (Lakh)</t>
  </si>
  <si>
    <t>DEBIT_TRANSFERS_TOTAL_VAL</t>
  </si>
  <si>
    <t>3 Debit Transfers and Direct Debits (3.1 to 3.4) [Value]</t>
  </si>
  <si>
    <t>BHIM_AADHAAR_PAY_VOL</t>
  </si>
  <si>
    <t>3.1 BHIM Aadhaar Pay @ [Volume]</t>
  </si>
  <si>
    <t>L4:  | L5:  | L6: 3.1 BHIM Aadhaar Pay @ | L7: Volume (Lakh)</t>
  </si>
  <si>
    <t>BHIM_AADHAAR_PAY_VAL</t>
  </si>
  <si>
    <t>3.1 BHIM Aadhaar Pay @ [Value]</t>
  </si>
  <si>
    <t>ECS_DEBIT_VOL</t>
  </si>
  <si>
    <t>3.2 ECS Dr [Volume]</t>
  </si>
  <si>
    <t>L4:  | L5: 3.2 ECS Dr  | L6: 3.2 ECS Dr  | L7: Volume (Lakh)</t>
  </si>
  <si>
    <t>ECS_DEBIT_VAL</t>
  </si>
  <si>
    <t>3.2 ECS Dr [Value]</t>
  </si>
  <si>
    <t>NACH_DEBIT_VOL</t>
  </si>
  <si>
    <t>3.3 NACH Dr $ [Volume]</t>
  </si>
  <si>
    <t>L4:  | L5: II Retail | L6: 3.3 NACH Dr $ | L7: Volume (Lakh)</t>
  </si>
  <si>
    <t>NACH_DEBIT_VAL</t>
  </si>
  <si>
    <t>3.3 NACH Dr $ [Value]</t>
  </si>
  <si>
    <t>NETC_FASTAG_VOL</t>
  </si>
  <si>
    <t>3.4 NETC (linked to bank account) @ [Volume]</t>
  </si>
  <si>
    <t>L4:  | L5:  | L6: 3.4 NETC (linked to bank account) @ | L7: Volume (Lakh)</t>
  </si>
  <si>
    <t>NETC_FASTAG_VAL</t>
  </si>
  <si>
    <t>3.4 NETC (linked to bank account) @ [Value]</t>
  </si>
  <si>
    <t>CARD_PAYMENTS_TOTAL_VOL</t>
  </si>
  <si>
    <t>4 Card Payments (4.1 to 4.2) [Volume]</t>
  </si>
  <si>
    <t>L4:  | L5:  | L6: 4 Card Payments (4.1 to 4.2) | L7: Volume (Lakh)</t>
  </si>
  <si>
    <t>CARD_PAYMENTS_TOTAL_VAL</t>
  </si>
  <si>
    <t>4 Card Payments (4.1 to 4.2) [Value]</t>
  </si>
  <si>
    <t>CREDIT_CARDS_TOTAL_VOL</t>
  </si>
  <si>
    <t>4.1 Credit Cards (4.1.1 to 4.1.2) [Volume]</t>
  </si>
  <si>
    <t>L4:  | L5:  | L6: 4.1 Credit Cards (4.1.1 to 4.1.2) | L7: Volume (Lakh)</t>
  </si>
  <si>
    <t>CREDIT_CARDS_TOTAL_VAL</t>
  </si>
  <si>
    <t>4.1 Credit Cards (4.1.1 to 4.1.2) [Value]</t>
  </si>
  <si>
    <t>CREDIT_CARDS_POS_VOL</t>
  </si>
  <si>
    <t>4.1.1 PoS based $ [Volume]</t>
  </si>
  <si>
    <t>L4:  | L5:  | L6: 4.1.1 PoS based $ | L7: Volume (Lakh)</t>
  </si>
  <si>
    <t>CREDIT_CARDS_POS_VAL</t>
  </si>
  <si>
    <t>4.1.1 PoS based $ [Value]</t>
  </si>
  <si>
    <t>CREDIT_CARDS_OTHERS_VOL</t>
  </si>
  <si>
    <t>4.1.2 Others $ [Volume]</t>
  </si>
  <si>
    <t>L4:  | L5:  | L6: 4.1.2 Others $ | L7: Volume (Lakh)</t>
  </si>
  <si>
    <t>CREDIT_CARDS_OTHERS_VAL</t>
  </si>
  <si>
    <t>4.1.2 Others $ [Value]</t>
  </si>
  <si>
    <t>DEBIT_CARDS_TOTAL_VOL</t>
  </si>
  <si>
    <t>4.2 Debit Cards (4.2.1 to 4.2.1 ) [Volume]</t>
  </si>
  <si>
    <t>L4:  | L5:  | L6: 4.2 Debit Cards (4.2.1 to 4.2.1 ) | L7: Volume (Lakh)</t>
  </si>
  <si>
    <t>DEBIT_CARDS_TOTAL_VAL</t>
  </si>
  <si>
    <t>4.2 Debit Cards (4.2.1 to 4.2.1 ) [Value]</t>
  </si>
  <si>
    <t>DEBIT_CARDS_POS_VOL</t>
  </si>
  <si>
    <t>4.2.1 PoS based $ [Volume]</t>
  </si>
  <si>
    <t>L4:  | L5:  | L6: 4.2.1 PoS based $ | L7: Volume (Lakh)</t>
  </si>
  <si>
    <t>DEBIT_CARDS_POS_VAL</t>
  </si>
  <si>
    <t>4.2.1 PoS based $ [Value]</t>
  </si>
  <si>
    <t>DEBIT_CARDS_OTHERS_VOL</t>
  </si>
  <si>
    <t>4.2.2 Others $ [Volume]</t>
  </si>
  <si>
    <t>L4:  | L5:  | L6: 4.2.2 Others $ | L7: Volume (Lakh)</t>
  </si>
  <si>
    <t>DEBIT_CARDS_OTHERS_VAL</t>
  </si>
  <si>
    <t>4.2.2 Others $ [Value]</t>
  </si>
  <si>
    <t>PPI_TOTAL_VOL</t>
  </si>
  <si>
    <t>5 Prepaid Payment Instruments (5.1 to 5.2) [Volume]</t>
  </si>
  <si>
    <t>L4:  | L5:  | L6: 5 Prepaid Payment Instruments (5.1 to 5.2) | L7: Volume (Lakh)</t>
  </si>
  <si>
    <t>Sep-2023 volume reported as '-' despite valid component sums; imputed from Wallets + Cards.</t>
  </si>
  <si>
    <t>PPI_TOTAL_VAL</t>
  </si>
  <si>
    <t>5 Prepaid Payment Instruments (5.1 to 5.2) [Value]</t>
  </si>
  <si>
    <t>PPI_WALLETS_VOL</t>
  </si>
  <si>
    <t>5.1 Wallets [Volume]</t>
  </si>
  <si>
    <t>L4:  | L5:  | L6: 5.1 Wallets | L7: Volume (Lakh)</t>
  </si>
  <si>
    <t>PPI_WALLETS_VAL</t>
  </si>
  <si>
    <t>5.1 Wallets [Value]</t>
  </si>
  <si>
    <t>PPI_CARDS_TOTAL_VOL</t>
  </si>
  <si>
    <t>5.2 Cards (5.2.1 to 5.2.2) [Volume]</t>
  </si>
  <si>
    <t>L4:  | L5:  | L6: 5.2 Cards (5.2.1 to 5.2.2) | L7: Volume (Lakh)</t>
  </si>
  <si>
    <t>PPI_CARDS_TOTAL_VAL</t>
  </si>
  <si>
    <t>5.2 Cards (5.2.1 to 5.2.2) [Value]</t>
  </si>
  <si>
    <t>PPI_CARDS_POS_VOL</t>
  </si>
  <si>
    <t>5.2.1 PoS based $ [Volume]</t>
  </si>
  <si>
    <t>L4:  | L5:  | L6: 5.2.1 PoS based $ | L7: Volume (Lakh)</t>
  </si>
  <si>
    <t>PPI_CARDS_POS_VAL</t>
  </si>
  <si>
    <t>5.2.1 PoS based $ [Value]</t>
  </si>
  <si>
    <t>PPI_CARDS_OTHERS_VOL</t>
  </si>
  <si>
    <t>5.2.2 Others $ [Volume]</t>
  </si>
  <si>
    <t>L4:  | L5:  | L6: 5.2.2 Others $ | L7: Volume (Lakh)</t>
  </si>
  <si>
    <t>PPI_CARDS_OTHERS_VAL</t>
  </si>
  <si>
    <t>5.2.2 Others $ [Value]</t>
  </si>
  <si>
    <t>PAPER_TOTAL_VOL</t>
  </si>
  <si>
    <t>6 Paper-based Instruments (6.1 to 6.2) [Volume]</t>
  </si>
  <si>
    <t>L4:  | L5:  | L6: 6 Paper-based Instruments (6.1 to 6.2) | L7: Volume (Lakh)</t>
  </si>
  <si>
    <t>PAPER_TOTAL_VAL</t>
  </si>
  <si>
    <t>6 Paper-based Instruments (6.1 to 6.2) [Value]</t>
  </si>
  <si>
    <t>PAPER_CTS_VOL</t>
  </si>
  <si>
    <t>6.1 CTS (NPCI Managed) [Volume]</t>
  </si>
  <si>
    <t>L4:  | L5:  | L6: 6.1 CTS (NPCI Managed) | L7: Volume (Lakh)</t>
  </si>
  <si>
    <t>PAPER_CTS_VAL</t>
  </si>
  <si>
    <t>6.1 CTS (NPCI Managed) [Value]</t>
  </si>
  <si>
    <t>PAPER_OTHERS_VOL</t>
  </si>
  <si>
    <t>6.2 Others [Volume]</t>
  </si>
  <si>
    <t>L4:  | L5: 6.2 Others  | L6: 6.2 Others  | L7: Volume (Lakh)</t>
  </si>
  <si>
    <t>PAPER_OTHERS_VAL</t>
  </si>
  <si>
    <t>6.2 Others [Value]</t>
  </si>
  <si>
    <t>TOTAL_RETAIL_PAYMENTS_VOL</t>
  </si>
  <si>
    <t>Total - Retail Payments (2+3+4+5+6) [Volume]</t>
  </si>
  <si>
    <t>L4:  | L5: II Retail | L6: Total - Retail Payments (2+3+4+5+6) | L7: Volume (Lakh)</t>
  </si>
  <si>
    <t>TOTAL_RETAIL_PAYMENTS_VAL</t>
  </si>
  <si>
    <t>Total - Retail Payments (2+3+4+5+6) [Value]</t>
  </si>
  <si>
    <t>TOTAL_PAYMENTS_VOL</t>
  </si>
  <si>
    <t>Total Payments (1+2+3+4+5+6) [Volume]</t>
  </si>
  <si>
    <t>L4:  | L5:  | L6: Total Payments (1+2+3+4+5+6) | L7: Volume (Lakh)</t>
  </si>
  <si>
    <t>TOTAL_PAYMENTS_VAL</t>
  </si>
  <si>
    <t>Total Payments (1+2+3+4+5+6) [Value]</t>
  </si>
  <si>
    <t>TOTAL_DIGITAL_PAYMENTS_VOL</t>
  </si>
  <si>
    <t>Total Digital Payments (1+2+3+4+5) [Volume]</t>
  </si>
  <si>
    <t>L4:  | L5:  | L6: Total Digital Payments (1+2+3+4+5) | L7: Volume (Lakh)</t>
  </si>
  <si>
    <t>TOTAL_DIGITAL_PAYMENTS_VAL</t>
  </si>
  <si>
    <t>Total Digital Payments (1+2+3+4+5) [Value]</t>
  </si>
  <si>
    <t>MOBILE_PAYMENTS_TOTAL_VOL</t>
  </si>
  <si>
    <t>1 Mobile Payments (mobile app based) (1.1 to 1.2) [Volume]</t>
  </si>
  <si>
    <t>L4: A. Other Payment Channels | L5:    | L6: 1 Mobile Payments (mobile app based) (1.1 to 1.2) | L7: Volume (Lakh)</t>
  </si>
  <si>
    <t>MOBILE_PAYMENTS_TOTAL_VAL</t>
  </si>
  <si>
    <t>1 Mobile Payments (mobile app based) (1.1 to 1.2) [Value]</t>
  </si>
  <si>
    <t>MOBILE_PAYMENTS_INTRABANK_VOL</t>
  </si>
  <si>
    <t>1.1 Intra-bank $ [Volume]</t>
  </si>
  <si>
    <t>L4:  | L5:  | L6: 1.1 Intra-bank $ | L7: Volume (Lakh)</t>
  </si>
  <si>
    <t>MOBILE_PAYMENTS_INTRABANK_VAL</t>
  </si>
  <si>
    <t>1.1 Intra-bank $ [Value]</t>
  </si>
  <si>
    <t>MOBILE_PAYMENTS_INTERBANK_VOL</t>
  </si>
  <si>
    <t>1.2 Inter-bank $ [Volume]</t>
  </si>
  <si>
    <t>L4:  | L5:  | L6: 1.2 Inter-bank $ | L7: Volume (Lakh)</t>
  </si>
  <si>
    <t>MOBILE_PAYMENTS_INTERBANK_VAL</t>
  </si>
  <si>
    <t>1.2 Inter-bank $ [Value]</t>
  </si>
  <si>
    <t>INTERNET_PAYMENTS_TOTAL_VOL</t>
  </si>
  <si>
    <t>2 Internet Payments (Netbanking / Internet Browser Based) @ (2.1 to 2.2) [Volume]</t>
  </si>
  <si>
    <t>L4:  | L5:  | L6: 2 Internet Payments (Netbanking / Internet Browser Based) @ (2.1 to 2.2) | L7: Volume (Lakh)</t>
  </si>
  <si>
    <t>INTERNET_PAYMENTS_TOTAL_VAL</t>
  </si>
  <si>
    <t>2 Internet Payments (Netbanking / Internet Browser Based) @ (2.1 to 2.2) [Value]</t>
  </si>
  <si>
    <t>INTERNET_PAYMENTS_INTRABANK_VOL</t>
  </si>
  <si>
    <t>2.1 Intra-bank @ [Volume]</t>
  </si>
  <si>
    <t>L4:  | L5:  | L6: 2.1 Intra-bank @ | L7: Volume (Lakh)</t>
  </si>
  <si>
    <t>INTERNET_PAYMENTS_INTRABANK_VAL</t>
  </si>
  <si>
    <t>2.1 Intra-bank @ [Value]</t>
  </si>
  <si>
    <t>INTERNET_PAYMENTS_INTERBANK_VOL</t>
  </si>
  <si>
    <t>2.2 Inter-bank @ [Volume]</t>
  </si>
  <si>
    <t>L4:  | L5:  | L6: 2.2 Inter-bank @ | L7: Volume (Lakh)</t>
  </si>
  <si>
    <t>INTERNET_PAYMENTS_INTERBANK_VAL</t>
  </si>
  <si>
    <t>2.2 Inter-bank @ [Value]</t>
  </si>
  <si>
    <t>ATM_CASH_TOTAL_VOL</t>
  </si>
  <si>
    <t>3 Cash Withdrawal at ATMs $ (3.1 to 3.3) [Volume]</t>
  </si>
  <si>
    <t>L4: B. ATMs | L5:   | L6: 3 Cash Withdrawal at ATMs $ (3.1 to 3.3) | L7: Volume (Lakh)</t>
  </si>
  <si>
    <t>ATM_CASH_TOTAL_VAL</t>
  </si>
  <si>
    <t>3 Cash Withdrawal at ATMs $ (3.1 to 3.3) [Value]</t>
  </si>
  <si>
    <t>ATM_CASH_CREDIT_CARD_VOL</t>
  </si>
  <si>
    <t>3.1 Using Credit Cards $ [Volume]</t>
  </si>
  <si>
    <t>L4:  | L5:  | L6: 3.1 Using Credit Cards $ | L7: Volume (Lakh)</t>
  </si>
  <si>
    <t>ATM_CASH_CREDIT_CARD_VAL</t>
  </si>
  <si>
    <t>3.1 Using Credit Cards $ [Value]</t>
  </si>
  <si>
    <t>ATM_CASH_DEBIT_CARD_VOL</t>
  </si>
  <si>
    <t>3.2 Using Debit Cards $ [Volume]</t>
  </si>
  <si>
    <t>L4:  | L5:  | L6: 3.2 Using Debit Cards $ | L7: Volume (Lakh)</t>
  </si>
  <si>
    <t>ATM_CASH_DEBIT_CARD_VAL</t>
  </si>
  <si>
    <t>3.2 Using Debit Cards $ [Value]</t>
  </si>
  <si>
    <t>ATM_CASH_PREPAID_CARD_VOL</t>
  </si>
  <si>
    <t>3.3 Using Pre-paid Cards $ [Volume]</t>
  </si>
  <si>
    <t>L4:  | L5:  | L6: 3.3 Using Pre-paid Cards $ | L7: Volume (Lakh)</t>
  </si>
  <si>
    <t>ATM_CASH_PREPAID_CARD_VAL</t>
  </si>
  <si>
    <t>3.3 Using Pre-paid Cards $ [Value]</t>
  </si>
  <si>
    <t>POS_CASH_TOTAL_VOL</t>
  </si>
  <si>
    <t>4 Cash Withdrawal at PoS $ (4.1 to 4.2) [Volume]</t>
  </si>
  <si>
    <t>L4:  | L5:  | L6: 4 Cash Withdrawal at PoS $ (4.1 to 4.2) | L7: Volume (Lakh)</t>
  </si>
  <si>
    <t>POS_CASH_TOTAL_VAL</t>
  </si>
  <si>
    <t>4 Cash Withdrawal at PoS $ (4.1 to 4.2) [Value]</t>
  </si>
  <si>
    <t>POS_CASH_DEBIT_CARD_VOL</t>
  </si>
  <si>
    <t>4.1 Using Debit Cards $ [Volume]</t>
  </si>
  <si>
    <t>L4:  | L5:  | L6: 4.1 Using Debit Cards $ | L7: Volume (Lakh)</t>
  </si>
  <si>
    <t>POS_CASH_DEBIT_CARD_VAL</t>
  </si>
  <si>
    <t>4.1 Using Debit Cards $ [Value]</t>
  </si>
  <si>
    <t>POS_CASH_PREPAID_CARD_VOL</t>
  </si>
  <si>
    <t>4.2 Using Pre-paid Cards $ [Volume]</t>
  </si>
  <si>
    <t>L4:  | L5:  | L6: 4.2 Using Pre-paid Cards $ | L7: Volume (Lakh)</t>
  </si>
  <si>
    <t>POS_CASH_PREPAID_CARD_VAL</t>
  </si>
  <si>
    <t>4.2 Using Pre-paid Cards $ [Value]</t>
  </si>
  <si>
    <t>MICRO_ATM_CASH_TOTAL_VOL</t>
  </si>
  <si>
    <t>5   Cash Withrawal at Micro ATMs @ [Volume]</t>
  </si>
  <si>
    <t>L4:  | L5:  | L6: 5   Cash Withrawal at Micro ATMs @ | L7: Volume (Lakh)</t>
  </si>
  <si>
    <t>MICRO_ATM_CASH_TOTAL_VAL</t>
  </si>
  <si>
    <t>5   Cash Withrawal at Micro ATMs @ [Value]</t>
  </si>
  <si>
    <t>MICRO_ATM_AEPS_CASH_VOL</t>
  </si>
  <si>
    <t>5.1 AePS @ [Volume]</t>
  </si>
  <si>
    <t>L4:  | L5:  | L6: 5.1 AePS @ | L7: Volume (Lakh)</t>
  </si>
  <si>
    <t>MICRO_ATM_AEPS_CASH_VAL</t>
  </si>
  <si>
    <t>5.1 AePS @ [Value]</t>
  </si>
  <si>
    <t>c116</t>
  </si>
  <si>
    <t>CARDS_TOTAL_OUTSTANDING_COUNT</t>
  </si>
  <si>
    <t>1 Number of Cards (1.1 to 1.2) [Count in Lakh]</t>
  </si>
  <si>
    <t>INFRASTRUCTURE</t>
  </si>
  <si>
    <t>Payment System Infrastructures</t>
  </si>
  <si>
    <t>Payment Cards in Force</t>
  </si>
  <si>
    <t>Infrastructure Touchpoint Count</t>
  </si>
  <si>
    <t>Lakh (100,000 units)</t>
  </si>
  <si>
    <t>L4: Payment System Infrastructures | L5:  | L6: 1 Number of Cards (1.1 to 1.2) | L7: Volume (Lakh)</t>
  </si>
  <si>
    <t>Parsed to numeric float count in Lakh, derived actual count (Lakh * 100,000).</t>
  </si>
  <si>
    <t>c117</t>
  </si>
  <si>
    <t>CARDS_TOTAL_OUTSTANDING_VAL_PLACEHOLDER</t>
  </si>
  <si>
    <t>1 Number of Cards (1.1 to 1.2) [Value Placeholder]</t>
  </si>
  <si>
    <t>Infrastructure Value Placeholder</t>
  </si>
  <si>
    <t>Rupees Crores (N/A for physical count)</t>
  </si>
  <si>
    <t>Preserved raw value string in raw_value_str; excluded from monetary analysis.</t>
  </si>
  <si>
    <t>Placeholder column: '-' or 0.00; infrastructure has no monetary transaction value.</t>
  </si>
  <si>
    <t>c118</t>
  </si>
  <si>
    <t>CARDS_CREDIT_OUTSTANDING_COUNT</t>
  </si>
  <si>
    <t>1.1 Credit Cards [Count in Lakh]</t>
  </si>
  <si>
    <t>L4:  | L5:  | L6: 1.1 Credit Cards | L7: Volume (Lakh)</t>
  </si>
  <si>
    <t>c119</t>
  </si>
  <si>
    <t>CARDS_CREDIT_OUTSTANDING_VAL_PLACEHOLDER</t>
  </si>
  <si>
    <t>1.1 Credit Cards [Value Placeholder]</t>
  </si>
  <si>
    <t>c120</t>
  </si>
  <si>
    <t>CARDS_DEBIT_OUTSTANDING_COUNT</t>
  </si>
  <si>
    <t>1.2 Debit Cards [Count in Lakh]</t>
  </si>
  <si>
    <t>L4:  | L5:  | L6: 1.2 Debit Cards | L7: Volume (Lakh)</t>
  </si>
  <si>
    <t>c121</t>
  </si>
  <si>
    <t>CARDS_DEBIT_OUTSTANDING_VAL_PLACEHOLDER</t>
  </si>
  <si>
    <t>1.2 Debit Cards [Value Placeholder]</t>
  </si>
  <si>
    <t>c122</t>
  </si>
  <si>
    <t>PPIS_TOTAL_ISSUED_COUNT</t>
  </si>
  <si>
    <t>2 Number of PPIs @ (2.1 to 2.2) [Count in Lakh]</t>
  </si>
  <si>
    <t>Prepaid Instruments in Force</t>
  </si>
  <si>
    <t>L4:  | L5:  | L6: 2 Number of PPIs @ (2.1 to 2.2) | L7: Volume (Lakh)</t>
  </si>
  <si>
    <t>c123</t>
  </si>
  <si>
    <t>PPIS_TOTAL_ISSUED_VAL_PLACEHOLDER</t>
  </si>
  <si>
    <t>2 Number of PPIs @ (2.1 to 2.2) [Value Placeholder]</t>
  </si>
  <si>
    <t>c124</t>
  </si>
  <si>
    <t>PPIS_WALLETS_ISSUED_COUNT</t>
  </si>
  <si>
    <t>2.1 Wallets @ [Count in Lakh]</t>
  </si>
  <si>
    <t>L4:  | L5:  | L6: 2.1 Wallets @ | L7: Volume (Lakh)</t>
  </si>
  <si>
    <t>c125</t>
  </si>
  <si>
    <t>PPIS_WALLETS_ISSUED_VAL_PLACEHOLDER</t>
  </si>
  <si>
    <t>2.1 Wallets @ [Value Placeholder]</t>
  </si>
  <si>
    <t>c126</t>
  </si>
  <si>
    <t>PPIS_CARDS_ISSUED_COUNT</t>
  </si>
  <si>
    <t>2.2 Cards @ [Count in Lakh]</t>
  </si>
  <si>
    <t>L4:  | L5:  | L6: 2.2 Cards @ | L7: Volume (Lakh)</t>
  </si>
  <si>
    <t>c127</t>
  </si>
  <si>
    <t>PPIS_CARDS_ISSUED_VAL_PLACEHOLDER</t>
  </si>
  <si>
    <t>2.2 Cards @ [Value Placeholder]</t>
  </si>
  <si>
    <t>c128</t>
  </si>
  <si>
    <t>ATMS_TOTAL_DEPLOYED_COUNT</t>
  </si>
  <si>
    <t>3 Number of ATMs (3.1 to 3.2) [Count in Lakh]</t>
  </si>
  <si>
    <t>ATM Terminals Deployed</t>
  </si>
  <si>
    <t>L4:  | L5:  | L6: 3 Number of ATMs (3.1 to 3.2) | L7: Volume (Lakh)</t>
  </si>
  <si>
    <t>c129</t>
  </si>
  <si>
    <t>ATMS_TOTAL_DEPLOYED_VAL_PLACEHOLDER</t>
  </si>
  <si>
    <t>3 Number of ATMs (3.1 to 3.2) [Value Placeholder]</t>
  </si>
  <si>
    <t>c130</t>
  </si>
  <si>
    <t>ATMS_BANK_OWNED_COUNT</t>
  </si>
  <si>
    <t>3.1 Bank owned ATMs $ [Count in Lakh]</t>
  </si>
  <si>
    <t>L4:  | L5:  | L6: 3.1 Bank owned ATMs $ | L7: Volume (Lakh)</t>
  </si>
  <si>
    <t>c131</t>
  </si>
  <si>
    <t>ATMS_BANK_OWNED_VAL_PLACEHOLDER</t>
  </si>
  <si>
    <t>3.1 Bank owned ATMs $ [Value Placeholder]</t>
  </si>
  <si>
    <t>c132</t>
  </si>
  <si>
    <t>ATMS_WHITE_LABEL_COUNT</t>
  </si>
  <si>
    <t>3.2 White Label ATMs $ [Count in Lakh]</t>
  </si>
  <si>
    <t>L4:  | L5:  | L6: 3.2 White Label ATMs $ | L7: Volume (Lakh)</t>
  </si>
  <si>
    <t>c133</t>
  </si>
  <si>
    <t>ATMS_WHITE_LABEL_VAL_PLACEHOLDER</t>
  </si>
  <si>
    <t>3.2 White Label ATMs $ [Value Placeholder]</t>
  </si>
  <si>
    <t>c134</t>
  </si>
  <si>
    <t>MICRO_ATMS_DEPLOYED_COUNT</t>
  </si>
  <si>
    <t>4   Number of Micro ATMs @ [Count in Lakh]</t>
  </si>
  <si>
    <t>Micro-ATM Footprint</t>
  </si>
  <si>
    <t>L4:  | L5:  | L6: 4   Number of Micro ATMs @ | L7: Volume (Lakh)</t>
  </si>
  <si>
    <t>c135</t>
  </si>
  <si>
    <t>MICRO_ATMS_DEPLOYED_VAL_PLACEHOLDER</t>
  </si>
  <si>
    <t>4   Number of Micro ATMs @ [Value Placeholder]</t>
  </si>
  <si>
    <t>c136</t>
  </si>
  <si>
    <t>POS_TERMINALS_DEPLOYED_COUNT</t>
  </si>
  <si>
    <t>5   Number of PoS Terminals  [Count in Lakh]</t>
  </si>
  <si>
    <t>Merchant Acquiring Touchpoints</t>
  </si>
  <si>
    <t>L4:  | L5:  | L6: 5   Number of PoS Terminals  | L7: Volume (Lakh)</t>
  </si>
  <si>
    <t>c137</t>
  </si>
  <si>
    <t>POS_TERMINALS_DEPLOYED_VAL_PLACEHOLDER</t>
  </si>
  <si>
    <t>5   Number of PoS Terminals  [Value Placeholder]</t>
  </si>
  <si>
    <t>c138</t>
  </si>
  <si>
    <t>BHARAT_QR_DEPLOYED_COUNT</t>
  </si>
  <si>
    <t>6   Bharat QR @ [Count in Lakh]</t>
  </si>
  <si>
    <t>L4:  | L5:  | L6: 6   Bharat QR @ | L7: Volume (Lakh)</t>
  </si>
  <si>
    <t>c139</t>
  </si>
  <si>
    <t>BHARAT_QR_DEPLOYED_VAL_PLACEHOLDER</t>
  </si>
  <si>
    <t>6   Bharat QR @ [Value Placeholder]</t>
  </si>
  <si>
    <t>UPI_QR_STATIC_DEPLOYED_COUNT</t>
  </si>
  <si>
    <t>7 UPI QR * [Count in Lakh]</t>
  </si>
  <si>
    <t>*</t>
  </si>
  <si>
    <t>L4:  | L5:  | L6: 7 UPI QR * | L7: Volume (Lakh)</t>
  </si>
  <si>
    <t>Tracking initiated w.e.f. September 2020; Nov-2019 to Aug-2020 reported as '-'.</t>
  </si>
  <si>
    <t>UPI_QR_STATIC_DEPLOYED_VAL_PLACEHOLDER</t>
  </si>
  <si>
    <t>7 UPI QR * [Value Placeholder]</t>
  </si>
  <si>
    <t>Displaced figures reported in c141 for Jan-2024 to Jan-2026; flagged and excluded from counts.</t>
  </si>
  <si>
    <t>infra_category</t>
  </si>
  <si>
    <t>count_lakh</t>
  </si>
  <si>
    <t>count_actual</t>
  </si>
  <si>
    <t>count_source_col</t>
  </si>
  <si>
    <t>raw_count_str</t>
  </si>
  <si>
    <t>anomaly_flag</t>
  </si>
  <si>
    <t>ATMS_BANK_OWNED</t>
  </si>
  <si>
    <t>3.1 Bank owned ATMs $</t>
  </si>
  <si>
    <t>NONE</t>
  </si>
  <si>
    <t>ATMS_TOTAL_DEPLOYED</t>
  </si>
  <si>
    <t>3 Number of ATMs (3.1 to 3.2)</t>
  </si>
  <si>
    <t>ATMS_WHITE_LABEL</t>
  </si>
  <si>
    <t>3.2 White Label ATMs $</t>
  </si>
  <si>
    <t>BHARAT_QR_DEPLOYED</t>
  </si>
  <si>
    <t>6   Bharat QR @</t>
  </si>
  <si>
    <t>15.94</t>
  </si>
  <si>
    <t>CARDS_CREDIT_OUTSTANDING</t>
  </si>
  <si>
    <t>1.1 Credit Cards</t>
  </si>
  <si>
    <t>544.11</t>
  </si>
  <si>
    <t>CARDS_DEBIT_OUTSTANDING</t>
  </si>
  <si>
    <t>1.2 Debit Cards</t>
  </si>
  <si>
    <t>8307.59</t>
  </si>
  <si>
    <t>CARDS_TOTAL_OUTSTANDING</t>
  </si>
  <si>
    <t>1 Number of Cards (1.1 to 1.2)</t>
  </si>
  <si>
    <t>8851.69</t>
  </si>
  <si>
    <t>MICRO_ATMS_DEPLOYED</t>
  </si>
  <si>
    <t>4   Number of Micro ATMs @</t>
  </si>
  <si>
    <t>POS_TERMINALS_DEPLOYED</t>
  </si>
  <si>
    <t xml:space="preserve">5   Number of PoS Terminals </t>
  </si>
  <si>
    <t>41.28</t>
  </si>
  <si>
    <t>PPIS_CARDS_ISSUED</t>
  </si>
  <si>
    <t>2.2 Cards @</t>
  </si>
  <si>
    <t>1019.33</t>
  </si>
  <si>
    <t>PPIS_TOTAL_ISSUED</t>
  </si>
  <si>
    <t>2 Number of PPIs @ (2.1 to 2.2)</t>
  </si>
  <si>
    <t>17263.20</t>
  </si>
  <si>
    <t>PPIS_WALLETS_ISSUED</t>
  </si>
  <si>
    <t>2.1 Wallets @</t>
  </si>
  <si>
    <t>16243.87</t>
  </si>
  <si>
    <t>PRE_LAUNCH_NOT_REPORTED</t>
  </si>
  <si>
    <t>Static UPI QR tracking initiated w.e.f. September 2020 per Footnote 1 (*).</t>
  </si>
  <si>
    <t>17.13</t>
  </si>
  <si>
    <t>553.33</t>
  </si>
  <si>
    <t>8053.24</t>
  </si>
  <si>
    <t>8606.57</t>
  </si>
  <si>
    <t>42.49</t>
  </si>
  <si>
    <t>1009.75</t>
  </si>
  <si>
    <t>17625.43</t>
  </si>
  <si>
    <t>16615.68</t>
  </si>
  <si>
    <t>17.79</t>
  </si>
  <si>
    <t>561.20</t>
  </si>
  <si>
    <t>8164.10</t>
  </si>
  <si>
    <t>8725.30</t>
  </si>
  <si>
    <t>3.96</t>
  </si>
  <si>
    <t>42.92</t>
  </si>
  <si>
    <t>999.43</t>
  </si>
  <si>
    <t>17574.74</t>
  </si>
  <si>
    <t>16575.31</t>
  </si>
  <si>
    <t>571.58</t>
  </si>
  <si>
    <t>8230.23</t>
  </si>
  <si>
    <t>8801.81</t>
  </si>
  <si>
    <t>4.05</t>
  </si>
  <si>
    <t>43.71</t>
  </si>
  <si>
    <t>1295.57</t>
  </si>
  <si>
    <t>18103.65</t>
  </si>
  <si>
    <t>16808.08</t>
  </si>
  <si>
    <t>20.28</t>
  </si>
  <si>
    <t>577.45</t>
  </si>
  <si>
    <t>8285.62</t>
  </si>
  <si>
    <t>8863.07</t>
  </si>
  <si>
    <t>4.12</t>
  </si>
  <si>
    <t>44.34</t>
  </si>
  <si>
    <t>1218.79</t>
  </si>
  <si>
    <t>18251.64</t>
  </si>
  <si>
    <t>17032.85</t>
  </si>
  <si>
    <t>20.19</t>
  </si>
  <si>
    <t>573.60</t>
  </si>
  <si>
    <t>8294.47</t>
  </si>
  <si>
    <t>8868.07</t>
  </si>
  <si>
    <t>3.90</t>
  </si>
  <si>
    <t>43.91</t>
  </si>
  <si>
    <t>18342.76</t>
  </si>
  <si>
    <t>17150.44</t>
  </si>
  <si>
    <t>20.59</t>
  </si>
  <si>
    <t>571.80</t>
  </si>
  <si>
    <t>8353.49</t>
  </si>
  <si>
    <t>8925.29</t>
  </si>
  <si>
    <t>3.98</t>
  </si>
  <si>
    <t>43.22</t>
  </si>
  <si>
    <t>1493.38</t>
  </si>
  <si>
    <t>18794.15</t>
  </si>
  <si>
    <t>17300.77</t>
  </si>
  <si>
    <t>21.51</t>
  </si>
  <si>
    <t>572.89</t>
  </si>
  <si>
    <t>8454.14</t>
  </si>
  <si>
    <t>9027.03</t>
  </si>
  <si>
    <t>4.10</t>
  </si>
  <si>
    <t>43.26</t>
  </si>
  <si>
    <t>1454.43</t>
  </si>
  <si>
    <t>19008.07</t>
  </si>
  <si>
    <t>17553.64</t>
  </si>
  <si>
    <t>22.37</t>
  </si>
  <si>
    <t>576.32</t>
  </si>
  <si>
    <t>8523.55</t>
  </si>
  <si>
    <t>9099.87</t>
  </si>
  <si>
    <t>4.40</t>
  </si>
  <si>
    <t>43.57</t>
  </si>
  <si>
    <t>1523.32</t>
  </si>
  <si>
    <t>19272.63</t>
  </si>
  <si>
    <t>17749.31</t>
  </si>
  <si>
    <t>22.99</t>
  </si>
  <si>
    <t>578.31</t>
  </si>
  <si>
    <t>8553.73</t>
  </si>
  <si>
    <t>9132.03</t>
  </si>
  <si>
    <t>4.41</t>
  </si>
  <si>
    <t>43.55</t>
  </si>
  <si>
    <t>1651.58</t>
  </si>
  <si>
    <t>20134.06</t>
  </si>
  <si>
    <t>18482.49</t>
  </si>
  <si>
    <t>586.94</t>
  </si>
  <si>
    <t>8654.35</t>
  </si>
  <si>
    <t>9241.29</t>
  </si>
  <si>
    <t>4.62</t>
  </si>
  <si>
    <t>44.23</t>
  </si>
  <si>
    <t>1672.48</t>
  </si>
  <si>
    <t>19960.47</t>
  </si>
  <si>
    <t>18287.99</t>
  </si>
  <si>
    <t>604.07</t>
  </si>
  <si>
    <t>26.05</t>
  </si>
  <si>
    <t>594.20</t>
  </si>
  <si>
    <t>8741.65</t>
  </si>
  <si>
    <t>9335.85</t>
  </si>
  <si>
    <t>4.90</t>
  </si>
  <si>
    <t>45.81</t>
  </si>
  <si>
    <t>1564.92</t>
  </si>
  <si>
    <t>20143.54</t>
  </si>
  <si>
    <t>18578.62</t>
  </si>
  <si>
    <t>657.45</t>
  </si>
  <si>
    <t>30.46</t>
  </si>
  <si>
    <t>601.13</t>
  </si>
  <si>
    <t>8927.02</t>
  </si>
  <si>
    <t>9528.15</t>
  </si>
  <si>
    <t>4.97</t>
  </si>
  <si>
    <t>45.77</t>
  </si>
  <si>
    <t>1585.48</t>
  </si>
  <si>
    <t>20443.15</t>
  </si>
  <si>
    <t>18857.67</t>
  </si>
  <si>
    <t>697.82</t>
  </si>
  <si>
    <t>32.00</t>
  </si>
  <si>
    <t>603.97</t>
  </si>
  <si>
    <t>8856.60</t>
  </si>
  <si>
    <t>9460.57</t>
  </si>
  <si>
    <t>45.85</t>
  </si>
  <si>
    <t>1662.71</t>
  </si>
  <si>
    <t>20819.06</t>
  </si>
  <si>
    <t>19156.35</t>
  </si>
  <si>
    <t>752.31</t>
  </si>
  <si>
    <t>33.60</t>
  </si>
  <si>
    <t>610.98</t>
  </si>
  <si>
    <t>8880.65</t>
  </si>
  <si>
    <t>9491.63</t>
  </si>
  <si>
    <t>5.12</t>
  </si>
  <si>
    <t>46.55</t>
  </si>
  <si>
    <t>1751.11</t>
  </si>
  <si>
    <t>21212.16</t>
  </si>
  <si>
    <t>19461.04</t>
  </si>
  <si>
    <t>805.89</t>
  </si>
  <si>
    <t>2.35</t>
  </si>
  <si>
    <t>34.92</t>
  </si>
  <si>
    <t>616.47</t>
  </si>
  <si>
    <t>8940.02</t>
  </si>
  <si>
    <t>9556.49</t>
  </si>
  <si>
    <t>47.15</t>
  </si>
  <si>
    <t>1823.81</t>
  </si>
  <si>
    <t>21556.23</t>
  </si>
  <si>
    <t>19732.43</t>
  </si>
  <si>
    <t>875.86</t>
  </si>
  <si>
    <t>2.39</t>
  </si>
  <si>
    <t>35.70</t>
  </si>
  <si>
    <t>620.49</t>
  </si>
  <si>
    <t>8982.02</t>
  </si>
  <si>
    <t>9602.51</t>
  </si>
  <si>
    <t>5.43</t>
  </si>
  <si>
    <t>47.20</t>
  </si>
  <si>
    <t>1901.99</t>
  </si>
  <si>
    <t>21655.68</t>
  </si>
  <si>
    <t>19753.69</t>
  </si>
  <si>
    <t>925.22</t>
  </si>
  <si>
    <t>40.28</t>
  </si>
  <si>
    <t>622.60</t>
  </si>
  <si>
    <t>9005.00</t>
  </si>
  <si>
    <t>9627.60</t>
  </si>
  <si>
    <t>5.51</t>
  </si>
  <si>
    <t>45.25</t>
  </si>
  <si>
    <t>1969.01</t>
  </si>
  <si>
    <t>12546.32</t>
  </si>
  <si>
    <t>10577.30</t>
  </si>
  <si>
    <t>978.19</t>
  </si>
  <si>
    <t>40.22</t>
  </si>
  <si>
    <t>623.93</t>
  </si>
  <si>
    <t>9019.71</t>
  </si>
  <si>
    <t>9643.64</t>
  </si>
  <si>
    <t>5.62</t>
  </si>
  <si>
    <t>45.20</t>
  </si>
  <si>
    <t>2068.76</t>
  </si>
  <si>
    <t>12811.27</t>
  </si>
  <si>
    <t>10742.52</t>
  </si>
  <si>
    <t>990.22</t>
  </si>
  <si>
    <t>40.83</t>
  </si>
  <si>
    <t>628.15</t>
  </si>
  <si>
    <t>9056.31</t>
  </si>
  <si>
    <t>9684.46</t>
  </si>
  <si>
    <t>5.91</t>
  </si>
  <si>
    <t>45.93</t>
  </si>
  <si>
    <t>2086.38</t>
  </si>
  <si>
    <t>12935.33</t>
  </si>
  <si>
    <t>10848.95</t>
  </si>
  <si>
    <t>1026.76</t>
  </si>
  <si>
    <t>42.51</t>
  </si>
  <si>
    <t>634.14</t>
  </si>
  <si>
    <t>9056.29</t>
  </si>
  <si>
    <t>9690.43</t>
  </si>
  <si>
    <t>6.11</t>
  </si>
  <si>
    <t>46.08</t>
  </si>
  <si>
    <t>2143.95</t>
  </si>
  <si>
    <t>13176.84</t>
  </si>
  <si>
    <t>11032.89</t>
  </si>
  <si>
    <t>1078.80</t>
  </si>
  <si>
    <t>2.41</t>
  </si>
  <si>
    <t>43.52</t>
  </si>
  <si>
    <t>639.34</t>
  </si>
  <si>
    <t>9132.63</t>
  </si>
  <si>
    <t>9771.97</t>
  </si>
  <si>
    <t>6.31</t>
  </si>
  <si>
    <t>48.16</t>
  </si>
  <si>
    <t>2171.94</t>
  </si>
  <si>
    <t>13682.92</t>
  </si>
  <si>
    <t>11510.97</t>
  </si>
  <si>
    <t>1142.06</t>
  </si>
  <si>
    <t>43.74</t>
  </si>
  <si>
    <t>650.25</t>
  </si>
  <si>
    <t>9193.84</t>
  </si>
  <si>
    <t>9844.09</t>
  </si>
  <si>
    <t>6.50</t>
  </si>
  <si>
    <t>49.77</t>
  </si>
  <si>
    <t>2264.74</t>
  </si>
  <si>
    <t>13979.08</t>
  </si>
  <si>
    <t>11714.34</t>
  </si>
  <si>
    <t>1205.19</t>
  </si>
  <si>
    <t>44.35</t>
  </si>
  <si>
    <t>663.61</t>
  </si>
  <si>
    <t>9328.34</t>
  </si>
  <si>
    <t>9991.95</t>
  </si>
  <si>
    <t>51.55</t>
  </si>
  <si>
    <t>2425.77</t>
  </si>
  <si>
    <t>14450.87</t>
  </si>
  <si>
    <t>12025.10</t>
  </si>
  <si>
    <t>1285.05</t>
  </si>
  <si>
    <t>45.41</t>
  </si>
  <si>
    <t>675.83</t>
  </si>
  <si>
    <t>9340.07</t>
  </si>
  <si>
    <t>10015.90</t>
  </si>
  <si>
    <t>6.93</t>
  </si>
  <si>
    <t>52.92</t>
  </si>
  <si>
    <t>2514.26</t>
  </si>
  <si>
    <t>14832.43</t>
  </si>
  <si>
    <t>12318.18</t>
  </si>
  <si>
    <t>1373.33</t>
  </si>
  <si>
    <t>46.47</t>
  </si>
  <si>
    <t>689.49</t>
  </si>
  <si>
    <t>9377.42</t>
  </si>
  <si>
    <t>10066.90</t>
  </si>
  <si>
    <t>7.27</t>
  </si>
  <si>
    <t>54.98</t>
  </si>
  <si>
    <t>2600.90</t>
  </si>
  <si>
    <t>15111.90</t>
  </si>
  <si>
    <t>12511.00</t>
  </si>
  <si>
    <t>1440.10</t>
  </si>
  <si>
    <t>46.97</t>
  </si>
  <si>
    <t>702.52</t>
  </si>
  <si>
    <t>9409.29</t>
  </si>
  <si>
    <t>10111.81</t>
  </si>
  <si>
    <t>7.78</t>
  </si>
  <si>
    <t>56.20</t>
  </si>
  <si>
    <t>2667.07</t>
  </si>
  <si>
    <t>15389.63</t>
  </si>
  <si>
    <t>12722.56</t>
  </si>
  <si>
    <t>1521.05</t>
  </si>
  <si>
    <t>2.47</t>
  </si>
  <si>
    <t>48.27</t>
  </si>
  <si>
    <t>717.08</t>
  </si>
  <si>
    <t>9350.66</t>
  </si>
  <si>
    <t>10067.74</t>
  </si>
  <si>
    <t>8.51</t>
  </si>
  <si>
    <t>58.34</t>
  </si>
  <si>
    <t>2709.78</t>
  </si>
  <si>
    <t>15652.06</t>
  </si>
  <si>
    <t>12942.28</t>
  </si>
  <si>
    <t>1600.19</t>
  </si>
  <si>
    <t>49.72</t>
  </si>
  <si>
    <t>736.27</t>
  </si>
  <si>
    <t>9176.66</t>
  </si>
  <si>
    <t>9912.93</t>
  </si>
  <si>
    <t>9.16</t>
  </si>
  <si>
    <t>60.70</t>
  </si>
  <si>
    <t>2750.30</t>
  </si>
  <si>
    <t>15538.22</t>
  </si>
  <si>
    <t>12787.93</t>
  </si>
  <si>
    <t>1727.34</t>
  </si>
  <si>
    <t>40.90</t>
  </si>
  <si>
    <t>751.66</t>
  </si>
  <si>
    <t>9205.18</t>
  </si>
  <si>
    <t>9956.84</t>
  </si>
  <si>
    <t>9.48</t>
  </si>
  <si>
    <t>2688.28</t>
  </si>
  <si>
    <t>15553.36</t>
  </si>
  <si>
    <t>12865.09</t>
  </si>
  <si>
    <t>1807.21</t>
  </si>
  <si>
    <t>41.38</t>
  </si>
  <si>
    <t>768.77</t>
  </si>
  <si>
    <t>9176.21</t>
  </si>
  <si>
    <t>9944.98</t>
  </si>
  <si>
    <t>10.13</t>
  </si>
  <si>
    <t>61.69</t>
  </si>
  <si>
    <t>2706.97</t>
  </si>
  <si>
    <t>15591.10</t>
  </si>
  <si>
    <t>12884.13</t>
  </si>
  <si>
    <t>1881.16</t>
  </si>
  <si>
    <t>2.53</t>
  </si>
  <si>
    <t>42.80</t>
  </si>
  <si>
    <t>787.23</t>
  </si>
  <si>
    <t>9154.51</t>
  </si>
  <si>
    <t>9941.74</t>
  </si>
  <si>
    <t>10.72</t>
  </si>
  <si>
    <t>65.91</t>
  </si>
  <si>
    <t>2676.20</t>
  </si>
  <si>
    <t>15608.66</t>
  </si>
  <si>
    <t>12932.46</t>
  </si>
  <si>
    <t>1952.91</t>
  </si>
  <si>
    <t>45.21</t>
  </si>
  <si>
    <t>802.56</t>
  </si>
  <si>
    <t>9281.34</t>
  </si>
  <si>
    <t>10083.90</t>
  </si>
  <si>
    <t>11.36</t>
  </si>
  <si>
    <t>68.19</t>
  </si>
  <si>
    <t>2699.35</t>
  </si>
  <si>
    <t>15621.99</t>
  </si>
  <si>
    <t>12922.65</t>
  </si>
  <si>
    <t>2013.02</t>
  </si>
  <si>
    <t>47.49</t>
  </si>
  <si>
    <t>779.91</t>
  </si>
  <si>
    <t>9350.26</t>
  </si>
  <si>
    <t>10130.17</t>
  </si>
  <si>
    <t>11.71</t>
  </si>
  <si>
    <t>70.58</t>
  </si>
  <si>
    <t>2730.25</t>
  </si>
  <si>
    <t>15679.00</t>
  </si>
  <si>
    <t>12948.75</t>
  </si>
  <si>
    <t>2092.54</t>
  </si>
  <si>
    <t>48.64</t>
  </si>
  <si>
    <t>777.02</t>
  </si>
  <si>
    <t>9385.38</t>
  </si>
  <si>
    <t>10162.40</t>
  </si>
  <si>
    <t>12.43</t>
  </si>
  <si>
    <t>70.35</t>
  </si>
  <si>
    <t>2753.84</t>
  </si>
  <si>
    <t>15860.18</t>
  </si>
  <si>
    <t>13106.33</t>
  </si>
  <si>
    <t>2164.30</t>
  </si>
  <si>
    <t>47.19</t>
  </si>
  <si>
    <t>793.68</t>
  </si>
  <si>
    <t>9442.32</t>
  </si>
  <si>
    <t>10235.99</t>
  </si>
  <si>
    <t>12.91</t>
  </si>
  <si>
    <t>72.11</t>
  </si>
  <si>
    <t>2789.67</t>
  </si>
  <si>
    <t>15985.59</t>
  </si>
  <si>
    <t>13195.92</t>
  </si>
  <si>
    <t>2253.23</t>
  </si>
  <si>
    <t>48.25</t>
  </si>
  <si>
    <t>806.06</t>
  </si>
  <si>
    <t>9477.29</t>
  </si>
  <si>
    <t>10283.35</t>
  </si>
  <si>
    <t>13.34</t>
  </si>
  <si>
    <t>73.52</t>
  </si>
  <si>
    <t>2828.48</t>
  </si>
  <si>
    <t>16098.32</t>
  </si>
  <si>
    <t>13269.83</t>
  </si>
  <si>
    <t>2302.87</t>
  </si>
  <si>
    <t>2.57</t>
  </si>
  <si>
    <t>49.59</t>
  </si>
  <si>
    <t>811.87</t>
  </si>
  <si>
    <t>9394.66</t>
  </si>
  <si>
    <t>10206.53</t>
  </si>
  <si>
    <t>14.19</t>
  </si>
  <si>
    <t>75.50</t>
  </si>
  <si>
    <t>2888.05</t>
  </si>
  <si>
    <t>16234.69</t>
  </si>
  <si>
    <t>13346.64</t>
  </si>
  <si>
    <t>2361.82</t>
  </si>
  <si>
    <t>2.58</t>
  </si>
  <si>
    <t>50.57</t>
  </si>
  <si>
    <t>824.52</t>
  </si>
  <si>
    <t>9455.81</t>
  </si>
  <si>
    <t>10280.33</t>
  </si>
  <si>
    <t>14.75</t>
  </si>
  <si>
    <t>76.57</t>
  </si>
  <si>
    <t>2784.95</t>
  </si>
  <si>
    <t>16029.29</t>
  </si>
  <si>
    <t>13244.34</t>
  </si>
  <si>
    <t>2442.34</t>
  </si>
  <si>
    <t>52.22</t>
  </si>
  <si>
    <t>833.66</t>
  </si>
  <si>
    <t>9541.22</t>
  </si>
  <si>
    <t>10374.87</t>
  </si>
  <si>
    <t>15.59</t>
  </si>
  <si>
    <t>77.58</t>
  </si>
  <si>
    <t>2774.55</t>
  </si>
  <si>
    <t>16109.65</t>
  </si>
  <si>
    <t>13335.10</t>
  </si>
  <si>
    <t>2500.89</t>
  </si>
  <si>
    <t>2.59</t>
  </si>
  <si>
    <t>53.82</t>
  </si>
  <si>
    <t>853.03</t>
  </si>
  <si>
    <t>9612.59</t>
  </si>
  <si>
    <t>10465.62</t>
  </si>
  <si>
    <t>16.11</t>
  </si>
  <si>
    <t>77.90</t>
  </si>
  <si>
    <t>2800.57</t>
  </si>
  <si>
    <t>16185.22</t>
  </si>
  <si>
    <t>13384.65</t>
  </si>
  <si>
    <t>2563.77</t>
  </si>
  <si>
    <t>54.36</t>
  </si>
  <si>
    <t>865.13</t>
  </si>
  <si>
    <t>9670.12</t>
  </si>
  <si>
    <t>10535.25</t>
  </si>
  <si>
    <t>14.28</t>
  </si>
  <si>
    <t>78.37</t>
  </si>
  <si>
    <t>3247.17</t>
  </si>
  <si>
    <t>16585.84</t>
  </si>
  <si>
    <t>13338.66</t>
  </si>
  <si>
    <t>2609.08</t>
  </si>
  <si>
    <t>55.45</t>
  </si>
  <si>
    <t>877.47</t>
  </si>
  <si>
    <t>9739.26</t>
  </si>
  <si>
    <t>10616.74</t>
  </si>
  <si>
    <t>14.66</t>
  </si>
  <si>
    <t>79.61</t>
  </si>
  <si>
    <t>3264.98</t>
  </si>
  <si>
    <t>16638.55</t>
  </si>
  <si>
    <t>13373.56</t>
  </si>
  <si>
    <t>2667.57</t>
  </si>
  <si>
    <t>56.88</t>
  </si>
  <si>
    <t>886.82</t>
  </si>
  <si>
    <t>9758.33</t>
  </si>
  <si>
    <t>10645.15</t>
  </si>
  <si>
    <t>14.96</t>
  </si>
  <si>
    <t>80.94</t>
  </si>
  <si>
    <t>3299.84</t>
  </si>
  <si>
    <t>16709.14</t>
  </si>
  <si>
    <t>13409.30</t>
  </si>
  <si>
    <t>2720.15</t>
  </si>
  <si>
    <t>58.06</t>
  </si>
  <si>
    <t>898.73</t>
  </si>
  <si>
    <t>9707.41</t>
  </si>
  <si>
    <t>10606.14</t>
  </si>
  <si>
    <t>15.37</t>
  </si>
  <si>
    <t>81.23</t>
  </si>
  <si>
    <t>2968.51</t>
  </si>
  <si>
    <t>16646.89</t>
  </si>
  <si>
    <t>13678.38</t>
  </si>
  <si>
    <t>2807.25</t>
  </si>
  <si>
    <t>58.99</t>
  </si>
  <si>
    <t>912.78</t>
  </si>
  <si>
    <t>9780.57</t>
  </si>
  <si>
    <t>10693.35</t>
  </si>
  <si>
    <t>82.47</t>
  </si>
  <si>
    <t>3141.84</t>
  </si>
  <si>
    <t>16625.74</t>
  </si>
  <si>
    <t>13483.91</t>
  </si>
  <si>
    <t>2881.64</t>
  </si>
  <si>
    <t>59.82</t>
  </si>
  <si>
    <t>930.17</t>
  </si>
  <si>
    <t>9782.86</t>
  </si>
  <si>
    <t>10713.04</t>
  </si>
  <si>
    <t>14.87</t>
  </si>
  <si>
    <t>83.03</t>
  </si>
  <si>
    <t>3130.05</t>
  </si>
  <si>
    <t>16718.12</t>
  </si>
  <si>
    <t>13588.07</t>
  </si>
  <si>
    <t>2950.06</t>
  </si>
  <si>
    <t>59.75</t>
  </si>
  <si>
    <t>947.11</t>
  </si>
  <si>
    <t>9801.71</t>
  </si>
  <si>
    <t>10748.82</t>
  </si>
  <si>
    <t>15.30</t>
  </si>
  <si>
    <t>83.48</t>
  </si>
  <si>
    <t>3162.79</t>
  </si>
  <si>
    <t>16830.82</t>
  </si>
  <si>
    <t>13668.03</t>
  </si>
  <si>
    <t>3017.20</t>
  </si>
  <si>
    <t>58.74</t>
  </si>
  <si>
    <t>960.01</t>
  </si>
  <si>
    <t>9764.99</t>
  </si>
  <si>
    <t>10725.71</t>
  </si>
  <si>
    <t>15.87</t>
  </si>
  <si>
    <t>84.32</t>
  </si>
  <si>
    <t>3186.10</t>
  </si>
  <si>
    <t>16944.31</t>
  </si>
  <si>
    <t>13758.21</t>
  </si>
  <si>
    <t>3087.39</t>
  </si>
  <si>
    <t>59.57</t>
  </si>
  <si>
    <t>979.05</t>
  </si>
  <si>
    <t>9608.81</t>
  </si>
  <si>
    <t>10587.85</t>
  </si>
  <si>
    <t>85.67</t>
  </si>
  <si>
    <t>3251.33</t>
  </si>
  <si>
    <t>17544.34</t>
  </si>
  <si>
    <t>14293.01</t>
  </si>
  <si>
    <t>3170.66</t>
  </si>
  <si>
    <t>60.04</t>
  </si>
  <si>
    <t>995.00</t>
  </si>
  <si>
    <t>9575.66</t>
  </si>
  <si>
    <t>10570.66</t>
  </si>
  <si>
    <t>17.60</t>
  </si>
  <si>
    <t>85.93</t>
  </si>
  <si>
    <t>3279.33</t>
  </si>
  <si>
    <t>17676.26</t>
  </si>
  <si>
    <t>14396.94</t>
  </si>
  <si>
    <t>3213.79</t>
  </si>
  <si>
    <t>SUSPICIOUS_DISPLACED_VALUE</t>
  </si>
  <si>
    <t>Displaced data in c141: raw value '3379.94' in Value(â‚¹ Cr) column for infrastructure touchpoint. Preserved raw value in audit column; excluded from counts.</t>
  </si>
  <si>
    <t>61.50</t>
  </si>
  <si>
    <t>1006.00</t>
  </si>
  <si>
    <t>9606.71</t>
  </si>
  <si>
    <t>10612.71</t>
  </si>
  <si>
    <t>17.01</t>
  </si>
  <si>
    <t>87.73</t>
  </si>
  <si>
    <t>3322.78</t>
  </si>
  <si>
    <t>17118.53</t>
  </si>
  <si>
    <t>13795.76</t>
  </si>
  <si>
    <t>3371.80</t>
  </si>
  <si>
    <t>Displaced data in c141: raw value '3540.62' in Value(â‚¹ Cr) column for infrastructure touchpoint. Preserved raw value in audit column; excluded from counts.</t>
  </si>
  <si>
    <t>62.50</t>
  </si>
  <si>
    <t>1018.03</t>
  </si>
  <si>
    <t>9649.19</t>
  </si>
  <si>
    <t>10667.22</t>
  </si>
  <si>
    <t>89.03</t>
  </si>
  <si>
    <t>3361.82</t>
  </si>
  <si>
    <t>16743.63</t>
  </si>
  <si>
    <t>13381.80</t>
  </si>
  <si>
    <t>3434.93</t>
  </si>
  <si>
    <t>Displaced data in c141: raw value '3606.58' in Value(â‚¹ Cr) column for infrastructure touchpoint. Preserved raw value in audit column; excluded from counts.</t>
  </si>
  <si>
    <t>60.73</t>
  </si>
  <si>
    <t>1025.40</t>
  </si>
  <si>
    <t>9509.45</t>
  </si>
  <si>
    <t>10534.85</t>
  </si>
  <si>
    <t>17.44</t>
  </si>
  <si>
    <t>88.39</t>
  </si>
  <si>
    <t>3421.99</t>
  </si>
  <si>
    <t>14716.82</t>
  </si>
  <si>
    <t>11294.83</t>
  </si>
  <si>
    <t>5597.20</t>
  </si>
  <si>
    <t>Displaced data in c141: raw value '5766.33' in Value(â‚¹ Cr) column for infrastructure touchpoint. Preserved raw value in audit column; excluded from counts.</t>
  </si>
  <si>
    <t>2.22</t>
  </si>
  <si>
    <t>61.21</t>
  </si>
  <si>
    <t>1033.00</t>
  </si>
  <si>
    <t>9565.98</t>
  </si>
  <si>
    <t>10598.99</t>
  </si>
  <si>
    <t>15.69</t>
  </si>
  <si>
    <t>88.04</t>
  </si>
  <si>
    <t>3538.78</t>
  </si>
  <si>
    <t>14840.92</t>
  </si>
  <si>
    <t>11302.14</t>
  </si>
  <si>
    <t>5690.84</t>
  </si>
  <si>
    <t>Displaced data in c141: raw value '5858.35' in Value(â‚¹ Cr) column for infrastructure touchpoint. Preserved raw value in audit column; excluded from counts.</t>
  </si>
  <si>
    <t>61.64</t>
  </si>
  <si>
    <t>1038.13</t>
  </si>
  <si>
    <t>9624.24</t>
  </si>
  <si>
    <t>10662.37</t>
  </si>
  <si>
    <t>89.67</t>
  </si>
  <si>
    <t>3675.69</t>
  </si>
  <si>
    <t>15051.30</t>
  </si>
  <si>
    <t>11375.61</t>
  </si>
  <si>
    <t>5770.15</t>
  </si>
  <si>
    <t>Displaced data in c141: raw value '5939.27' in Value(â‚¹ Cr) column for infrastructure touchpoint. Preserved raw value in audit column; excluded from counts.</t>
  </si>
  <si>
    <t>61.87</t>
  </si>
  <si>
    <t>1045.68</t>
  </si>
  <si>
    <t>9632.02</t>
  </si>
  <si>
    <t>10677.71</t>
  </si>
  <si>
    <t>14.78</t>
  </si>
  <si>
    <t>89.72</t>
  </si>
  <si>
    <t>3791.61</t>
  </si>
  <si>
    <t>15211.22</t>
  </si>
  <si>
    <t>11419.62</t>
  </si>
  <si>
    <t>5851.14</t>
  </si>
  <si>
    <t>Displaced data in c141: raw value '6020.06' in Value(â‚¹ Cr) column for infrastructure touchpoint. Preserved raw value in audit column; excluded from counts.</t>
  </si>
  <si>
    <t>63.97</t>
  </si>
  <si>
    <t>1054.24</t>
  </si>
  <si>
    <t>9685.49</t>
  </si>
  <si>
    <t>10739.74</t>
  </si>
  <si>
    <t>14.50</t>
  </si>
  <si>
    <t>93.01</t>
  </si>
  <si>
    <t>3859.41</t>
  </si>
  <si>
    <t>15182.13</t>
  </si>
  <si>
    <t>11322.72</t>
  </si>
  <si>
    <t>5912.93</t>
  </si>
  <si>
    <t>Displaced data in c141: raw value '6086.94' in Value(â‚¹ Cr) column for infrastructure touchpoint. Preserved raw value in audit column; excluded from counts.</t>
  </si>
  <si>
    <t>64.16</t>
  </si>
  <si>
    <t>1061.03</t>
  </si>
  <si>
    <t>9732.82</t>
  </si>
  <si>
    <t>10793.85</t>
  </si>
  <si>
    <t>14.53</t>
  </si>
  <si>
    <t>93.43</t>
  </si>
  <si>
    <t>3958.20</t>
  </si>
  <si>
    <t>15339.99</t>
  </si>
  <si>
    <t>11381.79</t>
  </si>
  <si>
    <t>6070.79</t>
  </si>
  <si>
    <t>Displaced data in c141: raw value '6245.46' in Value(â‚¹ Cr) column for infrastructure touchpoint. Preserved raw value in audit column; excluded from counts.</t>
  </si>
  <si>
    <t>64.31</t>
  </si>
  <si>
    <t>1068.90</t>
  </si>
  <si>
    <t>9809.11</t>
  </si>
  <si>
    <t>10878.00</t>
  </si>
  <si>
    <t>14.51</t>
  </si>
  <si>
    <t>95.09</t>
  </si>
  <si>
    <t>4064.07</t>
  </si>
  <si>
    <t>15503.38</t>
  </si>
  <si>
    <t>11439.31</t>
  </si>
  <si>
    <t>6168.52</t>
  </si>
  <si>
    <t>Displaced data in c141: raw value '6344.98' in Value(â‚¹ Cr) column for infrastructure touchpoint. Preserved raw value in audit column; excluded from counts.</t>
  </si>
  <si>
    <t>63.60</t>
  </si>
  <si>
    <t>1072.40</t>
  </si>
  <si>
    <t>9795.72</t>
  </si>
  <si>
    <t>10868.11</t>
  </si>
  <si>
    <t>96.91</t>
  </si>
  <si>
    <t>4163.66</t>
  </si>
  <si>
    <t>15627.20</t>
  </si>
  <si>
    <t>11463.53</t>
  </si>
  <si>
    <t>6261.80</t>
  </si>
  <si>
    <t>Displaced data in c141: raw value '6439.37' in Value(â‚¹ Cr) column for infrastructure touchpoint. Preserved raw value in audit column; excluded from counts.</t>
  </si>
  <si>
    <t>63.83</t>
  </si>
  <si>
    <t>1080.56</t>
  </si>
  <si>
    <t>9909.48</t>
  </si>
  <si>
    <t>10990.04</t>
  </si>
  <si>
    <t>14.76</t>
  </si>
  <si>
    <t>100.01</t>
  </si>
  <si>
    <t>4364.94</t>
  </si>
  <si>
    <t>13272.19</t>
  </si>
  <si>
    <t>8907.25</t>
  </si>
  <si>
    <t>6335.30</t>
  </si>
  <si>
    <t>Displaced data in c141: raw value '6516.44' in Value(â‚¹ Cr) column for infrastructure touchpoint. Preserved raw value in audit column; excluded from counts.</t>
  </si>
  <si>
    <t>64.43</t>
  </si>
  <si>
    <t>1088.73</t>
  </si>
  <si>
    <t>9820.39</t>
  </si>
  <si>
    <t>10909.12</t>
  </si>
  <si>
    <t>14.74</t>
  </si>
  <si>
    <t>103.53</t>
  </si>
  <si>
    <t>4508.59</t>
  </si>
  <si>
    <t>13466.32</t>
  </si>
  <si>
    <t>8957.73</t>
  </si>
  <si>
    <t>6401.65</t>
  </si>
  <si>
    <t>Displaced data in c141: raw value '6586.92' in Value(â‚¹ Cr) column for infrastructure touchpoint. Preserved raw value in audit column; excluded from counts.</t>
  </si>
  <si>
    <t>65.48</t>
  </si>
  <si>
    <t>1093.15</t>
  </si>
  <si>
    <t>9856.77</t>
  </si>
  <si>
    <t>10949.92</t>
  </si>
  <si>
    <t>14.68</t>
  </si>
  <si>
    <t>107.18</t>
  </si>
  <si>
    <t>4612.88</t>
  </si>
  <si>
    <t>13619.31</t>
  </si>
  <si>
    <t>9006.43</t>
  </si>
  <si>
    <t>6496.91</t>
  </si>
  <si>
    <t>Displaced data in c141: raw value '6686.82' in Value(â‚¹ Cr) column for infrastructure touchpoint. Preserved raw value in audit column; excluded from counts.</t>
  </si>
  <si>
    <t>67.18</t>
  </si>
  <si>
    <t>1098.85</t>
  </si>
  <si>
    <t>9908.12</t>
  </si>
  <si>
    <t>11006.97</t>
  </si>
  <si>
    <t>14.82</t>
  </si>
  <si>
    <t>110.98</t>
  </si>
  <si>
    <t>4723.02</t>
  </si>
  <si>
    <t>13401.46</t>
  </si>
  <si>
    <t>8678.44</t>
  </si>
  <si>
    <t>6579.30</t>
  </si>
  <si>
    <t>Displaced data in c141: raw value '6774.83' in Value(â‚¹ Cr) column for infrastructure touchpoint. Preserved raw value in audit column; excluded from counts.</t>
  </si>
  <si>
    <t>66.64</t>
  </si>
  <si>
    <t>1104.37</t>
  </si>
  <si>
    <t>9959.84</t>
  </si>
  <si>
    <t>11064.21</t>
  </si>
  <si>
    <t>112.83</t>
  </si>
  <si>
    <t>4725.51</t>
  </si>
  <si>
    <t>13449.86</t>
  </si>
  <si>
    <t>8724.36</t>
  </si>
  <si>
    <t>6623.85</t>
  </si>
  <si>
    <t>Displaced data in c141: raw value '6820.61' in Value(â‚¹ Cr) column for infrastructure touchpoint. Preserved raw value in audit column; excluded from counts.</t>
  </si>
  <si>
    <t>66.42</t>
  </si>
  <si>
    <t>1110.50</t>
  </si>
  <si>
    <t>10003.70</t>
  </si>
  <si>
    <t>11114.19</t>
  </si>
  <si>
    <t>115.81</t>
  </si>
  <si>
    <t>4821.38</t>
  </si>
  <si>
    <t>13518.33</t>
  </si>
  <si>
    <t>8696.94</t>
  </si>
  <si>
    <t>6697.30</t>
  </si>
  <si>
    <t>Displaced data in c141: raw value '6896.88' in Value(â‚¹ Cr) column for infrastructure touchpoint. Preserved raw value in audit column; excluded from counts.</t>
  </si>
  <si>
    <t>66.99</t>
  </si>
  <si>
    <t>1109.69</t>
  </si>
  <si>
    <t>10051.80</t>
  </si>
  <si>
    <t>11161.50</t>
  </si>
  <si>
    <t>14.59</t>
  </si>
  <si>
    <t>117.83</t>
  </si>
  <si>
    <t>4838.73</t>
  </si>
  <si>
    <t>13520.65</t>
  </si>
  <si>
    <t>8681.92</t>
  </si>
  <si>
    <t>6781.61</t>
  </si>
  <si>
    <t>Displaced data in c141: raw value '6983.53' in Value(â‚¹ Cr) column for infrastructure touchpoint. Preserved raw value in audit column; excluded from counts.</t>
  </si>
  <si>
    <t>2.49</t>
  </si>
  <si>
    <t>66.41</t>
  </si>
  <si>
    <t>1118.08</t>
  </si>
  <si>
    <t>10127.27</t>
  </si>
  <si>
    <t>11245.35</t>
  </si>
  <si>
    <t>119.13</t>
  </si>
  <si>
    <t>4876.37</t>
  </si>
  <si>
    <t>13746.53</t>
  </si>
  <si>
    <t>8870.16</t>
  </si>
  <si>
    <t>6880.31</t>
  </si>
  <si>
    <t>Displaced data in c141: raw value '7083.01' in Value(â‚¹ Cr) column for infrastructure touchpoint. Preserved raw value in audit column; excluded from counts.</t>
  </si>
  <si>
    <t>2.12</t>
  </si>
  <si>
    <t>65.73</t>
  </si>
  <si>
    <t>1124.96</t>
  </si>
  <si>
    <t>10180.42</t>
  </si>
  <si>
    <t>11305.38</t>
  </si>
  <si>
    <t>119.65</t>
  </si>
  <si>
    <t>4891.95</t>
  </si>
  <si>
    <t>14584.13</t>
  </si>
  <si>
    <t>9692.18</t>
  </si>
  <si>
    <t>6977.47</t>
  </si>
  <si>
    <t>Displaced data in c141: raw value '7180.05' in Value(â‚¹ Cr) column for infrastructure touchpoint. Preserved raw value in audit column; excluded from counts.</t>
  </si>
  <si>
    <t>60.71</t>
  </si>
  <si>
    <t>1135.07</t>
  </si>
  <si>
    <t>10248.09</t>
  </si>
  <si>
    <t>11383.16</t>
  </si>
  <si>
    <t>14.60</t>
  </si>
  <si>
    <t>121.16</t>
  </si>
  <si>
    <t>4701.45</t>
  </si>
  <si>
    <t>16180.40</t>
  </si>
  <si>
    <t>11478.95</t>
  </si>
  <si>
    <t>7089.75</t>
  </si>
  <si>
    <t>Displaced data in c141: raw value '7288.70' in Value(â‚¹ Cr) column for infrastructure touchpoint. Preserved raw value in audit column; excluded from counts.</t>
  </si>
  <si>
    <t>2.50</t>
  </si>
  <si>
    <t>60.48</t>
  </si>
  <si>
    <t>1141.34</t>
  </si>
  <si>
    <t>10271.50</t>
  </si>
  <si>
    <t>11412.84</t>
  </si>
  <si>
    <t>14.65</t>
  </si>
  <si>
    <t>123.08</t>
  </si>
  <si>
    <t>4717.28</t>
  </si>
  <si>
    <t>17710.95</t>
  </si>
  <si>
    <t>12993.66</t>
  </si>
  <si>
    <t>7174.34</t>
  </si>
  <si>
    <t>Displaced data in c141: raw value '7375.04' in Value(â‚¹ Cr) column for infrastructure touchpoint. Preserved raw value in audit column; excluded from counts.</t>
  </si>
  <si>
    <t>59.53</t>
  </si>
  <si>
    <t>1150.02</t>
  </si>
  <si>
    <t>10317.03</t>
  </si>
  <si>
    <t>11467.05</t>
  </si>
  <si>
    <t>112.53</t>
  </si>
  <si>
    <t>4696.95</t>
  </si>
  <si>
    <t>19107.13</t>
  </si>
  <si>
    <t>14410.18</t>
  </si>
  <si>
    <t>7282.00</t>
  </si>
  <si>
    <t>Displaced data in c141: raw value '7470.83' in Value(â‚¹ Cr) column for infrastructure touchpoint. Preserved raw value in audit column; excluded from counts.</t>
  </si>
  <si>
    <t>58.90</t>
  </si>
  <si>
    <t>1157.92</t>
  </si>
  <si>
    <t>10343.46</t>
  </si>
  <si>
    <t>11501.38</t>
  </si>
  <si>
    <t>14.15</t>
  </si>
  <si>
    <t>114.75</t>
  </si>
  <si>
    <t>4702.43</t>
  </si>
  <si>
    <t>20873.16</t>
  </si>
  <si>
    <t>16170.73</t>
  </si>
  <si>
    <t>7313.65</t>
  </si>
  <si>
    <t>Displaced data in c141: raw value '7503.95' in Value(â‚¹ Cr) column for infrastructure touchpoint. Preserved raw value in audit column; excluded from counts.</t>
  </si>
  <si>
    <t>58.44</t>
  </si>
  <si>
    <t>1166.52</t>
  </si>
  <si>
    <t>10377.57</t>
  </si>
  <si>
    <t>11544.09</t>
  </si>
  <si>
    <t>13.92</t>
  </si>
  <si>
    <t>115.45</t>
  </si>
  <si>
    <t>4784.92</t>
  </si>
  <si>
    <t>22053.38</t>
  </si>
  <si>
    <t>17268.45</t>
  </si>
  <si>
    <t>7383.80</t>
  </si>
  <si>
    <t>Displaced data in c141: raw value '7574.12' in Value(â‚¹ Cr) column for infrastructure touchpoint. Preserved raw value in audit column; excluded from counts.</t>
  </si>
  <si>
    <t>58.97</t>
  </si>
  <si>
    <t>1177.05</t>
  </si>
  <si>
    <t>10417.67</t>
  </si>
  <si>
    <t>11594.71</t>
  </si>
  <si>
    <t>13.90</t>
  </si>
  <si>
    <t>116.65</t>
  </si>
  <si>
    <t>4742.40</t>
  </si>
  <si>
    <t>22672.93</t>
  </si>
  <si>
    <t>17930.53</t>
  </si>
  <si>
    <t>7542.04</t>
  </si>
  <si>
    <t>56.33</t>
  </si>
  <si>
    <t>1186.34</t>
  </si>
  <si>
    <t>10445.69</t>
  </si>
  <si>
    <t>11632.02</t>
  </si>
  <si>
    <t>117.69</t>
  </si>
  <si>
    <t>4739.13</t>
  </si>
  <si>
    <t>22992.54</t>
  </si>
  <si>
    <t>18253.42</t>
  </si>
  <si>
    <t>7612.17</t>
  </si>
  <si>
    <t>56.17</t>
  </si>
  <si>
    <t>1194.59</t>
  </si>
  <si>
    <t>10236.70</t>
  </si>
  <si>
    <t>11431.30</t>
  </si>
  <si>
    <t>114.47</t>
  </si>
  <si>
    <t>4794.55</t>
  </si>
  <si>
    <t>23185.47</t>
  </si>
  <si>
    <t>18390.92</t>
  </si>
  <si>
    <t>7708.29</t>
  </si>
  <si>
    <t>56.05</t>
  </si>
  <si>
    <t>1204.54</t>
  </si>
  <si>
    <t>10279.08</t>
  </si>
  <si>
    <t>11483.62</t>
  </si>
  <si>
    <t>13.58</t>
  </si>
  <si>
    <t>115.25</t>
  </si>
  <si>
    <t>4625.61</t>
  </si>
  <si>
    <t>22221.66</t>
  </si>
  <si>
    <t>17596.04</t>
  </si>
  <si>
    <t>7797.65</t>
  </si>
  <si>
    <t>52.66</t>
  </si>
  <si>
    <t>1215.91</t>
  </si>
  <si>
    <t>10318.66</t>
  </si>
  <si>
    <t>11534.57</t>
  </si>
  <si>
    <t>13.37</t>
  </si>
  <si>
    <t>99.22</t>
  </si>
  <si>
    <t>4657.40</t>
  </si>
  <si>
    <t>22460.84</t>
  </si>
  <si>
    <t>17803.44</t>
  </si>
  <si>
    <t>7925.74</t>
  </si>
  <si>
    <t>52.69</t>
  </si>
  <si>
    <t>1228.58</t>
  </si>
  <si>
    <t>10333.11</t>
  </si>
  <si>
    <t>11561.69</t>
  </si>
  <si>
    <t>13.28</t>
  </si>
  <si>
    <t>100.28</t>
  </si>
  <si>
    <t>4782.05</t>
  </si>
  <si>
    <t>22885.19</t>
  </si>
  <si>
    <t>18103.14</t>
  </si>
  <si>
    <t>8030.48</t>
  </si>
  <si>
    <t>Month</t>
  </si>
  <si>
    <t>RTGS</t>
  </si>
  <si>
    <t>Retail credit transfers</t>
  </si>
  <si>
    <t>Retail debit transfers</t>
  </si>
  <si>
    <t>Card payments</t>
  </si>
  <si>
    <t>PAYFLOW | Digital Payments Intelligence</t>
  </si>
  <si>
    <t>RBI Payment System Indicators  •  Coverage: November 2019 – July 2026</t>
  </si>
  <si>
    <t>Latest available month: July 2026 (partial year). 2026 is partial through July. UPI QR value indicator c141 is anomalous and excluded from reliable payment-value analysis; it is not used in this dashboard.</t>
  </si>
  <si>
    <t>UPI SHARE OF VOLUME</t>
  </si>
  <si>
    <t>MOM VOLUME GROWTH</t>
  </si>
  <si>
    <t>BUSINESS SIGNALS  |  JULY 2026</t>
  </si>
  <si>
    <t>CHART SOURCE DATA — MONTHLY TOTALS</t>
  </si>
  <si>
    <t>Transaction volume (lakh)</t>
  </si>
  <si>
    <t>Transaction value (₹ crore)</t>
  </si>
  <si>
    <t>LATEST-MONTH CATEGORY MIX — VOLUME</t>
  </si>
  <si>
    <t>Official payment category</t>
  </si>
  <si>
    <t>Volume (lakh)</t>
  </si>
  <si>
    <t>Prepaid instruments</t>
  </si>
  <si>
    <t>LATEST-MONTH VOLUME (LAKH)</t>
  </si>
  <si>
    <t>LATEST-MONTH VALUE (₹ CRORE)</t>
  </si>
  <si>
    <t>INFRA INDICATORS TRACKED</t>
  </si>
  <si>
    <t>Payment Trends &amp; Growth</t>
  </si>
  <si>
    <t>PAYFLOW  |  RBI Payment System Indicators  |  November 2019 – July 2026</t>
  </si>
  <si>
    <t>Coverage: November 2019–July 2026; July 2026 is the latest available month and 2026 is partial. Payment-value series sum only the five official category totals and exclude anomalous UPI QR value indicator c141.</t>
  </si>
  <si>
    <t>KEY TRENDS</t>
  </si>
  <si>
    <t>Total volume MoM growth</t>
  </si>
  <si>
    <t>Payment Infrastructure Insights</t>
  </si>
  <si>
    <t>Coverage: November 2019–July 2026; July 2026 is the latest available month and 2026 is partial. UPI QR static counts use c140 only; tracking began September 2020. The c141 value field is a placeholder/anomalous displaced artifact and is excluded.</t>
  </si>
  <si>
    <t>INFRASTRUCTURE SIGNALS</t>
  </si>
  <si>
    <t>ATM total count (units)</t>
  </si>
  <si>
    <t>POS terminal count (units)</t>
  </si>
  <si>
    <t>UPI QR static count (units)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</si>
</sst>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7" formatCode="\+0.0%;\-0.0%;\-"/>
    <numFmt numFmtId="168" formatCode="mmm\ yyyy"/>
    <numFmt numFmtId="174" formatCode="0.0%;\(0.0%\);\-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ptos"/>
    </font>
    <font>
      <b/>
      <sz val="11"/>
      <color rgb="FFFFFFFF"/>
      <name val="Aptos"/>
    </font>
    <font>
      <sz val="11"/>
      <color theme="1"/>
      <name val="Aptos"/>
    </font>
    <font>
      <b/>
      <sz val="16"/>
      <color rgb="FF14243A"/>
      <name val="Calibri"/>
      <scheme val="minor"/>
    </font>
    <font>
      <b/>
      <sz val="22"/>
      <color rgb="FFFFFFFF"/>
      <name val="Aptos Display"/>
    </font>
    <font>
      <sz val="10"/>
      <color rgb="FFDCE6F1"/>
      <name val="Aptos"/>
    </font>
    <font>
      <i/>
      <sz val="9"/>
      <color rgb="FF7A5B00"/>
      <name val="Aptos"/>
    </font>
    <font>
      <sz val="11"/>
      <color rgb="FF23364D"/>
      <name val="Aptos"/>
    </font>
    <font>
      <b/>
      <sz val="18"/>
      <color rgb="FF13263F"/>
      <name val="Aptos Display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13263F"/>
        <bgColor indexed="64"/>
      </patternFill>
    </fill>
    <fill>
      <patternFill patternType="solid">
        <fgColor rgb="FF243B5A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E7EEF6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B4C7E7"/>
      </bottom>
      <diagonal/>
    </border>
    <border>
      <left/>
      <right/>
      <top/>
      <bottom style="thick">
        <color rgb="FF13263F"/>
      </bottom>
      <diagonal/>
    </border>
    <border>
      <left/>
      <right/>
      <top/>
      <bottom style="thin">
        <color rgb="FFE2C66D"/>
      </bottom>
      <diagonal/>
    </border>
    <border>
      <left/>
      <right/>
      <top style="medium">
        <color rgb="FF1A2E46"/>
      </top>
      <bottom/>
      <diagonal/>
    </border>
    <border>
      <left/>
      <right/>
      <top/>
      <bottom style="thin">
        <color rgb="FFD9E2F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3" borderId="0" xfId="0" applyFont="1" applyFill="1"/>
    <xf numFmtId="0" fontId="4" fillId="0" borderId="0" xfId="0" applyFont="1"/>
    <xf numFmtId="0" fontId="1" fillId="3" borderId="0" xfId="0" applyFont="1" applyFill="1"/>
    <xf numFmtId="168" fontId="0" fillId="0" borderId="0" xfId="0" applyNumberFormat="1"/>
    <xf numFmtId="164" fontId="0" fillId="0" borderId="0" xfId="0" applyNumberFormat="1"/>
    <xf numFmtId="0" fontId="5" fillId="4" borderId="2" xfId="0" applyNumberFormat="1" applyFont="1" applyFill="1" applyBorder="1" applyAlignment="1">
      <alignment horizontal="center" vertical="center"/>
    </xf>
    <xf numFmtId="174" fontId="0" fillId="0" borderId="0" xfId="0" applyNumberFormat="1"/>
    <xf numFmtId="3" fontId="0" fillId="0" borderId="0" xfId="0" applyNumberFormat="1"/>
    <xf numFmtId="0" fontId="6" fillId="5" borderId="3" xfId="0" applyNumberFormat="1" applyFont="1" applyFill="1" applyBorder="1" applyAlignment="1">
      <alignment horizontal="left" vertical="center"/>
    </xf>
    <xf numFmtId="0" fontId="7" fillId="6" borderId="0" xfId="0" applyNumberFormat="1" applyFont="1" applyFill="1" applyAlignment="1">
      <alignment horizontal="left"/>
    </xf>
    <xf numFmtId="0" fontId="8" fillId="2" borderId="4" xfId="0" applyNumberFormat="1" applyFont="1" applyFill="1" applyBorder="1" applyAlignment="1">
      <alignment horizontal="left" wrapText="1"/>
    </xf>
    <xf numFmtId="0" fontId="3" fillId="6" borderId="0" xfId="0" applyNumberFormat="1" applyFont="1" applyFill="1" applyBorder="1" applyAlignment="1">
      <alignment horizontal="left"/>
    </xf>
    <xf numFmtId="0" fontId="9" fillId="7" borderId="0" xfId="0" applyNumberFormat="1" applyFont="1" applyFill="1" applyBorder="1" applyAlignment="1">
      <alignment horizontal="left" vertical="center"/>
    </xf>
    <xf numFmtId="0" fontId="9" fillId="7" borderId="5" xfId="0" applyNumberFormat="1" applyFont="1" applyFill="1" applyBorder="1" applyAlignment="1">
      <alignment horizontal="left" vertical="center"/>
    </xf>
    <xf numFmtId="0" fontId="9" fillId="7" borderId="6" xfId="0" applyNumberFormat="1" applyFont="1" applyFill="1" applyBorder="1" applyAlignment="1">
      <alignment horizontal="left" vertical="center"/>
    </xf>
    <xf numFmtId="0" fontId="2" fillId="6" borderId="1" xfId="0" applyNumberFormat="1" applyFont="1" applyFill="1" applyBorder="1" applyAlignment="1">
      <alignment horizontal="center" vertical="center" wrapText="1"/>
    </xf>
    <xf numFmtId="0" fontId="5" fillId="4" borderId="0" xfId="0" applyNumberFormat="1" applyFont="1" applyFill="1" applyBorder="1" applyAlignment="1">
      <alignment horizontal="center" vertical="center"/>
    </xf>
    <xf numFmtId="0" fontId="2" fillId="6" borderId="7" xfId="0" applyNumberFormat="1" applyFont="1" applyFill="1" applyBorder="1" applyAlignment="1">
      <alignment horizontal="center" vertical="center" wrapText="1"/>
    </xf>
    <xf numFmtId="0" fontId="2" fillId="6" borderId="8" xfId="0" applyNumberFormat="1" applyFont="1" applyFill="1" applyBorder="1" applyAlignment="1">
      <alignment horizontal="center" vertical="center" wrapText="1"/>
    </xf>
    <xf numFmtId="164" fontId="10" fillId="8" borderId="0" xfId="0" applyNumberFormat="1" applyFont="1" applyFill="1" applyBorder="1" applyAlignment="1">
      <alignment horizontal="center" vertical="center"/>
    </xf>
    <xf numFmtId="165" fontId="10" fillId="8" borderId="0" xfId="0" applyNumberFormat="1" applyFont="1" applyFill="1" applyBorder="1" applyAlignment="1">
      <alignment horizontal="center" vertical="center"/>
    </xf>
    <xf numFmtId="167" fontId="10" fillId="8" borderId="0" xfId="0" applyNumberFormat="1" applyFont="1" applyFill="1" applyBorder="1" applyAlignment="1">
      <alignment horizontal="center" vertical="center"/>
    </xf>
    <xf numFmtId="1" fontId="10" fillId="8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Digital Payment Transaction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'PAYFLOW Dashboard'!$B$55</c:f>
              <c:strCache>
                <c:ptCount val="1"/>
                <c:pt idx="0">
                  <c:v>Transaction volume (lakh)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'PAYFLOW Dashboard'!$A$56:$A$136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'PAYFLOW Dashboard'!$B$56:$B$136</c:f>
              <c:numCache>
                <c:formatCode>#,##0.0</c:formatCode>
                <c:ptCount val="81"/>
                <c:pt idx="0">
                  <c:v>29978.63</c:v>
                </c:pt>
                <c:pt idx="1">
                  <c:v>32256.54</c:v>
                </c:pt>
                <c:pt idx="2">
                  <c:v>33631.79</c:v>
                </c:pt>
                <c:pt idx="3">
                  <c:v>32895.25</c:v>
                </c:pt>
                <c:pt idx="4">
                  <c:v>29266.86</c:v>
                </c:pt>
                <c:pt idx="5">
                  <c:v>23604.69</c:v>
                </c:pt>
                <c:pt idx="6">
                  <c:v>25574.53</c:v>
                </c:pt>
                <c:pt idx="7">
                  <c:v>29095.98</c:v>
                </c:pt>
                <c:pt idx="8">
                  <c:v>31281.919999999998</c:v>
                </c:pt>
                <c:pt idx="9">
                  <c:v>34660.18</c:v>
                </c:pt>
                <c:pt idx="10">
                  <c:v>36183.72</c:v>
                </c:pt>
                <c:pt idx="11">
                  <c:v>39946.9</c:v>
                </c:pt>
                <c:pt idx="12">
                  <c:v>40974.58</c:v>
                </c:pt>
                <c:pt idx="13">
                  <c:v>42662.25</c:v>
                </c:pt>
                <c:pt idx="14">
                  <c:v>42623.4</c:v>
                </c:pt>
                <c:pt idx="15">
                  <c:v>41205.730000000003</c:v>
                </c:pt>
                <c:pt idx="16">
                  <c:v>49254.6</c:v>
                </c:pt>
                <c:pt idx="17">
                  <c:v>45129.53</c:v>
                </c:pt>
                <c:pt idx="18">
                  <c:v>42675.96</c:v>
                </c:pt>
                <c:pt idx="19">
                  <c:v>46899.91</c:v>
                </c:pt>
                <c:pt idx="20">
                  <c:v>52711.53</c:v>
                </c:pt>
                <c:pt idx="21">
                  <c:v>57298.400000000001</c:v>
                </c:pt>
                <c:pt idx="22">
                  <c:v>57512.75</c:v>
                </c:pt>
                <c:pt idx="23">
                  <c:v>66222.66</c:v>
                </c:pt>
                <c:pt idx="24">
                  <c:v>64617.37</c:v>
                </c:pt>
                <c:pt idx="25">
                  <c:v>70299.95</c:v>
                </c:pt>
                <c:pt idx="26">
                  <c:v>69566.320000000007</c:v>
                </c:pt>
                <c:pt idx="27">
                  <c:v>66966.73</c:v>
                </c:pt>
                <c:pt idx="28">
                  <c:v>79867.19</c:v>
                </c:pt>
                <c:pt idx="29">
                  <c:v>80060.94</c:v>
                </c:pt>
                <c:pt idx="30">
                  <c:v>85783.33</c:v>
                </c:pt>
                <c:pt idx="31">
                  <c:v>82969.11</c:v>
                </c:pt>
                <c:pt idx="32">
                  <c:v>87758.02</c:v>
                </c:pt>
                <c:pt idx="33">
                  <c:v>90852.160000000003</c:v>
                </c:pt>
                <c:pt idx="34">
                  <c:v>92421.24</c:v>
                </c:pt>
                <c:pt idx="35">
                  <c:v>98920.42</c:v>
                </c:pt>
                <c:pt idx="36">
                  <c:v>97111.86</c:v>
                </c:pt>
                <c:pt idx="37">
                  <c:v>103826.92</c:v>
                </c:pt>
                <c:pt idx="38">
                  <c:v>105193.62</c:v>
                </c:pt>
                <c:pt idx="39">
                  <c:v>100738.77</c:v>
                </c:pt>
                <c:pt idx="40">
                  <c:v>113921.68</c:v>
                </c:pt>
                <c:pt idx="41">
                  <c:v>113422.69</c:v>
                </c:pt>
                <c:pt idx="42">
                  <c:v>120847.63</c:v>
                </c:pt>
                <c:pt idx="43">
                  <c:v>119266.7</c:v>
                </c:pt>
                <c:pt idx="44">
                  <c:v>127149.92</c:v>
                </c:pt>
                <c:pt idx="45">
                  <c:v>132912.92000000001</c:v>
                </c:pt>
                <c:pt idx="46">
                  <c:v>131665.97</c:v>
                </c:pt>
                <c:pt idx="47">
                  <c:v>141873.15</c:v>
                </c:pt>
                <c:pt idx="48">
                  <c:v>141072.41</c:v>
                </c:pt>
                <c:pt idx="49">
                  <c:v>148762.4</c:v>
                </c:pt>
                <c:pt idx="50">
                  <c:v>150891.97</c:v>
                </c:pt>
                <c:pt idx="51">
                  <c:v>150688.49</c:v>
                </c:pt>
                <c:pt idx="52">
                  <c:v>165747.54</c:v>
                </c:pt>
                <c:pt idx="53">
                  <c:v>161211.88</c:v>
                </c:pt>
                <c:pt idx="54">
                  <c:v>169323.14</c:v>
                </c:pt>
                <c:pt idx="55">
                  <c:v>167736.1</c:v>
                </c:pt>
                <c:pt idx="56">
                  <c:v>173858.01</c:v>
                </c:pt>
                <c:pt idx="57">
                  <c:v>179267.64</c:v>
                </c:pt>
                <c:pt idx="58">
                  <c:v>179416.95999999999</c:v>
                </c:pt>
                <c:pt idx="59">
                  <c:v>199064.01</c:v>
                </c:pt>
                <c:pt idx="60">
                  <c:v>183509.26</c:v>
                </c:pt>
                <c:pt idx="61">
                  <c:v>197940.75</c:v>
                </c:pt>
                <c:pt idx="62">
                  <c:v>200754.53</c:v>
                </c:pt>
                <c:pt idx="63">
                  <c:v>190952.14</c:v>
                </c:pt>
                <c:pt idx="64">
                  <c:v>216780.2</c:v>
                </c:pt>
                <c:pt idx="65">
                  <c:v>209500.31</c:v>
                </c:pt>
                <c:pt idx="66">
                  <c:v>218760.95999999999</c:v>
                </c:pt>
                <c:pt idx="67">
                  <c:v>215207.29</c:v>
                </c:pt>
                <c:pt idx="68">
                  <c:v>227631.95</c:v>
                </c:pt>
                <c:pt idx="69">
                  <c:v>235027.6</c:v>
                </c:pt>
                <c:pt idx="70">
                  <c:v>229834.03</c:v>
                </c:pt>
                <c:pt idx="71">
                  <c:v>241798.06</c:v>
                </c:pt>
                <c:pt idx="72">
                  <c:v>238887.74</c:v>
                </c:pt>
                <c:pt idx="73">
                  <c:v>251055.07</c:v>
                </c:pt>
                <c:pt idx="74">
                  <c:v>251651.77</c:v>
                </c:pt>
                <c:pt idx="75">
                  <c:v>235756.65</c:v>
                </c:pt>
                <c:pt idx="76">
                  <c:v>262336.94</c:v>
                </c:pt>
                <c:pt idx="77">
                  <c:v>256317.02</c:v>
                </c:pt>
                <c:pt idx="78">
                  <c:v>265265</c:v>
                </c:pt>
                <c:pt idx="79">
                  <c:v>261711.04</c:v>
                </c:pt>
                <c:pt idx="80">
                  <c:v>271816.8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74-420E-9359-7616E7155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041983"/>
        <c:axId val="417693791"/>
      </c:lineChart>
      <c:dateAx>
        <c:axId val="414041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93791"/>
        <c:crosses val="autoZero"/>
        <c:auto val="1"/>
        <c:lblOffset val="100"/>
        <c:baseTimeUnit val="months"/>
      </c:dateAx>
      <c:valAx>
        <c:axId val="41769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Transactions (lakh)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4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Digital Payment Transaction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'PAYFLOW Dashboard'!$E$55</c:f>
              <c:strCache>
                <c:ptCount val="1"/>
                <c:pt idx="0">
                  <c:v>Transaction value (₹ crore)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'PAYFLOW Dashboard'!$D$56:$D$136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'PAYFLOW Dashboard'!$E$56:$E$136</c:f>
              <c:numCache>
                <c:formatCode>#,##0.0</c:formatCode>
                <c:ptCount val="81"/>
                <c:pt idx="0">
                  <c:v>11092669.119999999</c:v>
                </c:pt>
                <c:pt idx="1">
                  <c:v>12958789.300000003</c:v>
                </c:pt>
                <c:pt idx="2">
                  <c:v>12537395.68</c:v>
                </c:pt>
                <c:pt idx="3">
                  <c:v>11578728.600000001</c:v>
                </c:pt>
                <c:pt idx="4">
                  <c:v>15024753.780000001</c:v>
                </c:pt>
                <c:pt idx="5">
                  <c:v>8241148.2999999998</c:v>
                </c:pt>
                <c:pt idx="6">
                  <c:v>9193905.7600000016</c:v>
                </c:pt>
                <c:pt idx="7">
                  <c:v>11327129.15</c:v>
                </c:pt>
                <c:pt idx="8">
                  <c:v>11102446.68</c:v>
                </c:pt>
                <c:pt idx="9">
                  <c:v>10037558.279999999</c:v>
                </c:pt>
                <c:pt idx="10">
                  <c:v>12508222.090000002</c:v>
                </c:pt>
                <c:pt idx="11">
                  <c:v>11720220.129999997</c:v>
                </c:pt>
                <c:pt idx="12">
                  <c:v>11199705.560000001</c:v>
                </c:pt>
                <c:pt idx="13">
                  <c:v>14281201.18</c:v>
                </c:pt>
                <c:pt idx="14">
                  <c:v>12387617.73</c:v>
                </c:pt>
                <c:pt idx="15">
                  <c:v>12175715.92</c:v>
                </c:pt>
                <c:pt idx="16">
                  <c:v>17283617.389999997</c:v>
                </c:pt>
                <c:pt idx="17">
                  <c:v>11962001.890000001</c:v>
                </c:pt>
                <c:pt idx="18">
                  <c:v>11261479.550000001</c:v>
                </c:pt>
                <c:pt idx="19">
                  <c:v>13445922.509999998</c:v>
                </c:pt>
                <c:pt idx="20">
                  <c:v>14199610.6</c:v>
                </c:pt>
                <c:pt idx="21">
                  <c:v>13692317.119999999</c:v>
                </c:pt>
                <c:pt idx="22">
                  <c:v>14817559.320000002</c:v>
                </c:pt>
                <c:pt idx="23">
                  <c:v>14171917.310000001</c:v>
                </c:pt>
                <c:pt idx="24">
                  <c:v>14804995.549999997</c:v>
                </c:pt>
                <c:pt idx="25">
                  <c:v>17320825.370000001</c:v>
                </c:pt>
                <c:pt idx="26">
                  <c:v>14519881.270000001</c:v>
                </c:pt>
                <c:pt idx="27">
                  <c:v>14387881.720000003</c:v>
                </c:pt>
                <c:pt idx="28">
                  <c:v>19816840.709999997</c:v>
                </c:pt>
                <c:pt idx="29">
                  <c:v>15437383.310000002</c:v>
                </c:pt>
                <c:pt idx="30">
                  <c:v>15662545.529999999</c:v>
                </c:pt>
                <c:pt idx="31">
                  <c:v>16948911.259999998</c:v>
                </c:pt>
                <c:pt idx="32">
                  <c:v>16124939.59</c:v>
                </c:pt>
                <c:pt idx="33">
                  <c:v>16256511.760000002</c:v>
                </c:pt>
                <c:pt idx="34">
                  <c:v>18724499.299999997</c:v>
                </c:pt>
                <c:pt idx="35">
                  <c:v>16435635.009999998</c:v>
                </c:pt>
                <c:pt idx="36">
                  <c:v>17122666.379999995</c:v>
                </c:pt>
                <c:pt idx="37">
                  <c:v>18988611.140000004</c:v>
                </c:pt>
                <c:pt idx="38">
                  <c:v>17606106.070000004</c:v>
                </c:pt>
                <c:pt idx="39">
                  <c:v>17007088.599999998</c:v>
                </c:pt>
                <c:pt idx="40">
                  <c:v>22370990.859999999</c:v>
                </c:pt>
                <c:pt idx="41">
                  <c:v>17041460.879999999</c:v>
                </c:pt>
                <c:pt idx="42">
                  <c:v>18422636.729999997</c:v>
                </c:pt>
                <c:pt idx="43">
                  <c:v>19829171.950000003</c:v>
                </c:pt>
                <c:pt idx="44">
                  <c:v>18728093.780000001</c:v>
                </c:pt>
                <c:pt idx="45">
                  <c:v>19476332.710000001</c:v>
                </c:pt>
                <c:pt idx="46">
                  <c:v>20237041.129999999</c:v>
                </c:pt>
                <c:pt idx="47">
                  <c:v>19526386.609999999</c:v>
                </c:pt>
                <c:pt idx="48">
                  <c:v>19641486.98</c:v>
                </c:pt>
                <c:pt idx="49">
                  <c:v>22197900.809999999</c:v>
                </c:pt>
                <c:pt idx="50">
                  <c:v>21028870.680000003</c:v>
                </c:pt>
                <c:pt idx="51">
                  <c:v>21021038.469999999</c:v>
                </c:pt>
                <c:pt idx="52">
                  <c:v>25673377.93</c:v>
                </c:pt>
                <c:pt idx="53">
                  <c:v>20753664.850000001</c:v>
                </c:pt>
                <c:pt idx="54">
                  <c:v>21858217.780000001</c:v>
                </c:pt>
                <c:pt idx="55">
                  <c:v>22499058.109999999</c:v>
                </c:pt>
                <c:pt idx="56">
                  <c:v>22860979.25</c:v>
                </c:pt>
                <c:pt idx="57">
                  <c:v>22724581.949999999</c:v>
                </c:pt>
                <c:pt idx="58">
                  <c:v>24585736.920000002</c:v>
                </c:pt>
                <c:pt idx="59">
                  <c:v>24888114.16</c:v>
                </c:pt>
                <c:pt idx="60">
                  <c:v>21514229.670000002</c:v>
                </c:pt>
                <c:pt idx="61">
                  <c:v>26545062.149999999</c:v>
                </c:pt>
                <c:pt idx="62">
                  <c:v>24941970.199999999</c:v>
                </c:pt>
                <c:pt idx="63">
                  <c:v>23010857.059999999</c:v>
                </c:pt>
                <c:pt idx="64">
                  <c:v>30117631.050000004</c:v>
                </c:pt>
                <c:pt idx="65">
                  <c:v>24464163.800000001</c:v>
                </c:pt>
                <c:pt idx="66">
                  <c:v>24614318.369999997</c:v>
                </c:pt>
                <c:pt idx="67">
                  <c:v>26419883.550000001</c:v>
                </c:pt>
                <c:pt idx="68">
                  <c:v>26653867.290000003</c:v>
                </c:pt>
                <c:pt idx="69">
                  <c:v>23939275.030000001</c:v>
                </c:pt>
                <c:pt idx="70">
                  <c:v>27879360.43</c:v>
                </c:pt>
                <c:pt idx="71">
                  <c:v>27089050.769999996</c:v>
                </c:pt>
                <c:pt idx="72">
                  <c:v>24669099.540000003</c:v>
                </c:pt>
                <c:pt idx="73">
                  <c:v>30567264.100000001</c:v>
                </c:pt>
                <c:pt idx="74">
                  <c:v>27760396.739999998</c:v>
                </c:pt>
                <c:pt idx="75">
                  <c:v>27124723.450000003</c:v>
                </c:pt>
                <c:pt idx="76">
                  <c:v>33922161.600000001</c:v>
                </c:pt>
                <c:pt idx="77">
                  <c:v>27993138.739999998</c:v>
                </c:pt>
                <c:pt idx="78">
                  <c:v>27268804.859999999</c:v>
                </c:pt>
                <c:pt idx="79">
                  <c:v>31764092.219999999</c:v>
                </c:pt>
                <c:pt idx="80">
                  <c:v>31436326.610000003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2-4C32-9CAC-8D9D3F1BF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694207"/>
        <c:axId val="417694623"/>
      </c:lineChart>
      <c:dateAx>
        <c:axId val="417694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94623"/>
        <c:crosses val="autoZero"/>
        <c:auto val="1"/>
        <c:lblOffset val="100"/>
        <c:baseTimeUnit val="months"/>
      </c:dateAx>
      <c:valAx>
        <c:axId val="41769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(₹ crore)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9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July 2026 Transaction Volume Share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'PAYFLOW Dashboard'!$H$55</c:f>
              <c:strCache>
                <c:ptCount val="1"/>
                <c:pt idx="0">
                  <c:v>Volume (lakh)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'PAYFLOW Dashboard'!$G$56:$G$60</c:f>
              <c:strCache>
                <c:ptCount val="5"/>
                <c:pt idx="0">
                  <c:v>RTGS</c:v>
                </c:pt>
                <c:pt idx="1">
                  <c:v>Retail credit transfers</c:v>
                </c:pt>
                <c:pt idx="2">
                  <c:v>Retail debit transfers</c:v>
                </c:pt>
                <c:pt idx="3">
                  <c:v>Card payments</c:v>
                </c:pt>
                <c:pt idx="4">
                  <c:v>Prepaid instruments</c:v>
                </c:pt>
              </c:strCache>
            </c:strRef>
          </c:cat>
          <c:val>
            <c:numRef>
              <c:f>'PAYFLOW Dashboard'!$H$56:$H$60</c:f>
              <c:numCache>
                <c:formatCode>#,##0.0</c:formatCode>
                <c:ptCount val="5"/>
                <c:pt idx="0">
                  <c:v>333.1</c:v>
                </c:pt>
                <c:pt idx="1">
                  <c:v>253061.29</c:v>
                </c:pt>
                <c:pt idx="2">
                  <c:v>2100.5300000000002</c:v>
                </c:pt>
                <c:pt idx="3">
                  <c:v>7068.23</c:v>
                </c:pt>
                <c:pt idx="4">
                  <c:v>9253.65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B-4507-A3CE-EF1BF9E10C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Volume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'Payment Trends'!$B$56</c:f>
              <c:strCache>
                <c:ptCount val="1"/>
                <c:pt idx="0">
                  <c:v>RTGS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'Payment Trends'!$A$57:$A$137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'Payment Trends'!$B$57:$B$137</c:f>
              <c:numCache>
                <c:formatCode>#,##0.0</c:formatCode>
                <c:ptCount val="81"/>
                <c:pt idx="0">
                  <c:v>133.87</c:v>
                </c:pt>
                <c:pt idx="1">
                  <c:v>136.02000000000001</c:v>
                </c:pt>
                <c:pt idx="2">
                  <c:v>137.29</c:v>
                </c:pt>
                <c:pt idx="3">
                  <c:v>133.15</c:v>
                </c:pt>
                <c:pt idx="4">
                  <c:v>118.95</c:v>
                </c:pt>
                <c:pt idx="5">
                  <c:v>54.35</c:v>
                </c:pt>
                <c:pt idx="6">
                  <c:v>90.04</c:v>
                </c:pt>
                <c:pt idx="7">
                  <c:v>119.68</c:v>
                </c:pt>
                <c:pt idx="8">
                  <c:v>124.76</c:v>
                </c:pt>
                <c:pt idx="9">
                  <c:v>116.77</c:v>
                </c:pt>
                <c:pt idx="10">
                  <c:v>130.11000000000001</c:v>
                </c:pt>
                <c:pt idx="11">
                  <c:v>138.22</c:v>
                </c:pt>
                <c:pt idx="12">
                  <c:v>137.80000000000001</c:v>
                </c:pt>
                <c:pt idx="13">
                  <c:v>163.47999999999999</c:v>
                </c:pt>
                <c:pt idx="14">
                  <c:v>156.68</c:v>
                </c:pt>
                <c:pt idx="15">
                  <c:v>157.69999999999999</c:v>
                </c:pt>
                <c:pt idx="16">
                  <c:v>202.35</c:v>
                </c:pt>
                <c:pt idx="17">
                  <c:v>151.52000000000001</c:v>
                </c:pt>
                <c:pt idx="18">
                  <c:v>123.34</c:v>
                </c:pt>
                <c:pt idx="19">
                  <c:v>154.13999999999999</c:v>
                </c:pt>
                <c:pt idx="20">
                  <c:v>167.65</c:v>
                </c:pt>
                <c:pt idx="21">
                  <c:v>166.52</c:v>
                </c:pt>
                <c:pt idx="22">
                  <c:v>174.57</c:v>
                </c:pt>
                <c:pt idx="23">
                  <c:v>184.11</c:v>
                </c:pt>
                <c:pt idx="24">
                  <c:v>172.14</c:v>
                </c:pt>
                <c:pt idx="25">
                  <c:v>192.78</c:v>
                </c:pt>
                <c:pt idx="26">
                  <c:v>181.29</c:v>
                </c:pt>
                <c:pt idx="27">
                  <c:v>180.29</c:v>
                </c:pt>
                <c:pt idx="28">
                  <c:v>230.04</c:v>
                </c:pt>
                <c:pt idx="29">
                  <c:v>195.32</c:v>
                </c:pt>
                <c:pt idx="30">
                  <c:v>195.72</c:v>
                </c:pt>
                <c:pt idx="31">
                  <c:v>194.42</c:v>
                </c:pt>
                <c:pt idx="32">
                  <c:v>189.26</c:v>
                </c:pt>
                <c:pt idx="33">
                  <c:v>188.08</c:v>
                </c:pt>
                <c:pt idx="34">
                  <c:v>198.3</c:v>
                </c:pt>
                <c:pt idx="35">
                  <c:v>190.34</c:v>
                </c:pt>
                <c:pt idx="36">
                  <c:v>206.46</c:v>
                </c:pt>
                <c:pt idx="37">
                  <c:v>215.03</c:v>
                </c:pt>
                <c:pt idx="38">
                  <c:v>204.18</c:v>
                </c:pt>
                <c:pt idx="39">
                  <c:v>200.5</c:v>
                </c:pt>
                <c:pt idx="40">
                  <c:v>248.01</c:v>
                </c:pt>
                <c:pt idx="41">
                  <c:v>201.57</c:v>
                </c:pt>
                <c:pt idx="42">
                  <c:v>220.46</c:v>
                </c:pt>
                <c:pt idx="43">
                  <c:v>212.3</c:v>
                </c:pt>
                <c:pt idx="44">
                  <c:v>211.89</c:v>
                </c:pt>
                <c:pt idx="45">
                  <c:v>218.08</c:v>
                </c:pt>
                <c:pt idx="46">
                  <c:v>213.94</c:v>
                </c:pt>
                <c:pt idx="47">
                  <c:v>224.62</c:v>
                </c:pt>
                <c:pt idx="48">
                  <c:v>219.2</c:v>
                </c:pt>
                <c:pt idx="49">
                  <c:v>230.39</c:v>
                </c:pt>
                <c:pt idx="50">
                  <c:v>230.99</c:v>
                </c:pt>
                <c:pt idx="51">
                  <c:v>238.26</c:v>
                </c:pt>
                <c:pt idx="52">
                  <c:v>278.47000000000003</c:v>
                </c:pt>
                <c:pt idx="53">
                  <c:v>235.59</c:v>
                </c:pt>
                <c:pt idx="54">
                  <c:v>249.71</c:v>
                </c:pt>
                <c:pt idx="55">
                  <c:v>231.84</c:v>
                </c:pt>
                <c:pt idx="56">
                  <c:v>246.68</c:v>
                </c:pt>
                <c:pt idx="57">
                  <c:v>237.53</c:v>
                </c:pt>
                <c:pt idx="58">
                  <c:v>233.33</c:v>
                </c:pt>
                <c:pt idx="59">
                  <c:v>267.92</c:v>
                </c:pt>
                <c:pt idx="60">
                  <c:v>240.29</c:v>
                </c:pt>
                <c:pt idx="61">
                  <c:v>262.29000000000002</c:v>
                </c:pt>
                <c:pt idx="62">
                  <c:v>268.14999999999998</c:v>
                </c:pt>
                <c:pt idx="63">
                  <c:v>244.2</c:v>
                </c:pt>
                <c:pt idx="64">
                  <c:v>307.02999999999997</c:v>
                </c:pt>
                <c:pt idx="65">
                  <c:v>262.41000000000003</c:v>
                </c:pt>
                <c:pt idx="66">
                  <c:v>274.70999999999998</c:v>
                </c:pt>
                <c:pt idx="67">
                  <c:v>254.88</c:v>
                </c:pt>
                <c:pt idx="68">
                  <c:v>277.67</c:v>
                </c:pt>
                <c:pt idx="69">
                  <c:v>259.68</c:v>
                </c:pt>
                <c:pt idx="70">
                  <c:v>280.83</c:v>
                </c:pt>
                <c:pt idx="71">
                  <c:v>296.76</c:v>
                </c:pt>
                <c:pt idx="72">
                  <c:v>284.89</c:v>
                </c:pt>
                <c:pt idx="73">
                  <c:v>317.67</c:v>
                </c:pt>
                <c:pt idx="74">
                  <c:v>316.99</c:v>
                </c:pt>
                <c:pt idx="75">
                  <c:v>305.85000000000002</c:v>
                </c:pt>
                <c:pt idx="76">
                  <c:v>367.45</c:v>
                </c:pt>
                <c:pt idx="77">
                  <c:v>315.56</c:v>
                </c:pt>
                <c:pt idx="78">
                  <c:v>315.38</c:v>
                </c:pt>
                <c:pt idx="79">
                  <c:v>319.29000000000002</c:v>
                </c:pt>
                <c:pt idx="80">
                  <c:v>333.1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F-4253-B9D1-2A94BCF7878E}"/>
            </c:ext>
          </c:extLst>
        </c:ser>
        <c:ser>
          <c:idx val="1"/>
          <c:order val="1"/>
          <c:tx>
            <c:strRef>
              <c:f>'Payment Trends'!$C$56</c:f>
              <c:strCache>
                <c:ptCount val="1"/>
                <c:pt idx="0">
                  <c:v>Retail credit transfers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'Payment Trends'!$A$57:$A$137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'Payment Trends'!$C$57:$C$137</c:f>
              <c:numCache>
                <c:formatCode>#,##0.0</c:formatCode>
                <c:ptCount val="81"/>
                <c:pt idx="0">
                  <c:v>18731.18</c:v>
                </c:pt>
                <c:pt idx="1">
                  <c:v>20012.78</c:v>
                </c:pt>
                <c:pt idx="2">
                  <c:v>21168.29</c:v>
                </c:pt>
                <c:pt idx="3">
                  <c:v>20370.86</c:v>
                </c:pt>
                <c:pt idx="4">
                  <c:v>19635.400000000001</c:v>
                </c:pt>
                <c:pt idx="5">
                  <c:v>17950.71</c:v>
                </c:pt>
                <c:pt idx="6">
                  <c:v>18091.87</c:v>
                </c:pt>
                <c:pt idx="7">
                  <c:v>20341.73</c:v>
                </c:pt>
                <c:pt idx="8">
                  <c:v>21832.43</c:v>
                </c:pt>
                <c:pt idx="9">
                  <c:v>23968.19</c:v>
                </c:pt>
                <c:pt idx="10">
                  <c:v>25506.720000000001</c:v>
                </c:pt>
                <c:pt idx="11">
                  <c:v>28646.32</c:v>
                </c:pt>
                <c:pt idx="12">
                  <c:v>30270.13</c:v>
                </c:pt>
                <c:pt idx="13">
                  <c:v>31735.79</c:v>
                </c:pt>
                <c:pt idx="14">
                  <c:v>31708.240000000002</c:v>
                </c:pt>
                <c:pt idx="15">
                  <c:v>30607.09</c:v>
                </c:pt>
                <c:pt idx="16">
                  <c:v>37208.51</c:v>
                </c:pt>
                <c:pt idx="17">
                  <c:v>34506.22</c:v>
                </c:pt>
                <c:pt idx="18">
                  <c:v>33866.21</c:v>
                </c:pt>
                <c:pt idx="19">
                  <c:v>36684.400000000001</c:v>
                </c:pt>
                <c:pt idx="20">
                  <c:v>41372.720000000001</c:v>
                </c:pt>
                <c:pt idx="21">
                  <c:v>45370.66</c:v>
                </c:pt>
                <c:pt idx="22">
                  <c:v>45720.72</c:v>
                </c:pt>
                <c:pt idx="23">
                  <c:v>52919.519999999997</c:v>
                </c:pt>
                <c:pt idx="24">
                  <c:v>51880.87</c:v>
                </c:pt>
                <c:pt idx="25">
                  <c:v>56422.79</c:v>
                </c:pt>
                <c:pt idx="26">
                  <c:v>57367.3</c:v>
                </c:pt>
                <c:pt idx="27">
                  <c:v>55305.52</c:v>
                </c:pt>
                <c:pt idx="28">
                  <c:v>66517.820000000007</c:v>
                </c:pt>
                <c:pt idx="29">
                  <c:v>66747.570000000007</c:v>
                </c:pt>
                <c:pt idx="30">
                  <c:v>72187.5</c:v>
                </c:pt>
                <c:pt idx="31">
                  <c:v>69921.27</c:v>
                </c:pt>
                <c:pt idx="32">
                  <c:v>74673.64</c:v>
                </c:pt>
                <c:pt idx="33">
                  <c:v>77757.95</c:v>
                </c:pt>
                <c:pt idx="34">
                  <c:v>79564.56</c:v>
                </c:pt>
                <c:pt idx="35">
                  <c:v>85748.55</c:v>
                </c:pt>
                <c:pt idx="36">
                  <c:v>84557.58</c:v>
                </c:pt>
                <c:pt idx="37">
                  <c:v>90675.95</c:v>
                </c:pt>
                <c:pt idx="38">
                  <c:v>92396.07</c:v>
                </c:pt>
                <c:pt idx="39">
                  <c:v>88539.09</c:v>
                </c:pt>
                <c:pt idx="40">
                  <c:v>100851.12</c:v>
                </c:pt>
                <c:pt idx="41">
                  <c:v>100492.45</c:v>
                </c:pt>
                <c:pt idx="42">
                  <c:v>107130.93</c:v>
                </c:pt>
                <c:pt idx="43">
                  <c:v>106299.38</c:v>
                </c:pt>
                <c:pt idx="44">
                  <c:v>114189.63</c:v>
                </c:pt>
                <c:pt idx="45">
                  <c:v>119823.49</c:v>
                </c:pt>
                <c:pt idx="46">
                  <c:v>119215.72</c:v>
                </c:pt>
                <c:pt idx="47">
                  <c:v>128356.32</c:v>
                </c:pt>
                <c:pt idx="48">
                  <c:v>128072.73</c:v>
                </c:pt>
                <c:pt idx="49">
                  <c:v>134755.92000000001</c:v>
                </c:pt>
                <c:pt idx="50">
                  <c:v>137068.03</c:v>
                </c:pt>
                <c:pt idx="51">
                  <c:v>137733.21</c:v>
                </c:pt>
                <c:pt idx="52">
                  <c:v>152969.07999999999</c:v>
                </c:pt>
                <c:pt idx="53">
                  <c:v>149083.29</c:v>
                </c:pt>
                <c:pt idx="54">
                  <c:v>156773.59</c:v>
                </c:pt>
                <c:pt idx="55">
                  <c:v>155567.01999999999</c:v>
                </c:pt>
                <c:pt idx="56">
                  <c:v>161225.51</c:v>
                </c:pt>
                <c:pt idx="57">
                  <c:v>166465.5</c:v>
                </c:pt>
                <c:pt idx="58">
                  <c:v>166626.29999999999</c:v>
                </c:pt>
                <c:pt idx="59">
                  <c:v>185187.17</c:v>
                </c:pt>
                <c:pt idx="60">
                  <c:v>170358.5</c:v>
                </c:pt>
                <c:pt idx="61">
                  <c:v>183786.41</c:v>
                </c:pt>
                <c:pt idx="62">
                  <c:v>186538.41</c:v>
                </c:pt>
                <c:pt idx="63">
                  <c:v>177394.61</c:v>
                </c:pt>
                <c:pt idx="64">
                  <c:v>202008.61</c:v>
                </c:pt>
                <c:pt idx="65">
                  <c:v>194925.94</c:v>
                </c:pt>
                <c:pt idx="66">
                  <c:v>203656.72</c:v>
                </c:pt>
                <c:pt idx="67">
                  <c:v>200519.84</c:v>
                </c:pt>
                <c:pt idx="68">
                  <c:v>212335.07</c:v>
                </c:pt>
                <c:pt idx="69">
                  <c:v>218816.17</c:v>
                </c:pt>
                <c:pt idx="70">
                  <c:v>213074.92</c:v>
                </c:pt>
                <c:pt idx="71">
                  <c:v>224318.23</c:v>
                </c:pt>
                <c:pt idx="72">
                  <c:v>221600.52</c:v>
                </c:pt>
                <c:pt idx="73">
                  <c:v>232522.27</c:v>
                </c:pt>
                <c:pt idx="74">
                  <c:v>233364.66</c:v>
                </c:pt>
                <c:pt idx="75">
                  <c:v>219247.4</c:v>
                </c:pt>
                <c:pt idx="76">
                  <c:v>244356.27</c:v>
                </c:pt>
                <c:pt idx="77">
                  <c:v>238826.91</c:v>
                </c:pt>
                <c:pt idx="78">
                  <c:v>246885.68</c:v>
                </c:pt>
                <c:pt idx="79">
                  <c:v>243626.31</c:v>
                </c:pt>
                <c:pt idx="80">
                  <c:v>253061.29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0F-4253-B9D1-2A94BCF7878E}"/>
            </c:ext>
          </c:extLst>
        </c:ser>
        <c:ser>
          <c:idx val="2"/>
          <c:order val="2"/>
          <c:tx>
            <c:strRef>
              <c:f>'Payment Trends'!$D$56</c:f>
              <c:strCache>
                <c:ptCount val="1"/>
                <c:pt idx="0">
                  <c:v>Retail debit transfers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'Payment Trends'!$A$57:$A$137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'Payment Trends'!$D$57:$D$137</c:f>
              <c:numCache>
                <c:formatCode>#,##0.0</c:formatCode>
                <c:ptCount val="81"/>
                <c:pt idx="0">
                  <c:v>530.54</c:v>
                </c:pt>
                <c:pt idx="1">
                  <c:v>552.85</c:v>
                </c:pt>
                <c:pt idx="2">
                  <c:v>571.04999999999995</c:v>
                </c:pt>
                <c:pt idx="3">
                  <c:v>577.38</c:v>
                </c:pt>
                <c:pt idx="4">
                  <c:v>282.97000000000003</c:v>
                </c:pt>
                <c:pt idx="5">
                  <c:v>691.42</c:v>
                </c:pt>
                <c:pt idx="6">
                  <c:v>672.9</c:v>
                </c:pt>
                <c:pt idx="7">
                  <c:v>837.03</c:v>
                </c:pt>
                <c:pt idx="8">
                  <c:v>855.71</c:v>
                </c:pt>
                <c:pt idx="9">
                  <c:v>857.28</c:v>
                </c:pt>
                <c:pt idx="10">
                  <c:v>926.42</c:v>
                </c:pt>
                <c:pt idx="11">
                  <c:v>920.15</c:v>
                </c:pt>
                <c:pt idx="12">
                  <c:v>944.24</c:v>
                </c:pt>
                <c:pt idx="13">
                  <c:v>922.53</c:v>
                </c:pt>
                <c:pt idx="14">
                  <c:v>928.08</c:v>
                </c:pt>
                <c:pt idx="15">
                  <c:v>861.94</c:v>
                </c:pt>
                <c:pt idx="16">
                  <c:v>1038.8399999999999</c:v>
                </c:pt>
                <c:pt idx="17">
                  <c:v>921.28</c:v>
                </c:pt>
                <c:pt idx="18">
                  <c:v>936.41</c:v>
                </c:pt>
                <c:pt idx="19">
                  <c:v>981.7</c:v>
                </c:pt>
                <c:pt idx="20">
                  <c:v>986.32</c:v>
                </c:pt>
                <c:pt idx="21">
                  <c:v>1008.32</c:v>
                </c:pt>
                <c:pt idx="22">
                  <c:v>987.44</c:v>
                </c:pt>
                <c:pt idx="23">
                  <c:v>979.36</c:v>
                </c:pt>
                <c:pt idx="24">
                  <c:v>1039.1300000000001</c:v>
                </c:pt>
                <c:pt idx="25">
                  <c:v>1064.54</c:v>
                </c:pt>
                <c:pt idx="26">
                  <c:v>1059.01</c:v>
                </c:pt>
                <c:pt idx="27">
                  <c:v>1089.3</c:v>
                </c:pt>
                <c:pt idx="28">
                  <c:v>1136.67</c:v>
                </c:pt>
                <c:pt idx="29">
                  <c:v>1121.68</c:v>
                </c:pt>
                <c:pt idx="30">
                  <c:v>1177.32</c:v>
                </c:pt>
                <c:pt idx="31">
                  <c:v>1225.96</c:v>
                </c:pt>
                <c:pt idx="32">
                  <c:v>1217.97</c:v>
                </c:pt>
                <c:pt idx="33">
                  <c:v>1247.1500000000001</c:v>
                </c:pt>
                <c:pt idx="34">
                  <c:v>1257.3399999999999</c:v>
                </c:pt>
                <c:pt idx="35">
                  <c:v>1297.79</c:v>
                </c:pt>
                <c:pt idx="36">
                  <c:v>1316.6</c:v>
                </c:pt>
                <c:pt idx="37">
                  <c:v>1357.72</c:v>
                </c:pt>
                <c:pt idx="38">
                  <c:v>1360.36</c:v>
                </c:pt>
                <c:pt idx="39">
                  <c:v>1359.79</c:v>
                </c:pt>
                <c:pt idx="40">
                  <c:v>1403.39</c:v>
                </c:pt>
                <c:pt idx="41">
                  <c:v>1398.58</c:v>
                </c:pt>
                <c:pt idx="42">
                  <c:v>1457.43</c:v>
                </c:pt>
                <c:pt idx="43">
                  <c:v>1453.92</c:v>
                </c:pt>
                <c:pt idx="44">
                  <c:v>1473.1</c:v>
                </c:pt>
                <c:pt idx="45">
                  <c:v>1522.83</c:v>
                </c:pt>
                <c:pt idx="46">
                  <c:v>1514.68</c:v>
                </c:pt>
                <c:pt idx="47">
                  <c:v>1499.66</c:v>
                </c:pt>
                <c:pt idx="48">
                  <c:v>1527.84</c:v>
                </c:pt>
                <c:pt idx="49">
                  <c:v>1557.74</c:v>
                </c:pt>
                <c:pt idx="50">
                  <c:v>1571.5</c:v>
                </c:pt>
                <c:pt idx="51">
                  <c:v>1611.25</c:v>
                </c:pt>
                <c:pt idx="52">
                  <c:v>1661</c:v>
                </c:pt>
                <c:pt idx="53">
                  <c:v>1644.1</c:v>
                </c:pt>
                <c:pt idx="54">
                  <c:v>1698.67</c:v>
                </c:pt>
                <c:pt idx="55">
                  <c:v>1697.73</c:v>
                </c:pt>
                <c:pt idx="56">
                  <c:v>1734.76</c:v>
                </c:pt>
                <c:pt idx="57">
                  <c:v>1774.78</c:v>
                </c:pt>
                <c:pt idx="58">
                  <c:v>1805.36</c:v>
                </c:pt>
                <c:pt idx="59">
                  <c:v>1871.73</c:v>
                </c:pt>
                <c:pt idx="60">
                  <c:v>1894.74</c:v>
                </c:pt>
                <c:pt idx="61">
                  <c:v>1905.47</c:v>
                </c:pt>
                <c:pt idx="62">
                  <c:v>1878.45</c:v>
                </c:pt>
                <c:pt idx="63">
                  <c:v>1862.8</c:v>
                </c:pt>
                <c:pt idx="64">
                  <c:v>1891.35</c:v>
                </c:pt>
                <c:pt idx="65">
                  <c:v>1869.9</c:v>
                </c:pt>
                <c:pt idx="66">
                  <c:v>1895.74</c:v>
                </c:pt>
                <c:pt idx="67">
                  <c:v>1891.36</c:v>
                </c:pt>
                <c:pt idx="68">
                  <c:v>1912.72</c:v>
                </c:pt>
                <c:pt idx="69">
                  <c:v>1929.02</c:v>
                </c:pt>
                <c:pt idx="70">
                  <c:v>1926.97</c:v>
                </c:pt>
                <c:pt idx="71">
                  <c:v>1964.66</c:v>
                </c:pt>
                <c:pt idx="72">
                  <c:v>1987.04</c:v>
                </c:pt>
                <c:pt idx="73">
                  <c:v>2012.39</c:v>
                </c:pt>
                <c:pt idx="74">
                  <c:v>2016.8</c:v>
                </c:pt>
                <c:pt idx="75">
                  <c:v>1989.09</c:v>
                </c:pt>
                <c:pt idx="76">
                  <c:v>2075.65</c:v>
                </c:pt>
                <c:pt idx="77">
                  <c:v>2031.08</c:v>
                </c:pt>
                <c:pt idx="78">
                  <c:v>2087.7399999999998</c:v>
                </c:pt>
                <c:pt idx="79">
                  <c:v>2094.13</c:v>
                </c:pt>
                <c:pt idx="80">
                  <c:v>2100.5300000000002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0F-4253-B9D1-2A94BCF7878E}"/>
            </c:ext>
          </c:extLst>
        </c:ser>
        <c:ser>
          <c:idx val="3"/>
          <c:order val="3"/>
          <c:tx>
            <c:strRef>
              <c:f>'Payment Trends'!$E$56</c:f>
              <c:strCache>
                <c:ptCount val="1"/>
                <c:pt idx="0">
                  <c:v>Card payments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'Payment Trends'!$A$57:$A$137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'Payment Trends'!$E$57:$E$137</c:f>
              <c:numCache>
                <c:formatCode>#,##0.0</c:formatCode>
                <c:ptCount val="81"/>
                <c:pt idx="0">
                  <c:v>5942.96</c:v>
                </c:pt>
                <c:pt idx="1">
                  <c:v>6485.39</c:v>
                </c:pt>
                <c:pt idx="2">
                  <c:v>6518.12</c:v>
                </c:pt>
                <c:pt idx="3">
                  <c:v>6128.68</c:v>
                </c:pt>
                <c:pt idx="4">
                  <c:v>5246.7</c:v>
                </c:pt>
                <c:pt idx="5">
                  <c:v>2822.19</c:v>
                </c:pt>
                <c:pt idx="6">
                  <c:v>3687.68</c:v>
                </c:pt>
                <c:pt idx="7">
                  <c:v>4250.8900000000003</c:v>
                </c:pt>
                <c:pt idx="8">
                  <c:v>4481.59</c:v>
                </c:pt>
                <c:pt idx="9">
                  <c:v>4814.53</c:v>
                </c:pt>
                <c:pt idx="10">
                  <c:v>4994.5200000000004</c:v>
                </c:pt>
                <c:pt idx="11">
                  <c:v>5650.7</c:v>
                </c:pt>
                <c:pt idx="12">
                  <c:v>5428.32</c:v>
                </c:pt>
                <c:pt idx="13">
                  <c:v>5502.88</c:v>
                </c:pt>
                <c:pt idx="14">
                  <c:v>5443.74</c:v>
                </c:pt>
                <c:pt idx="15">
                  <c:v>5059.24</c:v>
                </c:pt>
                <c:pt idx="16">
                  <c:v>5650.32</c:v>
                </c:pt>
                <c:pt idx="17">
                  <c:v>4788.55</c:v>
                </c:pt>
                <c:pt idx="18">
                  <c:v>3901.33</c:v>
                </c:pt>
                <c:pt idx="19">
                  <c:v>4493.75</c:v>
                </c:pt>
                <c:pt idx="20">
                  <c:v>5225.8599999999997</c:v>
                </c:pt>
                <c:pt idx="21">
                  <c:v>5493</c:v>
                </c:pt>
                <c:pt idx="22">
                  <c:v>5337.5</c:v>
                </c:pt>
                <c:pt idx="23">
                  <c:v>6008.76</c:v>
                </c:pt>
                <c:pt idx="24">
                  <c:v>5418.18</c:v>
                </c:pt>
                <c:pt idx="25">
                  <c:v>5611.8</c:v>
                </c:pt>
                <c:pt idx="26">
                  <c:v>5151.05</c:v>
                </c:pt>
                <c:pt idx="27">
                  <c:v>4840.47</c:v>
                </c:pt>
                <c:pt idx="28">
                  <c:v>5512.7</c:v>
                </c:pt>
                <c:pt idx="29">
                  <c:v>5541.17</c:v>
                </c:pt>
                <c:pt idx="30">
                  <c:v>5693.68</c:v>
                </c:pt>
                <c:pt idx="31">
                  <c:v>5369.44</c:v>
                </c:pt>
                <c:pt idx="32">
                  <c:v>5481.8</c:v>
                </c:pt>
                <c:pt idx="33">
                  <c:v>5481.3</c:v>
                </c:pt>
                <c:pt idx="34">
                  <c:v>5352.43</c:v>
                </c:pt>
                <c:pt idx="35">
                  <c:v>5516.4</c:v>
                </c:pt>
                <c:pt idx="36">
                  <c:v>4956.0200000000004</c:v>
                </c:pt>
                <c:pt idx="37">
                  <c:v>5223.57</c:v>
                </c:pt>
                <c:pt idx="38">
                  <c:v>5103.6099999999997</c:v>
                </c:pt>
                <c:pt idx="39">
                  <c:v>4588.51</c:v>
                </c:pt>
                <c:pt idx="40">
                  <c:v>5016.79</c:v>
                </c:pt>
                <c:pt idx="41">
                  <c:v>4887.9399999999996</c:v>
                </c:pt>
                <c:pt idx="42">
                  <c:v>4974.51</c:v>
                </c:pt>
                <c:pt idx="43">
                  <c:v>4731.29</c:v>
                </c:pt>
                <c:pt idx="44">
                  <c:v>4882.21</c:v>
                </c:pt>
                <c:pt idx="45">
                  <c:v>4981.72</c:v>
                </c:pt>
                <c:pt idx="46">
                  <c:v>4578.47</c:v>
                </c:pt>
                <c:pt idx="47">
                  <c:v>5104.71</c:v>
                </c:pt>
                <c:pt idx="48">
                  <c:v>4742.5600000000004</c:v>
                </c:pt>
                <c:pt idx="49">
                  <c:v>4983.1499999999996</c:v>
                </c:pt>
                <c:pt idx="50">
                  <c:v>4934.1899999999996</c:v>
                </c:pt>
                <c:pt idx="51">
                  <c:v>4634.92</c:v>
                </c:pt>
                <c:pt idx="52">
                  <c:v>5034.13</c:v>
                </c:pt>
                <c:pt idx="53">
                  <c:v>4960.12</c:v>
                </c:pt>
                <c:pt idx="54">
                  <c:v>5105.17</c:v>
                </c:pt>
                <c:pt idx="55">
                  <c:v>5003.43</c:v>
                </c:pt>
                <c:pt idx="56">
                  <c:v>5294.35</c:v>
                </c:pt>
                <c:pt idx="57">
                  <c:v>5322.94</c:v>
                </c:pt>
                <c:pt idx="58">
                  <c:v>5275.26</c:v>
                </c:pt>
                <c:pt idx="59">
                  <c:v>5759.31</c:v>
                </c:pt>
                <c:pt idx="60">
                  <c:v>5167.93</c:v>
                </c:pt>
                <c:pt idx="61">
                  <c:v>5608.59</c:v>
                </c:pt>
                <c:pt idx="62">
                  <c:v>5522.42</c:v>
                </c:pt>
                <c:pt idx="63">
                  <c:v>5052.09</c:v>
                </c:pt>
                <c:pt idx="64">
                  <c:v>5789.52</c:v>
                </c:pt>
                <c:pt idx="65">
                  <c:v>5673.64</c:v>
                </c:pt>
                <c:pt idx="66">
                  <c:v>5827.4</c:v>
                </c:pt>
                <c:pt idx="67">
                  <c:v>5672.82</c:v>
                </c:pt>
                <c:pt idx="68">
                  <c:v>5982.42</c:v>
                </c:pt>
                <c:pt idx="69">
                  <c:v>6056.57</c:v>
                </c:pt>
                <c:pt idx="70">
                  <c:v>5999.8</c:v>
                </c:pt>
                <c:pt idx="71">
                  <c:v>6279.14</c:v>
                </c:pt>
                <c:pt idx="72">
                  <c:v>6041.95</c:v>
                </c:pt>
                <c:pt idx="73">
                  <c:v>6447.58</c:v>
                </c:pt>
                <c:pt idx="74">
                  <c:v>6415.41</c:v>
                </c:pt>
                <c:pt idx="75">
                  <c:v>5855.08</c:v>
                </c:pt>
                <c:pt idx="76">
                  <c:v>6787.94</c:v>
                </c:pt>
                <c:pt idx="77">
                  <c:v>6570.42</c:v>
                </c:pt>
                <c:pt idx="78">
                  <c:v>6953.63</c:v>
                </c:pt>
                <c:pt idx="79">
                  <c:v>6783.52</c:v>
                </c:pt>
                <c:pt idx="80">
                  <c:v>7068.23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0F-4253-B9D1-2A94BCF7878E}"/>
            </c:ext>
          </c:extLst>
        </c:ser>
        <c:ser>
          <c:idx val="4"/>
          <c:order val="4"/>
          <c:tx>
            <c:strRef>
              <c:f>'Payment Trends'!$F$56</c:f>
              <c:strCache>
                <c:ptCount val="1"/>
                <c:pt idx="0">
                  <c:v>Prepaid instruments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'Payment Trends'!$A$57:$A$137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'Payment Trends'!$F$57:$F$137</c:f>
              <c:numCache>
                <c:formatCode>#,##0.0</c:formatCode>
                <c:ptCount val="81"/>
                <c:pt idx="0">
                  <c:v>4640.07</c:v>
                </c:pt>
                <c:pt idx="1">
                  <c:v>5069.51</c:v>
                </c:pt>
                <c:pt idx="2">
                  <c:v>5237.05</c:v>
                </c:pt>
                <c:pt idx="3">
                  <c:v>5685.17</c:v>
                </c:pt>
                <c:pt idx="4">
                  <c:v>3982.85</c:v>
                </c:pt>
                <c:pt idx="5">
                  <c:v>2086.0100000000002</c:v>
                </c:pt>
                <c:pt idx="6">
                  <c:v>3032.04</c:v>
                </c:pt>
                <c:pt idx="7">
                  <c:v>3546.66</c:v>
                </c:pt>
                <c:pt idx="8">
                  <c:v>3987.42</c:v>
                </c:pt>
                <c:pt idx="9">
                  <c:v>4903.41</c:v>
                </c:pt>
                <c:pt idx="10">
                  <c:v>4625.96</c:v>
                </c:pt>
                <c:pt idx="11">
                  <c:v>4591.5200000000004</c:v>
                </c:pt>
                <c:pt idx="12">
                  <c:v>4194.1000000000004</c:v>
                </c:pt>
                <c:pt idx="13">
                  <c:v>4337.5600000000004</c:v>
                </c:pt>
                <c:pt idx="14">
                  <c:v>4386.66</c:v>
                </c:pt>
                <c:pt idx="15">
                  <c:v>4519.7700000000004</c:v>
                </c:pt>
                <c:pt idx="16">
                  <c:v>5154.57</c:v>
                </c:pt>
                <c:pt idx="17">
                  <c:v>4761.96</c:v>
                </c:pt>
                <c:pt idx="18">
                  <c:v>3848.67</c:v>
                </c:pt>
                <c:pt idx="19">
                  <c:v>4585.92</c:v>
                </c:pt>
                <c:pt idx="20">
                  <c:v>4958.99</c:v>
                </c:pt>
                <c:pt idx="21">
                  <c:v>5259.9</c:v>
                </c:pt>
                <c:pt idx="22">
                  <c:v>5292.53</c:v>
                </c:pt>
                <c:pt idx="23">
                  <c:v>6130.9</c:v>
                </c:pt>
                <c:pt idx="24">
                  <c:v>6107.05</c:v>
                </c:pt>
                <c:pt idx="25">
                  <c:v>7008.04</c:v>
                </c:pt>
                <c:pt idx="26">
                  <c:v>5807.67</c:v>
                </c:pt>
                <c:pt idx="27">
                  <c:v>5551.16</c:v>
                </c:pt>
                <c:pt idx="28">
                  <c:v>6469.96</c:v>
                </c:pt>
                <c:pt idx="29">
                  <c:v>6455.19</c:v>
                </c:pt>
                <c:pt idx="30">
                  <c:v>6529.11</c:v>
                </c:pt>
                <c:pt idx="31">
                  <c:v>6258.03</c:v>
                </c:pt>
                <c:pt idx="32">
                  <c:v>6195.34</c:v>
                </c:pt>
                <c:pt idx="33">
                  <c:v>6177.69</c:v>
                </c:pt>
                <c:pt idx="34">
                  <c:v>6048.61</c:v>
                </c:pt>
                <c:pt idx="35">
                  <c:v>6167.35</c:v>
                </c:pt>
                <c:pt idx="36">
                  <c:v>6075.2</c:v>
                </c:pt>
                <c:pt idx="37">
                  <c:v>6354.65</c:v>
                </c:pt>
                <c:pt idx="38">
                  <c:v>6129.4</c:v>
                </c:pt>
                <c:pt idx="39">
                  <c:v>6050.89</c:v>
                </c:pt>
                <c:pt idx="40">
                  <c:v>6402.38</c:v>
                </c:pt>
                <c:pt idx="41">
                  <c:v>6442.16</c:v>
                </c:pt>
                <c:pt idx="42">
                  <c:v>7064.3</c:v>
                </c:pt>
                <c:pt idx="43">
                  <c:v>6569.82</c:v>
                </c:pt>
                <c:pt idx="44">
                  <c:v>6393.08</c:v>
                </c:pt>
                <c:pt idx="45">
                  <c:v>6366.8</c:v>
                </c:pt>
                <c:pt idx="46">
                  <c:v>6143.17</c:v>
                </c:pt>
                <c:pt idx="47">
                  <c:v>6687.84</c:v>
                </c:pt>
                <c:pt idx="48">
                  <c:v>6510.09</c:v>
                </c:pt>
                <c:pt idx="49">
                  <c:v>7235.2</c:v>
                </c:pt>
                <c:pt idx="50">
                  <c:v>7087.25</c:v>
                </c:pt>
                <c:pt idx="51">
                  <c:v>6470.84</c:v>
                </c:pt>
                <c:pt idx="52">
                  <c:v>5804.85</c:v>
                </c:pt>
                <c:pt idx="53">
                  <c:v>5288.79</c:v>
                </c:pt>
                <c:pt idx="54">
                  <c:v>5496</c:v>
                </c:pt>
                <c:pt idx="55">
                  <c:v>5236.08</c:v>
                </c:pt>
                <c:pt idx="56">
                  <c:v>5356.71</c:v>
                </c:pt>
                <c:pt idx="57">
                  <c:v>5466.9</c:v>
                </c:pt>
                <c:pt idx="58">
                  <c:v>5476.69</c:v>
                </c:pt>
                <c:pt idx="59">
                  <c:v>5977.88</c:v>
                </c:pt>
                <c:pt idx="60">
                  <c:v>5847.81</c:v>
                </c:pt>
                <c:pt idx="61">
                  <c:v>6377.99</c:v>
                </c:pt>
                <c:pt idx="62">
                  <c:v>6547.1</c:v>
                </c:pt>
                <c:pt idx="63">
                  <c:v>6398.44</c:v>
                </c:pt>
                <c:pt idx="64">
                  <c:v>6783.69</c:v>
                </c:pt>
                <c:pt idx="65">
                  <c:v>6768.43</c:v>
                </c:pt>
                <c:pt idx="66">
                  <c:v>7106.39</c:v>
                </c:pt>
                <c:pt idx="67">
                  <c:v>6868.39</c:v>
                </c:pt>
                <c:pt idx="68">
                  <c:v>7124.06</c:v>
                </c:pt>
                <c:pt idx="69">
                  <c:v>7966.16</c:v>
                </c:pt>
                <c:pt idx="70">
                  <c:v>8551.51</c:v>
                </c:pt>
                <c:pt idx="71">
                  <c:v>8939.26</c:v>
                </c:pt>
                <c:pt idx="72">
                  <c:v>8973.35</c:v>
                </c:pt>
                <c:pt idx="73">
                  <c:v>9755.15</c:v>
                </c:pt>
                <c:pt idx="74">
                  <c:v>9537.91</c:v>
                </c:pt>
                <c:pt idx="75">
                  <c:v>8359.24</c:v>
                </c:pt>
                <c:pt idx="76">
                  <c:v>8749.6299999999992</c:v>
                </c:pt>
                <c:pt idx="77">
                  <c:v>8573.06</c:v>
                </c:pt>
                <c:pt idx="78">
                  <c:v>9022.57</c:v>
                </c:pt>
                <c:pt idx="79">
                  <c:v>8887.7900000000009</c:v>
                </c:pt>
                <c:pt idx="80">
                  <c:v>9253.65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0F-4253-B9D1-2A94BCF78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412239"/>
        <c:axId val="614414735"/>
      </c:lineChart>
      <c:dateAx>
        <c:axId val="614412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14735"/>
        <c:crosses val="autoZero"/>
        <c:auto val="1"/>
        <c:lblOffset val="100"/>
        <c:baseTimeUnit val="months"/>
      </c:dateAx>
      <c:valAx>
        <c:axId val="61441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Transactions (lakh)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1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Value by Category (₹ crore)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'Payment Trends'!$I$56</c:f>
              <c:strCache>
                <c:ptCount val="1"/>
                <c:pt idx="0">
                  <c:v>RTGS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'Payment Trends'!$H$57:$H$137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'Payment Trends'!$I$57:$I$137</c:f>
              <c:numCache>
                <c:formatCode>#,##0.0</c:formatCode>
                <c:ptCount val="81"/>
                <c:pt idx="0">
                  <c:v>8679806.1899999995</c:v>
                </c:pt>
                <c:pt idx="1">
                  <c:v>10316936.810000001</c:v>
                </c:pt>
                <c:pt idx="2">
                  <c:v>9880821.25</c:v>
                </c:pt>
                <c:pt idx="3">
                  <c:v>8990096.7699999996</c:v>
                </c:pt>
                <c:pt idx="4">
                  <c:v>12047220.74</c:v>
                </c:pt>
                <c:pt idx="5">
                  <c:v>6443653.1100000003</c:v>
                </c:pt>
                <c:pt idx="6">
                  <c:v>7041869.3600000003</c:v>
                </c:pt>
                <c:pt idx="7">
                  <c:v>8651977.7200000007</c:v>
                </c:pt>
                <c:pt idx="8">
                  <c:v>8335279.0499999998</c:v>
                </c:pt>
                <c:pt idx="9">
                  <c:v>7292379.7000000002</c:v>
                </c:pt>
                <c:pt idx="10">
                  <c:v>9489065.75</c:v>
                </c:pt>
                <c:pt idx="11">
                  <c:v>8496045.6999999993</c:v>
                </c:pt>
                <c:pt idx="12">
                  <c:v>7987655.4500000002</c:v>
                </c:pt>
                <c:pt idx="13">
                  <c:v>10659120.34</c:v>
                </c:pt>
                <c:pt idx="14">
                  <c:v>9170162.3000000007</c:v>
                </c:pt>
                <c:pt idx="15">
                  <c:v>9050425.4499999993</c:v>
                </c:pt>
                <c:pt idx="16">
                  <c:v>12982214.6</c:v>
                </c:pt>
                <c:pt idx="17">
                  <c:v>8802867.7599999998</c:v>
                </c:pt>
                <c:pt idx="18">
                  <c:v>8366599.4199999999</c:v>
                </c:pt>
                <c:pt idx="19">
                  <c:v>10196989.439999999</c:v>
                </c:pt>
                <c:pt idx="20">
                  <c:v>10741314.109999999</c:v>
                </c:pt>
                <c:pt idx="21">
                  <c:v>10164295.640000001</c:v>
                </c:pt>
                <c:pt idx="22">
                  <c:v>11069631.02</c:v>
                </c:pt>
                <c:pt idx="23">
                  <c:v>10134367.91</c:v>
                </c:pt>
                <c:pt idx="24">
                  <c:v>10981778</c:v>
                </c:pt>
                <c:pt idx="25">
                  <c:v>12966990.800000001</c:v>
                </c:pt>
                <c:pt idx="26">
                  <c:v>10449109.5</c:v>
                </c:pt>
                <c:pt idx="27">
                  <c:v>10324617.82</c:v>
                </c:pt>
                <c:pt idx="28">
                  <c:v>14458955.039999999</c:v>
                </c:pt>
                <c:pt idx="29">
                  <c:v>11097594.49</c:v>
                </c:pt>
                <c:pt idx="30">
                  <c:v>11183946.970000001</c:v>
                </c:pt>
                <c:pt idx="31">
                  <c:v>12356053.529999999</c:v>
                </c:pt>
                <c:pt idx="32">
                  <c:v>11551439.68</c:v>
                </c:pt>
                <c:pt idx="33">
                  <c:v>11665582.710000001</c:v>
                </c:pt>
                <c:pt idx="34">
                  <c:v>13789637.119999999</c:v>
                </c:pt>
                <c:pt idx="35">
                  <c:v>11551276.859999999</c:v>
                </c:pt>
                <c:pt idx="36">
                  <c:v>12291749.49</c:v>
                </c:pt>
                <c:pt idx="37">
                  <c:v>13736057.18</c:v>
                </c:pt>
                <c:pt idx="38">
                  <c:v>12546466.77</c:v>
                </c:pt>
                <c:pt idx="39">
                  <c:v>12053579.029999999</c:v>
                </c:pt>
                <c:pt idx="40">
                  <c:v>16122902.24</c:v>
                </c:pt>
                <c:pt idx="41">
                  <c:v>11876805.539999999</c:v>
                </c:pt>
                <c:pt idx="42">
                  <c:v>12882587.119999999</c:v>
                </c:pt>
                <c:pt idx="43">
                  <c:v>14336617.140000001</c:v>
                </c:pt>
                <c:pt idx="44">
                  <c:v>13124561.27</c:v>
                </c:pt>
                <c:pt idx="45">
                  <c:v>13742007.220000001</c:v>
                </c:pt>
                <c:pt idx="46">
                  <c:v>14545183.359999999</c:v>
                </c:pt>
                <c:pt idx="47">
                  <c:v>13464400.460000001</c:v>
                </c:pt>
                <c:pt idx="48">
                  <c:v>13591442.529999999</c:v>
                </c:pt>
                <c:pt idx="49">
                  <c:v>15888777.99</c:v>
                </c:pt>
                <c:pt idx="50">
                  <c:v>14691624.859999999</c:v>
                </c:pt>
                <c:pt idx="51">
                  <c:v>14614296.779999999</c:v>
                </c:pt>
                <c:pt idx="52">
                  <c:v>18128366.100000001</c:v>
                </c:pt>
                <c:pt idx="53">
                  <c:v>14433296.210000001</c:v>
                </c:pt>
                <c:pt idx="54">
                  <c:v>15186946.630000001</c:v>
                </c:pt>
                <c:pt idx="55">
                  <c:v>16037693.85</c:v>
                </c:pt>
                <c:pt idx="56">
                  <c:v>15970680.41</c:v>
                </c:pt>
                <c:pt idx="57">
                  <c:v>15910435.789999999</c:v>
                </c:pt>
                <c:pt idx="58">
                  <c:v>17786482.670000002</c:v>
                </c:pt>
                <c:pt idx="59">
                  <c:v>17070975</c:v>
                </c:pt>
                <c:pt idx="60">
                  <c:v>14826882.210000001</c:v>
                </c:pt>
                <c:pt idx="61">
                  <c:v>19163586.800000001</c:v>
                </c:pt>
                <c:pt idx="62">
                  <c:v>17499362.699999999</c:v>
                </c:pt>
                <c:pt idx="63">
                  <c:v>16099370.9</c:v>
                </c:pt>
                <c:pt idx="64">
                  <c:v>21401969.100000001</c:v>
                </c:pt>
                <c:pt idx="65">
                  <c:v>16895789.390000001</c:v>
                </c:pt>
                <c:pt idx="66">
                  <c:v>17013770.09</c:v>
                </c:pt>
                <c:pt idx="67">
                  <c:v>19012359.629999999</c:v>
                </c:pt>
                <c:pt idx="68">
                  <c:v>18863902.449999999</c:v>
                </c:pt>
                <c:pt idx="69">
                  <c:v>16371215.73</c:v>
                </c:pt>
                <c:pt idx="70">
                  <c:v>19836941.969999999</c:v>
                </c:pt>
                <c:pt idx="71">
                  <c:v>18732702.140000001</c:v>
                </c:pt>
                <c:pt idx="72">
                  <c:v>16881604.510000002</c:v>
                </c:pt>
                <c:pt idx="73">
                  <c:v>21969481.420000002</c:v>
                </c:pt>
                <c:pt idx="74">
                  <c:v>19176703.789999999</c:v>
                </c:pt>
                <c:pt idx="75">
                  <c:v>18859418.25</c:v>
                </c:pt>
                <c:pt idx="76">
                  <c:v>23758758.899999999</c:v>
                </c:pt>
                <c:pt idx="77">
                  <c:v>19248589.559999999</c:v>
                </c:pt>
                <c:pt idx="78">
                  <c:v>18618676.239999998</c:v>
                </c:pt>
                <c:pt idx="79">
                  <c:v>22984139.710000001</c:v>
                </c:pt>
                <c:pt idx="80">
                  <c:v>22307106.530000001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3-4045-86A7-16F4A9631583}"/>
            </c:ext>
          </c:extLst>
        </c:ser>
        <c:ser>
          <c:idx val="1"/>
          <c:order val="1"/>
          <c:tx>
            <c:strRef>
              <c:f>'Payment Trends'!$J$56</c:f>
              <c:strCache>
                <c:ptCount val="1"/>
                <c:pt idx="0">
                  <c:v>Retail credit transfers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'Payment Trends'!$H$57:$H$137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'Payment Trends'!$J$57:$J$137</c:f>
              <c:numCache>
                <c:formatCode>#,##0.0</c:formatCode>
                <c:ptCount val="81"/>
                <c:pt idx="0">
                  <c:v>2224702.0099999998</c:v>
                </c:pt>
                <c:pt idx="1">
                  <c:v>2440121.66</c:v>
                </c:pt>
                <c:pt idx="2">
                  <c:v>2453546.42</c:v>
                </c:pt>
                <c:pt idx="3">
                  <c:v>2395194.7200000002</c:v>
                </c:pt>
                <c:pt idx="4">
                  <c:v>2829140.24</c:v>
                </c:pt>
                <c:pt idx="5">
                  <c:v>1687803</c:v>
                </c:pt>
                <c:pt idx="6">
                  <c:v>2018057.2</c:v>
                </c:pt>
                <c:pt idx="7">
                  <c:v>2499470.2200000002</c:v>
                </c:pt>
                <c:pt idx="8">
                  <c:v>2587407.4500000002</c:v>
                </c:pt>
                <c:pt idx="9">
                  <c:v>2556879.38</c:v>
                </c:pt>
                <c:pt idx="10">
                  <c:v>2817732.97</c:v>
                </c:pt>
                <c:pt idx="11">
                  <c:v>2993166.11</c:v>
                </c:pt>
                <c:pt idx="12">
                  <c:v>2986291.7</c:v>
                </c:pt>
                <c:pt idx="13">
                  <c:v>3393355.02</c:v>
                </c:pt>
                <c:pt idx="14">
                  <c:v>2990834.85</c:v>
                </c:pt>
                <c:pt idx="15">
                  <c:v>2919320.67</c:v>
                </c:pt>
                <c:pt idx="16">
                  <c:v>4053907.07</c:v>
                </c:pt>
                <c:pt idx="17">
                  <c:v>2946342.24</c:v>
                </c:pt>
                <c:pt idx="18">
                  <c:v>2707637.44</c:v>
                </c:pt>
                <c:pt idx="19">
                  <c:v>3029727.61</c:v>
                </c:pt>
                <c:pt idx="20">
                  <c:v>3215234.46</c:v>
                </c:pt>
                <c:pt idx="21">
                  <c:v>3277623.53</c:v>
                </c:pt>
                <c:pt idx="22">
                  <c:v>3495969.31</c:v>
                </c:pt>
                <c:pt idx="23">
                  <c:v>3748602.37</c:v>
                </c:pt>
                <c:pt idx="24">
                  <c:v>3554895.63</c:v>
                </c:pt>
                <c:pt idx="25">
                  <c:v>4076395.23</c:v>
                </c:pt>
                <c:pt idx="26">
                  <c:v>3806627.76</c:v>
                </c:pt>
                <c:pt idx="27">
                  <c:v>3806483.72</c:v>
                </c:pt>
                <c:pt idx="28">
                  <c:v>5062466.26</c:v>
                </c:pt>
                <c:pt idx="29">
                  <c:v>4050335.04</c:v>
                </c:pt>
                <c:pt idx="30">
                  <c:v>4177865.19</c:v>
                </c:pt>
                <c:pt idx="31">
                  <c:v>4298157.62</c:v>
                </c:pt>
                <c:pt idx="32">
                  <c:v>4267239.1500000004</c:v>
                </c:pt>
                <c:pt idx="33">
                  <c:v>4288962.9800000004</c:v>
                </c:pt>
                <c:pt idx="34">
                  <c:v>4621356.6399999997</c:v>
                </c:pt>
                <c:pt idx="35">
                  <c:v>4557107.24</c:v>
                </c:pt>
                <c:pt idx="36">
                  <c:v>4527540.16</c:v>
                </c:pt>
                <c:pt idx="37">
                  <c:v>4928330.62</c:v>
                </c:pt>
                <c:pt idx="38">
                  <c:v>4738328.25</c:v>
                </c:pt>
                <c:pt idx="39">
                  <c:v>4647461.08</c:v>
                </c:pt>
                <c:pt idx="40">
                  <c:v>5906935.5300000003</c:v>
                </c:pt>
                <c:pt idx="41">
                  <c:v>4834440.84</c:v>
                </c:pt>
                <c:pt idx="42">
                  <c:v>5196720</c:v>
                </c:pt>
                <c:pt idx="43">
                  <c:v>5151212.8</c:v>
                </c:pt>
                <c:pt idx="44">
                  <c:v>5250942.51</c:v>
                </c:pt>
                <c:pt idx="45">
                  <c:v>5374181.4100000001</c:v>
                </c:pt>
                <c:pt idx="46">
                  <c:v>5340255.82</c:v>
                </c:pt>
                <c:pt idx="47">
                  <c:v>5667253.6299999999</c:v>
                </c:pt>
                <c:pt idx="48">
                  <c:v>5673302.6100000003</c:v>
                </c:pt>
                <c:pt idx="49">
                  <c:v>5917191.4199999999</c:v>
                </c:pt>
                <c:pt idx="50">
                  <c:v>5945126.2400000002</c:v>
                </c:pt>
                <c:pt idx="51">
                  <c:v>6039675.3700000001</c:v>
                </c:pt>
                <c:pt idx="52">
                  <c:v>7152556.7300000004</c:v>
                </c:pt>
                <c:pt idx="53">
                  <c:v>5945989.3200000003</c:v>
                </c:pt>
                <c:pt idx="54">
                  <c:v>6279018.54</c:v>
                </c:pt>
                <c:pt idx="55">
                  <c:v>6073917.3399999999</c:v>
                </c:pt>
                <c:pt idx="56">
                  <c:v>6480747.8099999996</c:v>
                </c:pt>
                <c:pt idx="57">
                  <c:v>6408703.4000000004</c:v>
                </c:pt>
                <c:pt idx="58">
                  <c:v>6384754.4400000004</c:v>
                </c:pt>
                <c:pt idx="59">
                  <c:v>7358283.3499999996</c:v>
                </c:pt>
                <c:pt idx="60">
                  <c:v>6274182.4400000004</c:v>
                </c:pt>
                <c:pt idx="61">
                  <c:v>6935631.8600000003</c:v>
                </c:pt>
                <c:pt idx="62">
                  <c:v>7000486.6100000003</c:v>
                </c:pt>
                <c:pt idx="63">
                  <c:v>6497659.8200000003</c:v>
                </c:pt>
                <c:pt idx="64">
                  <c:v>8242601.1699999999</c:v>
                </c:pt>
                <c:pt idx="65">
                  <c:v>7126205.3600000003</c:v>
                </c:pt>
                <c:pt idx="66">
                  <c:v>7146649.1600000001</c:v>
                </c:pt>
                <c:pt idx="67">
                  <c:v>6957478.29</c:v>
                </c:pt>
                <c:pt idx="68">
                  <c:v>7319320.7699999996</c:v>
                </c:pt>
                <c:pt idx="69">
                  <c:v>7102302.8099999996</c:v>
                </c:pt>
                <c:pt idx="70">
                  <c:v>7543380.4800000004</c:v>
                </c:pt>
                <c:pt idx="71">
                  <c:v>7851867.29</c:v>
                </c:pt>
                <c:pt idx="72">
                  <c:v>7313610.2800000003</c:v>
                </c:pt>
                <c:pt idx="73">
                  <c:v>8086110.0700000003</c:v>
                </c:pt>
                <c:pt idx="74">
                  <c:v>8078680.4400000004</c:v>
                </c:pt>
                <c:pt idx="75">
                  <c:v>7793908.46</c:v>
                </c:pt>
                <c:pt idx="76">
                  <c:v>9619672.7799999993</c:v>
                </c:pt>
                <c:pt idx="77">
                  <c:v>8240532.9299999997</c:v>
                </c:pt>
                <c:pt idx="78">
                  <c:v>8135516.25</c:v>
                </c:pt>
                <c:pt idx="79">
                  <c:v>8255460.4500000002</c:v>
                </c:pt>
                <c:pt idx="80">
                  <c:v>8592159.4600000009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33-4045-86A7-16F4A9631583}"/>
            </c:ext>
          </c:extLst>
        </c:ser>
        <c:ser>
          <c:idx val="2"/>
          <c:order val="2"/>
          <c:tx>
            <c:strRef>
              <c:f>'Payment Trends'!$K$56</c:f>
              <c:strCache>
                <c:ptCount val="1"/>
                <c:pt idx="0">
                  <c:v>Retail debit transfers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'Payment Trends'!$H$57:$H$137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'Payment Trends'!$K$57:$K$137</c:f>
              <c:numCache>
                <c:formatCode>#,##0.0</c:formatCode>
                <c:ptCount val="81"/>
                <c:pt idx="0">
                  <c:v>52894.13</c:v>
                </c:pt>
                <c:pt idx="1">
                  <c:v>54320.3</c:v>
                </c:pt>
                <c:pt idx="2">
                  <c:v>55298.1</c:v>
                </c:pt>
                <c:pt idx="3">
                  <c:v>55214.55</c:v>
                </c:pt>
                <c:pt idx="4">
                  <c:v>34268.89</c:v>
                </c:pt>
                <c:pt idx="5">
                  <c:v>56028.52</c:v>
                </c:pt>
                <c:pt idx="6">
                  <c:v>50961.89</c:v>
                </c:pt>
                <c:pt idx="7">
                  <c:v>70703.19</c:v>
                </c:pt>
                <c:pt idx="8">
                  <c:v>68355.91</c:v>
                </c:pt>
                <c:pt idx="9">
                  <c:v>67146.350000000006</c:v>
                </c:pt>
                <c:pt idx="10">
                  <c:v>78239.960000000006</c:v>
                </c:pt>
                <c:pt idx="11">
                  <c:v>79305.119999999995</c:v>
                </c:pt>
                <c:pt idx="12">
                  <c:v>78708.759999999995</c:v>
                </c:pt>
                <c:pt idx="13">
                  <c:v>81871.009999999995</c:v>
                </c:pt>
                <c:pt idx="14">
                  <c:v>79371.77</c:v>
                </c:pt>
                <c:pt idx="15">
                  <c:v>68323.100000000006</c:v>
                </c:pt>
                <c:pt idx="16">
                  <c:v>86504.52</c:v>
                </c:pt>
                <c:pt idx="17">
                  <c:v>75500.94</c:v>
                </c:pt>
                <c:pt idx="18">
                  <c:v>70589.490000000005</c:v>
                </c:pt>
                <c:pt idx="19">
                  <c:v>86759.11</c:v>
                </c:pt>
                <c:pt idx="20">
                  <c:v>86502.66</c:v>
                </c:pt>
                <c:pt idx="21">
                  <c:v>85435.87</c:v>
                </c:pt>
                <c:pt idx="22">
                  <c:v>84660.46</c:v>
                </c:pt>
                <c:pt idx="23">
                  <c:v>85776.42</c:v>
                </c:pt>
                <c:pt idx="24">
                  <c:v>87110.62</c:v>
                </c:pt>
                <c:pt idx="25">
                  <c:v>91162.84</c:v>
                </c:pt>
                <c:pt idx="26">
                  <c:v>91553.73</c:v>
                </c:pt>
                <c:pt idx="27">
                  <c:v>90746.07</c:v>
                </c:pt>
                <c:pt idx="28">
                  <c:v>98645.32</c:v>
                </c:pt>
                <c:pt idx="29">
                  <c:v>93616.33</c:v>
                </c:pt>
                <c:pt idx="30">
                  <c:v>95541.51</c:v>
                </c:pt>
                <c:pt idx="31">
                  <c:v>100325.48</c:v>
                </c:pt>
                <c:pt idx="32">
                  <c:v>100581.21</c:v>
                </c:pt>
                <c:pt idx="33">
                  <c:v>102824.44</c:v>
                </c:pt>
                <c:pt idx="34">
                  <c:v>106117.57</c:v>
                </c:pt>
                <c:pt idx="35">
                  <c:v>106956.04</c:v>
                </c:pt>
                <c:pt idx="36">
                  <c:v>110180.7</c:v>
                </c:pt>
                <c:pt idx="37">
                  <c:v>116425.42</c:v>
                </c:pt>
                <c:pt idx="38">
                  <c:v>115657.51</c:v>
                </c:pt>
                <c:pt idx="39">
                  <c:v>115271.9</c:v>
                </c:pt>
                <c:pt idx="40">
                  <c:v>126112.96000000001</c:v>
                </c:pt>
                <c:pt idx="41">
                  <c:v>120184.75</c:v>
                </c:pt>
                <c:pt idx="42">
                  <c:v>125654.49</c:v>
                </c:pt>
                <c:pt idx="43">
                  <c:v>129549.31</c:v>
                </c:pt>
                <c:pt idx="44">
                  <c:v>130930.69</c:v>
                </c:pt>
                <c:pt idx="45">
                  <c:v>135193.15</c:v>
                </c:pt>
                <c:pt idx="46">
                  <c:v>138748.18</c:v>
                </c:pt>
                <c:pt idx="47">
                  <c:v>139050.42000000001</c:v>
                </c:pt>
                <c:pt idx="48">
                  <c:v>142456.18</c:v>
                </c:pt>
                <c:pt idx="49">
                  <c:v>152704.79</c:v>
                </c:pt>
                <c:pt idx="50">
                  <c:v>154404.69</c:v>
                </c:pt>
                <c:pt idx="51">
                  <c:v>153734.13</c:v>
                </c:pt>
                <c:pt idx="52">
                  <c:v>165046.75</c:v>
                </c:pt>
                <c:pt idx="53">
                  <c:v>159006.34</c:v>
                </c:pt>
                <c:pt idx="54">
                  <c:v>167035.49</c:v>
                </c:pt>
                <c:pt idx="55">
                  <c:v>171468.98</c:v>
                </c:pt>
                <c:pt idx="56">
                  <c:v>175789.01</c:v>
                </c:pt>
                <c:pt idx="57">
                  <c:v>177161.64</c:v>
                </c:pt>
                <c:pt idx="58">
                  <c:v>180706.78</c:v>
                </c:pt>
                <c:pt idx="59">
                  <c:v>189818.16</c:v>
                </c:pt>
                <c:pt idx="60">
                  <c:v>185643.33</c:v>
                </c:pt>
                <c:pt idx="61">
                  <c:v>198303</c:v>
                </c:pt>
                <c:pt idx="62">
                  <c:v>199535.06</c:v>
                </c:pt>
                <c:pt idx="63">
                  <c:v>193068.11</c:v>
                </c:pt>
                <c:pt idx="64">
                  <c:v>211047.17</c:v>
                </c:pt>
                <c:pt idx="65">
                  <c:v>198564.77</c:v>
                </c:pt>
                <c:pt idx="66">
                  <c:v>206367.54</c:v>
                </c:pt>
                <c:pt idx="67">
                  <c:v>210753.96</c:v>
                </c:pt>
                <c:pt idx="68">
                  <c:v>217899.28</c:v>
                </c:pt>
                <c:pt idx="69">
                  <c:v>214927.59</c:v>
                </c:pt>
                <c:pt idx="70">
                  <c:v>222918.71</c:v>
                </c:pt>
                <c:pt idx="71">
                  <c:v>223881.2</c:v>
                </c:pt>
                <c:pt idx="72">
                  <c:v>226303.51</c:v>
                </c:pt>
                <c:pt idx="73">
                  <c:v>242667.43</c:v>
                </c:pt>
                <c:pt idx="74">
                  <c:v>240345.4</c:v>
                </c:pt>
                <c:pt idx="75">
                  <c:v>235001.1</c:v>
                </c:pt>
                <c:pt idx="76">
                  <c:v>257724.32</c:v>
                </c:pt>
                <c:pt idx="77">
                  <c:v>241715.16</c:v>
                </c:pt>
                <c:pt idx="78">
                  <c:v>247007.13</c:v>
                </c:pt>
                <c:pt idx="79">
                  <c:v>260336.97</c:v>
                </c:pt>
                <c:pt idx="80">
                  <c:v>262335.7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33-4045-86A7-16F4A9631583}"/>
            </c:ext>
          </c:extLst>
        </c:ser>
        <c:ser>
          <c:idx val="3"/>
          <c:order val="3"/>
          <c:tx>
            <c:strRef>
              <c:f>'Payment Trends'!$L$56</c:f>
              <c:strCache>
                <c:ptCount val="1"/>
                <c:pt idx="0">
                  <c:v>Card payments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'Payment Trends'!$H$57:$H$137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'Payment Trends'!$L$57:$L$137</c:f>
              <c:numCache>
                <c:formatCode>#,##0.0</c:formatCode>
                <c:ptCount val="81"/>
                <c:pt idx="0">
                  <c:v>118338.93</c:v>
                </c:pt>
                <c:pt idx="1">
                  <c:v>128488.21</c:v>
                </c:pt>
                <c:pt idx="2">
                  <c:v>129444.05</c:v>
                </c:pt>
                <c:pt idx="3">
                  <c:v>120707.85</c:v>
                </c:pt>
                <c:pt idx="4">
                  <c:v>98783.1</c:v>
                </c:pt>
                <c:pt idx="5">
                  <c:v>44015.25</c:v>
                </c:pt>
                <c:pt idx="6">
                  <c:v>70208.81</c:v>
                </c:pt>
                <c:pt idx="7">
                  <c:v>90483.87</c:v>
                </c:pt>
                <c:pt idx="8">
                  <c:v>95882.98</c:v>
                </c:pt>
                <c:pt idx="9">
                  <c:v>105081.07</c:v>
                </c:pt>
                <c:pt idx="10">
                  <c:v>106500.1</c:v>
                </c:pt>
                <c:pt idx="11">
                  <c:v>133792.5</c:v>
                </c:pt>
                <c:pt idx="12">
                  <c:v>130238.55</c:v>
                </c:pt>
                <c:pt idx="13">
                  <c:v>128664.84</c:v>
                </c:pt>
                <c:pt idx="14">
                  <c:v>127894.22</c:v>
                </c:pt>
                <c:pt idx="15">
                  <c:v>119331.22</c:v>
                </c:pt>
                <c:pt idx="16">
                  <c:v>139705.22</c:v>
                </c:pt>
                <c:pt idx="17">
                  <c:v>115232.23</c:v>
                </c:pt>
                <c:pt idx="18">
                  <c:v>95238.97</c:v>
                </c:pt>
                <c:pt idx="19">
                  <c:v>113789.59</c:v>
                </c:pt>
                <c:pt idx="20">
                  <c:v>135972.20000000001</c:v>
                </c:pt>
                <c:pt idx="21">
                  <c:v>142599.76</c:v>
                </c:pt>
                <c:pt idx="22">
                  <c:v>142816.79999999999</c:v>
                </c:pt>
                <c:pt idx="23">
                  <c:v>177413.29</c:v>
                </c:pt>
                <c:pt idx="24">
                  <c:v>156326.20000000001</c:v>
                </c:pt>
                <c:pt idx="25">
                  <c:v>160398.26999999999</c:v>
                </c:pt>
                <c:pt idx="26">
                  <c:v>147793.88</c:v>
                </c:pt>
                <c:pt idx="27">
                  <c:v>143111.15</c:v>
                </c:pt>
                <c:pt idx="28">
                  <c:v>171158.6</c:v>
                </c:pt>
                <c:pt idx="29">
                  <c:v>170520.88</c:v>
                </c:pt>
                <c:pt idx="30">
                  <c:v>179493.5</c:v>
                </c:pt>
                <c:pt idx="31">
                  <c:v>169636.43</c:v>
                </c:pt>
                <c:pt idx="32">
                  <c:v>180370.69</c:v>
                </c:pt>
                <c:pt idx="33">
                  <c:v>174516.21</c:v>
                </c:pt>
                <c:pt idx="34">
                  <c:v>183297.75</c:v>
                </c:pt>
                <c:pt idx="35">
                  <c:v>195998.5</c:v>
                </c:pt>
                <c:pt idx="36">
                  <c:v>170387.63</c:v>
                </c:pt>
                <c:pt idx="37">
                  <c:v>185149.73</c:v>
                </c:pt>
                <c:pt idx="38">
                  <c:v>183460.35</c:v>
                </c:pt>
                <c:pt idx="39">
                  <c:v>168377.71</c:v>
                </c:pt>
                <c:pt idx="40">
                  <c:v>191035.14</c:v>
                </c:pt>
                <c:pt idx="41">
                  <c:v>187395.9</c:v>
                </c:pt>
                <c:pt idx="42">
                  <c:v>193435.51</c:v>
                </c:pt>
                <c:pt idx="43">
                  <c:v>188283.69</c:v>
                </c:pt>
                <c:pt idx="44">
                  <c:v>198421.45</c:v>
                </c:pt>
                <c:pt idx="45">
                  <c:v>201281.68</c:v>
                </c:pt>
                <c:pt idx="46">
                  <c:v>189185.99</c:v>
                </c:pt>
                <c:pt idx="47">
                  <c:v>230670.27</c:v>
                </c:pt>
                <c:pt idx="48">
                  <c:v>210038.12</c:v>
                </c:pt>
                <c:pt idx="49">
                  <c:v>213053.75</c:v>
                </c:pt>
                <c:pt idx="50">
                  <c:v>211930.51</c:v>
                </c:pt>
                <c:pt idx="51">
                  <c:v>190658.44</c:v>
                </c:pt>
                <c:pt idx="52">
                  <c:v>209208.02</c:v>
                </c:pt>
                <c:pt idx="53">
                  <c:v>200409.47</c:v>
                </c:pt>
                <c:pt idx="54">
                  <c:v>208520.23</c:v>
                </c:pt>
                <c:pt idx="55">
                  <c:v>200080.96</c:v>
                </c:pt>
                <c:pt idx="56">
                  <c:v>217434.87</c:v>
                </c:pt>
                <c:pt idx="57">
                  <c:v>211726.03</c:v>
                </c:pt>
                <c:pt idx="58">
                  <c:v>216303.56</c:v>
                </c:pt>
                <c:pt idx="59">
                  <c:v>248618.66</c:v>
                </c:pt>
                <c:pt idx="60">
                  <c:v>208308.17</c:v>
                </c:pt>
                <c:pt idx="61">
                  <c:v>228548.27</c:v>
                </c:pt>
                <c:pt idx="62">
                  <c:v>223089.53</c:v>
                </c:pt>
                <c:pt idx="63">
                  <c:v>201522.01</c:v>
                </c:pt>
                <c:pt idx="64">
                  <c:v>240548.58</c:v>
                </c:pt>
                <c:pt idx="65">
                  <c:v>222350.52</c:v>
                </c:pt>
                <c:pt idx="66">
                  <c:v>226810.08</c:v>
                </c:pt>
                <c:pt idx="67">
                  <c:v>218551.55</c:v>
                </c:pt>
                <c:pt idx="68">
                  <c:v>231986.92</c:v>
                </c:pt>
                <c:pt idx="69">
                  <c:v>228576.21</c:v>
                </c:pt>
                <c:pt idx="70">
                  <c:v>253482.69</c:v>
                </c:pt>
                <c:pt idx="71">
                  <c:v>256373.31</c:v>
                </c:pt>
                <c:pt idx="72">
                  <c:v>222942.4</c:v>
                </c:pt>
                <c:pt idx="73">
                  <c:v>241960.99</c:v>
                </c:pt>
                <c:pt idx="74">
                  <c:v>237041.56</c:v>
                </c:pt>
                <c:pt idx="75">
                  <c:v>210426.61</c:v>
                </c:pt>
                <c:pt idx="76">
                  <c:v>257443.08</c:v>
                </c:pt>
                <c:pt idx="77">
                  <c:v>234176.51</c:v>
                </c:pt>
                <c:pt idx="78">
                  <c:v>238162.51</c:v>
                </c:pt>
                <c:pt idx="79">
                  <c:v>236660.24</c:v>
                </c:pt>
                <c:pt idx="80">
                  <c:v>246118.16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33-4045-86A7-16F4A9631583}"/>
            </c:ext>
          </c:extLst>
        </c:ser>
        <c:ser>
          <c:idx val="4"/>
          <c:order val="4"/>
          <c:tx>
            <c:strRef>
              <c:f>'Payment Trends'!$M$56</c:f>
              <c:strCache>
                <c:ptCount val="1"/>
                <c:pt idx="0">
                  <c:v>Prepaid instruments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'Payment Trends'!$H$57:$H$137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'Payment Trends'!$M$57:$M$137</c:f>
              <c:numCache>
                <c:formatCode>#,##0.0</c:formatCode>
                <c:ptCount val="81"/>
                <c:pt idx="0">
                  <c:v>16927.86</c:v>
                </c:pt>
                <c:pt idx="1">
                  <c:v>18922.32</c:v>
                </c:pt>
                <c:pt idx="2">
                  <c:v>18285.86</c:v>
                </c:pt>
                <c:pt idx="3">
                  <c:v>17514.71</c:v>
                </c:pt>
                <c:pt idx="4">
                  <c:v>15340.81</c:v>
                </c:pt>
                <c:pt idx="5">
                  <c:v>9648.42</c:v>
                </c:pt>
                <c:pt idx="6">
                  <c:v>12808.5</c:v>
                </c:pt>
                <c:pt idx="7">
                  <c:v>14494.15</c:v>
                </c:pt>
                <c:pt idx="8">
                  <c:v>15521.29</c:v>
                </c:pt>
                <c:pt idx="9">
                  <c:v>16071.78</c:v>
                </c:pt>
                <c:pt idx="10">
                  <c:v>16683.310000000001</c:v>
                </c:pt>
                <c:pt idx="11">
                  <c:v>17910.7</c:v>
                </c:pt>
                <c:pt idx="12">
                  <c:v>16811.099999999999</c:v>
                </c:pt>
                <c:pt idx="13">
                  <c:v>18189.97</c:v>
                </c:pt>
                <c:pt idx="14">
                  <c:v>19354.59</c:v>
                </c:pt>
                <c:pt idx="15">
                  <c:v>18315.48</c:v>
                </c:pt>
                <c:pt idx="16">
                  <c:v>21285.98</c:v>
                </c:pt>
                <c:pt idx="17">
                  <c:v>22058.720000000001</c:v>
                </c:pt>
                <c:pt idx="18">
                  <c:v>21414.23</c:v>
                </c:pt>
                <c:pt idx="19">
                  <c:v>18656.759999999998</c:v>
                </c:pt>
                <c:pt idx="20">
                  <c:v>20587.169999999998</c:v>
                </c:pt>
                <c:pt idx="21">
                  <c:v>22362.32</c:v>
                </c:pt>
                <c:pt idx="22">
                  <c:v>24481.73</c:v>
                </c:pt>
                <c:pt idx="23">
                  <c:v>25757.32</c:v>
                </c:pt>
                <c:pt idx="24">
                  <c:v>24885.1</c:v>
                </c:pt>
                <c:pt idx="25">
                  <c:v>25878.23</c:v>
                </c:pt>
                <c:pt idx="26">
                  <c:v>24796.400000000001</c:v>
                </c:pt>
                <c:pt idx="27">
                  <c:v>22922.959999999999</c:v>
                </c:pt>
                <c:pt idx="28">
                  <c:v>25615.49</c:v>
                </c:pt>
                <c:pt idx="29">
                  <c:v>25316.57</c:v>
                </c:pt>
                <c:pt idx="30">
                  <c:v>25698.36</c:v>
                </c:pt>
                <c:pt idx="31">
                  <c:v>24738.2</c:v>
                </c:pt>
                <c:pt idx="32">
                  <c:v>25308.86</c:v>
                </c:pt>
                <c:pt idx="33">
                  <c:v>24625.42</c:v>
                </c:pt>
                <c:pt idx="34">
                  <c:v>24090.22</c:v>
                </c:pt>
                <c:pt idx="35">
                  <c:v>24296.37</c:v>
                </c:pt>
                <c:pt idx="36">
                  <c:v>22808.400000000001</c:v>
                </c:pt>
                <c:pt idx="37">
                  <c:v>22648.19</c:v>
                </c:pt>
                <c:pt idx="38">
                  <c:v>22193.19</c:v>
                </c:pt>
                <c:pt idx="39">
                  <c:v>22398.880000000001</c:v>
                </c:pt>
                <c:pt idx="40">
                  <c:v>24004.99</c:v>
                </c:pt>
                <c:pt idx="41">
                  <c:v>22633.85</c:v>
                </c:pt>
                <c:pt idx="42">
                  <c:v>24239.61</c:v>
                </c:pt>
                <c:pt idx="43">
                  <c:v>23509.01</c:v>
                </c:pt>
                <c:pt idx="44">
                  <c:v>23237.86</c:v>
                </c:pt>
                <c:pt idx="45">
                  <c:v>23669.25</c:v>
                </c:pt>
                <c:pt idx="46">
                  <c:v>23667.78</c:v>
                </c:pt>
                <c:pt idx="47">
                  <c:v>25011.83</c:v>
                </c:pt>
                <c:pt idx="48">
                  <c:v>24247.54</c:v>
                </c:pt>
                <c:pt idx="49">
                  <c:v>26172.86</c:v>
                </c:pt>
                <c:pt idx="50">
                  <c:v>25784.38</c:v>
                </c:pt>
                <c:pt idx="51">
                  <c:v>22673.75</c:v>
                </c:pt>
                <c:pt idx="52">
                  <c:v>18200.330000000002</c:v>
                </c:pt>
                <c:pt idx="53">
                  <c:v>14963.51</c:v>
                </c:pt>
                <c:pt idx="54">
                  <c:v>16696.89</c:v>
                </c:pt>
                <c:pt idx="55">
                  <c:v>15896.98</c:v>
                </c:pt>
                <c:pt idx="56">
                  <c:v>16327.15</c:v>
                </c:pt>
                <c:pt idx="57">
                  <c:v>16555.09</c:v>
                </c:pt>
                <c:pt idx="58">
                  <c:v>17489.47</c:v>
                </c:pt>
                <c:pt idx="59">
                  <c:v>20418.990000000002</c:v>
                </c:pt>
                <c:pt idx="60">
                  <c:v>19213.52</c:v>
                </c:pt>
                <c:pt idx="61">
                  <c:v>18992.22</c:v>
                </c:pt>
                <c:pt idx="62">
                  <c:v>19496.3</c:v>
                </c:pt>
                <c:pt idx="63">
                  <c:v>19236.22</c:v>
                </c:pt>
                <c:pt idx="64">
                  <c:v>21465.03</c:v>
                </c:pt>
                <c:pt idx="65">
                  <c:v>21253.759999999998</c:v>
                </c:pt>
                <c:pt idx="66">
                  <c:v>20721.5</c:v>
                </c:pt>
                <c:pt idx="67">
                  <c:v>20740.12</c:v>
                </c:pt>
                <c:pt idx="68">
                  <c:v>20757.87</c:v>
                </c:pt>
                <c:pt idx="69">
                  <c:v>22252.69</c:v>
                </c:pt>
                <c:pt idx="70">
                  <c:v>22636.58</c:v>
                </c:pt>
                <c:pt idx="71">
                  <c:v>24226.83</c:v>
                </c:pt>
                <c:pt idx="72">
                  <c:v>24638.84</c:v>
                </c:pt>
                <c:pt idx="73">
                  <c:v>27044.19</c:v>
                </c:pt>
                <c:pt idx="74">
                  <c:v>27625.55</c:v>
                </c:pt>
                <c:pt idx="75">
                  <c:v>25969.03</c:v>
                </c:pt>
                <c:pt idx="76">
                  <c:v>28562.52</c:v>
                </c:pt>
                <c:pt idx="77">
                  <c:v>28124.58</c:v>
                </c:pt>
                <c:pt idx="78">
                  <c:v>29442.73</c:v>
                </c:pt>
                <c:pt idx="79">
                  <c:v>27494.85</c:v>
                </c:pt>
                <c:pt idx="80">
                  <c:v>28606.76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33-4045-86A7-16F4A9631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339599"/>
        <c:axId val="453345423"/>
      </c:lineChart>
      <c:dateAx>
        <c:axId val="453339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45423"/>
        <c:crosses val="autoZero"/>
        <c:auto val="1"/>
        <c:lblOffset val="100"/>
        <c:baseTimeUnit val="months"/>
      </c:dateAx>
      <c:valAx>
        <c:axId val="45334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(₹ crore)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3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Volume Growth (MoM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'Payment Trends'!$P$56</c:f>
              <c:strCache>
                <c:ptCount val="1"/>
                <c:pt idx="0">
                  <c:v>Total volume MoM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'Payment Trends'!$O$57:$O$137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'Payment Trends'!$P$57:$P$137</c:f>
              <c:numCache>
                <c:formatCode>0.0%;\(0.0%\);\-</c:formatCode>
                <c:ptCount val="81"/>
                <c:pt idx="1">
                  <c:v>7.5985152085052521E-2</c:v>
                </c:pt>
                <c:pt idx="2">
                  <c:v>4.2634751701592588E-2</c:v>
                </c:pt>
                <c:pt idx="3">
                  <c:v>-2.1900701122152144E-2</c:v>
                </c:pt>
                <c:pt idx="4">
                  <c:v>-0.11030076083956231</c:v>
                </c:pt>
                <c:pt idx="5">
                  <c:v>-0.19346756246909935</c:v>
                </c:pt>
                <c:pt idx="6">
                  <c:v>8.3451671448204756E-2</c:v>
                </c:pt>
                <c:pt idx="7">
                  <c:v>0.13769402604857239</c:v>
                </c:pt>
                <c:pt idx="8">
                  <c:v>7.5127878446479945E-2</c:v>
                </c:pt>
                <c:pt idx="9">
                  <c:v>0.1079943647942212</c:v>
                </c:pt>
                <c:pt idx="10">
                  <c:v>4.3956782682606166E-2</c:v>
                </c:pt>
                <c:pt idx="11">
                  <c:v>0.1040019920555455</c:v>
                </c:pt>
                <c:pt idx="12">
                  <c:v>2.5726145025985803E-2</c:v>
                </c:pt>
                <c:pt idx="13">
                  <c:v>4.1187721463472604E-2</c:v>
                </c:pt>
                <c:pt idx="14">
                  <c:v>-9.1040695472166533E-4</c:v>
                </c:pt>
                <c:pt idx="15">
                  <c:v>-3.326013410474038E-2</c:v>
                </c:pt>
                <c:pt idx="16">
                  <c:v>0.19533322299271871</c:v>
                </c:pt>
                <c:pt idx="17">
                  <c:v>-8.3749758144367803E-2</c:v>
                </c:pt>
                <c:pt idx="18">
                  <c:v>-5.4367284569548979E-2</c:v>
                </c:pt>
                <c:pt idx="19">
                  <c:v>9.8977269638456766E-2</c:v>
                </c:pt>
                <c:pt idx="20">
                  <c:v>0.12391558960347693</c:v>
                </c:pt>
                <c:pt idx="21">
                  <c:v>8.7018136825446568E-2</c:v>
                </c:pt>
                <c:pt idx="22">
                  <c:v>3.7411166803960061E-3</c:v>
                </c:pt>
                <c:pt idx="23">
                  <c:v>0.15144274070658392</c:v>
                </c:pt>
                <c:pt idx="24">
                  <c:v>-2.4240648781043816E-2</c:v>
                </c:pt>
                <c:pt idx="25">
                  <c:v>8.7941988353905431E-2</c:v>
                </c:pt>
                <c:pt idx="26">
                  <c:v>-1.0435711547447601E-2</c:v>
                </c:pt>
                <c:pt idx="27">
                  <c:v>-3.7368370211332214E-2</c:v>
                </c:pt>
                <c:pt idx="28">
                  <c:v>0.19263965962804819</c:v>
                </c:pt>
                <c:pt idx="29">
                  <c:v>2.4257770931968015E-3</c:v>
                </c:pt>
                <c:pt idx="30">
                  <c:v>7.1475562424768047E-2</c:v>
                </c:pt>
                <c:pt idx="31">
                  <c:v>-3.2806024200739192E-2</c:v>
                </c:pt>
                <c:pt idx="32">
                  <c:v>5.7718944108362091E-2</c:v>
                </c:pt>
                <c:pt idx="33">
                  <c:v>3.5257864210913592E-2</c:v>
                </c:pt>
                <c:pt idx="34">
                  <c:v>1.7270583630528691E-2</c:v>
                </c:pt>
                <c:pt idx="35">
                  <c:v>7.0321389325657124E-2</c:v>
                </c:pt>
                <c:pt idx="36">
                  <c:v>-1.8283078631987082E-2</c:v>
                </c:pt>
                <c:pt idx="37">
                  <c:v>6.9147681858837462E-2</c:v>
                </c:pt>
                <c:pt idx="38">
                  <c:v>1.3163252844252904E-2</c:v>
                </c:pt>
                <c:pt idx="39">
                  <c:v>-4.2348956143918315E-2</c:v>
                </c:pt>
                <c:pt idx="40">
                  <c:v>0.13086231538638859</c:v>
                </c:pt>
                <c:pt idx="41">
                  <c:v>-4.3801140941639449E-3</c:v>
                </c:pt>
                <c:pt idx="42">
                  <c:v>6.5462469153000136E-2</c:v>
                </c:pt>
                <c:pt idx="43">
                  <c:v>-1.3081928044430757E-2</c:v>
                </c:pt>
                <c:pt idx="44">
                  <c:v>6.6097237024481004E-2</c:v>
                </c:pt>
                <c:pt idx="45">
                  <c:v>4.5324530705527E-2</c:v>
                </c:pt>
                <c:pt idx="46">
                  <c:v>-9.3816312214042297E-3</c:v>
                </c:pt>
                <c:pt idx="47">
                  <c:v>7.7523214424864983E-2</c:v>
                </c:pt>
                <c:pt idx="48">
                  <c:v>-5.6439854898548969E-3</c:v>
                </c:pt>
                <c:pt idx="49">
                  <c:v>5.4510867538814844E-2</c:v>
                </c:pt>
                <c:pt idx="50">
                  <c:v>1.4315176415545583E-2</c:v>
                </c:pt>
                <c:pt idx="51">
                  <c:v>-1.3485145265524912E-3</c:v>
                </c:pt>
                <c:pt idx="52">
                  <c:v>9.9934978440289424E-2</c:v>
                </c:pt>
                <c:pt idx="53">
                  <c:v>-2.7364751679859078E-2</c:v>
                </c:pt>
                <c:pt idx="54">
                  <c:v>5.0314216898021513E-2</c:v>
                </c:pt>
                <c:pt idx="55">
                  <c:v>-9.372847680476748E-3</c:v>
                </c:pt>
                <c:pt idx="56">
                  <c:v>3.6497271607006665E-2</c:v>
                </c:pt>
                <c:pt idx="57">
                  <c:v>3.1115276195787578E-2</c:v>
                </c:pt>
                <c:pt idx="58">
                  <c:v>8.3277713519414043E-4</c:v>
                </c:pt>
                <c:pt idx="59">
                  <c:v>0.10950510024304316</c:v>
                </c:pt>
                <c:pt idx="60">
                  <c:v>-7.8139388430887413E-2</c:v>
                </c:pt>
                <c:pt idx="61">
                  <c:v>7.8641694776509175E-2</c:v>
                </c:pt>
                <c:pt idx="62">
                  <c:v>1.4215263911044218E-2</c:v>
                </c:pt>
                <c:pt idx="63">
                  <c:v>-4.8827740026588851E-2</c:v>
                </c:pt>
                <c:pt idx="64">
                  <c:v>0.1352593377586655</c:v>
                </c:pt>
                <c:pt idx="65">
                  <c:v>-3.358184926483132E-2</c:v>
                </c:pt>
                <c:pt idx="66">
                  <c:v>4.4203464701151773E-2</c:v>
                </c:pt>
                <c:pt idx="67">
                  <c:v>-1.6244534673828359E-2</c:v>
                </c:pt>
                <c:pt idx="68">
                  <c:v>5.7733406707551671E-2</c:v>
                </c:pt>
                <c:pt idx="69">
                  <c:v>3.2489553091714418E-2</c:v>
                </c:pt>
                <c:pt idx="70">
                  <c:v>-2.2097702567698496E-2</c:v>
                </c:pt>
                <c:pt idx="71">
                  <c:v>5.2055041631563714E-2</c:v>
                </c:pt>
                <c:pt idx="72">
                  <c:v>-1.2036077214022223E-2</c:v>
                </c:pt>
                <c:pt idx="73">
                  <c:v>5.0933168402314433E-2</c:v>
                </c:pt>
                <c:pt idx="74">
                  <c:v>2.3768092943436958E-3</c:v>
                </c:pt>
                <c:pt idx="75">
                  <c:v>-6.3163116237966555E-2</c:v>
                </c:pt>
                <c:pt idx="76">
                  <c:v>0.11274455618772361</c:v>
                </c:pt>
                <c:pt idx="77">
                  <c:v>-2.2947244867611905E-2</c:v>
                </c:pt>
                <c:pt idx="78">
                  <c:v>3.4909775600942217E-2</c:v>
                </c:pt>
                <c:pt idx="79">
                  <c:v>-1.3397772039281497E-2</c:v>
                </c:pt>
                <c:pt idx="80">
                  <c:v>3.8614190673805782E-2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8-440C-83DE-E654F2CF4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042399"/>
        <c:axId val="1798474239"/>
      </c:lineChart>
      <c:dateAx>
        <c:axId val="414042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74239"/>
        <c:crosses val="autoZero"/>
        <c:auto val="1"/>
        <c:lblOffset val="100"/>
        <c:baseTimeUnit val="months"/>
      </c:dateAx>
      <c:valAx>
        <c:axId val="179847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Month-over-month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;\(0.0%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4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ATM Network Trend — Total ATMs (units)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'Infrastructure Insights'!$B$60</c:f>
              <c:strCache>
                <c:ptCount val="1"/>
                <c:pt idx="0">
                  <c:v>ATM total count (units)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'Infrastructure Insights'!$A$61:$A$141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'Infrastructure Insights'!$B$61:$B$141</c:f>
              <c:numCache>
                <c:formatCode>#,##0</c:formatCode>
                <c:ptCount val="81"/>
                <c:pt idx="0">
                  <c:v>232000</c:v>
                </c:pt>
                <c:pt idx="1">
                  <c:v>232000</c:v>
                </c:pt>
                <c:pt idx="2">
                  <c:v>233000</c:v>
                </c:pt>
                <c:pt idx="3">
                  <c:v>234000</c:v>
                </c:pt>
                <c:pt idx="4">
                  <c:v>234000</c:v>
                </c:pt>
                <c:pt idx="5">
                  <c:v>234000</c:v>
                </c:pt>
                <c:pt idx="6">
                  <c:v>234000</c:v>
                </c:pt>
                <c:pt idx="7">
                  <c:v>234000</c:v>
                </c:pt>
                <c:pt idx="8">
                  <c:v>234000</c:v>
                </c:pt>
                <c:pt idx="9">
                  <c:v>233000</c:v>
                </c:pt>
                <c:pt idx="10">
                  <c:v>234000</c:v>
                </c:pt>
                <c:pt idx="11">
                  <c:v>234000</c:v>
                </c:pt>
                <c:pt idx="12">
                  <c:v>234000</c:v>
                </c:pt>
                <c:pt idx="13">
                  <c:v>233000</c:v>
                </c:pt>
                <c:pt idx="14">
                  <c:v>234000</c:v>
                </c:pt>
                <c:pt idx="15">
                  <c:v>235000</c:v>
                </c:pt>
                <c:pt idx="16">
                  <c:v>239000</c:v>
                </c:pt>
                <c:pt idx="17">
                  <c:v>240000</c:v>
                </c:pt>
                <c:pt idx="18">
                  <c:v>240000</c:v>
                </c:pt>
                <c:pt idx="19">
                  <c:v>240000</c:v>
                </c:pt>
                <c:pt idx="20">
                  <c:v>240000</c:v>
                </c:pt>
                <c:pt idx="21">
                  <c:v>241000</c:v>
                </c:pt>
                <c:pt idx="22">
                  <c:v>241000</c:v>
                </c:pt>
                <c:pt idx="23">
                  <c:v>241000</c:v>
                </c:pt>
                <c:pt idx="24">
                  <c:v>242000</c:v>
                </c:pt>
                <c:pt idx="25">
                  <c:v>245000</c:v>
                </c:pt>
                <c:pt idx="26">
                  <c:v>246000</c:v>
                </c:pt>
                <c:pt idx="27">
                  <c:v>247000</c:v>
                </c:pt>
                <c:pt idx="28">
                  <c:v>252000</c:v>
                </c:pt>
                <c:pt idx="29">
                  <c:v>251000</c:v>
                </c:pt>
                <c:pt idx="30">
                  <c:v>252000</c:v>
                </c:pt>
                <c:pt idx="31">
                  <c:v>253000</c:v>
                </c:pt>
                <c:pt idx="32">
                  <c:v>254000</c:v>
                </c:pt>
                <c:pt idx="33">
                  <c:v>254000</c:v>
                </c:pt>
                <c:pt idx="34">
                  <c:v>255000</c:v>
                </c:pt>
                <c:pt idx="35">
                  <c:v>255000</c:v>
                </c:pt>
                <c:pt idx="36">
                  <c:v>255000</c:v>
                </c:pt>
                <c:pt idx="37">
                  <c:v>257000</c:v>
                </c:pt>
                <c:pt idx="38">
                  <c:v>258000</c:v>
                </c:pt>
                <c:pt idx="39">
                  <c:v>257000</c:v>
                </c:pt>
                <c:pt idx="40">
                  <c:v>259000</c:v>
                </c:pt>
                <c:pt idx="41">
                  <c:v>255000</c:v>
                </c:pt>
                <c:pt idx="42">
                  <c:v>256000</c:v>
                </c:pt>
                <c:pt idx="43">
                  <c:v>259000</c:v>
                </c:pt>
                <c:pt idx="44">
                  <c:v>257000</c:v>
                </c:pt>
                <c:pt idx="45">
                  <c:v>258000</c:v>
                </c:pt>
                <c:pt idx="46">
                  <c:v>258000</c:v>
                </c:pt>
                <c:pt idx="47">
                  <c:v>258000</c:v>
                </c:pt>
                <c:pt idx="48">
                  <c:v>258000</c:v>
                </c:pt>
                <c:pt idx="49">
                  <c:v>258000</c:v>
                </c:pt>
                <c:pt idx="50">
                  <c:v>258000</c:v>
                </c:pt>
                <c:pt idx="51">
                  <c:v>257000</c:v>
                </c:pt>
                <c:pt idx="52">
                  <c:v>258000</c:v>
                </c:pt>
                <c:pt idx="53">
                  <c:v>257000</c:v>
                </c:pt>
                <c:pt idx="54">
                  <c:v>257000</c:v>
                </c:pt>
                <c:pt idx="55">
                  <c:v>256000</c:v>
                </c:pt>
                <c:pt idx="56">
                  <c:v>255000</c:v>
                </c:pt>
                <c:pt idx="57">
                  <c:v>255000</c:v>
                </c:pt>
                <c:pt idx="58">
                  <c:v>255000</c:v>
                </c:pt>
                <c:pt idx="59">
                  <c:v>256000</c:v>
                </c:pt>
                <c:pt idx="60">
                  <c:v>255000</c:v>
                </c:pt>
                <c:pt idx="61">
                  <c:v>255000</c:v>
                </c:pt>
                <c:pt idx="62">
                  <c:v>257000</c:v>
                </c:pt>
                <c:pt idx="63">
                  <c:v>258000</c:v>
                </c:pt>
                <c:pt idx="64">
                  <c:v>256000</c:v>
                </c:pt>
                <c:pt idx="65">
                  <c:v>255000</c:v>
                </c:pt>
                <c:pt idx="66">
                  <c:v>257000</c:v>
                </c:pt>
                <c:pt idx="67">
                  <c:v>251000</c:v>
                </c:pt>
                <c:pt idx="68">
                  <c:v>249000</c:v>
                </c:pt>
                <c:pt idx="69">
                  <c:v>249000</c:v>
                </c:pt>
                <c:pt idx="70">
                  <c:v>249000</c:v>
                </c:pt>
                <c:pt idx="71">
                  <c:v>250000</c:v>
                </c:pt>
                <c:pt idx="72">
                  <c:v>251000</c:v>
                </c:pt>
                <c:pt idx="73">
                  <c:v>250000</c:v>
                </c:pt>
                <c:pt idx="74">
                  <c:v>252000</c:v>
                </c:pt>
                <c:pt idx="75">
                  <c:v>253000</c:v>
                </c:pt>
                <c:pt idx="76">
                  <c:v>254000</c:v>
                </c:pt>
                <c:pt idx="77">
                  <c:v>254000</c:v>
                </c:pt>
                <c:pt idx="78">
                  <c:v>254000</c:v>
                </c:pt>
                <c:pt idx="79">
                  <c:v>252000</c:v>
                </c:pt>
                <c:pt idx="80">
                  <c:v>253000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5-426B-9155-01C1D8E3E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2720031"/>
        <c:axId val="1802720447"/>
      </c:lineChart>
      <c:dateAx>
        <c:axId val="1802720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720447"/>
        <c:crosses val="autoZero"/>
        <c:auto val="1"/>
        <c:lblOffset val="100"/>
        <c:baseTimeUnit val="months"/>
      </c:dateAx>
      <c:valAx>
        <c:axId val="180272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ATM count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72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 Terminal Trend — Terminals (units)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'Infrastructure Insights'!$E$60</c:f>
              <c:strCache>
                <c:ptCount val="1"/>
                <c:pt idx="0">
                  <c:v>POS terminal count (units)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'Infrastructure Insights'!$D$61:$D$141</c:f>
              <c:numCache>
                <c:formatCode>mmm\ yyyy</c:formatCode>
                <c:ptCount val="81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  <c:pt idx="74">
                  <c:v>46023</c:v>
                </c:pt>
                <c:pt idx="75">
                  <c:v>46054</c:v>
                </c:pt>
                <c:pt idx="76">
                  <c:v>46082</c:v>
                </c:pt>
                <c:pt idx="77">
                  <c:v>46113</c:v>
                </c:pt>
                <c:pt idx="78">
                  <c:v>46143</c:v>
                </c:pt>
                <c:pt idx="79">
                  <c:v>46174</c:v>
                </c:pt>
                <c:pt idx="80">
                  <c:v>46204</c:v>
                </c:pt>
              </c:numCache>
            </c:numRef>
          </c:cat>
          <c:val>
            <c:numRef>
              <c:f>'Infrastructure Insights'!$E$61:$E$141</c:f>
              <c:numCache>
                <c:formatCode>#,##0</c:formatCode>
                <c:ptCount val="81"/>
                <c:pt idx="0">
                  <c:v>4128000</c:v>
                </c:pt>
                <c:pt idx="1">
                  <c:v>4249000</c:v>
                </c:pt>
                <c:pt idx="2">
                  <c:v>4292000</c:v>
                </c:pt>
                <c:pt idx="3">
                  <c:v>4371000</c:v>
                </c:pt>
                <c:pt idx="4">
                  <c:v>4434000</c:v>
                </c:pt>
                <c:pt idx="5">
                  <c:v>4391000</c:v>
                </c:pt>
                <c:pt idx="6">
                  <c:v>4322000</c:v>
                </c:pt>
                <c:pt idx="7">
                  <c:v>4326000</c:v>
                </c:pt>
                <c:pt idx="8">
                  <c:v>4357000</c:v>
                </c:pt>
                <c:pt idx="9">
                  <c:v>4355000</c:v>
                </c:pt>
                <c:pt idx="10">
                  <c:v>4423000</c:v>
                </c:pt>
                <c:pt idx="11">
                  <c:v>4581000</c:v>
                </c:pt>
                <c:pt idx="12">
                  <c:v>4577000</c:v>
                </c:pt>
                <c:pt idx="13">
                  <c:v>4585000</c:v>
                </c:pt>
                <c:pt idx="14">
                  <c:v>4655000</c:v>
                </c:pt>
                <c:pt idx="15">
                  <c:v>4715000</c:v>
                </c:pt>
                <c:pt idx="16">
                  <c:v>4720000</c:v>
                </c:pt>
                <c:pt idx="17">
                  <c:v>4525000</c:v>
                </c:pt>
                <c:pt idx="18">
                  <c:v>4520000</c:v>
                </c:pt>
                <c:pt idx="19">
                  <c:v>4593000</c:v>
                </c:pt>
                <c:pt idx="20">
                  <c:v>4608000</c:v>
                </c:pt>
                <c:pt idx="21">
                  <c:v>4816000</c:v>
                </c:pt>
                <c:pt idx="22">
                  <c:v>4977000</c:v>
                </c:pt>
                <c:pt idx="23">
                  <c:v>5155000</c:v>
                </c:pt>
                <c:pt idx="24">
                  <c:v>5292000</c:v>
                </c:pt>
                <c:pt idx="25">
                  <c:v>5498000</c:v>
                </c:pt>
                <c:pt idx="26">
                  <c:v>5620000</c:v>
                </c:pt>
                <c:pt idx="27">
                  <c:v>5834000</c:v>
                </c:pt>
                <c:pt idx="28">
                  <c:v>6070000</c:v>
                </c:pt>
                <c:pt idx="29">
                  <c:v>6126000</c:v>
                </c:pt>
                <c:pt idx="30">
                  <c:v>6169000</c:v>
                </c:pt>
                <c:pt idx="31">
                  <c:v>6591000</c:v>
                </c:pt>
                <c:pt idx="32">
                  <c:v>6819000</c:v>
                </c:pt>
                <c:pt idx="33">
                  <c:v>7058000</c:v>
                </c:pt>
                <c:pt idx="34">
                  <c:v>7035000</c:v>
                </c:pt>
                <c:pt idx="35">
                  <c:v>7211000</c:v>
                </c:pt>
                <c:pt idx="36">
                  <c:v>7352000</c:v>
                </c:pt>
                <c:pt idx="37">
                  <c:v>7550000</c:v>
                </c:pt>
                <c:pt idx="38">
                  <c:v>7657000</c:v>
                </c:pt>
                <c:pt idx="39">
                  <c:v>7758000</c:v>
                </c:pt>
                <c:pt idx="40">
                  <c:v>7790000</c:v>
                </c:pt>
                <c:pt idx="41">
                  <c:v>7837000</c:v>
                </c:pt>
                <c:pt idx="42">
                  <c:v>7961000</c:v>
                </c:pt>
                <c:pt idx="43">
                  <c:v>8094000</c:v>
                </c:pt>
                <c:pt idx="44">
                  <c:v>8123000</c:v>
                </c:pt>
                <c:pt idx="45">
                  <c:v>8247000</c:v>
                </c:pt>
                <c:pt idx="46">
                  <c:v>8303000</c:v>
                </c:pt>
                <c:pt idx="47">
                  <c:v>8348000</c:v>
                </c:pt>
                <c:pt idx="48">
                  <c:v>8432000</c:v>
                </c:pt>
                <c:pt idx="49">
                  <c:v>8567000</c:v>
                </c:pt>
                <c:pt idx="50">
                  <c:v>8593000</c:v>
                </c:pt>
                <c:pt idx="51">
                  <c:v>8773000</c:v>
                </c:pt>
                <c:pt idx="52">
                  <c:v>8903000</c:v>
                </c:pt>
                <c:pt idx="53">
                  <c:v>8839000</c:v>
                </c:pt>
                <c:pt idx="54">
                  <c:v>8804000</c:v>
                </c:pt>
                <c:pt idx="55">
                  <c:v>8967000</c:v>
                </c:pt>
                <c:pt idx="56">
                  <c:v>8972000</c:v>
                </c:pt>
                <c:pt idx="57">
                  <c:v>9301000</c:v>
                </c:pt>
                <c:pt idx="58">
                  <c:v>9343000</c:v>
                </c:pt>
                <c:pt idx="59">
                  <c:v>9509000</c:v>
                </c:pt>
                <c:pt idx="60">
                  <c:v>9691000</c:v>
                </c:pt>
                <c:pt idx="61">
                  <c:v>10001000</c:v>
                </c:pt>
                <c:pt idx="62">
                  <c:v>10353000</c:v>
                </c:pt>
                <c:pt idx="63">
                  <c:v>10718000</c:v>
                </c:pt>
                <c:pt idx="64">
                  <c:v>11098000</c:v>
                </c:pt>
                <c:pt idx="65">
                  <c:v>11283000</c:v>
                </c:pt>
                <c:pt idx="66">
                  <c:v>11581000</c:v>
                </c:pt>
                <c:pt idx="67">
                  <c:v>11783000</c:v>
                </c:pt>
                <c:pt idx="68">
                  <c:v>11913000</c:v>
                </c:pt>
                <c:pt idx="69">
                  <c:v>11965000</c:v>
                </c:pt>
                <c:pt idx="70">
                  <c:v>12116000</c:v>
                </c:pt>
                <c:pt idx="71">
                  <c:v>12308000</c:v>
                </c:pt>
                <c:pt idx="72">
                  <c:v>11253000</c:v>
                </c:pt>
                <c:pt idx="73">
                  <c:v>11475000</c:v>
                </c:pt>
                <c:pt idx="74">
                  <c:v>11545000</c:v>
                </c:pt>
                <c:pt idx="75">
                  <c:v>11665000</c:v>
                </c:pt>
                <c:pt idx="76">
                  <c:v>11769000</c:v>
                </c:pt>
                <c:pt idx="77">
                  <c:v>11447000</c:v>
                </c:pt>
                <c:pt idx="78">
                  <c:v>11525000</c:v>
                </c:pt>
                <c:pt idx="79">
                  <c:v>9922000</c:v>
                </c:pt>
                <c:pt idx="80">
                  <c:v>10028000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0-4F96-B709-CE29C738D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412655"/>
        <c:axId val="614413071"/>
      </c:lineChart>
      <c:dateAx>
        <c:axId val="614412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13071"/>
        <c:crosses val="autoZero"/>
        <c:auto val="1"/>
        <c:lblOffset val="100"/>
        <c:baseTimeUnit val="months"/>
      </c:dateAx>
      <c:valAx>
        <c:axId val="6144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 terminal count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1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UPI QR Infrastructure Trend — Static QR (units)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'Infrastructure Insights'!$H$60:$H$70</c:f>
              <c:strCache>
                <c:ptCount val="11"/>
                <c:pt idx="0">
                  <c:v>UPI QR static count (units)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'Infrastructure Insights'!$G$71:$G$141</c:f>
              <c:numCache>
                <c:formatCode>mmm\ yyyy</c:formatCode>
                <c:ptCount val="71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  <c:pt idx="49">
                  <c:v>45566</c:v>
                </c:pt>
                <c:pt idx="50">
                  <c:v>45597</c:v>
                </c:pt>
                <c:pt idx="51">
                  <c:v>45627</c:v>
                </c:pt>
                <c:pt idx="52">
                  <c:v>45658</c:v>
                </c:pt>
                <c:pt idx="53">
                  <c:v>45689</c:v>
                </c:pt>
                <c:pt idx="54">
                  <c:v>45717</c:v>
                </c:pt>
                <c:pt idx="55">
                  <c:v>45748</c:v>
                </c:pt>
                <c:pt idx="56">
                  <c:v>45778</c:v>
                </c:pt>
                <c:pt idx="57">
                  <c:v>45809</c:v>
                </c:pt>
                <c:pt idx="58">
                  <c:v>45839</c:v>
                </c:pt>
                <c:pt idx="59">
                  <c:v>45870</c:v>
                </c:pt>
                <c:pt idx="60">
                  <c:v>45901</c:v>
                </c:pt>
                <c:pt idx="61">
                  <c:v>45931</c:v>
                </c:pt>
                <c:pt idx="62">
                  <c:v>45962</c:v>
                </c:pt>
                <c:pt idx="63">
                  <c:v>45992</c:v>
                </c:pt>
                <c:pt idx="64">
                  <c:v>46023</c:v>
                </c:pt>
                <c:pt idx="65">
                  <c:v>46054</c:v>
                </c:pt>
                <c:pt idx="66">
                  <c:v>46082</c:v>
                </c:pt>
                <c:pt idx="67">
                  <c:v>46113</c:v>
                </c:pt>
                <c:pt idx="68">
                  <c:v>46143</c:v>
                </c:pt>
                <c:pt idx="69">
                  <c:v>46174</c:v>
                </c:pt>
                <c:pt idx="70">
                  <c:v>46204</c:v>
                </c:pt>
              </c:numCache>
            </c:numRef>
          </c:cat>
          <c:val>
            <c:numRef>
              <c:f>'Infrastructure Insights'!$H$71:$H$141</c:f>
              <c:numCache>
                <c:formatCode>#,##0</c:formatCode>
                <c:ptCount val="71"/>
                <c:pt idx="0">
                  <c:v>60407000</c:v>
                </c:pt>
                <c:pt idx="1">
                  <c:v>65745000</c:v>
                </c:pt>
                <c:pt idx="2">
                  <c:v>69782000</c:v>
                </c:pt>
                <c:pt idx="3">
                  <c:v>75231000</c:v>
                </c:pt>
                <c:pt idx="4">
                  <c:v>80589000</c:v>
                </c:pt>
                <c:pt idx="5">
                  <c:v>87586000</c:v>
                </c:pt>
                <c:pt idx="6">
                  <c:v>92522000</c:v>
                </c:pt>
                <c:pt idx="7">
                  <c:v>97819000</c:v>
                </c:pt>
                <c:pt idx="8">
                  <c:v>99022000</c:v>
                </c:pt>
                <c:pt idx="9">
                  <c:v>102676000</c:v>
                </c:pt>
                <c:pt idx="10">
                  <c:v>107880000</c:v>
                </c:pt>
                <c:pt idx="11">
                  <c:v>114206000</c:v>
                </c:pt>
                <c:pt idx="12">
                  <c:v>120519000</c:v>
                </c:pt>
                <c:pt idx="13">
                  <c:v>128505000</c:v>
                </c:pt>
                <c:pt idx="14">
                  <c:v>137333000</c:v>
                </c:pt>
                <c:pt idx="15">
                  <c:v>144010000</c:v>
                </c:pt>
                <c:pt idx="16">
                  <c:v>152105000</c:v>
                </c:pt>
                <c:pt idx="17">
                  <c:v>160019000</c:v>
                </c:pt>
                <c:pt idx="18">
                  <c:v>172734000</c:v>
                </c:pt>
                <c:pt idx="19">
                  <c:v>180721000</c:v>
                </c:pt>
                <c:pt idx="20">
                  <c:v>188116000</c:v>
                </c:pt>
                <c:pt idx="21">
                  <c:v>195291000</c:v>
                </c:pt>
                <c:pt idx="22">
                  <c:v>201302000</c:v>
                </c:pt>
                <c:pt idx="23">
                  <c:v>209254000</c:v>
                </c:pt>
                <c:pt idx="24">
                  <c:v>216430000</c:v>
                </c:pt>
                <c:pt idx="25">
                  <c:v>225323000</c:v>
                </c:pt>
                <c:pt idx="26">
                  <c:v>230287000</c:v>
                </c:pt>
                <c:pt idx="27">
                  <c:v>236182000</c:v>
                </c:pt>
                <c:pt idx="28">
                  <c:v>244234000</c:v>
                </c:pt>
                <c:pt idx="29">
                  <c:v>250089000</c:v>
                </c:pt>
                <c:pt idx="30">
                  <c:v>256377000</c:v>
                </c:pt>
                <c:pt idx="31">
                  <c:v>260908000</c:v>
                </c:pt>
                <c:pt idx="32">
                  <c:v>266757000</c:v>
                </c:pt>
                <c:pt idx="33">
                  <c:v>272015000</c:v>
                </c:pt>
                <c:pt idx="34">
                  <c:v>280725000</c:v>
                </c:pt>
                <c:pt idx="35">
                  <c:v>288164000</c:v>
                </c:pt>
                <c:pt idx="36">
                  <c:v>295006000</c:v>
                </c:pt>
                <c:pt idx="37">
                  <c:v>301720000</c:v>
                </c:pt>
                <c:pt idx="38">
                  <c:v>308739000</c:v>
                </c:pt>
                <c:pt idx="39">
                  <c:v>317066000</c:v>
                </c:pt>
                <c:pt idx="40">
                  <c:v>321379000</c:v>
                </c:pt>
                <c:pt idx="41">
                  <c:v>337180000</c:v>
                </c:pt>
                <c:pt idx="42">
                  <c:v>343493000</c:v>
                </c:pt>
                <c:pt idx="43">
                  <c:v>559720000</c:v>
                </c:pt>
                <c:pt idx="44">
                  <c:v>569084000</c:v>
                </c:pt>
                <c:pt idx="45">
                  <c:v>577015000</c:v>
                </c:pt>
                <c:pt idx="46">
                  <c:v>585114000</c:v>
                </c:pt>
                <c:pt idx="47">
                  <c:v>591293000</c:v>
                </c:pt>
                <c:pt idx="48">
                  <c:v>607079000</c:v>
                </c:pt>
                <c:pt idx="49">
                  <c:v>616852000</c:v>
                </c:pt>
                <c:pt idx="50">
                  <c:v>626180000</c:v>
                </c:pt>
                <c:pt idx="51">
                  <c:v>633530000</c:v>
                </c:pt>
                <c:pt idx="52">
                  <c:v>640165000</c:v>
                </c:pt>
                <c:pt idx="53">
                  <c:v>649691000</c:v>
                </c:pt>
                <c:pt idx="54">
                  <c:v>657930000</c:v>
                </c:pt>
                <c:pt idx="55">
                  <c:v>662385000</c:v>
                </c:pt>
                <c:pt idx="56">
                  <c:v>669730000</c:v>
                </c:pt>
                <c:pt idx="57">
                  <c:v>678161000</c:v>
                </c:pt>
                <c:pt idx="58">
                  <c:v>688031000</c:v>
                </c:pt>
                <c:pt idx="59">
                  <c:v>697747000</c:v>
                </c:pt>
                <c:pt idx="60">
                  <c:v>708975000</c:v>
                </c:pt>
                <c:pt idx="61">
                  <c:v>717434000</c:v>
                </c:pt>
                <c:pt idx="62">
                  <c:v>728200000</c:v>
                </c:pt>
                <c:pt idx="63">
                  <c:v>731365000</c:v>
                </c:pt>
                <c:pt idx="64">
                  <c:v>738380000</c:v>
                </c:pt>
                <c:pt idx="65">
                  <c:v>754204000</c:v>
                </c:pt>
                <c:pt idx="66">
                  <c:v>761217000</c:v>
                </c:pt>
                <c:pt idx="67">
                  <c:v>770829000</c:v>
                </c:pt>
                <c:pt idx="68">
                  <c:v>779765000</c:v>
                </c:pt>
                <c:pt idx="69">
                  <c:v>792574000</c:v>
                </c:pt>
                <c:pt idx="70">
                  <c:v>803048000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F1-4233-98C0-3699A6A7E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413487"/>
        <c:axId val="614414319"/>
      </c:lineChart>
      <c:dateAx>
        <c:axId val="61441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14319"/>
        <c:crosses val="autoZero"/>
        <c:auto val="1"/>
        <c:lblOffset val="100"/>
        <c:baseTimeUnit val="months"/>
      </c:dateAx>
      <c:valAx>
        <c:axId val="61441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UPI QR count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1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2" name="PAYFLOW_Volume_Trend">
          <a:extLst>
            <a:ext uri="{FF2B5EF4-FFF2-40B4-BE49-F238E27FC236}">
              <a16:creationId xmlns:a16="http://schemas.microsoft.com/office/drawing/2014/main" id="{C1EA733B-1A73-4669-A4B2-4996A6F95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10</xdr:col>
      <xdr:colOff>735263</xdr:colOff>
      <xdr:row>29</xdr:row>
      <xdr:rowOff>0</xdr:rowOff>
    </xdr:to>
    <xdr:graphicFrame macro="">
      <xdr:nvGraphicFramePr>
        <xdr:cNvPr id="3" name="PAYFLOW_Value_Trend">
          <a:extLst>
            <a:ext uri="{FF2B5EF4-FFF2-40B4-BE49-F238E27FC236}">
              <a16:creationId xmlns:a16="http://schemas.microsoft.com/office/drawing/2014/main" id="{920E0AE9-6E96-449E-8681-A1FDC4FBA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30</xdr:row>
      <xdr:rowOff>0</xdr:rowOff>
    </xdr:from>
    <xdr:to>
      <xdr:col>10</xdr:col>
      <xdr:colOff>735264</xdr:colOff>
      <xdr:row>47</xdr:row>
      <xdr:rowOff>0</xdr:rowOff>
    </xdr:to>
    <xdr:graphicFrame macro="">
      <xdr:nvGraphicFramePr>
        <xdr:cNvPr id="6" name="PAYFLOW_Latest_Month_Mix">
          <a:extLst>
            <a:ext uri="{FF2B5EF4-FFF2-40B4-BE49-F238E27FC236}">
              <a16:creationId xmlns:a16="http://schemas.microsoft.com/office/drawing/2014/main" id="{F0CF77FE-D98D-465A-B601-96B477C3B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PaymentVolumeByCategory">
          <a:extLst>
            <a:ext uri="{FF2B5EF4-FFF2-40B4-BE49-F238E27FC236}">
              <a16:creationId xmlns:a16="http://schemas.microsoft.com/office/drawing/2014/main" id="{15086E0F-975D-4D2C-A119-CCFE8B0A1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3" name="PaymentValueByCategory">
          <a:extLst>
            <a:ext uri="{FF2B5EF4-FFF2-40B4-BE49-F238E27FC236}">
              <a16:creationId xmlns:a16="http://schemas.microsoft.com/office/drawing/2014/main" id="{A954A484-3616-4C5A-A2A7-D35655499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16</xdr:col>
      <xdr:colOff>0</xdr:colOff>
      <xdr:row>53</xdr:row>
      <xdr:rowOff>0</xdr:rowOff>
    </xdr:to>
    <xdr:graphicFrame macro="">
      <xdr:nvGraphicFramePr>
        <xdr:cNvPr id="4" name="MonthlyVolumeGrowth">
          <a:extLst>
            <a:ext uri="{FF2B5EF4-FFF2-40B4-BE49-F238E27FC236}">
              <a16:creationId xmlns:a16="http://schemas.microsoft.com/office/drawing/2014/main" id="{FCFF6A75-955D-469B-9F44-4512B2809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8</xdr:row>
      <xdr:rowOff>171450</xdr:rowOff>
    </xdr:from>
    <xdr:to>
      <xdr:col>6</xdr:col>
      <xdr:colOff>1089026</xdr:colOff>
      <xdr:row>29</xdr:row>
      <xdr:rowOff>171450</xdr:rowOff>
    </xdr:to>
    <xdr:graphicFrame macro="">
      <xdr:nvGraphicFramePr>
        <xdr:cNvPr id="2" name="ATM_Network_Trend">
          <a:extLst>
            <a:ext uri="{FF2B5EF4-FFF2-40B4-BE49-F238E27FC236}">
              <a16:creationId xmlns:a16="http://schemas.microsoft.com/office/drawing/2014/main" id="{4D09F93A-1BFF-4682-ACDD-01C3F8CF8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1089025</xdr:colOff>
      <xdr:row>8</xdr:row>
      <xdr:rowOff>171450</xdr:rowOff>
    </xdr:from>
    <xdr:to>
      <xdr:col>16</xdr:col>
      <xdr:colOff>0</xdr:colOff>
      <xdr:row>29</xdr:row>
      <xdr:rowOff>171450</xdr:rowOff>
    </xdr:to>
    <xdr:graphicFrame macro="">
      <xdr:nvGraphicFramePr>
        <xdr:cNvPr id="3" name="POS_Terminal_Trend">
          <a:extLst>
            <a:ext uri="{FF2B5EF4-FFF2-40B4-BE49-F238E27FC236}">
              <a16:creationId xmlns:a16="http://schemas.microsoft.com/office/drawing/2014/main" id="{EFBA5993-799B-4942-AA21-D913700B4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16</xdr:col>
      <xdr:colOff>0</xdr:colOff>
      <xdr:row>53</xdr:row>
      <xdr:rowOff>0</xdr:rowOff>
    </xdr:to>
    <xdr:graphicFrame macro="">
      <xdr:nvGraphicFramePr>
        <xdr:cNvPr id="4" name="UPI_QR_Infrastructure_Trend">
          <a:extLst>
            <a:ext uri="{FF2B5EF4-FFF2-40B4-BE49-F238E27FC236}">
              <a16:creationId xmlns:a16="http://schemas.microsoft.com/office/drawing/2014/main" id="{1D8286CB-E100-4439-9C7E-A91F53512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489C9AFE-3541-46BA-8A78-D40EAEE73EB2}" autoFormatId="16" applyNumberFormats="0" applyBorderFormats="0" applyFontFormats="0" applyPatternFormats="0" applyAlignmentFormats="0" applyWidthHeightFormats="0">
  <queryTableRefresh nextId="19">
    <queryTableFields count="18">
      <queryTableField id="1" name="month_date" tableColumnId="1"/>
      <queryTableField id="2" name="month_label" tableColumnId="2"/>
      <queryTableField id="3" name="year" tableColumnId="3"/>
      <queryTableField id="4" name="month" tableColumnId="4"/>
      <queryTableField id="5" name="indicator_code" tableColumnId="5"/>
      <queryTableField id="6" name="indicator_name" tableColumnId="6"/>
      <queryTableField id="7" name="major_section" tableColumnId="7"/>
      <queryTableField id="8" name="sub_section" tableColumnId="8"/>
      <queryTableField id="9" name="infra_category" tableColumnId="9"/>
      <queryTableField id="10" name="hierarchy_level" tableColumnId="10"/>
      <queryTableField id="11" name="count_lakh" tableColumnId="11"/>
      <queryTableField id="12" name="count_actual" tableColumnId="12"/>
      <queryTableField id="13" name="count_source_col" tableColumnId="13"/>
      <queryTableField id="14" name="value_source_col" tableColumnId="14"/>
      <queryTableField id="15" name="raw_count_str" tableColumnId="15"/>
      <queryTableField id="16" name="raw_value_str" tableColumnId="16"/>
      <queryTableField id="17" name="anomaly_flag" tableColumnId="17"/>
      <queryTableField id="18" name="notes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B0C686F-A87F-4000-9BBC-084B7AEBEB58}" autoFormatId="16" applyNumberFormats="0" applyBorderFormats="0" applyFontFormats="0" applyPatternFormats="0" applyAlignmentFormats="0" applyWidthHeightFormats="0">
  <queryTableRefresh nextId="17">
    <queryTableFields count="16">
      <queryTableField id="1" name="column_id" tableColumnId="1"/>
      <queryTableField id="2" name="column_index" tableColumnId="2"/>
      <queryTableField id="3" name="indicator_code" tableColumnId="3"/>
      <queryTableField id="4" name="indicator_name" tableColumnId="4"/>
      <queryTableField id="5" name="indicator_type" tableColumnId="5"/>
      <queryTableField id="6" name="major_section" tableColumnId="6"/>
      <queryTableField id="7" name="sub_section" tableColumnId="7"/>
      <queryTableField id="8" name="channel_group" tableColumnId="8"/>
      <queryTableField id="9" name="hierarchy_level" tableColumnId="9"/>
      <queryTableField id="10" name="metric_type" tableColumnId="10"/>
      <queryTableField id="11" name="unit_of_measurement" tableColumnId="11"/>
      <queryTableField id="12" name="ats_eligible" tableColumnId="12"/>
      <queryTableField id="13" name="footnote_symbols" tableColumnId="13"/>
      <queryTableField id="14" name="source_header_raw" tableColumnId="14"/>
      <queryTableField id="15" name="cleaning_action" tableColumnId="15"/>
      <queryTableField id="16" name="known_anomalies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C10218A-C172-444C-9212-825691F6FB5C}" autoFormatId="16" applyNumberFormats="0" applyBorderFormats="0" applyFontFormats="0" applyPatternFormats="0" applyAlignmentFormats="0" applyWidthHeightFormats="0">
  <queryTableRefresh nextId="13">
    <queryTableFields count="12">
      <queryTableField id="1" name="exception_id" tableColumnId="1"/>
      <queryTableField id="2" name="month_date" tableColumnId="2"/>
      <queryTableField id="3" name="month_label" tableColumnId="3"/>
      <queryTableField id="4" name="source_column" tableColumnId="4"/>
      <queryTableField id="5" name="indicator_code" tableColumnId="5"/>
      <queryTableField id="6" name="indicator_name" tableColumnId="6"/>
      <queryTableField id="7" name="raw_value" tableColumnId="7"/>
      <queryTableField id="8" name="cleaned_value" tableColumnId="8"/>
      <queryTableField id="9" name="exception_category" tableColumnId="9"/>
      <queryTableField id="10" name="severity" tableColumnId="10"/>
      <queryTableField id="11" name="resolution_applied" tableColumnId="11"/>
      <queryTableField id="12" name="audit_justification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136834D-9967-47A7-8832-08A66AA8E7EC}" autoFormatId="16" applyNumberFormats="0" applyBorderFormats="0" applyFontFormats="0" applyPatternFormats="0" applyAlignmentFormats="0" applyWidthHeightFormats="0">
  <queryTableRefresh nextId="20">
    <queryTableFields count="19">
      <queryTableField id="1" name="month_date" tableColumnId="1"/>
      <queryTableField id="2" name="month_label" tableColumnId="2"/>
      <queryTableField id="3" name="year" tableColumnId="3"/>
      <queryTableField id="4" name="month" tableColumnId="4"/>
      <queryTableField id="5" name="indicator_code" tableColumnId="5"/>
      <queryTableField id="6" name="indicator_name" tableColumnId="6"/>
      <queryTableField id="7" name="major_section" tableColumnId="7"/>
      <queryTableField id="8" name="sub_section" tableColumnId="8"/>
      <queryTableField id="9" name="channel_group" tableColumnId="9"/>
      <queryTableField id="10" name="hierarchy_level" tableColumnId="10"/>
      <queryTableField id="11" name="volume_lakh" tableColumnId="11"/>
      <queryTableField id="12" name="value_inr_crore" tableColumnId="12"/>
      <queryTableField id="13" name="avg_ticket_size_inr" tableColumnId="13"/>
      <queryTableField id="14" name="volume_source_col" tableColumnId="14"/>
      <queryTableField id="15" name="value_source_col" tableColumnId="15"/>
      <queryTableField id="16" name="raw_volume_str" tableColumnId="16"/>
      <queryTableField id="17" name="raw_value_str" tableColumnId="17"/>
      <queryTableField id="18" name="data_status" tableColumnId="18"/>
      <queryTableField id="19" name="note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328AD7-14B4-4DEA-831A-B7ABF6106770}" name="infrastructure_indicators" displayName="infrastructure_indicators" ref="A1:R1054" tableType="queryTable" totalsRowShown="0">
  <autoFilter ref="A1:R1054" xr:uid="{70328AD7-14B4-4DEA-831A-B7ABF6106770}"/>
  <tableColumns count="18">
    <tableColumn id="1" xr3:uid="{415E4BCF-42F8-4030-ABDA-1F2914102F17}" uniqueName="1" name="month_date" queryTableFieldId="1" dataDxfId="13"/>
    <tableColumn id="2" xr3:uid="{DA25858C-4416-4BB4-8C07-BBD0E86AA726}" uniqueName="2" name="month_label" queryTableFieldId="2" dataDxfId="12"/>
    <tableColumn id="3" xr3:uid="{381B0DBB-005B-4FD3-8EF4-D80075C4315D}" uniqueName="3" name="year" queryTableFieldId="3"/>
    <tableColumn id="4" xr3:uid="{B6DBD29B-F23E-49A5-8A15-A4BDD2029700}" uniqueName="4" name="month" queryTableFieldId="4"/>
    <tableColumn id="5" xr3:uid="{8D7DFF99-B789-459E-9196-C02A2BA9E304}" uniqueName="5" name="indicator_code" queryTableFieldId="5" dataDxfId="11"/>
    <tableColumn id="6" xr3:uid="{EAC333F3-A01D-4AAD-9B7A-6BE9FC9FCF74}" uniqueName="6" name="indicator_name" queryTableFieldId="6" dataDxfId="10"/>
    <tableColumn id="7" xr3:uid="{8F716CB5-638C-46C7-ABA6-B73ACB80879F}" uniqueName="7" name="major_section" queryTableFieldId="7" dataDxfId="9"/>
    <tableColumn id="8" xr3:uid="{3F7E4F0B-F571-4107-93FA-EB6C5C519D1A}" uniqueName="8" name="sub_section" queryTableFieldId="8" dataDxfId="8"/>
    <tableColumn id="9" xr3:uid="{B32978D7-BC76-4BA5-B20D-D0C6594004FD}" uniqueName="9" name="infra_category" queryTableFieldId="9" dataDxfId="7"/>
    <tableColumn id="10" xr3:uid="{2913692B-67EF-4C81-85D7-4F93A7369803}" uniqueName="10" name="hierarchy_level" queryTableFieldId="10" dataDxfId="6"/>
    <tableColumn id="11" xr3:uid="{E0647C04-7E45-4870-8042-A271806B0B70}" uniqueName="11" name="count_lakh" queryTableFieldId="11"/>
    <tableColumn id="12" xr3:uid="{B5E34F92-E200-48E8-AF7D-A51567BF9688}" uniqueName="12" name="count_actual" queryTableFieldId="12"/>
    <tableColumn id="13" xr3:uid="{11B05ECC-D12A-4494-ABC0-06E27F7429A2}" uniqueName="13" name="count_source_col" queryTableFieldId="13" dataDxfId="5"/>
    <tableColumn id="14" xr3:uid="{3AB7C3A8-C87E-4250-A3D9-DB3CCC600EDB}" uniqueName="14" name="value_source_col" queryTableFieldId="14" dataDxfId="4"/>
    <tableColumn id="15" xr3:uid="{2B840ECC-4360-41E3-B898-EEA4A797A5F2}" uniqueName="15" name="raw_count_str" queryTableFieldId="15" dataDxfId="3"/>
    <tableColumn id="16" xr3:uid="{68724178-CDB5-426F-B7DE-3AFAE194561B}" uniqueName="16" name="raw_value_str" queryTableFieldId="16" dataDxfId="2"/>
    <tableColumn id="17" xr3:uid="{19B2E5F2-9949-44D4-906D-D70D87DD3972}" uniqueName="17" name="anomaly_flag" queryTableFieldId="17" dataDxfId="1"/>
    <tableColumn id="18" xr3:uid="{54B42626-EF10-406A-8137-61F988B68E45}" uniqueName="18" name="notes" queryTableFieldId="1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477CF4-C922-4D48-A9C0-6CBEA5CF20E9}" name="data_dictionary" displayName="data_dictionary" ref="A1:P146" tableType="queryTable" totalsRowShown="0">
  <autoFilter ref="A1:P146" xr:uid="{BD477CF4-C922-4D48-A9C0-6CBEA5CF20E9}"/>
  <tableColumns count="16">
    <tableColumn id="1" xr3:uid="{98A8751E-8993-4181-AC13-01D58CC06234}" uniqueName="1" name="column_id" queryTableFieldId="1" dataDxfId="27"/>
    <tableColumn id="2" xr3:uid="{76BF9010-0724-47AD-857E-3E908F1BE1EA}" uniqueName="2" name="column_index" queryTableFieldId="2"/>
    <tableColumn id="3" xr3:uid="{5FC117DB-4DA6-4789-83E4-20DD4F205FE6}" uniqueName="3" name="indicator_code" queryTableFieldId="3" dataDxfId="26"/>
    <tableColumn id="4" xr3:uid="{84B55CB1-2F2E-4125-B0FF-D34D7CE609A1}" uniqueName="4" name="indicator_name" queryTableFieldId="4" dataDxfId="25"/>
    <tableColumn id="5" xr3:uid="{3377FBED-D248-4E18-8F14-123871AC4BF2}" uniqueName="5" name="indicator_type" queryTableFieldId="5" dataDxfId="24"/>
    <tableColumn id="6" xr3:uid="{DE6E775B-AF87-4812-B66F-3796D9593FF3}" uniqueName="6" name="major_section" queryTableFieldId="6" dataDxfId="23"/>
    <tableColumn id="7" xr3:uid="{F88E99DB-25F4-4CFD-B5B6-E0C0499505AB}" uniqueName="7" name="sub_section" queryTableFieldId="7" dataDxfId="22"/>
    <tableColumn id="8" xr3:uid="{977A7CF4-C67D-4462-8597-682DB5DA6719}" uniqueName="8" name="channel_group" queryTableFieldId="8" dataDxfId="21"/>
    <tableColumn id="9" xr3:uid="{72FA2E95-6E4D-4420-8AB7-202F2ED0E2E5}" uniqueName="9" name="hierarchy_level" queryTableFieldId="9" dataDxfId="20"/>
    <tableColumn id="10" xr3:uid="{6CD3D7CB-883F-40A1-9011-DA8A84457098}" uniqueName="10" name="metric_type" queryTableFieldId="10" dataDxfId="19"/>
    <tableColumn id="11" xr3:uid="{5CCEC49B-C36C-4B41-8F78-A0FA4D786836}" uniqueName="11" name="unit_of_measurement" queryTableFieldId="11" dataDxfId="18"/>
    <tableColumn id="12" xr3:uid="{709F787E-84E4-4281-B8DB-CF743EA7B10F}" uniqueName="12" name="ats_eligible" queryTableFieldId="12"/>
    <tableColumn id="13" xr3:uid="{E270AB76-FBB3-40A2-B6BB-DBFD74387805}" uniqueName="13" name="footnote_symbols" queryTableFieldId="13" dataDxfId="17"/>
    <tableColumn id="14" xr3:uid="{623B147F-9865-45A4-A3D7-B3848B5E9180}" uniqueName="14" name="source_header_raw" queryTableFieldId="14" dataDxfId="16"/>
    <tableColumn id="15" xr3:uid="{F38B6355-A1D8-48F4-B557-28E7EDFF4908}" uniqueName="15" name="cleaning_action" queryTableFieldId="15" dataDxfId="15"/>
    <tableColumn id="16" xr3:uid="{4C9986A2-0CE0-405D-AFC4-5A8061E40F47}" uniqueName="16" name="known_anomalies" queryTableFieldId="16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350F5D-78CC-48BB-A57A-00656F632DF5}" name="cleaning_exceptions" displayName="cleaning_exceptions" ref="A1:L37" tableType="queryTable" totalsRowShown="0">
  <autoFilter ref="A1:L37" xr:uid="{6D350F5D-78CC-48BB-A57A-00656F632DF5}"/>
  <tableColumns count="12">
    <tableColumn id="1" xr3:uid="{A21A5D43-DF88-40C5-B082-2AADE38941D4}" uniqueName="1" name="exception_id" queryTableFieldId="1" dataDxfId="38"/>
    <tableColumn id="2" xr3:uid="{792CF4B4-D129-4A30-BC26-EC22667D7537}" uniqueName="2" name="month_date" queryTableFieldId="2" dataDxfId="37"/>
    <tableColumn id="3" xr3:uid="{8F093C77-089D-403B-A03C-ED6E7289BD09}" uniqueName="3" name="month_label" queryTableFieldId="3" dataDxfId="36"/>
    <tableColumn id="4" xr3:uid="{B22A5218-14AB-4277-97EA-F45753FBC077}" uniqueName="4" name="source_column" queryTableFieldId="4" dataDxfId="35"/>
    <tableColumn id="5" xr3:uid="{86C92CBE-9AF2-489B-9E55-3A1963755820}" uniqueName="5" name="indicator_code" queryTableFieldId="5" dataDxfId="34"/>
    <tableColumn id="6" xr3:uid="{D0BBE6DC-238C-4DBE-9481-7FC8EF3B8C9C}" uniqueName="6" name="indicator_name" queryTableFieldId="6" dataDxfId="33"/>
    <tableColumn id="7" xr3:uid="{239219FD-185C-4484-9674-86F92E512479}" uniqueName="7" name="raw_value" queryTableFieldId="7" dataDxfId="32"/>
    <tableColumn id="8" xr3:uid="{0E790F9C-A93A-4DC0-8AB4-49CB0370E51B}" uniqueName="8" name="cleaned_value" queryTableFieldId="8"/>
    <tableColumn id="9" xr3:uid="{A57F75F6-E4F7-4AD3-85C5-EC3CB43077E2}" uniqueName="9" name="exception_category" queryTableFieldId="9" dataDxfId="31"/>
    <tableColumn id="10" xr3:uid="{76CAD1CB-09E3-497B-8D9D-EB68FCA15273}" uniqueName="10" name="severity" queryTableFieldId="10" dataDxfId="30"/>
    <tableColumn id="11" xr3:uid="{A8F44267-3900-4423-B40E-B463D6E438BE}" uniqueName="11" name="resolution_applied" queryTableFieldId="11" dataDxfId="29"/>
    <tableColumn id="12" xr3:uid="{8C6921F9-01F8-4453-8BF7-C2C343C95E2C}" uniqueName="12" name="audit_justification" queryTableFieldId="12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42611-83FB-4F0A-9E64-2226FBA76481}" name="transaction_indicators" displayName="transaction_indicators" ref="A1:S4618" tableType="queryTable" totalsRowShown="0">
  <autoFilter ref="A1:S4618" xr:uid="{E6B42611-83FB-4F0A-9E64-2226FBA76481}"/>
  <tableColumns count="19">
    <tableColumn id="1" xr3:uid="{1FDB940F-9819-4639-B7AE-180C9E12DE5E}" uniqueName="1" name="month_date" queryTableFieldId="1" dataDxfId="52"/>
    <tableColumn id="2" xr3:uid="{981A2287-F9DB-44CC-A255-E371877FC301}" uniqueName="2" name="month_label" queryTableFieldId="2" dataDxfId="51"/>
    <tableColumn id="3" xr3:uid="{60A9968B-46A3-44D5-8CCA-081CADAAFF4D}" uniqueName="3" name="year" queryTableFieldId="3"/>
    <tableColumn id="4" xr3:uid="{87B452B5-3D9B-4E66-AA48-186125A08A1C}" uniqueName="4" name="month" queryTableFieldId="4"/>
    <tableColumn id="5" xr3:uid="{1DEFCC04-6927-4E74-B946-A77EB0475421}" uniqueName="5" name="indicator_code" queryTableFieldId="5" dataDxfId="50"/>
    <tableColumn id="6" xr3:uid="{055277AE-5855-4998-9FB4-F927E3921793}" uniqueName="6" name="indicator_name" queryTableFieldId="6" dataDxfId="49"/>
    <tableColumn id="7" xr3:uid="{56D0B557-915C-4A11-971F-5BAA6A3FB651}" uniqueName="7" name="major_section" queryTableFieldId="7" dataDxfId="48"/>
    <tableColumn id="8" xr3:uid="{15BC356C-4710-41BC-9665-7EF382267171}" uniqueName="8" name="sub_section" queryTableFieldId="8" dataDxfId="47"/>
    <tableColumn id="9" xr3:uid="{4E85AEC8-2F9D-41FF-A3F3-DE392011572D}" uniqueName="9" name="channel_group" queryTableFieldId="9" dataDxfId="46"/>
    <tableColumn id="10" xr3:uid="{0E40D1E8-F85D-4F01-9A39-F49ED86A2653}" uniqueName="10" name="hierarchy_level" queryTableFieldId="10" dataDxfId="45"/>
    <tableColumn id="11" xr3:uid="{617CAAB4-2CE5-4A25-8B9B-8C021F1D5927}" uniqueName="11" name="volume_lakh" queryTableFieldId="11"/>
    <tableColumn id="12" xr3:uid="{D1B612F0-C1C2-425D-851F-D5002A6B9C08}" uniqueName="12" name="value_inr_crore" queryTableFieldId="12"/>
    <tableColumn id="13" xr3:uid="{3A103616-6F27-4B2E-9D45-957DDB3C7DB2}" uniqueName="13" name="avg_ticket_size_inr" queryTableFieldId="13"/>
    <tableColumn id="14" xr3:uid="{997919BF-ED9D-4C81-99B5-0809C98C4474}" uniqueName="14" name="volume_source_col" queryTableFieldId="14" dataDxfId="44"/>
    <tableColumn id="15" xr3:uid="{EE9C81A5-BD0A-414F-9425-9A1A7B48CF89}" uniqueName="15" name="value_source_col" queryTableFieldId="15" dataDxfId="43"/>
    <tableColumn id="16" xr3:uid="{F3E80B7C-3ACD-43AB-A343-FFBCC098F040}" uniqueName="16" name="raw_volume_str" queryTableFieldId="16" dataDxfId="42"/>
    <tableColumn id="17" xr3:uid="{F49765FB-F4FA-4A4A-9DA8-4A044C0110F1}" uniqueName="17" name="raw_value_str" queryTableFieldId="17" dataDxfId="41"/>
    <tableColumn id="18" xr3:uid="{E4D4D260-6CD7-438D-A0EA-52B7D364D7BA}" uniqueName="18" name="data_status" queryTableFieldId="18" dataDxfId="40"/>
    <tableColumn id="19" xr3:uid="{3B8F0BAF-D3D1-44ED-9DB2-A8F2AFDF0974}" uniqueName="19" name="notes" queryTableFieldId="19" dataDxf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579E0E-9B9D-40D5-AC97-93A900B64781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721619c0-5242-4f22-9990-00c9cfc137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142F-B8BD-434A-8F66-8A4FFBA2640D}">
  <dimension ref="A1:R1054"/>
  <sheetViews>
    <sheetView workbookViewId="0"/>
  </sheetViews>
  <sheetFormatPr defaultRowHeight="14.5"/>
  <cols>
    <col min="1" max="1" width="13.54296875" bestFit="1" customWidth="1"/>
    <col min="2" max="2" width="13.7265625" bestFit="1" customWidth="1"/>
    <col min="3" max="3" width="6.7265625" bestFit="1" customWidth="1"/>
    <col min="5" max="5" width="27.08984375" bestFit="1" customWidth="1"/>
    <col min="6" max="6" width="27.1796875" bestFit="1" customWidth="1"/>
    <col min="7" max="7" width="27.6328125" bestFit="1" customWidth="1"/>
    <col min="8" max="8" width="13.08984375" bestFit="1" customWidth="1"/>
    <col min="9" max="9" width="28.26953125" bestFit="1" customWidth="1"/>
    <col min="10" max="10" width="15.81640625" bestFit="1" customWidth="1"/>
    <col min="11" max="11" width="12.453125" bestFit="1" customWidth="1"/>
    <col min="12" max="12" width="14" bestFit="1" customWidth="1"/>
    <col min="13" max="13" width="17.90625" bestFit="1" customWidth="1"/>
    <col min="14" max="14" width="17.54296875" bestFit="1" customWidth="1"/>
    <col min="15" max="15" width="15.453125" bestFit="1" customWidth="1"/>
    <col min="16" max="16" width="15" bestFit="1" customWidth="1"/>
    <col min="17" max="17" width="27.453125" bestFit="1" customWidth="1"/>
    <col min="18" max="18" width="79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8437</v>
      </c>
      <c r="J1" t="s">
        <v>9</v>
      </c>
      <c r="K1" t="s">
        <v>8438</v>
      </c>
      <c r="L1" t="s">
        <v>8439</v>
      </c>
      <c r="M1" t="s">
        <v>8440</v>
      </c>
      <c r="N1" t="s">
        <v>14</v>
      </c>
      <c r="O1" t="s">
        <v>8441</v>
      </c>
      <c r="P1" t="s">
        <v>16</v>
      </c>
      <c r="Q1" t="s">
        <v>8442</v>
      </c>
      <c r="R1" t="s">
        <v>18</v>
      </c>
    </row>
    <row r="2" spans="1:18">
      <c r="A2" s="1">
        <v>43770</v>
      </c>
      <c r="B2" s="1">
        <v>43770</v>
      </c>
      <c r="C2">
        <v>2019</v>
      </c>
      <c r="D2">
        <v>11</v>
      </c>
      <c r="E2" s="2" t="s">
        <v>8443</v>
      </c>
      <c r="F2" s="2" t="s">
        <v>8444</v>
      </c>
      <c r="G2" s="2" t="s">
        <v>8335</v>
      </c>
      <c r="H2" s="2" t="s">
        <v>22</v>
      </c>
      <c r="I2" s="2" t="s">
        <v>8387</v>
      </c>
      <c r="J2" s="2" t="s">
        <v>24</v>
      </c>
      <c r="K2">
        <v>2.1</v>
      </c>
      <c r="L2">
        <v>210000</v>
      </c>
      <c r="M2" s="2" t="s">
        <v>8392</v>
      </c>
      <c r="N2" s="2" t="s">
        <v>8396</v>
      </c>
      <c r="O2" s="2" t="s">
        <v>4756</v>
      </c>
      <c r="P2" s="2" t="s">
        <v>175</v>
      </c>
      <c r="Q2" s="2" t="s">
        <v>8445</v>
      </c>
      <c r="R2" s="2" t="s">
        <v>30</v>
      </c>
    </row>
    <row r="3" spans="1:18">
      <c r="A3" s="1">
        <v>43770</v>
      </c>
      <c r="B3" s="1">
        <v>43770</v>
      </c>
      <c r="C3">
        <v>2019</v>
      </c>
      <c r="D3">
        <v>11</v>
      </c>
      <c r="E3" s="2" t="s">
        <v>8446</v>
      </c>
      <c r="F3" s="2" t="s">
        <v>8447</v>
      </c>
      <c r="G3" s="2" t="s">
        <v>8335</v>
      </c>
      <c r="H3" s="2" t="s">
        <v>22</v>
      </c>
      <c r="I3" s="2" t="s">
        <v>8387</v>
      </c>
      <c r="J3" s="2" t="s">
        <v>59</v>
      </c>
      <c r="K3">
        <v>2.3199999999999998</v>
      </c>
      <c r="L3">
        <v>232000</v>
      </c>
      <c r="M3" s="2" t="s">
        <v>8384</v>
      </c>
      <c r="N3" s="2" t="s">
        <v>8389</v>
      </c>
      <c r="O3" s="2" t="s">
        <v>1750</v>
      </c>
      <c r="P3" s="2" t="s">
        <v>175</v>
      </c>
      <c r="Q3" s="2" t="s">
        <v>8445</v>
      </c>
      <c r="R3" s="2" t="s">
        <v>30</v>
      </c>
    </row>
    <row r="4" spans="1:18">
      <c r="A4" s="1">
        <v>43770</v>
      </c>
      <c r="B4" s="1">
        <v>43770</v>
      </c>
      <c r="C4">
        <v>2019</v>
      </c>
      <c r="D4">
        <v>11</v>
      </c>
      <c r="E4" s="2" t="s">
        <v>8448</v>
      </c>
      <c r="F4" s="2" t="s">
        <v>8449</v>
      </c>
      <c r="G4" s="2" t="s">
        <v>8335</v>
      </c>
      <c r="H4" s="2" t="s">
        <v>22</v>
      </c>
      <c r="I4" s="2" t="s">
        <v>8387</v>
      </c>
      <c r="J4" s="2" t="s">
        <v>24</v>
      </c>
      <c r="K4">
        <v>0.22</v>
      </c>
      <c r="L4">
        <v>22000</v>
      </c>
      <c r="M4" s="2" t="s">
        <v>8399</v>
      </c>
      <c r="N4" s="2" t="s">
        <v>8403</v>
      </c>
      <c r="O4" s="2" t="s">
        <v>514</v>
      </c>
      <c r="P4" s="2" t="s">
        <v>175</v>
      </c>
      <c r="Q4" s="2" t="s">
        <v>8445</v>
      </c>
      <c r="R4" s="2" t="s">
        <v>30</v>
      </c>
    </row>
    <row r="5" spans="1:18">
      <c r="A5" s="1">
        <v>43770</v>
      </c>
      <c r="B5" s="1">
        <v>43770</v>
      </c>
      <c r="C5">
        <v>2019</v>
      </c>
      <c r="D5">
        <v>11</v>
      </c>
      <c r="E5" s="2" t="s">
        <v>8450</v>
      </c>
      <c r="F5" s="2" t="s">
        <v>8451</v>
      </c>
      <c r="G5" s="2" t="s">
        <v>8335</v>
      </c>
      <c r="H5" s="2" t="s">
        <v>22</v>
      </c>
      <c r="I5" s="2" t="s">
        <v>8417</v>
      </c>
      <c r="J5" s="2" t="s">
        <v>24</v>
      </c>
      <c r="K5">
        <v>15.94</v>
      </c>
      <c r="L5">
        <v>1594000</v>
      </c>
      <c r="M5" s="2" t="s">
        <v>8422</v>
      </c>
      <c r="N5" s="2" t="s">
        <v>8426</v>
      </c>
      <c r="O5" s="2" t="s">
        <v>8452</v>
      </c>
      <c r="P5" s="2" t="s">
        <v>175</v>
      </c>
      <c r="Q5" s="2" t="s">
        <v>8445</v>
      </c>
      <c r="R5" s="2" t="s">
        <v>30</v>
      </c>
    </row>
    <row r="6" spans="1:18">
      <c r="A6" s="1">
        <v>43770</v>
      </c>
      <c r="B6" s="1">
        <v>43770</v>
      </c>
      <c r="C6">
        <v>2019</v>
      </c>
      <c r="D6">
        <v>11</v>
      </c>
      <c r="E6" s="2" t="s">
        <v>8453</v>
      </c>
      <c r="F6" s="2" t="s">
        <v>8454</v>
      </c>
      <c r="G6" s="2" t="s">
        <v>8335</v>
      </c>
      <c r="H6" s="2" t="s">
        <v>22</v>
      </c>
      <c r="I6" s="2" t="s">
        <v>8336</v>
      </c>
      <c r="J6" s="2" t="s">
        <v>24</v>
      </c>
      <c r="K6">
        <v>544.11</v>
      </c>
      <c r="L6">
        <v>54411000</v>
      </c>
      <c r="M6" s="2" t="s">
        <v>8348</v>
      </c>
      <c r="N6" s="2" t="s">
        <v>8352</v>
      </c>
      <c r="O6" s="2" t="s">
        <v>8455</v>
      </c>
      <c r="P6" s="2" t="s">
        <v>175</v>
      </c>
      <c r="Q6" s="2" t="s">
        <v>8445</v>
      </c>
      <c r="R6" s="2" t="s">
        <v>30</v>
      </c>
    </row>
    <row r="7" spans="1:18">
      <c r="A7" s="1">
        <v>43770</v>
      </c>
      <c r="B7" s="1">
        <v>43770</v>
      </c>
      <c r="C7">
        <v>2019</v>
      </c>
      <c r="D7">
        <v>11</v>
      </c>
      <c r="E7" s="2" t="s">
        <v>8456</v>
      </c>
      <c r="F7" s="2" t="s">
        <v>8457</v>
      </c>
      <c r="G7" s="2" t="s">
        <v>8335</v>
      </c>
      <c r="H7" s="2" t="s">
        <v>22</v>
      </c>
      <c r="I7" s="2" t="s">
        <v>8336</v>
      </c>
      <c r="J7" s="2" t="s">
        <v>24</v>
      </c>
      <c r="K7">
        <v>8307.59</v>
      </c>
      <c r="L7">
        <v>830759000</v>
      </c>
      <c r="M7" s="2" t="s">
        <v>8355</v>
      </c>
      <c r="N7" s="2" t="s">
        <v>8359</v>
      </c>
      <c r="O7" s="2" t="s">
        <v>8458</v>
      </c>
      <c r="P7" s="2" t="s">
        <v>175</v>
      </c>
      <c r="Q7" s="2" t="s">
        <v>8445</v>
      </c>
      <c r="R7" s="2" t="s">
        <v>30</v>
      </c>
    </row>
    <row r="8" spans="1:18">
      <c r="A8" s="1">
        <v>43770</v>
      </c>
      <c r="B8" s="1">
        <v>43770</v>
      </c>
      <c r="C8">
        <v>2019</v>
      </c>
      <c r="D8">
        <v>11</v>
      </c>
      <c r="E8" s="2" t="s">
        <v>8459</v>
      </c>
      <c r="F8" s="2" t="s">
        <v>8460</v>
      </c>
      <c r="G8" s="2" t="s">
        <v>8335</v>
      </c>
      <c r="H8" s="2" t="s">
        <v>22</v>
      </c>
      <c r="I8" s="2" t="s">
        <v>8336</v>
      </c>
      <c r="J8" s="2" t="s">
        <v>59</v>
      </c>
      <c r="K8">
        <v>8851.69</v>
      </c>
      <c r="L8">
        <v>885169000</v>
      </c>
      <c r="M8" s="2" t="s">
        <v>8331</v>
      </c>
      <c r="N8" s="2" t="s">
        <v>8341</v>
      </c>
      <c r="O8" s="2" t="s">
        <v>8461</v>
      </c>
      <c r="P8" s="2" t="s">
        <v>175</v>
      </c>
      <c r="Q8" s="2" t="s">
        <v>8445</v>
      </c>
      <c r="R8" s="2" t="s">
        <v>30</v>
      </c>
    </row>
    <row r="9" spans="1:18">
      <c r="A9" s="1">
        <v>43770</v>
      </c>
      <c r="B9" s="1">
        <v>43770</v>
      </c>
      <c r="C9">
        <v>2019</v>
      </c>
      <c r="D9">
        <v>11</v>
      </c>
      <c r="E9" s="2" t="s">
        <v>8462</v>
      </c>
      <c r="F9" s="2" t="s">
        <v>8463</v>
      </c>
      <c r="G9" s="2" t="s">
        <v>8335</v>
      </c>
      <c r="H9" s="2" t="s">
        <v>22</v>
      </c>
      <c r="I9" s="2" t="s">
        <v>8409</v>
      </c>
      <c r="J9" s="2" t="s">
        <v>24</v>
      </c>
      <c r="K9">
        <v>3.74</v>
      </c>
      <c r="L9">
        <v>374000</v>
      </c>
      <c r="M9" s="2" t="s">
        <v>8406</v>
      </c>
      <c r="N9" s="2" t="s">
        <v>8411</v>
      </c>
      <c r="O9" s="2" t="s">
        <v>5127</v>
      </c>
      <c r="P9" s="2" t="s">
        <v>175</v>
      </c>
      <c r="Q9" s="2" t="s">
        <v>8445</v>
      </c>
      <c r="R9" s="2" t="s">
        <v>30</v>
      </c>
    </row>
    <row r="10" spans="1:18">
      <c r="A10" s="1">
        <v>43770</v>
      </c>
      <c r="B10" s="1">
        <v>43770</v>
      </c>
      <c r="C10">
        <v>2019</v>
      </c>
      <c r="D10">
        <v>11</v>
      </c>
      <c r="E10" s="2" t="s">
        <v>8464</v>
      </c>
      <c r="F10" s="2" t="s">
        <v>8465</v>
      </c>
      <c r="G10" s="2" t="s">
        <v>8335</v>
      </c>
      <c r="H10" s="2" t="s">
        <v>22</v>
      </c>
      <c r="I10" s="2" t="s">
        <v>8417</v>
      </c>
      <c r="J10" s="2" t="s">
        <v>24</v>
      </c>
      <c r="K10">
        <v>41.28</v>
      </c>
      <c r="L10">
        <v>4128000</v>
      </c>
      <c r="M10" s="2" t="s">
        <v>8414</v>
      </c>
      <c r="N10" s="2" t="s">
        <v>8419</v>
      </c>
      <c r="O10" s="2" t="s">
        <v>8466</v>
      </c>
      <c r="P10" s="2" t="s">
        <v>175</v>
      </c>
      <c r="Q10" s="2" t="s">
        <v>8445</v>
      </c>
      <c r="R10" s="2" t="s">
        <v>30</v>
      </c>
    </row>
    <row r="11" spans="1:18">
      <c r="A11" s="1">
        <v>43770</v>
      </c>
      <c r="B11" s="1">
        <v>43770</v>
      </c>
      <c r="C11">
        <v>2019</v>
      </c>
      <c r="D11">
        <v>11</v>
      </c>
      <c r="E11" s="2" t="s">
        <v>8467</v>
      </c>
      <c r="F11" s="2" t="s">
        <v>8468</v>
      </c>
      <c r="G11" s="2" t="s">
        <v>8335</v>
      </c>
      <c r="H11" s="2" t="s">
        <v>22</v>
      </c>
      <c r="I11" s="2" t="s">
        <v>8365</v>
      </c>
      <c r="J11" s="2" t="s">
        <v>24</v>
      </c>
      <c r="K11">
        <v>1019.33</v>
      </c>
      <c r="L11">
        <v>101933000</v>
      </c>
      <c r="M11" s="2" t="s">
        <v>8377</v>
      </c>
      <c r="N11" s="2" t="s">
        <v>8381</v>
      </c>
      <c r="O11" s="2" t="s">
        <v>8469</v>
      </c>
      <c r="P11" s="2" t="s">
        <v>175</v>
      </c>
      <c r="Q11" s="2" t="s">
        <v>8445</v>
      </c>
      <c r="R11" s="2" t="s">
        <v>30</v>
      </c>
    </row>
    <row r="12" spans="1:18">
      <c r="A12" s="1">
        <v>43770</v>
      </c>
      <c r="B12" s="1">
        <v>43770</v>
      </c>
      <c r="C12">
        <v>2019</v>
      </c>
      <c r="D12">
        <v>11</v>
      </c>
      <c r="E12" s="2" t="s">
        <v>8470</v>
      </c>
      <c r="F12" s="2" t="s">
        <v>8471</v>
      </c>
      <c r="G12" s="2" t="s">
        <v>8335</v>
      </c>
      <c r="H12" s="2" t="s">
        <v>22</v>
      </c>
      <c r="I12" s="2" t="s">
        <v>8365</v>
      </c>
      <c r="J12" s="2" t="s">
        <v>59</v>
      </c>
      <c r="K12">
        <v>17263.2</v>
      </c>
      <c r="L12">
        <v>1726320000</v>
      </c>
      <c r="M12" s="2" t="s">
        <v>8362</v>
      </c>
      <c r="N12" s="2" t="s">
        <v>8367</v>
      </c>
      <c r="O12" s="2" t="s">
        <v>8472</v>
      </c>
      <c r="P12" s="2" t="s">
        <v>175</v>
      </c>
      <c r="Q12" s="2" t="s">
        <v>8445</v>
      </c>
      <c r="R12" s="2" t="s">
        <v>30</v>
      </c>
    </row>
    <row r="13" spans="1:18">
      <c r="A13" s="1">
        <v>43770</v>
      </c>
      <c r="B13" s="1">
        <v>43770</v>
      </c>
      <c r="C13">
        <v>2019</v>
      </c>
      <c r="D13">
        <v>11</v>
      </c>
      <c r="E13" s="2" t="s">
        <v>8473</v>
      </c>
      <c r="F13" s="2" t="s">
        <v>8474</v>
      </c>
      <c r="G13" s="2" t="s">
        <v>8335</v>
      </c>
      <c r="H13" s="2" t="s">
        <v>22</v>
      </c>
      <c r="I13" s="2" t="s">
        <v>8365</v>
      </c>
      <c r="J13" s="2" t="s">
        <v>24</v>
      </c>
      <c r="K13">
        <v>16243.87</v>
      </c>
      <c r="L13">
        <v>1624387000</v>
      </c>
      <c r="M13" s="2" t="s">
        <v>8370</v>
      </c>
      <c r="N13" s="2" t="s">
        <v>8374</v>
      </c>
      <c r="O13" s="2" t="s">
        <v>8475</v>
      </c>
      <c r="P13" s="2" t="s">
        <v>175</v>
      </c>
      <c r="Q13" s="2" t="s">
        <v>8445</v>
      </c>
      <c r="R13" s="2" t="s">
        <v>30</v>
      </c>
    </row>
    <row r="14" spans="1:18">
      <c r="A14" s="1">
        <v>43770</v>
      </c>
      <c r="B14" s="1">
        <v>43770</v>
      </c>
      <c r="C14">
        <v>2019</v>
      </c>
      <c r="D14">
        <v>11</v>
      </c>
      <c r="E14" s="2" t="s">
        <v>7890</v>
      </c>
      <c r="F14" s="2" t="s">
        <v>7891</v>
      </c>
      <c r="G14" s="2" t="s">
        <v>8335</v>
      </c>
      <c r="H14" s="2" t="s">
        <v>22</v>
      </c>
      <c r="I14" s="2" t="s">
        <v>8417</v>
      </c>
      <c r="J14" s="2" t="s">
        <v>24</v>
      </c>
      <c r="M14" s="2" t="s">
        <v>7889</v>
      </c>
      <c r="N14" s="2" t="s">
        <v>7911</v>
      </c>
      <c r="O14" s="2" t="s">
        <v>175</v>
      </c>
      <c r="P14" s="2" t="s">
        <v>175</v>
      </c>
      <c r="Q14" s="2" t="s">
        <v>8476</v>
      </c>
      <c r="R14" s="2" t="s">
        <v>8477</v>
      </c>
    </row>
    <row r="15" spans="1:18">
      <c r="A15" s="1">
        <v>43800</v>
      </c>
      <c r="B15" s="1">
        <v>43800</v>
      </c>
      <c r="C15">
        <v>2019</v>
      </c>
      <c r="D15">
        <v>12</v>
      </c>
      <c r="E15" s="2" t="s">
        <v>8443</v>
      </c>
      <c r="F15" s="2" t="s">
        <v>8444</v>
      </c>
      <c r="G15" s="2" t="s">
        <v>8335</v>
      </c>
      <c r="H15" s="2" t="s">
        <v>22</v>
      </c>
      <c r="I15" s="2" t="s">
        <v>8387</v>
      </c>
      <c r="J15" s="2" t="s">
        <v>24</v>
      </c>
      <c r="K15">
        <v>2.1</v>
      </c>
      <c r="L15">
        <v>210000</v>
      </c>
      <c r="M15" s="2" t="s">
        <v>8392</v>
      </c>
      <c r="N15" s="2" t="s">
        <v>8396</v>
      </c>
      <c r="O15" s="2" t="s">
        <v>4756</v>
      </c>
      <c r="P15" s="2" t="s">
        <v>175</v>
      </c>
      <c r="Q15" s="2" t="s">
        <v>8445</v>
      </c>
      <c r="R15" s="2" t="s">
        <v>30</v>
      </c>
    </row>
    <row r="16" spans="1:18">
      <c r="A16" s="1">
        <v>43800</v>
      </c>
      <c r="B16" s="1">
        <v>43800</v>
      </c>
      <c r="C16">
        <v>2019</v>
      </c>
      <c r="D16">
        <v>12</v>
      </c>
      <c r="E16" s="2" t="s">
        <v>8446</v>
      </c>
      <c r="F16" s="2" t="s">
        <v>8447</v>
      </c>
      <c r="G16" s="2" t="s">
        <v>8335</v>
      </c>
      <c r="H16" s="2" t="s">
        <v>22</v>
      </c>
      <c r="I16" s="2" t="s">
        <v>8387</v>
      </c>
      <c r="J16" s="2" t="s">
        <v>59</v>
      </c>
      <c r="K16">
        <v>2.3199999999999998</v>
      </c>
      <c r="L16">
        <v>232000</v>
      </c>
      <c r="M16" s="2" t="s">
        <v>8384</v>
      </c>
      <c r="N16" s="2" t="s">
        <v>8389</v>
      </c>
      <c r="O16" s="2" t="s">
        <v>1750</v>
      </c>
      <c r="P16" s="2" t="s">
        <v>175</v>
      </c>
      <c r="Q16" s="2" t="s">
        <v>8445</v>
      </c>
      <c r="R16" s="2" t="s">
        <v>30</v>
      </c>
    </row>
    <row r="17" spans="1:18">
      <c r="A17" s="1">
        <v>43800</v>
      </c>
      <c r="B17" s="1">
        <v>43800</v>
      </c>
      <c r="C17">
        <v>2019</v>
      </c>
      <c r="D17">
        <v>12</v>
      </c>
      <c r="E17" s="2" t="s">
        <v>8448</v>
      </c>
      <c r="F17" s="2" t="s">
        <v>8449</v>
      </c>
      <c r="G17" s="2" t="s">
        <v>8335</v>
      </c>
      <c r="H17" s="2" t="s">
        <v>22</v>
      </c>
      <c r="I17" s="2" t="s">
        <v>8387</v>
      </c>
      <c r="J17" s="2" t="s">
        <v>24</v>
      </c>
      <c r="K17">
        <v>0.22</v>
      </c>
      <c r="L17">
        <v>22000</v>
      </c>
      <c r="M17" s="2" t="s">
        <v>8399</v>
      </c>
      <c r="N17" s="2" t="s">
        <v>8403</v>
      </c>
      <c r="O17" s="2" t="s">
        <v>514</v>
      </c>
      <c r="P17" s="2" t="s">
        <v>175</v>
      </c>
      <c r="Q17" s="2" t="s">
        <v>8445</v>
      </c>
      <c r="R17" s="2" t="s">
        <v>30</v>
      </c>
    </row>
    <row r="18" spans="1:18">
      <c r="A18" s="1">
        <v>43800</v>
      </c>
      <c r="B18" s="1">
        <v>43800</v>
      </c>
      <c r="C18">
        <v>2019</v>
      </c>
      <c r="D18">
        <v>12</v>
      </c>
      <c r="E18" s="2" t="s">
        <v>8450</v>
      </c>
      <c r="F18" s="2" t="s">
        <v>8451</v>
      </c>
      <c r="G18" s="2" t="s">
        <v>8335</v>
      </c>
      <c r="H18" s="2" t="s">
        <v>22</v>
      </c>
      <c r="I18" s="2" t="s">
        <v>8417</v>
      </c>
      <c r="J18" s="2" t="s">
        <v>24</v>
      </c>
      <c r="K18">
        <v>17.13</v>
      </c>
      <c r="L18">
        <v>1713000</v>
      </c>
      <c r="M18" s="2" t="s">
        <v>8422</v>
      </c>
      <c r="N18" s="2" t="s">
        <v>8426</v>
      </c>
      <c r="O18" s="2" t="s">
        <v>8478</v>
      </c>
      <c r="P18" s="2" t="s">
        <v>175</v>
      </c>
      <c r="Q18" s="2" t="s">
        <v>8445</v>
      </c>
      <c r="R18" s="2" t="s">
        <v>30</v>
      </c>
    </row>
    <row r="19" spans="1:18">
      <c r="A19" s="1">
        <v>43800</v>
      </c>
      <c r="B19" s="1">
        <v>43800</v>
      </c>
      <c r="C19">
        <v>2019</v>
      </c>
      <c r="D19">
        <v>12</v>
      </c>
      <c r="E19" s="2" t="s">
        <v>8453</v>
      </c>
      <c r="F19" s="2" t="s">
        <v>8454</v>
      </c>
      <c r="G19" s="2" t="s">
        <v>8335</v>
      </c>
      <c r="H19" s="2" t="s">
        <v>22</v>
      </c>
      <c r="I19" s="2" t="s">
        <v>8336</v>
      </c>
      <c r="J19" s="2" t="s">
        <v>24</v>
      </c>
      <c r="K19">
        <v>553.33000000000004</v>
      </c>
      <c r="L19">
        <v>55333000</v>
      </c>
      <c r="M19" s="2" t="s">
        <v>8348</v>
      </c>
      <c r="N19" s="2" t="s">
        <v>8352</v>
      </c>
      <c r="O19" s="2" t="s">
        <v>8479</v>
      </c>
      <c r="P19" s="2" t="s">
        <v>175</v>
      </c>
      <c r="Q19" s="2" t="s">
        <v>8445</v>
      </c>
      <c r="R19" s="2" t="s">
        <v>30</v>
      </c>
    </row>
    <row r="20" spans="1:18">
      <c r="A20" s="1">
        <v>43800</v>
      </c>
      <c r="B20" s="1">
        <v>43800</v>
      </c>
      <c r="C20">
        <v>2019</v>
      </c>
      <c r="D20">
        <v>12</v>
      </c>
      <c r="E20" s="2" t="s">
        <v>8456</v>
      </c>
      <c r="F20" s="2" t="s">
        <v>8457</v>
      </c>
      <c r="G20" s="2" t="s">
        <v>8335</v>
      </c>
      <c r="H20" s="2" t="s">
        <v>22</v>
      </c>
      <c r="I20" s="2" t="s">
        <v>8336</v>
      </c>
      <c r="J20" s="2" t="s">
        <v>24</v>
      </c>
      <c r="K20">
        <v>8053.24</v>
      </c>
      <c r="L20">
        <v>805324000</v>
      </c>
      <c r="M20" s="2" t="s">
        <v>8355</v>
      </c>
      <c r="N20" s="2" t="s">
        <v>8359</v>
      </c>
      <c r="O20" s="2" t="s">
        <v>8480</v>
      </c>
      <c r="P20" s="2" t="s">
        <v>175</v>
      </c>
      <c r="Q20" s="2" t="s">
        <v>8445</v>
      </c>
      <c r="R20" s="2" t="s">
        <v>30</v>
      </c>
    </row>
    <row r="21" spans="1:18">
      <c r="A21" s="1">
        <v>43800</v>
      </c>
      <c r="B21" s="1">
        <v>43800</v>
      </c>
      <c r="C21">
        <v>2019</v>
      </c>
      <c r="D21">
        <v>12</v>
      </c>
      <c r="E21" s="2" t="s">
        <v>8459</v>
      </c>
      <c r="F21" s="2" t="s">
        <v>8460</v>
      </c>
      <c r="G21" s="2" t="s">
        <v>8335</v>
      </c>
      <c r="H21" s="2" t="s">
        <v>22</v>
      </c>
      <c r="I21" s="2" t="s">
        <v>8336</v>
      </c>
      <c r="J21" s="2" t="s">
        <v>59</v>
      </c>
      <c r="K21">
        <v>8606.57</v>
      </c>
      <c r="L21">
        <v>860657000</v>
      </c>
      <c r="M21" s="2" t="s">
        <v>8331</v>
      </c>
      <c r="N21" s="2" t="s">
        <v>8341</v>
      </c>
      <c r="O21" s="2" t="s">
        <v>8481</v>
      </c>
      <c r="P21" s="2" t="s">
        <v>175</v>
      </c>
      <c r="Q21" s="2" t="s">
        <v>8445</v>
      </c>
      <c r="R21" s="2" t="s">
        <v>30</v>
      </c>
    </row>
    <row r="22" spans="1:18">
      <c r="A22" s="1">
        <v>43800</v>
      </c>
      <c r="B22" s="1">
        <v>43800</v>
      </c>
      <c r="C22">
        <v>2019</v>
      </c>
      <c r="D22">
        <v>12</v>
      </c>
      <c r="E22" s="2" t="s">
        <v>8462</v>
      </c>
      <c r="F22" s="2" t="s">
        <v>8463</v>
      </c>
      <c r="G22" s="2" t="s">
        <v>8335</v>
      </c>
      <c r="H22" s="2" t="s">
        <v>22</v>
      </c>
      <c r="I22" s="2" t="s">
        <v>8409</v>
      </c>
      <c r="J22" s="2" t="s">
        <v>24</v>
      </c>
      <c r="K22">
        <v>3.81</v>
      </c>
      <c r="L22">
        <v>381000</v>
      </c>
      <c r="M22" s="2" t="s">
        <v>8406</v>
      </c>
      <c r="N22" s="2" t="s">
        <v>8411</v>
      </c>
      <c r="O22" s="2" t="s">
        <v>4488</v>
      </c>
      <c r="P22" s="2" t="s">
        <v>175</v>
      </c>
      <c r="Q22" s="2" t="s">
        <v>8445</v>
      </c>
      <c r="R22" s="2" t="s">
        <v>30</v>
      </c>
    </row>
    <row r="23" spans="1:18">
      <c r="A23" s="1">
        <v>43800</v>
      </c>
      <c r="B23" s="1">
        <v>43800</v>
      </c>
      <c r="C23">
        <v>2019</v>
      </c>
      <c r="D23">
        <v>12</v>
      </c>
      <c r="E23" s="2" t="s">
        <v>8464</v>
      </c>
      <c r="F23" s="2" t="s">
        <v>8465</v>
      </c>
      <c r="G23" s="2" t="s">
        <v>8335</v>
      </c>
      <c r="H23" s="2" t="s">
        <v>22</v>
      </c>
      <c r="I23" s="2" t="s">
        <v>8417</v>
      </c>
      <c r="J23" s="2" t="s">
        <v>24</v>
      </c>
      <c r="K23">
        <v>42.49</v>
      </c>
      <c r="L23">
        <v>4249000</v>
      </c>
      <c r="M23" s="2" t="s">
        <v>8414</v>
      </c>
      <c r="N23" s="2" t="s">
        <v>8419</v>
      </c>
      <c r="O23" s="2" t="s">
        <v>8482</v>
      </c>
      <c r="P23" s="2" t="s">
        <v>175</v>
      </c>
      <c r="Q23" s="2" t="s">
        <v>8445</v>
      </c>
      <c r="R23" s="2" t="s">
        <v>30</v>
      </c>
    </row>
    <row r="24" spans="1:18">
      <c r="A24" s="1">
        <v>43800</v>
      </c>
      <c r="B24" s="1">
        <v>43800</v>
      </c>
      <c r="C24">
        <v>2019</v>
      </c>
      <c r="D24">
        <v>12</v>
      </c>
      <c r="E24" s="2" t="s">
        <v>8467</v>
      </c>
      <c r="F24" s="2" t="s">
        <v>8468</v>
      </c>
      <c r="G24" s="2" t="s">
        <v>8335</v>
      </c>
      <c r="H24" s="2" t="s">
        <v>22</v>
      </c>
      <c r="I24" s="2" t="s">
        <v>8365</v>
      </c>
      <c r="J24" s="2" t="s">
        <v>24</v>
      </c>
      <c r="K24">
        <v>1009.75</v>
      </c>
      <c r="L24">
        <v>100975000</v>
      </c>
      <c r="M24" s="2" t="s">
        <v>8377</v>
      </c>
      <c r="N24" s="2" t="s">
        <v>8381</v>
      </c>
      <c r="O24" s="2" t="s">
        <v>8483</v>
      </c>
      <c r="P24" s="2" t="s">
        <v>175</v>
      </c>
      <c r="Q24" s="2" t="s">
        <v>8445</v>
      </c>
      <c r="R24" s="2" t="s">
        <v>30</v>
      </c>
    </row>
    <row r="25" spans="1:18">
      <c r="A25" s="1">
        <v>43800</v>
      </c>
      <c r="B25" s="1">
        <v>43800</v>
      </c>
      <c r="C25">
        <v>2019</v>
      </c>
      <c r="D25">
        <v>12</v>
      </c>
      <c r="E25" s="2" t="s">
        <v>8470</v>
      </c>
      <c r="F25" s="2" t="s">
        <v>8471</v>
      </c>
      <c r="G25" s="2" t="s">
        <v>8335</v>
      </c>
      <c r="H25" s="2" t="s">
        <v>22</v>
      </c>
      <c r="I25" s="2" t="s">
        <v>8365</v>
      </c>
      <c r="J25" s="2" t="s">
        <v>59</v>
      </c>
      <c r="K25">
        <v>17625.43</v>
      </c>
      <c r="L25">
        <v>1762543000</v>
      </c>
      <c r="M25" s="2" t="s">
        <v>8362</v>
      </c>
      <c r="N25" s="2" t="s">
        <v>8367</v>
      </c>
      <c r="O25" s="2" t="s">
        <v>8484</v>
      </c>
      <c r="P25" s="2" t="s">
        <v>175</v>
      </c>
      <c r="Q25" s="2" t="s">
        <v>8445</v>
      </c>
      <c r="R25" s="2" t="s">
        <v>30</v>
      </c>
    </row>
    <row r="26" spans="1:18">
      <c r="A26" s="1">
        <v>43800</v>
      </c>
      <c r="B26" s="1">
        <v>43800</v>
      </c>
      <c r="C26">
        <v>2019</v>
      </c>
      <c r="D26">
        <v>12</v>
      </c>
      <c r="E26" s="2" t="s">
        <v>8473</v>
      </c>
      <c r="F26" s="2" t="s">
        <v>8474</v>
      </c>
      <c r="G26" s="2" t="s">
        <v>8335</v>
      </c>
      <c r="H26" s="2" t="s">
        <v>22</v>
      </c>
      <c r="I26" s="2" t="s">
        <v>8365</v>
      </c>
      <c r="J26" s="2" t="s">
        <v>24</v>
      </c>
      <c r="K26">
        <v>16615.68</v>
      </c>
      <c r="L26">
        <v>1661568000</v>
      </c>
      <c r="M26" s="2" t="s">
        <v>8370</v>
      </c>
      <c r="N26" s="2" t="s">
        <v>8374</v>
      </c>
      <c r="O26" s="2" t="s">
        <v>8485</v>
      </c>
      <c r="P26" s="2" t="s">
        <v>175</v>
      </c>
      <c r="Q26" s="2" t="s">
        <v>8445</v>
      </c>
      <c r="R26" s="2" t="s">
        <v>30</v>
      </c>
    </row>
    <row r="27" spans="1:18">
      <c r="A27" s="1">
        <v>43800</v>
      </c>
      <c r="B27" s="1">
        <v>43800</v>
      </c>
      <c r="C27">
        <v>2019</v>
      </c>
      <c r="D27">
        <v>12</v>
      </c>
      <c r="E27" s="2" t="s">
        <v>7890</v>
      </c>
      <c r="F27" s="2" t="s">
        <v>7891</v>
      </c>
      <c r="G27" s="2" t="s">
        <v>8335</v>
      </c>
      <c r="H27" s="2" t="s">
        <v>22</v>
      </c>
      <c r="I27" s="2" t="s">
        <v>8417</v>
      </c>
      <c r="J27" s="2" t="s">
        <v>24</v>
      </c>
      <c r="M27" s="2" t="s">
        <v>7889</v>
      </c>
      <c r="N27" s="2" t="s">
        <v>7911</v>
      </c>
      <c r="O27" s="2" t="s">
        <v>175</v>
      </c>
      <c r="P27" s="2" t="s">
        <v>175</v>
      </c>
      <c r="Q27" s="2" t="s">
        <v>8476</v>
      </c>
      <c r="R27" s="2" t="s">
        <v>8477</v>
      </c>
    </row>
    <row r="28" spans="1:18">
      <c r="A28" s="1">
        <v>43831</v>
      </c>
      <c r="B28" s="1">
        <v>43831</v>
      </c>
      <c r="C28">
        <v>2020</v>
      </c>
      <c r="D28">
        <v>1</v>
      </c>
      <c r="E28" s="2" t="s">
        <v>8443</v>
      </c>
      <c r="F28" s="2" t="s">
        <v>8444</v>
      </c>
      <c r="G28" s="2" t="s">
        <v>8335</v>
      </c>
      <c r="H28" s="2" t="s">
        <v>22</v>
      </c>
      <c r="I28" s="2" t="s">
        <v>8387</v>
      </c>
      <c r="J28" s="2" t="s">
        <v>24</v>
      </c>
      <c r="K28">
        <v>2.1</v>
      </c>
      <c r="L28">
        <v>210000</v>
      </c>
      <c r="M28" s="2" t="s">
        <v>8392</v>
      </c>
      <c r="N28" s="2" t="s">
        <v>8396</v>
      </c>
      <c r="O28" s="2" t="s">
        <v>4756</v>
      </c>
      <c r="P28" s="2" t="s">
        <v>175</v>
      </c>
      <c r="Q28" s="2" t="s">
        <v>8445</v>
      </c>
      <c r="R28" s="2" t="s">
        <v>30</v>
      </c>
    </row>
    <row r="29" spans="1:18">
      <c r="A29" s="1">
        <v>43831</v>
      </c>
      <c r="B29" s="1">
        <v>43831</v>
      </c>
      <c r="C29">
        <v>2020</v>
      </c>
      <c r="D29">
        <v>1</v>
      </c>
      <c r="E29" s="2" t="s">
        <v>8446</v>
      </c>
      <c r="F29" s="2" t="s">
        <v>8447</v>
      </c>
      <c r="G29" s="2" t="s">
        <v>8335</v>
      </c>
      <c r="H29" s="2" t="s">
        <v>22</v>
      </c>
      <c r="I29" s="2" t="s">
        <v>8387</v>
      </c>
      <c r="J29" s="2" t="s">
        <v>59</v>
      </c>
      <c r="K29">
        <v>2.33</v>
      </c>
      <c r="L29">
        <v>233000</v>
      </c>
      <c r="M29" s="2" t="s">
        <v>8384</v>
      </c>
      <c r="N29" s="2" t="s">
        <v>8389</v>
      </c>
      <c r="O29" s="2" t="s">
        <v>3842</v>
      </c>
      <c r="P29" s="2" t="s">
        <v>175</v>
      </c>
      <c r="Q29" s="2" t="s">
        <v>8445</v>
      </c>
      <c r="R29" s="2" t="s">
        <v>30</v>
      </c>
    </row>
    <row r="30" spans="1:18">
      <c r="A30" s="1">
        <v>43831</v>
      </c>
      <c r="B30" s="1">
        <v>43831</v>
      </c>
      <c r="C30">
        <v>2020</v>
      </c>
      <c r="D30">
        <v>1</v>
      </c>
      <c r="E30" s="2" t="s">
        <v>8448</v>
      </c>
      <c r="F30" s="2" t="s">
        <v>8449</v>
      </c>
      <c r="G30" s="2" t="s">
        <v>8335</v>
      </c>
      <c r="H30" s="2" t="s">
        <v>22</v>
      </c>
      <c r="I30" s="2" t="s">
        <v>8387</v>
      </c>
      <c r="J30" s="2" t="s">
        <v>24</v>
      </c>
      <c r="K30">
        <v>0.23</v>
      </c>
      <c r="L30">
        <v>23000</v>
      </c>
      <c r="M30" s="2" t="s">
        <v>8399</v>
      </c>
      <c r="N30" s="2" t="s">
        <v>8403</v>
      </c>
      <c r="O30" s="2" t="s">
        <v>725</v>
      </c>
      <c r="P30" s="2" t="s">
        <v>175</v>
      </c>
      <c r="Q30" s="2" t="s">
        <v>8445</v>
      </c>
      <c r="R30" s="2" t="s">
        <v>30</v>
      </c>
    </row>
    <row r="31" spans="1:18">
      <c r="A31" s="1">
        <v>43831</v>
      </c>
      <c r="B31" s="1">
        <v>43831</v>
      </c>
      <c r="C31">
        <v>2020</v>
      </c>
      <c r="D31">
        <v>1</v>
      </c>
      <c r="E31" s="2" t="s">
        <v>8450</v>
      </c>
      <c r="F31" s="2" t="s">
        <v>8451</v>
      </c>
      <c r="G31" s="2" t="s">
        <v>8335</v>
      </c>
      <c r="H31" s="2" t="s">
        <v>22</v>
      </c>
      <c r="I31" s="2" t="s">
        <v>8417</v>
      </c>
      <c r="J31" s="2" t="s">
        <v>24</v>
      </c>
      <c r="K31">
        <v>17.79</v>
      </c>
      <c r="L31">
        <v>1779000</v>
      </c>
      <c r="M31" s="2" t="s">
        <v>8422</v>
      </c>
      <c r="N31" s="2" t="s">
        <v>8426</v>
      </c>
      <c r="O31" s="2" t="s">
        <v>8486</v>
      </c>
      <c r="P31" s="2" t="s">
        <v>175</v>
      </c>
      <c r="Q31" s="2" t="s">
        <v>8445</v>
      </c>
      <c r="R31" s="2" t="s">
        <v>30</v>
      </c>
    </row>
    <row r="32" spans="1:18">
      <c r="A32" s="1">
        <v>43831</v>
      </c>
      <c r="B32" s="1">
        <v>43831</v>
      </c>
      <c r="C32">
        <v>2020</v>
      </c>
      <c r="D32">
        <v>1</v>
      </c>
      <c r="E32" s="2" t="s">
        <v>8453</v>
      </c>
      <c r="F32" s="2" t="s">
        <v>8454</v>
      </c>
      <c r="G32" s="2" t="s">
        <v>8335</v>
      </c>
      <c r="H32" s="2" t="s">
        <v>22</v>
      </c>
      <c r="I32" s="2" t="s">
        <v>8336</v>
      </c>
      <c r="J32" s="2" t="s">
        <v>24</v>
      </c>
      <c r="K32">
        <v>561.20000000000005</v>
      </c>
      <c r="L32">
        <v>56120000</v>
      </c>
      <c r="M32" s="2" t="s">
        <v>8348</v>
      </c>
      <c r="N32" s="2" t="s">
        <v>8352</v>
      </c>
      <c r="O32" s="2" t="s">
        <v>8487</v>
      </c>
      <c r="P32" s="2" t="s">
        <v>175</v>
      </c>
      <c r="Q32" s="2" t="s">
        <v>8445</v>
      </c>
      <c r="R32" s="2" t="s">
        <v>30</v>
      </c>
    </row>
    <row r="33" spans="1:18">
      <c r="A33" s="1">
        <v>43831</v>
      </c>
      <c r="B33" s="1">
        <v>43831</v>
      </c>
      <c r="C33">
        <v>2020</v>
      </c>
      <c r="D33">
        <v>1</v>
      </c>
      <c r="E33" s="2" t="s">
        <v>8456</v>
      </c>
      <c r="F33" s="2" t="s">
        <v>8457</v>
      </c>
      <c r="G33" s="2" t="s">
        <v>8335</v>
      </c>
      <c r="H33" s="2" t="s">
        <v>22</v>
      </c>
      <c r="I33" s="2" t="s">
        <v>8336</v>
      </c>
      <c r="J33" s="2" t="s">
        <v>24</v>
      </c>
      <c r="K33">
        <v>8164.1</v>
      </c>
      <c r="L33">
        <v>816410000</v>
      </c>
      <c r="M33" s="2" t="s">
        <v>8355</v>
      </c>
      <c r="N33" s="2" t="s">
        <v>8359</v>
      </c>
      <c r="O33" s="2" t="s">
        <v>8488</v>
      </c>
      <c r="P33" s="2" t="s">
        <v>175</v>
      </c>
      <c r="Q33" s="2" t="s">
        <v>8445</v>
      </c>
      <c r="R33" s="2" t="s">
        <v>30</v>
      </c>
    </row>
    <row r="34" spans="1:18">
      <c r="A34" s="1">
        <v>43831</v>
      </c>
      <c r="B34" s="1">
        <v>43831</v>
      </c>
      <c r="C34">
        <v>2020</v>
      </c>
      <c r="D34">
        <v>1</v>
      </c>
      <c r="E34" s="2" t="s">
        <v>8459</v>
      </c>
      <c r="F34" s="2" t="s">
        <v>8460</v>
      </c>
      <c r="G34" s="2" t="s">
        <v>8335</v>
      </c>
      <c r="H34" s="2" t="s">
        <v>22</v>
      </c>
      <c r="I34" s="2" t="s">
        <v>8336</v>
      </c>
      <c r="J34" s="2" t="s">
        <v>59</v>
      </c>
      <c r="K34">
        <v>8725.2999999999993</v>
      </c>
      <c r="L34">
        <v>872530000</v>
      </c>
      <c r="M34" s="2" t="s">
        <v>8331</v>
      </c>
      <c r="N34" s="2" t="s">
        <v>8341</v>
      </c>
      <c r="O34" s="2" t="s">
        <v>8489</v>
      </c>
      <c r="P34" s="2" t="s">
        <v>175</v>
      </c>
      <c r="Q34" s="2" t="s">
        <v>8445</v>
      </c>
      <c r="R34" s="2" t="s">
        <v>30</v>
      </c>
    </row>
    <row r="35" spans="1:18">
      <c r="A35" s="1">
        <v>43831</v>
      </c>
      <c r="B35" s="1">
        <v>43831</v>
      </c>
      <c r="C35">
        <v>2020</v>
      </c>
      <c r="D35">
        <v>1</v>
      </c>
      <c r="E35" s="2" t="s">
        <v>8462</v>
      </c>
      <c r="F35" s="2" t="s">
        <v>8463</v>
      </c>
      <c r="G35" s="2" t="s">
        <v>8335</v>
      </c>
      <c r="H35" s="2" t="s">
        <v>22</v>
      </c>
      <c r="I35" s="2" t="s">
        <v>8409</v>
      </c>
      <c r="J35" s="2" t="s">
        <v>24</v>
      </c>
      <c r="K35">
        <v>3.96</v>
      </c>
      <c r="L35">
        <v>396000</v>
      </c>
      <c r="M35" s="2" t="s">
        <v>8406</v>
      </c>
      <c r="N35" s="2" t="s">
        <v>8411</v>
      </c>
      <c r="O35" s="2" t="s">
        <v>8490</v>
      </c>
      <c r="P35" s="2" t="s">
        <v>175</v>
      </c>
      <c r="Q35" s="2" t="s">
        <v>8445</v>
      </c>
      <c r="R35" s="2" t="s">
        <v>30</v>
      </c>
    </row>
    <row r="36" spans="1:18">
      <c r="A36" s="1">
        <v>43831</v>
      </c>
      <c r="B36" s="1">
        <v>43831</v>
      </c>
      <c r="C36">
        <v>2020</v>
      </c>
      <c r="D36">
        <v>1</v>
      </c>
      <c r="E36" s="2" t="s">
        <v>8464</v>
      </c>
      <c r="F36" s="2" t="s">
        <v>8465</v>
      </c>
      <c r="G36" s="2" t="s">
        <v>8335</v>
      </c>
      <c r="H36" s="2" t="s">
        <v>22</v>
      </c>
      <c r="I36" s="2" t="s">
        <v>8417</v>
      </c>
      <c r="J36" s="2" t="s">
        <v>24</v>
      </c>
      <c r="K36">
        <v>42.92</v>
      </c>
      <c r="L36">
        <v>4292000</v>
      </c>
      <c r="M36" s="2" t="s">
        <v>8414</v>
      </c>
      <c r="N36" s="2" t="s">
        <v>8419</v>
      </c>
      <c r="O36" s="2" t="s">
        <v>8491</v>
      </c>
      <c r="P36" s="2" t="s">
        <v>175</v>
      </c>
      <c r="Q36" s="2" t="s">
        <v>8445</v>
      </c>
      <c r="R36" s="2" t="s">
        <v>30</v>
      </c>
    </row>
    <row r="37" spans="1:18">
      <c r="A37" s="1">
        <v>43831</v>
      </c>
      <c r="B37" s="1">
        <v>43831</v>
      </c>
      <c r="C37">
        <v>2020</v>
      </c>
      <c r="D37">
        <v>1</v>
      </c>
      <c r="E37" s="2" t="s">
        <v>8467</v>
      </c>
      <c r="F37" s="2" t="s">
        <v>8468</v>
      </c>
      <c r="G37" s="2" t="s">
        <v>8335</v>
      </c>
      <c r="H37" s="2" t="s">
        <v>22</v>
      </c>
      <c r="I37" s="2" t="s">
        <v>8365</v>
      </c>
      <c r="J37" s="2" t="s">
        <v>24</v>
      </c>
      <c r="K37">
        <v>999.43</v>
      </c>
      <c r="L37">
        <v>99943000</v>
      </c>
      <c r="M37" s="2" t="s">
        <v>8377</v>
      </c>
      <c r="N37" s="2" t="s">
        <v>8381</v>
      </c>
      <c r="O37" s="2" t="s">
        <v>8492</v>
      </c>
      <c r="P37" s="2" t="s">
        <v>175</v>
      </c>
      <c r="Q37" s="2" t="s">
        <v>8445</v>
      </c>
      <c r="R37" s="2" t="s">
        <v>30</v>
      </c>
    </row>
    <row r="38" spans="1:18">
      <c r="A38" s="1">
        <v>43831</v>
      </c>
      <c r="B38" s="1">
        <v>43831</v>
      </c>
      <c r="C38">
        <v>2020</v>
      </c>
      <c r="D38">
        <v>1</v>
      </c>
      <c r="E38" s="2" t="s">
        <v>8470</v>
      </c>
      <c r="F38" s="2" t="s">
        <v>8471</v>
      </c>
      <c r="G38" s="2" t="s">
        <v>8335</v>
      </c>
      <c r="H38" s="2" t="s">
        <v>22</v>
      </c>
      <c r="I38" s="2" t="s">
        <v>8365</v>
      </c>
      <c r="J38" s="2" t="s">
        <v>59</v>
      </c>
      <c r="K38">
        <v>17574.740000000002</v>
      </c>
      <c r="L38">
        <v>1757474000</v>
      </c>
      <c r="M38" s="2" t="s">
        <v>8362</v>
      </c>
      <c r="N38" s="2" t="s">
        <v>8367</v>
      </c>
      <c r="O38" s="2" t="s">
        <v>8493</v>
      </c>
      <c r="P38" s="2" t="s">
        <v>175</v>
      </c>
      <c r="Q38" s="2" t="s">
        <v>8445</v>
      </c>
      <c r="R38" s="2" t="s">
        <v>30</v>
      </c>
    </row>
    <row r="39" spans="1:18">
      <c r="A39" s="1">
        <v>43831</v>
      </c>
      <c r="B39" s="1">
        <v>43831</v>
      </c>
      <c r="C39">
        <v>2020</v>
      </c>
      <c r="D39">
        <v>1</v>
      </c>
      <c r="E39" s="2" t="s">
        <v>8473</v>
      </c>
      <c r="F39" s="2" t="s">
        <v>8474</v>
      </c>
      <c r="G39" s="2" t="s">
        <v>8335</v>
      </c>
      <c r="H39" s="2" t="s">
        <v>22</v>
      </c>
      <c r="I39" s="2" t="s">
        <v>8365</v>
      </c>
      <c r="J39" s="2" t="s">
        <v>24</v>
      </c>
      <c r="K39">
        <v>16575.310000000001</v>
      </c>
      <c r="L39">
        <v>1657531000</v>
      </c>
      <c r="M39" s="2" t="s">
        <v>8370</v>
      </c>
      <c r="N39" s="2" t="s">
        <v>8374</v>
      </c>
      <c r="O39" s="2" t="s">
        <v>8494</v>
      </c>
      <c r="P39" s="2" t="s">
        <v>175</v>
      </c>
      <c r="Q39" s="2" t="s">
        <v>8445</v>
      </c>
      <c r="R39" s="2" t="s">
        <v>30</v>
      </c>
    </row>
    <row r="40" spans="1:18">
      <c r="A40" s="1">
        <v>43831</v>
      </c>
      <c r="B40" s="1">
        <v>43831</v>
      </c>
      <c r="C40">
        <v>2020</v>
      </c>
      <c r="D40">
        <v>1</v>
      </c>
      <c r="E40" s="2" t="s">
        <v>7890</v>
      </c>
      <c r="F40" s="2" t="s">
        <v>7891</v>
      </c>
      <c r="G40" s="2" t="s">
        <v>8335</v>
      </c>
      <c r="H40" s="2" t="s">
        <v>22</v>
      </c>
      <c r="I40" s="2" t="s">
        <v>8417</v>
      </c>
      <c r="J40" s="2" t="s">
        <v>24</v>
      </c>
      <c r="M40" s="2" t="s">
        <v>7889</v>
      </c>
      <c r="N40" s="2" t="s">
        <v>7911</v>
      </c>
      <c r="O40" s="2" t="s">
        <v>175</v>
      </c>
      <c r="P40" s="2" t="s">
        <v>175</v>
      </c>
      <c r="Q40" s="2" t="s">
        <v>8476</v>
      </c>
      <c r="R40" s="2" t="s">
        <v>8477</v>
      </c>
    </row>
    <row r="41" spans="1:18">
      <c r="A41" s="1">
        <v>43862</v>
      </c>
      <c r="B41" s="1">
        <v>43862</v>
      </c>
      <c r="C41">
        <v>2020</v>
      </c>
      <c r="D41">
        <v>2</v>
      </c>
      <c r="E41" s="2" t="s">
        <v>8443</v>
      </c>
      <c r="F41" s="2" t="s">
        <v>8444</v>
      </c>
      <c r="G41" s="2" t="s">
        <v>8335</v>
      </c>
      <c r="H41" s="2" t="s">
        <v>22</v>
      </c>
      <c r="I41" s="2" t="s">
        <v>8387</v>
      </c>
      <c r="J41" s="2" t="s">
        <v>24</v>
      </c>
      <c r="K41">
        <v>2.11</v>
      </c>
      <c r="L41">
        <v>211000</v>
      </c>
      <c r="M41" s="2" t="s">
        <v>8392</v>
      </c>
      <c r="N41" s="2" t="s">
        <v>8396</v>
      </c>
      <c r="O41" s="2" t="s">
        <v>3093</v>
      </c>
      <c r="P41" s="2" t="s">
        <v>175</v>
      </c>
      <c r="Q41" s="2" t="s">
        <v>8445</v>
      </c>
      <c r="R41" s="2" t="s">
        <v>30</v>
      </c>
    </row>
    <row r="42" spans="1:18">
      <c r="A42" s="1">
        <v>43862</v>
      </c>
      <c r="B42" s="1">
        <v>43862</v>
      </c>
      <c r="C42">
        <v>2020</v>
      </c>
      <c r="D42">
        <v>2</v>
      </c>
      <c r="E42" s="2" t="s">
        <v>8446</v>
      </c>
      <c r="F42" s="2" t="s">
        <v>8447</v>
      </c>
      <c r="G42" s="2" t="s">
        <v>8335</v>
      </c>
      <c r="H42" s="2" t="s">
        <v>22</v>
      </c>
      <c r="I42" s="2" t="s">
        <v>8387</v>
      </c>
      <c r="J42" s="2" t="s">
        <v>59</v>
      </c>
      <c r="K42">
        <v>2.34</v>
      </c>
      <c r="L42">
        <v>234000</v>
      </c>
      <c r="M42" s="2" t="s">
        <v>8384</v>
      </c>
      <c r="N42" s="2" t="s">
        <v>8389</v>
      </c>
      <c r="O42" s="2" t="s">
        <v>3654</v>
      </c>
      <c r="P42" s="2" t="s">
        <v>175</v>
      </c>
      <c r="Q42" s="2" t="s">
        <v>8445</v>
      </c>
      <c r="R42" s="2" t="s">
        <v>30</v>
      </c>
    </row>
    <row r="43" spans="1:18">
      <c r="A43" s="1">
        <v>43862</v>
      </c>
      <c r="B43" s="1">
        <v>43862</v>
      </c>
      <c r="C43">
        <v>2020</v>
      </c>
      <c r="D43">
        <v>2</v>
      </c>
      <c r="E43" s="2" t="s">
        <v>8448</v>
      </c>
      <c r="F43" s="2" t="s">
        <v>8449</v>
      </c>
      <c r="G43" s="2" t="s">
        <v>8335</v>
      </c>
      <c r="H43" s="2" t="s">
        <v>22</v>
      </c>
      <c r="I43" s="2" t="s">
        <v>8387</v>
      </c>
      <c r="J43" s="2" t="s">
        <v>24</v>
      </c>
      <c r="K43">
        <v>0.23</v>
      </c>
      <c r="L43">
        <v>23000</v>
      </c>
      <c r="M43" s="2" t="s">
        <v>8399</v>
      </c>
      <c r="N43" s="2" t="s">
        <v>8403</v>
      </c>
      <c r="O43" s="2" t="s">
        <v>725</v>
      </c>
      <c r="P43" s="2" t="s">
        <v>175</v>
      </c>
      <c r="Q43" s="2" t="s">
        <v>8445</v>
      </c>
      <c r="R43" s="2" t="s">
        <v>30</v>
      </c>
    </row>
    <row r="44" spans="1:18">
      <c r="A44" s="1">
        <v>43862</v>
      </c>
      <c r="B44" s="1">
        <v>43862</v>
      </c>
      <c r="C44">
        <v>2020</v>
      </c>
      <c r="D44">
        <v>2</v>
      </c>
      <c r="E44" s="2" t="s">
        <v>8450</v>
      </c>
      <c r="F44" s="2" t="s">
        <v>8451</v>
      </c>
      <c r="G44" s="2" t="s">
        <v>8335</v>
      </c>
      <c r="H44" s="2" t="s">
        <v>22</v>
      </c>
      <c r="I44" s="2" t="s">
        <v>8417</v>
      </c>
      <c r="J44" s="2" t="s">
        <v>24</v>
      </c>
      <c r="K44">
        <v>18.96</v>
      </c>
      <c r="L44">
        <v>1896000</v>
      </c>
      <c r="M44" s="2" t="s">
        <v>8422</v>
      </c>
      <c r="N44" s="2" t="s">
        <v>8426</v>
      </c>
      <c r="O44" s="2" t="s">
        <v>2375</v>
      </c>
      <c r="P44" s="2" t="s">
        <v>175</v>
      </c>
      <c r="Q44" s="2" t="s">
        <v>8445</v>
      </c>
      <c r="R44" s="2" t="s">
        <v>30</v>
      </c>
    </row>
    <row r="45" spans="1:18">
      <c r="A45" s="1">
        <v>43862</v>
      </c>
      <c r="B45" s="1">
        <v>43862</v>
      </c>
      <c r="C45">
        <v>2020</v>
      </c>
      <c r="D45">
        <v>2</v>
      </c>
      <c r="E45" s="2" t="s">
        <v>8453</v>
      </c>
      <c r="F45" s="2" t="s">
        <v>8454</v>
      </c>
      <c r="G45" s="2" t="s">
        <v>8335</v>
      </c>
      <c r="H45" s="2" t="s">
        <v>22</v>
      </c>
      <c r="I45" s="2" t="s">
        <v>8336</v>
      </c>
      <c r="J45" s="2" t="s">
        <v>24</v>
      </c>
      <c r="K45">
        <v>571.58000000000004</v>
      </c>
      <c r="L45">
        <v>57158000</v>
      </c>
      <c r="M45" s="2" t="s">
        <v>8348</v>
      </c>
      <c r="N45" s="2" t="s">
        <v>8352</v>
      </c>
      <c r="O45" s="2" t="s">
        <v>8495</v>
      </c>
      <c r="P45" s="2" t="s">
        <v>175</v>
      </c>
      <c r="Q45" s="2" t="s">
        <v>8445</v>
      </c>
      <c r="R45" s="2" t="s">
        <v>30</v>
      </c>
    </row>
    <row r="46" spans="1:18">
      <c r="A46" s="1">
        <v>43862</v>
      </c>
      <c r="B46" s="1">
        <v>43862</v>
      </c>
      <c r="C46">
        <v>2020</v>
      </c>
      <c r="D46">
        <v>2</v>
      </c>
      <c r="E46" s="2" t="s">
        <v>8456</v>
      </c>
      <c r="F46" s="2" t="s">
        <v>8457</v>
      </c>
      <c r="G46" s="2" t="s">
        <v>8335</v>
      </c>
      <c r="H46" s="2" t="s">
        <v>22</v>
      </c>
      <c r="I46" s="2" t="s">
        <v>8336</v>
      </c>
      <c r="J46" s="2" t="s">
        <v>24</v>
      </c>
      <c r="K46">
        <v>8230.23</v>
      </c>
      <c r="L46">
        <v>823023000</v>
      </c>
      <c r="M46" s="2" t="s">
        <v>8355</v>
      </c>
      <c r="N46" s="2" t="s">
        <v>8359</v>
      </c>
      <c r="O46" s="2" t="s">
        <v>8496</v>
      </c>
      <c r="P46" s="2" t="s">
        <v>175</v>
      </c>
      <c r="Q46" s="2" t="s">
        <v>8445</v>
      </c>
      <c r="R46" s="2" t="s">
        <v>30</v>
      </c>
    </row>
    <row r="47" spans="1:18">
      <c r="A47" s="1">
        <v>43862</v>
      </c>
      <c r="B47" s="1">
        <v>43862</v>
      </c>
      <c r="C47">
        <v>2020</v>
      </c>
      <c r="D47">
        <v>2</v>
      </c>
      <c r="E47" s="2" t="s">
        <v>8459</v>
      </c>
      <c r="F47" s="2" t="s">
        <v>8460</v>
      </c>
      <c r="G47" s="2" t="s">
        <v>8335</v>
      </c>
      <c r="H47" s="2" t="s">
        <v>22</v>
      </c>
      <c r="I47" s="2" t="s">
        <v>8336</v>
      </c>
      <c r="J47" s="2" t="s">
        <v>59</v>
      </c>
      <c r="K47">
        <v>8801.81</v>
      </c>
      <c r="L47">
        <v>880181000</v>
      </c>
      <c r="M47" s="2" t="s">
        <v>8331</v>
      </c>
      <c r="N47" s="2" t="s">
        <v>8341</v>
      </c>
      <c r="O47" s="2" t="s">
        <v>8497</v>
      </c>
      <c r="P47" s="2" t="s">
        <v>175</v>
      </c>
      <c r="Q47" s="2" t="s">
        <v>8445</v>
      </c>
      <c r="R47" s="2" t="s">
        <v>30</v>
      </c>
    </row>
    <row r="48" spans="1:18">
      <c r="A48" s="1">
        <v>43862</v>
      </c>
      <c r="B48" s="1">
        <v>43862</v>
      </c>
      <c r="C48">
        <v>2020</v>
      </c>
      <c r="D48">
        <v>2</v>
      </c>
      <c r="E48" s="2" t="s">
        <v>8462</v>
      </c>
      <c r="F48" s="2" t="s">
        <v>8463</v>
      </c>
      <c r="G48" s="2" t="s">
        <v>8335</v>
      </c>
      <c r="H48" s="2" t="s">
        <v>22</v>
      </c>
      <c r="I48" s="2" t="s">
        <v>8409</v>
      </c>
      <c r="J48" s="2" t="s">
        <v>24</v>
      </c>
      <c r="K48">
        <v>4.05</v>
      </c>
      <c r="L48">
        <v>405000</v>
      </c>
      <c r="M48" s="2" t="s">
        <v>8406</v>
      </c>
      <c r="N48" s="2" t="s">
        <v>8411</v>
      </c>
      <c r="O48" s="2" t="s">
        <v>8498</v>
      </c>
      <c r="P48" s="2" t="s">
        <v>175</v>
      </c>
      <c r="Q48" s="2" t="s">
        <v>8445</v>
      </c>
      <c r="R48" s="2" t="s">
        <v>30</v>
      </c>
    </row>
    <row r="49" spans="1:18">
      <c r="A49" s="1">
        <v>43862</v>
      </c>
      <c r="B49" s="1">
        <v>43862</v>
      </c>
      <c r="C49">
        <v>2020</v>
      </c>
      <c r="D49">
        <v>2</v>
      </c>
      <c r="E49" s="2" t="s">
        <v>8464</v>
      </c>
      <c r="F49" s="2" t="s">
        <v>8465</v>
      </c>
      <c r="G49" s="2" t="s">
        <v>8335</v>
      </c>
      <c r="H49" s="2" t="s">
        <v>22</v>
      </c>
      <c r="I49" s="2" t="s">
        <v>8417</v>
      </c>
      <c r="J49" s="2" t="s">
        <v>24</v>
      </c>
      <c r="K49">
        <v>43.71</v>
      </c>
      <c r="L49">
        <v>4371000</v>
      </c>
      <c r="M49" s="2" t="s">
        <v>8414</v>
      </c>
      <c r="N49" s="2" t="s">
        <v>8419</v>
      </c>
      <c r="O49" s="2" t="s">
        <v>8499</v>
      </c>
      <c r="P49" s="2" t="s">
        <v>175</v>
      </c>
      <c r="Q49" s="2" t="s">
        <v>8445</v>
      </c>
      <c r="R49" s="2" t="s">
        <v>30</v>
      </c>
    </row>
    <row r="50" spans="1:18">
      <c r="A50" s="1">
        <v>43862</v>
      </c>
      <c r="B50" s="1">
        <v>43862</v>
      </c>
      <c r="C50">
        <v>2020</v>
      </c>
      <c r="D50">
        <v>2</v>
      </c>
      <c r="E50" s="2" t="s">
        <v>8467</v>
      </c>
      <c r="F50" s="2" t="s">
        <v>8468</v>
      </c>
      <c r="G50" s="2" t="s">
        <v>8335</v>
      </c>
      <c r="H50" s="2" t="s">
        <v>22</v>
      </c>
      <c r="I50" s="2" t="s">
        <v>8365</v>
      </c>
      <c r="J50" s="2" t="s">
        <v>24</v>
      </c>
      <c r="K50">
        <v>1295.57</v>
      </c>
      <c r="L50">
        <v>129557000</v>
      </c>
      <c r="M50" s="2" t="s">
        <v>8377</v>
      </c>
      <c r="N50" s="2" t="s">
        <v>8381</v>
      </c>
      <c r="O50" s="2" t="s">
        <v>8500</v>
      </c>
      <c r="P50" s="2" t="s">
        <v>175</v>
      </c>
      <c r="Q50" s="2" t="s">
        <v>8445</v>
      </c>
      <c r="R50" s="2" t="s">
        <v>30</v>
      </c>
    </row>
    <row r="51" spans="1:18">
      <c r="A51" s="1">
        <v>43862</v>
      </c>
      <c r="B51" s="1">
        <v>43862</v>
      </c>
      <c r="C51">
        <v>2020</v>
      </c>
      <c r="D51">
        <v>2</v>
      </c>
      <c r="E51" s="2" t="s">
        <v>8470</v>
      </c>
      <c r="F51" s="2" t="s">
        <v>8471</v>
      </c>
      <c r="G51" s="2" t="s">
        <v>8335</v>
      </c>
      <c r="H51" s="2" t="s">
        <v>22</v>
      </c>
      <c r="I51" s="2" t="s">
        <v>8365</v>
      </c>
      <c r="J51" s="2" t="s">
        <v>59</v>
      </c>
      <c r="K51">
        <v>18103.650000000001</v>
      </c>
      <c r="L51">
        <v>1810365000</v>
      </c>
      <c r="M51" s="2" t="s">
        <v>8362</v>
      </c>
      <c r="N51" s="2" t="s">
        <v>8367</v>
      </c>
      <c r="O51" s="2" t="s">
        <v>8501</v>
      </c>
      <c r="P51" s="2" t="s">
        <v>175</v>
      </c>
      <c r="Q51" s="2" t="s">
        <v>8445</v>
      </c>
      <c r="R51" s="2" t="s">
        <v>30</v>
      </c>
    </row>
    <row r="52" spans="1:18">
      <c r="A52" s="1">
        <v>43862</v>
      </c>
      <c r="B52" s="1">
        <v>43862</v>
      </c>
      <c r="C52">
        <v>2020</v>
      </c>
      <c r="D52">
        <v>2</v>
      </c>
      <c r="E52" s="2" t="s">
        <v>8473</v>
      </c>
      <c r="F52" s="2" t="s">
        <v>8474</v>
      </c>
      <c r="G52" s="2" t="s">
        <v>8335</v>
      </c>
      <c r="H52" s="2" t="s">
        <v>22</v>
      </c>
      <c r="I52" s="2" t="s">
        <v>8365</v>
      </c>
      <c r="J52" s="2" t="s">
        <v>24</v>
      </c>
      <c r="K52">
        <v>16808.080000000002</v>
      </c>
      <c r="L52">
        <v>1680808000</v>
      </c>
      <c r="M52" s="2" t="s">
        <v>8370</v>
      </c>
      <c r="N52" s="2" t="s">
        <v>8374</v>
      </c>
      <c r="O52" s="2" t="s">
        <v>8502</v>
      </c>
      <c r="P52" s="2" t="s">
        <v>175</v>
      </c>
      <c r="Q52" s="2" t="s">
        <v>8445</v>
      </c>
      <c r="R52" s="2" t="s">
        <v>30</v>
      </c>
    </row>
    <row r="53" spans="1:18">
      <c r="A53" s="1">
        <v>43862</v>
      </c>
      <c r="B53" s="1">
        <v>43862</v>
      </c>
      <c r="C53">
        <v>2020</v>
      </c>
      <c r="D53">
        <v>2</v>
      </c>
      <c r="E53" s="2" t="s">
        <v>7890</v>
      </c>
      <c r="F53" s="2" t="s">
        <v>7891</v>
      </c>
      <c r="G53" s="2" t="s">
        <v>8335</v>
      </c>
      <c r="H53" s="2" t="s">
        <v>22</v>
      </c>
      <c r="I53" s="2" t="s">
        <v>8417</v>
      </c>
      <c r="J53" s="2" t="s">
        <v>24</v>
      </c>
      <c r="M53" s="2" t="s">
        <v>7889</v>
      </c>
      <c r="N53" s="2" t="s">
        <v>7911</v>
      </c>
      <c r="O53" s="2" t="s">
        <v>175</v>
      </c>
      <c r="P53" s="2" t="s">
        <v>175</v>
      </c>
      <c r="Q53" s="2" t="s">
        <v>8476</v>
      </c>
      <c r="R53" s="2" t="s">
        <v>8477</v>
      </c>
    </row>
    <row r="54" spans="1:18">
      <c r="A54" s="1">
        <v>43891</v>
      </c>
      <c r="B54" s="1">
        <v>43891</v>
      </c>
      <c r="C54">
        <v>2020</v>
      </c>
      <c r="D54">
        <v>3</v>
      </c>
      <c r="E54" s="2" t="s">
        <v>8443</v>
      </c>
      <c r="F54" s="2" t="s">
        <v>8444</v>
      </c>
      <c r="G54" s="2" t="s">
        <v>8335</v>
      </c>
      <c r="H54" s="2" t="s">
        <v>22</v>
      </c>
      <c r="I54" s="2" t="s">
        <v>8387</v>
      </c>
      <c r="J54" s="2" t="s">
        <v>24</v>
      </c>
      <c r="K54">
        <v>2.11</v>
      </c>
      <c r="L54">
        <v>211000</v>
      </c>
      <c r="M54" s="2" t="s">
        <v>8392</v>
      </c>
      <c r="N54" s="2" t="s">
        <v>8396</v>
      </c>
      <c r="O54" s="2" t="s">
        <v>3093</v>
      </c>
      <c r="P54" s="2" t="s">
        <v>175</v>
      </c>
      <c r="Q54" s="2" t="s">
        <v>8445</v>
      </c>
      <c r="R54" s="2" t="s">
        <v>30</v>
      </c>
    </row>
    <row r="55" spans="1:18">
      <c r="A55" s="1">
        <v>43891</v>
      </c>
      <c r="B55" s="1">
        <v>43891</v>
      </c>
      <c r="C55">
        <v>2020</v>
      </c>
      <c r="D55">
        <v>3</v>
      </c>
      <c r="E55" s="2" t="s">
        <v>8446</v>
      </c>
      <c r="F55" s="2" t="s">
        <v>8447</v>
      </c>
      <c r="G55" s="2" t="s">
        <v>8335</v>
      </c>
      <c r="H55" s="2" t="s">
        <v>22</v>
      </c>
      <c r="I55" s="2" t="s">
        <v>8387</v>
      </c>
      <c r="J55" s="2" t="s">
        <v>59</v>
      </c>
      <c r="K55">
        <v>2.34</v>
      </c>
      <c r="L55">
        <v>234000</v>
      </c>
      <c r="M55" s="2" t="s">
        <v>8384</v>
      </c>
      <c r="N55" s="2" t="s">
        <v>8389</v>
      </c>
      <c r="O55" s="2" t="s">
        <v>3654</v>
      </c>
      <c r="P55" s="2" t="s">
        <v>175</v>
      </c>
      <c r="Q55" s="2" t="s">
        <v>8445</v>
      </c>
      <c r="R55" s="2" t="s">
        <v>30</v>
      </c>
    </row>
    <row r="56" spans="1:18">
      <c r="A56" s="1">
        <v>43891</v>
      </c>
      <c r="B56" s="1">
        <v>43891</v>
      </c>
      <c r="C56">
        <v>2020</v>
      </c>
      <c r="D56">
        <v>3</v>
      </c>
      <c r="E56" s="2" t="s">
        <v>8448</v>
      </c>
      <c r="F56" s="2" t="s">
        <v>8449</v>
      </c>
      <c r="G56" s="2" t="s">
        <v>8335</v>
      </c>
      <c r="H56" s="2" t="s">
        <v>22</v>
      </c>
      <c r="I56" s="2" t="s">
        <v>8387</v>
      </c>
      <c r="J56" s="2" t="s">
        <v>24</v>
      </c>
      <c r="K56">
        <v>0.24</v>
      </c>
      <c r="L56">
        <v>24000</v>
      </c>
      <c r="M56" s="2" t="s">
        <v>8399</v>
      </c>
      <c r="N56" s="2" t="s">
        <v>8403</v>
      </c>
      <c r="O56" s="2" t="s">
        <v>1650</v>
      </c>
      <c r="P56" s="2" t="s">
        <v>175</v>
      </c>
      <c r="Q56" s="2" t="s">
        <v>8445</v>
      </c>
      <c r="R56" s="2" t="s">
        <v>30</v>
      </c>
    </row>
    <row r="57" spans="1:18">
      <c r="A57" s="1">
        <v>43891</v>
      </c>
      <c r="B57" s="1">
        <v>43891</v>
      </c>
      <c r="C57">
        <v>2020</v>
      </c>
      <c r="D57">
        <v>3</v>
      </c>
      <c r="E57" s="2" t="s">
        <v>8450</v>
      </c>
      <c r="F57" s="2" t="s">
        <v>8451</v>
      </c>
      <c r="G57" s="2" t="s">
        <v>8335</v>
      </c>
      <c r="H57" s="2" t="s">
        <v>22</v>
      </c>
      <c r="I57" s="2" t="s">
        <v>8417</v>
      </c>
      <c r="J57" s="2" t="s">
        <v>24</v>
      </c>
      <c r="K57">
        <v>20.28</v>
      </c>
      <c r="L57">
        <v>2028000</v>
      </c>
      <c r="M57" s="2" t="s">
        <v>8422</v>
      </c>
      <c r="N57" s="2" t="s">
        <v>8426</v>
      </c>
      <c r="O57" s="2" t="s">
        <v>8503</v>
      </c>
      <c r="P57" s="2" t="s">
        <v>175</v>
      </c>
      <c r="Q57" s="2" t="s">
        <v>8445</v>
      </c>
      <c r="R57" s="2" t="s">
        <v>30</v>
      </c>
    </row>
    <row r="58" spans="1:18">
      <c r="A58" s="1">
        <v>43891</v>
      </c>
      <c r="B58" s="1">
        <v>43891</v>
      </c>
      <c r="C58">
        <v>2020</v>
      </c>
      <c r="D58">
        <v>3</v>
      </c>
      <c r="E58" s="2" t="s">
        <v>8453</v>
      </c>
      <c r="F58" s="2" t="s">
        <v>8454</v>
      </c>
      <c r="G58" s="2" t="s">
        <v>8335</v>
      </c>
      <c r="H58" s="2" t="s">
        <v>22</v>
      </c>
      <c r="I58" s="2" t="s">
        <v>8336</v>
      </c>
      <c r="J58" s="2" t="s">
        <v>24</v>
      </c>
      <c r="K58">
        <v>577.45000000000005</v>
      </c>
      <c r="L58">
        <v>57745000</v>
      </c>
      <c r="M58" s="2" t="s">
        <v>8348</v>
      </c>
      <c r="N58" s="2" t="s">
        <v>8352</v>
      </c>
      <c r="O58" s="2" t="s">
        <v>8504</v>
      </c>
      <c r="P58" s="2" t="s">
        <v>175</v>
      </c>
      <c r="Q58" s="2" t="s">
        <v>8445</v>
      </c>
      <c r="R58" s="2" t="s">
        <v>30</v>
      </c>
    </row>
    <row r="59" spans="1:18">
      <c r="A59" s="1">
        <v>43891</v>
      </c>
      <c r="B59" s="1">
        <v>43891</v>
      </c>
      <c r="C59">
        <v>2020</v>
      </c>
      <c r="D59">
        <v>3</v>
      </c>
      <c r="E59" s="2" t="s">
        <v>8456</v>
      </c>
      <c r="F59" s="2" t="s">
        <v>8457</v>
      </c>
      <c r="G59" s="2" t="s">
        <v>8335</v>
      </c>
      <c r="H59" s="2" t="s">
        <v>22</v>
      </c>
      <c r="I59" s="2" t="s">
        <v>8336</v>
      </c>
      <c r="J59" s="2" t="s">
        <v>24</v>
      </c>
      <c r="K59">
        <v>8285.6200000000008</v>
      </c>
      <c r="L59">
        <v>828562000</v>
      </c>
      <c r="M59" s="2" t="s">
        <v>8355</v>
      </c>
      <c r="N59" s="2" t="s">
        <v>8359</v>
      </c>
      <c r="O59" s="2" t="s">
        <v>8505</v>
      </c>
      <c r="P59" s="2" t="s">
        <v>175</v>
      </c>
      <c r="Q59" s="2" t="s">
        <v>8445</v>
      </c>
      <c r="R59" s="2" t="s">
        <v>30</v>
      </c>
    </row>
    <row r="60" spans="1:18">
      <c r="A60" s="1">
        <v>43891</v>
      </c>
      <c r="B60" s="1">
        <v>43891</v>
      </c>
      <c r="C60">
        <v>2020</v>
      </c>
      <c r="D60">
        <v>3</v>
      </c>
      <c r="E60" s="2" t="s">
        <v>8459</v>
      </c>
      <c r="F60" s="2" t="s">
        <v>8460</v>
      </c>
      <c r="G60" s="2" t="s">
        <v>8335</v>
      </c>
      <c r="H60" s="2" t="s">
        <v>22</v>
      </c>
      <c r="I60" s="2" t="s">
        <v>8336</v>
      </c>
      <c r="J60" s="2" t="s">
        <v>59</v>
      </c>
      <c r="K60">
        <v>8863.07</v>
      </c>
      <c r="L60">
        <v>886307000</v>
      </c>
      <c r="M60" s="2" t="s">
        <v>8331</v>
      </c>
      <c r="N60" s="2" t="s">
        <v>8341</v>
      </c>
      <c r="O60" s="2" t="s">
        <v>8506</v>
      </c>
      <c r="P60" s="2" t="s">
        <v>175</v>
      </c>
      <c r="Q60" s="2" t="s">
        <v>8445</v>
      </c>
      <c r="R60" s="2" t="s">
        <v>30</v>
      </c>
    </row>
    <row r="61" spans="1:18">
      <c r="A61" s="1">
        <v>43891</v>
      </c>
      <c r="B61" s="1">
        <v>43891</v>
      </c>
      <c r="C61">
        <v>2020</v>
      </c>
      <c r="D61">
        <v>3</v>
      </c>
      <c r="E61" s="2" t="s">
        <v>8462</v>
      </c>
      <c r="F61" s="2" t="s">
        <v>8463</v>
      </c>
      <c r="G61" s="2" t="s">
        <v>8335</v>
      </c>
      <c r="H61" s="2" t="s">
        <v>22</v>
      </c>
      <c r="I61" s="2" t="s">
        <v>8409</v>
      </c>
      <c r="J61" s="2" t="s">
        <v>24</v>
      </c>
      <c r="K61">
        <v>4.12</v>
      </c>
      <c r="L61">
        <v>412000</v>
      </c>
      <c r="M61" s="2" t="s">
        <v>8406</v>
      </c>
      <c r="N61" s="2" t="s">
        <v>8411</v>
      </c>
      <c r="O61" s="2" t="s">
        <v>8507</v>
      </c>
      <c r="P61" s="2" t="s">
        <v>175</v>
      </c>
      <c r="Q61" s="2" t="s">
        <v>8445</v>
      </c>
      <c r="R61" s="2" t="s">
        <v>30</v>
      </c>
    </row>
    <row r="62" spans="1:18">
      <c r="A62" s="1">
        <v>43891</v>
      </c>
      <c r="B62" s="1">
        <v>43891</v>
      </c>
      <c r="C62">
        <v>2020</v>
      </c>
      <c r="D62">
        <v>3</v>
      </c>
      <c r="E62" s="2" t="s">
        <v>8464</v>
      </c>
      <c r="F62" s="2" t="s">
        <v>8465</v>
      </c>
      <c r="G62" s="2" t="s">
        <v>8335</v>
      </c>
      <c r="H62" s="2" t="s">
        <v>22</v>
      </c>
      <c r="I62" s="2" t="s">
        <v>8417</v>
      </c>
      <c r="J62" s="2" t="s">
        <v>24</v>
      </c>
      <c r="K62">
        <v>44.34</v>
      </c>
      <c r="L62">
        <v>4434000</v>
      </c>
      <c r="M62" s="2" t="s">
        <v>8414</v>
      </c>
      <c r="N62" s="2" t="s">
        <v>8419</v>
      </c>
      <c r="O62" s="2" t="s">
        <v>8508</v>
      </c>
      <c r="P62" s="2" t="s">
        <v>175</v>
      </c>
      <c r="Q62" s="2" t="s">
        <v>8445</v>
      </c>
      <c r="R62" s="2" t="s">
        <v>30</v>
      </c>
    </row>
    <row r="63" spans="1:18">
      <c r="A63" s="1">
        <v>43891</v>
      </c>
      <c r="B63" s="1">
        <v>43891</v>
      </c>
      <c r="C63">
        <v>2020</v>
      </c>
      <c r="D63">
        <v>3</v>
      </c>
      <c r="E63" s="2" t="s">
        <v>8467</v>
      </c>
      <c r="F63" s="2" t="s">
        <v>8468</v>
      </c>
      <c r="G63" s="2" t="s">
        <v>8335</v>
      </c>
      <c r="H63" s="2" t="s">
        <v>22</v>
      </c>
      <c r="I63" s="2" t="s">
        <v>8365</v>
      </c>
      <c r="J63" s="2" t="s">
        <v>24</v>
      </c>
      <c r="K63">
        <v>1218.79</v>
      </c>
      <c r="L63">
        <v>121879000</v>
      </c>
      <c r="M63" s="2" t="s">
        <v>8377</v>
      </c>
      <c r="N63" s="2" t="s">
        <v>8381</v>
      </c>
      <c r="O63" s="2" t="s">
        <v>8509</v>
      </c>
      <c r="P63" s="2" t="s">
        <v>175</v>
      </c>
      <c r="Q63" s="2" t="s">
        <v>8445</v>
      </c>
      <c r="R63" s="2" t="s">
        <v>30</v>
      </c>
    </row>
    <row r="64" spans="1:18">
      <c r="A64" s="1">
        <v>43891</v>
      </c>
      <c r="B64" s="1">
        <v>43891</v>
      </c>
      <c r="C64">
        <v>2020</v>
      </c>
      <c r="D64">
        <v>3</v>
      </c>
      <c r="E64" s="2" t="s">
        <v>8470</v>
      </c>
      <c r="F64" s="2" t="s">
        <v>8471</v>
      </c>
      <c r="G64" s="2" t="s">
        <v>8335</v>
      </c>
      <c r="H64" s="2" t="s">
        <v>22</v>
      </c>
      <c r="I64" s="2" t="s">
        <v>8365</v>
      </c>
      <c r="J64" s="2" t="s">
        <v>59</v>
      </c>
      <c r="K64">
        <v>18251.64</v>
      </c>
      <c r="L64">
        <v>1825164000</v>
      </c>
      <c r="M64" s="2" t="s">
        <v>8362</v>
      </c>
      <c r="N64" s="2" t="s">
        <v>8367</v>
      </c>
      <c r="O64" s="2" t="s">
        <v>8510</v>
      </c>
      <c r="P64" s="2" t="s">
        <v>175</v>
      </c>
      <c r="Q64" s="2" t="s">
        <v>8445</v>
      </c>
      <c r="R64" s="2" t="s">
        <v>30</v>
      </c>
    </row>
    <row r="65" spans="1:18">
      <c r="A65" s="1">
        <v>43891</v>
      </c>
      <c r="B65" s="1">
        <v>43891</v>
      </c>
      <c r="C65">
        <v>2020</v>
      </c>
      <c r="D65">
        <v>3</v>
      </c>
      <c r="E65" s="2" t="s">
        <v>8473</v>
      </c>
      <c r="F65" s="2" t="s">
        <v>8474</v>
      </c>
      <c r="G65" s="2" t="s">
        <v>8335</v>
      </c>
      <c r="H65" s="2" t="s">
        <v>22</v>
      </c>
      <c r="I65" s="2" t="s">
        <v>8365</v>
      </c>
      <c r="J65" s="2" t="s">
        <v>24</v>
      </c>
      <c r="K65">
        <v>17032.849999999999</v>
      </c>
      <c r="L65">
        <v>1703285000</v>
      </c>
      <c r="M65" s="2" t="s">
        <v>8370</v>
      </c>
      <c r="N65" s="2" t="s">
        <v>8374</v>
      </c>
      <c r="O65" s="2" t="s">
        <v>8511</v>
      </c>
      <c r="P65" s="2" t="s">
        <v>175</v>
      </c>
      <c r="Q65" s="2" t="s">
        <v>8445</v>
      </c>
      <c r="R65" s="2" t="s">
        <v>30</v>
      </c>
    </row>
    <row r="66" spans="1:18">
      <c r="A66" s="1">
        <v>43891</v>
      </c>
      <c r="B66" s="1">
        <v>43891</v>
      </c>
      <c r="C66">
        <v>2020</v>
      </c>
      <c r="D66">
        <v>3</v>
      </c>
      <c r="E66" s="2" t="s">
        <v>7890</v>
      </c>
      <c r="F66" s="2" t="s">
        <v>7891</v>
      </c>
      <c r="G66" s="2" t="s">
        <v>8335</v>
      </c>
      <c r="H66" s="2" t="s">
        <v>22</v>
      </c>
      <c r="I66" s="2" t="s">
        <v>8417</v>
      </c>
      <c r="J66" s="2" t="s">
        <v>24</v>
      </c>
      <c r="M66" s="2" t="s">
        <v>7889</v>
      </c>
      <c r="N66" s="2" t="s">
        <v>7911</v>
      </c>
      <c r="O66" s="2" t="s">
        <v>175</v>
      </c>
      <c r="P66" s="2" t="s">
        <v>175</v>
      </c>
      <c r="Q66" s="2" t="s">
        <v>8476</v>
      </c>
      <c r="R66" s="2" t="s">
        <v>8477</v>
      </c>
    </row>
    <row r="67" spans="1:18">
      <c r="A67" s="1">
        <v>43922</v>
      </c>
      <c r="B67" s="1">
        <v>43922</v>
      </c>
      <c r="C67">
        <v>2020</v>
      </c>
      <c r="D67">
        <v>4</v>
      </c>
      <c r="E67" s="2" t="s">
        <v>8443</v>
      </c>
      <c r="F67" s="2" t="s">
        <v>8444</v>
      </c>
      <c r="G67" s="2" t="s">
        <v>8335</v>
      </c>
      <c r="H67" s="2" t="s">
        <v>22</v>
      </c>
      <c r="I67" s="2" t="s">
        <v>8387</v>
      </c>
      <c r="J67" s="2" t="s">
        <v>24</v>
      </c>
      <c r="K67">
        <v>2.1</v>
      </c>
      <c r="L67">
        <v>210000</v>
      </c>
      <c r="M67" s="2" t="s">
        <v>8392</v>
      </c>
      <c r="N67" s="2" t="s">
        <v>8396</v>
      </c>
      <c r="O67" s="2" t="s">
        <v>4756</v>
      </c>
      <c r="P67" s="2" t="s">
        <v>175</v>
      </c>
      <c r="Q67" s="2" t="s">
        <v>8445</v>
      </c>
      <c r="R67" s="2" t="s">
        <v>30</v>
      </c>
    </row>
    <row r="68" spans="1:18">
      <c r="A68" s="1">
        <v>43922</v>
      </c>
      <c r="B68" s="1">
        <v>43922</v>
      </c>
      <c r="C68">
        <v>2020</v>
      </c>
      <c r="D68">
        <v>4</v>
      </c>
      <c r="E68" s="2" t="s">
        <v>8446</v>
      </c>
      <c r="F68" s="2" t="s">
        <v>8447</v>
      </c>
      <c r="G68" s="2" t="s">
        <v>8335</v>
      </c>
      <c r="H68" s="2" t="s">
        <v>22</v>
      </c>
      <c r="I68" s="2" t="s">
        <v>8387</v>
      </c>
      <c r="J68" s="2" t="s">
        <v>59</v>
      </c>
      <c r="K68">
        <v>2.34</v>
      </c>
      <c r="L68">
        <v>234000</v>
      </c>
      <c r="M68" s="2" t="s">
        <v>8384</v>
      </c>
      <c r="N68" s="2" t="s">
        <v>8389</v>
      </c>
      <c r="O68" s="2" t="s">
        <v>3654</v>
      </c>
      <c r="P68" s="2" t="s">
        <v>175</v>
      </c>
      <c r="Q68" s="2" t="s">
        <v>8445</v>
      </c>
      <c r="R68" s="2" t="s">
        <v>30</v>
      </c>
    </row>
    <row r="69" spans="1:18">
      <c r="A69" s="1">
        <v>43922</v>
      </c>
      <c r="B69" s="1">
        <v>43922</v>
      </c>
      <c r="C69">
        <v>2020</v>
      </c>
      <c r="D69">
        <v>4</v>
      </c>
      <c r="E69" s="2" t="s">
        <v>8448</v>
      </c>
      <c r="F69" s="2" t="s">
        <v>8449</v>
      </c>
      <c r="G69" s="2" t="s">
        <v>8335</v>
      </c>
      <c r="H69" s="2" t="s">
        <v>22</v>
      </c>
      <c r="I69" s="2" t="s">
        <v>8387</v>
      </c>
      <c r="J69" s="2" t="s">
        <v>24</v>
      </c>
      <c r="K69">
        <v>0.24</v>
      </c>
      <c r="L69">
        <v>24000</v>
      </c>
      <c r="M69" s="2" t="s">
        <v>8399</v>
      </c>
      <c r="N69" s="2" t="s">
        <v>8403</v>
      </c>
      <c r="O69" s="2" t="s">
        <v>1650</v>
      </c>
      <c r="P69" s="2" t="s">
        <v>175</v>
      </c>
      <c r="Q69" s="2" t="s">
        <v>8445</v>
      </c>
      <c r="R69" s="2" t="s">
        <v>30</v>
      </c>
    </row>
    <row r="70" spans="1:18">
      <c r="A70" s="1">
        <v>43922</v>
      </c>
      <c r="B70" s="1">
        <v>43922</v>
      </c>
      <c r="C70">
        <v>2020</v>
      </c>
      <c r="D70">
        <v>4</v>
      </c>
      <c r="E70" s="2" t="s">
        <v>8450</v>
      </c>
      <c r="F70" s="2" t="s">
        <v>8451</v>
      </c>
      <c r="G70" s="2" t="s">
        <v>8335</v>
      </c>
      <c r="H70" s="2" t="s">
        <v>22</v>
      </c>
      <c r="I70" s="2" t="s">
        <v>8417</v>
      </c>
      <c r="J70" s="2" t="s">
        <v>24</v>
      </c>
      <c r="K70">
        <v>20.190000000000001</v>
      </c>
      <c r="L70">
        <v>2019000</v>
      </c>
      <c r="M70" s="2" t="s">
        <v>8422</v>
      </c>
      <c r="N70" s="2" t="s">
        <v>8426</v>
      </c>
      <c r="O70" s="2" t="s">
        <v>8512</v>
      </c>
      <c r="P70" s="2" t="s">
        <v>175</v>
      </c>
      <c r="Q70" s="2" t="s">
        <v>8445</v>
      </c>
      <c r="R70" s="2" t="s">
        <v>30</v>
      </c>
    </row>
    <row r="71" spans="1:18">
      <c r="A71" s="1">
        <v>43922</v>
      </c>
      <c r="B71" s="1">
        <v>43922</v>
      </c>
      <c r="C71">
        <v>2020</v>
      </c>
      <c r="D71">
        <v>4</v>
      </c>
      <c r="E71" s="2" t="s">
        <v>8453</v>
      </c>
      <c r="F71" s="2" t="s">
        <v>8454</v>
      </c>
      <c r="G71" s="2" t="s">
        <v>8335</v>
      </c>
      <c r="H71" s="2" t="s">
        <v>22</v>
      </c>
      <c r="I71" s="2" t="s">
        <v>8336</v>
      </c>
      <c r="J71" s="2" t="s">
        <v>24</v>
      </c>
      <c r="K71">
        <v>573.6</v>
      </c>
      <c r="L71">
        <v>57360000</v>
      </c>
      <c r="M71" s="2" t="s">
        <v>8348</v>
      </c>
      <c r="N71" s="2" t="s">
        <v>8352</v>
      </c>
      <c r="O71" s="2" t="s">
        <v>8513</v>
      </c>
      <c r="P71" s="2" t="s">
        <v>175</v>
      </c>
      <c r="Q71" s="2" t="s">
        <v>8445</v>
      </c>
      <c r="R71" s="2" t="s">
        <v>30</v>
      </c>
    </row>
    <row r="72" spans="1:18">
      <c r="A72" s="1">
        <v>43922</v>
      </c>
      <c r="B72" s="1">
        <v>43922</v>
      </c>
      <c r="C72">
        <v>2020</v>
      </c>
      <c r="D72">
        <v>4</v>
      </c>
      <c r="E72" s="2" t="s">
        <v>8456</v>
      </c>
      <c r="F72" s="2" t="s">
        <v>8457</v>
      </c>
      <c r="G72" s="2" t="s">
        <v>8335</v>
      </c>
      <c r="H72" s="2" t="s">
        <v>22</v>
      </c>
      <c r="I72" s="2" t="s">
        <v>8336</v>
      </c>
      <c r="J72" s="2" t="s">
        <v>24</v>
      </c>
      <c r="K72">
        <v>8294.4699999999993</v>
      </c>
      <c r="L72">
        <v>829447000</v>
      </c>
      <c r="M72" s="2" t="s">
        <v>8355</v>
      </c>
      <c r="N72" s="2" t="s">
        <v>8359</v>
      </c>
      <c r="O72" s="2" t="s">
        <v>8514</v>
      </c>
      <c r="P72" s="2" t="s">
        <v>175</v>
      </c>
      <c r="Q72" s="2" t="s">
        <v>8445</v>
      </c>
      <c r="R72" s="2" t="s">
        <v>30</v>
      </c>
    </row>
    <row r="73" spans="1:18">
      <c r="A73" s="1">
        <v>43922</v>
      </c>
      <c r="B73" s="1">
        <v>43922</v>
      </c>
      <c r="C73">
        <v>2020</v>
      </c>
      <c r="D73">
        <v>4</v>
      </c>
      <c r="E73" s="2" t="s">
        <v>8459</v>
      </c>
      <c r="F73" s="2" t="s">
        <v>8460</v>
      </c>
      <c r="G73" s="2" t="s">
        <v>8335</v>
      </c>
      <c r="H73" s="2" t="s">
        <v>22</v>
      </c>
      <c r="I73" s="2" t="s">
        <v>8336</v>
      </c>
      <c r="J73" s="2" t="s">
        <v>59</v>
      </c>
      <c r="K73">
        <v>8868.07</v>
      </c>
      <c r="L73">
        <v>886807000</v>
      </c>
      <c r="M73" s="2" t="s">
        <v>8331</v>
      </c>
      <c r="N73" s="2" t="s">
        <v>8341</v>
      </c>
      <c r="O73" s="2" t="s">
        <v>8515</v>
      </c>
      <c r="P73" s="2" t="s">
        <v>175</v>
      </c>
      <c r="Q73" s="2" t="s">
        <v>8445</v>
      </c>
      <c r="R73" s="2" t="s">
        <v>30</v>
      </c>
    </row>
    <row r="74" spans="1:18">
      <c r="A74" s="1">
        <v>43922</v>
      </c>
      <c r="B74" s="1">
        <v>43922</v>
      </c>
      <c r="C74">
        <v>2020</v>
      </c>
      <c r="D74">
        <v>4</v>
      </c>
      <c r="E74" s="2" t="s">
        <v>8462</v>
      </c>
      <c r="F74" s="2" t="s">
        <v>8463</v>
      </c>
      <c r="G74" s="2" t="s">
        <v>8335</v>
      </c>
      <c r="H74" s="2" t="s">
        <v>22</v>
      </c>
      <c r="I74" s="2" t="s">
        <v>8409</v>
      </c>
      <c r="J74" s="2" t="s">
        <v>24</v>
      </c>
      <c r="K74">
        <v>3.9</v>
      </c>
      <c r="L74">
        <v>390000</v>
      </c>
      <c r="M74" s="2" t="s">
        <v>8406</v>
      </c>
      <c r="N74" s="2" t="s">
        <v>8411</v>
      </c>
      <c r="O74" s="2" t="s">
        <v>8516</v>
      </c>
      <c r="P74" s="2" t="s">
        <v>175</v>
      </c>
      <c r="Q74" s="2" t="s">
        <v>8445</v>
      </c>
      <c r="R74" s="2" t="s">
        <v>30</v>
      </c>
    </row>
    <row r="75" spans="1:18">
      <c r="A75" s="1">
        <v>43922</v>
      </c>
      <c r="B75" s="1">
        <v>43922</v>
      </c>
      <c r="C75">
        <v>2020</v>
      </c>
      <c r="D75">
        <v>4</v>
      </c>
      <c r="E75" s="2" t="s">
        <v>8464</v>
      </c>
      <c r="F75" s="2" t="s">
        <v>8465</v>
      </c>
      <c r="G75" s="2" t="s">
        <v>8335</v>
      </c>
      <c r="H75" s="2" t="s">
        <v>22</v>
      </c>
      <c r="I75" s="2" t="s">
        <v>8417</v>
      </c>
      <c r="J75" s="2" t="s">
        <v>24</v>
      </c>
      <c r="K75">
        <v>43.91</v>
      </c>
      <c r="L75">
        <v>4391000</v>
      </c>
      <c r="M75" s="2" t="s">
        <v>8414</v>
      </c>
      <c r="N75" s="2" t="s">
        <v>8419</v>
      </c>
      <c r="O75" s="2" t="s">
        <v>8517</v>
      </c>
      <c r="P75" s="2" t="s">
        <v>175</v>
      </c>
      <c r="Q75" s="2" t="s">
        <v>8445</v>
      </c>
      <c r="R75" s="2" t="s">
        <v>30</v>
      </c>
    </row>
    <row r="76" spans="1:18">
      <c r="A76" s="1">
        <v>43922</v>
      </c>
      <c r="B76" s="1">
        <v>43922</v>
      </c>
      <c r="C76">
        <v>2020</v>
      </c>
      <c r="D76">
        <v>4</v>
      </c>
      <c r="E76" s="2" t="s">
        <v>8467</v>
      </c>
      <c r="F76" s="2" t="s">
        <v>8468</v>
      </c>
      <c r="G76" s="2" t="s">
        <v>8335</v>
      </c>
      <c r="H76" s="2" t="s">
        <v>22</v>
      </c>
      <c r="I76" s="2" t="s">
        <v>8365</v>
      </c>
      <c r="J76" s="2" t="s">
        <v>24</v>
      </c>
      <c r="K76">
        <v>1192.32</v>
      </c>
      <c r="L76">
        <v>119232000</v>
      </c>
      <c r="M76" s="2" t="s">
        <v>8377</v>
      </c>
      <c r="N76" s="2" t="s">
        <v>8381</v>
      </c>
      <c r="O76" s="2" t="s">
        <v>7754</v>
      </c>
      <c r="P76" s="2" t="s">
        <v>175</v>
      </c>
      <c r="Q76" s="2" t="s">
        <v>8445</v>
      </c>
      <c r="R76" s="2" t="s">
        <v>30</v>
      </c>
    </row>
    <row r="77" spans="1:18">
      <c r="A77" s="1">
        <v>43922</v>
      </c>
      <c r="B77" s="1">
        <v>43922</v>
      </c>
      <c r="C77">
        <v>2020</v>
      </c>
      <c r="D77">
        <v>4</v>
      </c>
      <c r="E77" s="2" t="s">
        <v>8470</v>
      </c>
      <c r="F77" s="2" t="s">
        <v>8471</v>
      </c>
      <c r="G77" s="2" t="s">
        <v>8335</v>
      </c>
      <c r="H77" s="2" t="s">
        <v>22</v>
      </c>
      <c r="I77" s="2" t="s">
        <v>8365</v>
      </c>
      <c r="J77" s="2" t="s">
        <v>59</v>
      </c>
      <c r="K77">
        <v>18342.759999999998</v>
      </c>
      <c r="L77">
        <v>1834276000</v>
      </c>
      <c r="M77" s="2" t="s">
        <v>8362</v>
      </c>
      <c r="N77" s="2" t="s">
        <v>8367</v>
      </c>
      <c r="O77" s="2" t="s">
        <v>8518</v>
      </c>
      <c r="P77" s="2" t="s">
        <v>175</v>
      </c>
      <c r="Q77" s="2" t="s">
        <v>8445</v>
      </c>
      <c r="R77" s="2" t="s">
        <v>30</v>
      </c>
    </row>
    <row r="78" spans="1:18">
      <c r="A78" s="1">
        <v>43922</v>
      </c>
      <c r="B78" s="1">
        <v>43922</v>
      </c>
      <c r="C78">
        <v>2020</v>
      </c>
      <c r="D78">
        <v>4</v>
      </c>
      <c r="E78" s="2" t="s">
        <v>8473</v>
      </c>
      <c r="F78" s="2" t="s">
        <v>8474</v>
      </c>
      <c r="G78" s="2" t="s">
        <v>8335</v>
      </c>
      <c r="H78" s="2" t="s">
        <v>22</v>
      </c>
      <c r="I78" s="2" t="s">
        <v>8365</v>
      </c>
      <c r="J78" s="2" t="s">
        <v>24</v>
      </c>
      <c r="K78">
        <v>17150.439999999999</v>
      </c>
      <c r="L78">
        <v>1715044000</v>
      </c>
      <c r="M78" s="2" t="s">
        <v>8370</v>
      </c>
      <c r="N78" s="2" t="s">
        <v>8374</v>
      </c>
      <c r="O78" s="2" t="s">
        <v>8519</v>
      </c>
      <c r="P78" s="2" t="s">
        <v>175</v>
      </c>
      <c r="Q78" s="2" t="s">
        <v>8445</v>
      </c>
      <c r="R78" s="2" t="s">
        <v>30</v>
      </c>
    </row>
    <row r="79" spans="1:18">
      <c r="A79" s="1">
        <v>43922</v>
      </c>
      <c r="B79" s="1">
        <v>43922</v>
      </c>
      <c r="C79">
        <v>2020</v>
      </c>
      <c r="D79">
        <v>4</v>
      </c>
      <c r="E79" s="2" t="s">
        <v>7890</v>
      </c>
      <c r="F79" s="2" t="s">
        <v>7891</v>
      </c>
      <c r="G79" s="2" t="s">
        <v>8335</v>
      </c>
      <c r="H79" s="2" t="s">
        <v>22</v>
      </c>
      <c r="I79" s="2" t="s">
        <v>8417</v>
      </c>
      <c r="J79" s="2" t="s">
        <v>24</v>
      </c>
      <c r="M79" s="2" t="s">
        <v>7889</v>
      </c>
      <c r="N79" s="2" t="s">
        <v>7911</v>
      </c>
      <c r="O79" s="2" t="s">
        <v>175</v>
      </c>
      <c r="P79" s="2" t="s">
        <v>175</v>
      </c>
      <c r="Q79" s="2" t="s">
        <v>8476</v>
      </c>
      <c r="R79" s="2" t="s">
        <v>8477</v>
      </c>
    </row>
    <row r="80" spans="1:18">
      <c r="A80" s="1">
        <v>43952</v>
      </c>
      <c r="B80" s="1">
        <v>43952</v>
      </c>
      <c r="C80">
        <v>2020</v>
      </c>
      <c r="D80">
        <v>5</v>
      </c>
      <c r="E80" s="2" t="s">
        <v>8443</v>
      </c>
      <c r="F80" s="2" t="s">
        <v>8444</v>
      </c>
      <c r="G80" s="2" t="s">
        <v>8335</v>
      </c>
      <c r="H80" s="2" t="s">
        <v>22</v>
      </c>
      <c r="I80" s="2" t="s">
        <v>8387</v>
      </c>
      <c r="J80" s="2" t="s">
        <v>24</v>
      </c>
      <c r="K80">
        <v>2.1</v>
      </c>
      <c r="L80">
        <v>210000</v>
      </c>
      <c r="M80" s="2" t="s">
        <v>8392</v>
      </c>
      <c r="N80" s="2" t="s">
        <v>8396</v>
      </c>
      <c r="O80" s="2" t="s">
        <v>4756</v>
      </c>
      <c r="P80" s="2" t="s">
        <v>175</v>
      </c>
      <c r="Q80" s="2" t="s">
        <v>8445</v>
      </c>
      <c r="R80" s="2" t="s">
        <v>30</v>
      </c>
    </row>
    <row r="81" spans="1:18">
      <c r="A81" s="1">
        <v>43952</v>
      </c>
      <c r="B81" s="1">
        <v>43952</v>
      </c>
      <c r="C81">
        <v>2020</v>
      </c>
      <c r="D81">
        <v>5</v>
      </c>
      <c r="E81" s="2" t="s">
        <v>8446</v>
      </c>
      <c r="F81" s="2" t="s">
        <v>8447</v>
      </c>
      <c r="G81" s="2" t="s">
        <v>8335</v>
      </c>
      <c r="H81" s="2" t="s">
        <v>22</v>
      </c>
      <c r="I81" s="2" t="s">
        <v>8387</v>
      </c>
      <c r="J81" s="2" t="s">
        <v>59</v>
      </c>
      <c r="K81">
        <v>2.34</v>
      </c>
      <c r="L81">
        <v>234000</v>
      </c>
      <c r="M81" s="2" t="s">
        <v>8384</v>
      </c>
      <c r="N81" s="2" t="s">
        <v>8389</v>
      </c>
      <c r="O81" s="2" t="s">
        <v>3654</v>
      </c>
      <c r="P81" s="2" t="s">
        <v>175</v>
      </c>
      <c r="Q81" s="2" t="s">
        <v>8445</v>
      </c>
      <c r="R81" s="2" t="s">
        <v>30</v>
      </c>
    </row>
    <row r="82" spans="1:18">
      <c r="A82" s="1">
        <v>43952</v>
      </c>
      <c r="B82" s="1">
        <v>43952</v>
      </c>
      <c r="C82">
        <v>2020</v>
      </c>
      <c r="D82">
        <v>5</v>
      </c>
      <c r="E82" s="2" t="s">
        <v>8448</v>
      </c>
      <c r="F82" s="2" t="s">
        <v>8449</v>
      </c>
      <c r="G82" s="2" t="s">
        <v>8335</v>
      </c>
      <c r="H82" s="2" t="s">
        <v>22</v>
      </c>
      <c r="I82" s="2" t="s">
        <v>8387</v>
      </c>
      <c r="J82" s="2" t="s">
        <v>24</v>
      </c>
      <c r="K82">
        <v>0.24</v>
      </c>
      <c r="L82">
        <v>24000</v>
      </c>
      <c r="M82" s="2" t="s">
        <v>8399</v>
      </c>
      <c r="N82" s="2" t="s">
        <v>8403</v>
      </c>
      <c r="O82" s="2" t="s">
        <v>1650</v>
      </c>
      <c r="P82" s="2" t="s">
        <v>175</v>
      </c>
      <c r="Q82" s="2" t="s">
        <v>8445</v>
      </c>
      <c r="R82" s="2" t="s">
        <v>30</v>
      </c>
    </row>
    <row r="83" spans="1:18">
      <c r="A83" s="1">
        <v>43952</v>
      </c>
      <c r="B83" s="1">
        <v>43952</v>
      </c>
      <c r="C83">
        <v>2020</v>
      </c>
      <c r="D83">
        <v>5</v>
      </c>
      <c r="E83" s="2" t="s">
        <v>8450</v>
      </c>
      <c r="F83" s="2" t="s">
        <v>8451</v>
      </c>
      <c r="G83" s="2" t="s">
        <v>8335</v>
      </c>
      <c r="H83" s="2" t="s">
        <v>22</v>
      </c>
      <c r="I83" s="2" t="s">
        <v>8417</v>
      </c>
      <c r="J83" s="2" t="s">
        <v>24</v>
      </c>
      <c r="K83">
        <v>20.59</v>
      </c>
      <c r="L83">
        <v>2059000</v>
      </c>
      <c r="M83" s="2" t="s">
        <v>8422</v>
      </c>
      <c r="N83" s="2" t="s">
        <v>8426</v>
      </c>
      <c r="O83" s="2" t="s">
        <v>8520</v>
      </c>
      <c r="P83" s="2" t="s">
        <v>175</v>
      </c>
      <c r="Q83" s="2" t="s">
        <v>8445</v>
      </c>
      <c r="R83" s="2" t="s">
        <v>30</v>
      </c>
    </row>
    <row r="84" spans="1:18">
      <c r="A84" s="1">
        <v>43952</v>
      </c>
      <c r="B84" s="1">
        <v>43952</v>
      </c>
      <c r="C84">
        <v>2020</v>
      </c>
      <c r="D84">
        <v>5</v>
      </c>
      <c r="E84" s="2" t="s">
        <v>8453</v>
      </c>
      <c r="F84" s="2" t="s">
        <v>8454</v>
      </c>
      <c r="G84" s="2" t="s">
        <v>8335</v>
      </c>
      <c r="H84" s="2" t="s">
        <v>22</v>
      </c>
      <c r="I84" s="2" t="s">
        <v>8336</v>
      </c>
      <c r="J84" s="2" t="s">
        <v>24</v>
      </c>
      <c r="K84">
        <v>571.79999999999995</v>
      </c>
      <c r="L84">
        <v>57180000</v>
      </c>
      <c r="M84" s="2" t="s">
        <v>8348</v>
      </c>
      <c r="N84" s="2" t="s">
        <v>8352</v>
      </c>
      <c r="O84" s="2" t="s">
        <v>8521</v>
      </c>
      <c r="P84" s="2" t="s">
        <v>175</v>
      </c>
      <c r="Q84" s="2" t="s">
        <v>8445</v>
      </c>
      <c r="R84" s="2" t="s">
        <v>30</v>
      </c>
    </row>
    <row r="85" spans="1:18">
      <c r="A85" s="1">
        <v>43952</v>
      </c>
      <c r="B85" s="1">
        <v>43952</v>
      </c>
      <c r="C85">
        <v>2020</v>
      </c>
      <c r="D85">
        <v>5</v>
      </c>
      <c r="E85" s="2" t="s">
        <v>8456</v>
      </c>
      <c r="F85" s="2" t="s">
        <v>8457</v>
      </c>
      <c r="G85" s="2" t="s">
        <v>8335</v>
      </c>
      <c r="H85" s="2" t="s">
        <v>22</v>
      </c>
      <c r="I85" s="2" t="s">
        <v>8336</v>
      </c>
      <c r="J85" s="2" t="s">
        <v>24</v>
      </c>
      <c r="K85">
        <v>8353.49</v>
      </c>
      <c r="L85">
        <v>835349000</v>
      </c>
      <c r="M85" s="2" t="s">
        <v>8355</v>
      </c>
      <c r="N85" s="2" t="s">
        <v>8359</v>
      </c>
      <c r="O85" s="2" t="s">
        <v>8522</v>
      </c>
      <c r="P85" s="2" t="s">
        <v>175</v>
      </c>
      <c r="Q85" s="2" t="s">
        <v>8445</v>
      </c>
      <c r="R85" s="2" t="s">
        <v>30</v>
      </c>
    </row>
    <row r="86" spans="1:18">
      <c r="A86" s="1">
        <v>43952</v>
      </c>
      <c r="B86" s="1">
        <v>43952</v>
      </c>
      <c r="C86">
        <v>2020</v>
      </c>
      <c r="D86">
        <v>5</v>
      </c>
      <c r="E86" s="2" t="s">
        <v>8459</v>
      </c>
      <c r="F86" s="2" t="s">
        <v>8460</v>
      </c>
      <c r="G86" s="2" t="s">
        <v>8335</v>
      </c>
      <c r="H86" s="2" t="s">
        <v>22</v>
      </c>
      <c r="I86" s="2" t="s">
        <v>8336</v>
      </c>
      <c r="J86" s="2" t="s">
        <v>59</v>
      </c>
      <c r="K86">
        <v>8925.2900000000009</v>
      </c>
      <c r="L86">
        <v>892529000</v>
      </c>
      <c r="M86" s="2" t="s">
        <v>8331</v>
      </c>
      <c r="N86" s="2" t="s">
        <v>8341</v>
      </c>
      <c r="O86" s="2" t="s">
        <v>8523</v>
      </c>
      <c r="P86" s="2" t="s">
        <v>175</v>
      </c>
      <c r="Q86" s="2" t="s">
        <v>8445</v>
      </c>
      <c r="R86" s="2" t="s">
        <v>30</v>
      </c>
    </row>
    <row r="87" spans="1:18">
      <c r="A87" s="1">
        <v>43952</v>
      </c>
      <c r="B87" s="1">
        <v>43952</v>
      </c>
      <c r="C87">
        <v>2020</v>
      </c>
      <c r="D87">
        <v>5</v>
      </c>
      <c r="E87" s="2" t="s">
        <v>8462</v>
      </c>
      <c r="F87" s="2" t="s">
        <v>8463</v>
      </c>
      <c r="G87" s="2" t="s">
        <v>8335</v>
      </c>
      <c r="H87" s="2" t="s">
        <v>22</v>
      </c>
      <c r="I87" s="2" t="s">
        <v>8409</v>
      </c>
      <c r="J87" s="2" t="s">
        <v>24</v>
      </c>
      <c r="K87">
        <v>3.98</v>
      </c>
      <c r="L87">
        <v>398000</v>
      </c>
      <c r="M87" s="2" t="s">
        <v>8406</v>
      </c>
      <c r="N87" s="2" t="s">
        <v>8411</v>
      </c>
      <c r="O87" s="2" t="s">
        <v>8524</v>
      </c>
      <c r="P87" s="2" t="s">
        <v>175</v>
      </c>
      <c r="Q87" s="2" t="s">
        <v>8445</v>
      </c>
      <c r="R87" s="2" t="s">
        <v>30</v>
      </c>
    </row>
    <row r="88" spans="1:18">
      <c r="A88" s="1">
        <v>43952</v>
      </c>
      <c r="B88" s="1">
        <v>43952</v>
      </c>
      <c r="C88">
        <v>2020</v>
      </c>
      <c r="D88">
        <v>5</v>
      </c>
      <c r="E88" s="2" t="s">
        <v>8464</v>
      </c>
      <c r="F88" s="2" t="s">
        <v>8465</v>
      </c>
      <c r="G88" s="2" t="s">
        <v>8335</v>
      </c>
      <c r="H88" s="2" t="s">
        <v>22</v>
      </c>
      <c r="I88" s="2" t="s">
        <v>8417</v>
      </c>
      <c r="J88" s="2" t="s">
        <v>24</v>
      </c>
      <c r="K88">
        <v>43.22</v>
      </c>
      <c r="L88">
        <v>4322000</v>
      </c>
      <c r="M88" s="2" t="s">
        <v>8414</v>
      </c>
      <c r="N88" s="2" t="s">
        <v>8419</v>
      </c>
      <c r="O88" s="2" t="s">
        <v>8525</v>
      </c>
      <c r="P88" s="2" t="s">
        <v>175</v>
      </c>
      <c r="Q88" s="2" t="s">
        <v>8445</v>
      </c>
      <c r="R88" s="2" t="s">
        <v>30</v>
      </c>
    </row>
    <row r="89" spans="1:18">
      <c r="A89" s="1">
        <v>43952</v>
      </c>
      <c r="B89" s="1">
        <v>43952</v>
      </c>
      <c r="C89">
        <v>2020</v>
      </c>
      <c r="D89">
        <v>5</v>
      </c>
      <c r="E89" s="2" t="s">
        <v>8467</v>
      </c>
      <c r="F89" s="2" t="s">
        <v>8468</v>
      </c>
      <c r="G89" s="2" t="s">
        <v>8335</v>
      </c>
      <c r="H89" s="2" t="s">
        <v>22</v>
      </c>
      <c r="I89" s="2" t="s">
        <v>8365</v>
      </c>
      <c r="J89" s="2" t="s">
        <v>24</v>
      </c>
      <c r="K89">
        <v>1493.38</v>
      </c>
      <c r="L89">
        <v>149338000</v>
      </c>
      <c r="M89" s="2" t="s">
        <v>8377</v>
      </c>
      <c r="N89" s="2" t="s">
        <v>8381</v>
      </c>
      <c r="O89" s="2" t="s">
        <v>8526</v>
      </c>
      <c r="P89" s="2" t="s">
        <v>175</v>
      </c>
      <c r="Q89" s="2" t="s">
        <v>8445</v>
      </c>
      <c r="R89" s="2" t="s">
        <v>30</v>
      </c>
    </row>
    <row r="90" spans="1:18">
      <c r="A90" s="1">
        <v>43952</v>
      </c>
      <c r="B90" s="1">
        <v>43952</v>
      </c>
      <c r="C90">
        <v>2020</v>
      </c>
      <c r="D90">
        <v>5</v>
      </c>
      <c r="E90" s="2" t="s">
        <v>8470</v>
      </c>
      <c r="F90" s="2" t="s">
        <v>8471</v>
      </c>
      <c r="G90" s="2" t="s">
        <v>8335</v>
      </c>
      <c r="H90" s="2" t="s">
        <v>22</v>
      </c>
      <c r="I90" s="2" t="s">
        <v>8365</v>
      </c>
      <c r="J90" s="2" t="s">
        <v>59</v>
      </c>
      <c r="K90">
        <v>18794.150000000001</v>
      </c>
      <c r="L90">
        <v>1879415000</v>
      </c>
      <c r="M90" s="2" t="s">
        <v>8362</v>
      </c>
      <c r="N90" s="2" t="s">
        <v>8367</v>
      </c>
      <c r="O90" s="2" t="s">
        <v>8527</v>
      </c>
      <c r="P90" s="2" t="s">
        <v>175</v>
      </c>
      <c r="Q90" s="2" t="s">
        <v>8445</v>
      </c>
      <c r="R90" s="2" t="s">
        <v>30</v>
      </c>
    </row>
    <row r="91" spans="1:18">
      <c r="A91" s="1">
        <v>43952</v>
      </c>
      <c r="B91" s="1">
        <v>43952</v>
      </c>
      <c r="C91">
        <v>2020</v>
      </c>
      <c r="D91">
        <v>5</v>
      </c>
      <c r="E91" s="2" t="s">
        <v>8473</v>
      </c>
      <c r="F91" s="2" t="s">
        <v>8474</v>
      </c>
      <c r="G91" s="2" t="s">
        <v>8335</v>
      </c>
      <c r="H91" s="2" t="s">
        <v>22</v>
      </c>
      <c r="I91" s="2" t="s">
        <v>8365</v>
      </c>
      <c r="J91" s="2" t="s">
        <v>24</v>
      </c>
      <c r="K91">
        <v>17300.77</v>
      </c>
      <c r="L91">
        <v>1730077000</v>
      </c>
      <c r="M91" s="2" t="s">
        <v>8370</v>
      </c>
      <c r="N91" s="2" t="s">
        <v>8374</v>
      </c>
      <c r="O91" s="2" t="s">
        <v>8528</v>
      </c>
      <c r="P91" s="2" t="s">
        <v>175</v>
      </c>
      <c r="Q91" s="2" t="s">
        <v>8445</v>
      </c>
      <c r="R91" s="2" t="s">
        <v>30</v>
      </c>
    </row>
    <row r="92" spans="1:18">
      <c r="A92" s="1">
        <v>43952</v>
      </c>
      <c r="B92" s="1">
        <v>43952</v>
      </c>
      <c r="C92">
        <v>2020</v>
      </c>
      <c r="D92">
        <v>5</v>
      </c>
      <c r="E92" s="2" t="s">
        <v>7890</v>
      </c>
      <c r="F92" s="2" t="s">
        <v>7891</v>
      </c>
      <c r="G92" s="2" t="s">
        <v>8335</v>
      </c>
      <c r="H92" s="2" t="s">
        <v>22</v>
      </c>
      <c r="I92" s="2" t="s">
        <v>8417</v>
      </c>
      <c r="J92" s="2" t="s">
        <v>24</v>
      </c>
      <c r="M92" s="2" t="s">
        <v>7889</v>
      </c>
      <c r="N92" s="2" t="s">
        <v>7911</v>
      </c>
      <c r="O92" s="2" t="s">
        <v>175</v>
      </c>
      <c r="P92" s="2" t="s">
        <v>175</v>
      </c>
      <c r="Q92" s="2" t="s">
        <v>8476</v>
      </c>
      <c r="R92" s="2" t="s">
        <v>8477</v>
      </c>
    </row>
    <row r="93" spans="1:18">
      <c r="A93" s="1">
        <v>43983</v>
      </c>
      <c r="B93" s="1">
        <v>43983</v>
      </c>
      <c r="C93">
        <v>2020</v>
      </c>
      <c r="D93">
        <v>6</v>
      </c>
      <c r="E93" s="2" t="s">
        <v>8443</v>
      </c>
      <c r="F93" s="2" t="s">
        <v>8444</v>
      </c>
      <c r="G93" s="2" t="s">
        <v>8335</v>
      </c>
      <c r="H93" s="2" t="s">
        <v>22</v>
      </c>
      <c r="I93" s="2" t="s">
        <v>8387</v>
      </c>
      <c r="J93" s="2" t="s">
        <v>24</v>
      </c>
      <c r="K93">
        <v>2.1</v>
      </c>
      <c r="L93">
        <v>210000</v>
      </c>
      <c r="M93" s="2" t="s">
        <v>8392</v>
      </c>
      <c r="N93" s="2" t="s">
        <v>8396</v>
      </c>
      <c r="O93" s="2" t="s">
        <v>4756</v>
      </c>
      <c r="P93" s="2" t="s">
        <v>175</v>
      </c>
      <c r="Q93" s="2" t="s">
        <v>8445</v>
      </c>
      <c r="R93" s="2" t="s">
        <v>30</v>
      </c>
    </row>
    <row r="94" spans="1:18">
      <c r="A94" s="1">
        <v>43983</v>
      </c>
      <c r="B94" s="1">
        <v>43983</v>
      </c>
      <c r="C94">
        <v>2020</v>
      </c>
      <c r="D94">
        <v>6</v>
      </c>
      <c r="E94" s="2" t="s">
        <v>8446</v>
      </c>
      <c r="F94" s="2" t="s">
        <v>8447</v>
      </c>
      <c r="G94" s="2" t="s">
        <v>8335</v>
      </c>
      <c r="H94" s="2" t="s">
        <v>22</v>
      </c>
      <c r="I94" s="2" t="s">
        <v>8387</v>
      </c>
      <c r="J94" s="2" t="s">
        <v>59</v>
      </c>
      <c r="K94">
        <v>2.34</v>
      </c>
      <c r="L94">
        <v>234000</v>
      </c>
      <c r="M94" s="2" t="s">
        <v>8384</v>
      </c>
      <c r="N94" s="2" t="s">
        <v>8389</v>
      </c>
      <c r="O94" s="2" t="s">
        <v>3654</v>
      </c>
      <c r="P94" s="2" t="s">
        <v>175</v>
      </c>
      <c r="Q94" s="2" t="s">
        <v>8445</v>
      </c>
      <c r="R94" s="2" t="s">
        <v>30</v>
      </c>
    </row>
    <row r="95" spans="1:18">
      <c r="A95" s="1">
        <v>43983</v>
      </c>
      <c r="B95" s="1">
        <v>43983</v>
      </c>
      <c r="C95">
        <v>2020</v>
      </c>
      <c r="D95">
        <v>6</v>
      </c>
      <c r="E95" s="2" t="s">
        <v>8448</v>
      </c>
      <c r="F95" s="2" t="s">
        <v>8449</v>
      </c>
      <c r="G95" s="2" t="s">
        <v>8335</v>
      </c>
      <c r="H95" s="2" t="s">
        <v>22</v>
      </c>
      <c r="I95" s="2" t="s">
        <v>8387</v>
      </c>
      <c r="J95" s="2" t="s">
        <v>24</v>
      </c>
      <c r="K95">
        <v>0.24</v>
      </c>
      <c r="L95">
        <v>24000</v>
      </c>
      <c r="M95" s="2" t="s">
        <v>8399</v>
      </c>
      <c r="N95" s="2" t="s">
        <v>8403</v>
      </c>
      <c r="O95" s="2" t="s">
        <v>1650</v>
      </c>
      <c r="P95" s="2" t="s">
        <v>175</v>
      </c>
      <c r="Q95" s="2" t="s">
        <v>8445</v>
      </c>
      <c r="R95" s="2" t="s">
        <v>30</v>
      </c>
    </row>
    <row r="96" spans="1:18">
      <c r="A96" s="1">
        <v>43983</v>
      </c>
      <c r="B96" s="1">
        <v>43983</v>
      </c>
      <c r="C96">
        <v>2020</v>
      </c>
      <c r="D96">
        <v>6</v>
      </c>
      <c r="E96" s="2" t="s">
        <v>8450</v>
      </c>
      <c r="F96" s="2" t="s">
        <v>8451</v>
      </c>
      <c r="G96" s="2" t="s">
        <v>8335</v>
      </c>
      <c r="H96" s="2" t="s">
        <v>22</v>
      </c>
      <c r="I96" s="2" t="s">
        <v>8417</v>
      </c>
      <c r="J96" s="2" t="s">
        <v>24</v>
      </c>
      <c r="K96">
        <v>21.51</v>
      </c>
      <c r="L96">
        <v>2151000</v>
      </c>
      <c r="M96" s="2" t="s">
        <v>8422</v>
      </c>
      <c r="N96" s="2" t="s">
        <v>8426</v>
      </c>
      <c r="O96" s="2" t="s">
        <v>8529</v>
      </c>
      <c r="P96" s="2" t="s">
        <v>175</v>
      </c>
      <c r="Q96" s="2" t="s">
        <v>8445</v>
      </c>
      <c r="R96" s="2" t="s">
        <v>30</v>
      </c>
    </row>
    <row r="97" spans="1:18">
      <c r="A97" s="1">
        <v>43983</v>
      </c>
      <c r="B97" s="1">
        <v>43983</v>
      </c>
      <c r="C97">
        <v>2020</v>
      </c>
      <c r="D97">
        <v>6</v>
      </c>
      <c r="E97" s="2" t="s">
        <v>8453</v>
      </c>
      <c r="F97" s="2" t="s">
        <v>8454</v>
      </c>
      <c r="G97" s="2" t="s">
        <v>8335</v>
      </c>
      <c r="H97" s="2" t="s">
        <v>22</v>
      </c>
      <c r="I97" s="2" t="s">
        <v>8336</v>
      </c>
      <c r="J97" s="2" t="s">
        <v>24</v>
      </c>
      <c r="K97">
        <v>572.89</v>
      </c>
      <c r="L97">
        <v>57289000</v>
      </c>
      <c r="M97" s="2" t="s">
        <v>8348</v>
      </c>
      <c r="N97" s="2" t="s">
        <v>8352</v>
      </c>
      <c r="O97" s="2" t="s">
        <v>8530</v>
      </c>
      <c r="P97" s="2" t="s">
        <v>175</v>
      </c>
      <c r="Q97" s="2" t="s">
        <v>8445</v>
      </c>
      <c r="R97" s="2" t="s">
        <v>30</v>
      </c>
    </row>
    <row r="98" spans="1:18">
      <c r="A98" s="1">
        <v>43983</v>
      </c>
      <c r="B98" s="1">
        <v>43983</v>
      </c>
      <c r="C98">
        <v>2020</v>
      </c>
      <c r="D98">
        <v>6</v>
      </c>
      <c r="E98" s="2" t="s">
        <v>8456</v>
      </c>
      <c r="F98" s="2" t="s">
        <v>8457</v>
      </c>
      <c r="G98" s="2" t="s">
        <v>8335</v>
      </c>
      <c r="H98" s="2" t="s">
        <v>22</v>
      </c>
      <c r="I98" s="2" t="s">
        <v>8336</v>
      </c>
      <c r="J98" s="2" t="s">
        <v>24</v>
      </c>
      <c r="K98">
        <v>8454.14</v>
      </c>
      <c r="L98">
        <v>845414000</v>
      </c>
      <c r="M98" s="2" t="s">
        <v>8355</v>
      </c>
      <c r="N98" s="2" t="s">
        <v>8359</v>
      </c>
      <c r="O98" s="2" t="s">
        <v>8531</v>
      </c>
      <c r="P98" s="2" t="s">
        <v>175</v>
      </c>
      <c r="Q98" s="2" t="s">
        <v>8445</v>
      </c>
      <c r="R98" s="2" t="s">
        <v>30</v>
      </c>
    </row>
    <row r="99" spans="1:18">
      <c r="A99" s="1">
        <v>43983</v>
      </c>
      <c r="B99" s="1">
        <v>43983</v>
      </c>
      <c r="C99">
        <v>2020</v>
      </c>
      <c r="D99">
        <v>6</v>
      </c>
      <c r="E99" s="2" t="s">
        <v>8459</v>
      </c>
      <c r="F99" s="2" t="s">
        <v>8460</v>
      </c>
      <c r="G99" s="2" t="s">
        <v>8335</v>
      </c>
      <c r="H99" s="2" t="s">
        <v>22</v>
      </c>
      <c r="I99" s="2" t="s">
        <v>8336</v>
      </c>
      <c r="J99" s="2" t="s">
        <v>59</v>
      </c>
      <c r="K99">
        <v>9027.0300000000007</v>
      </c>
      <c r="L99">
        <v>902703000</v>
      </c>
      <c r="M99" s="2" t="s">
        <v>8331</v>
      </c>
      <c r="N99" s="2" t="s">
        <v>8341</v>
      </c>
      <c r="O99" s="2" t="s">
        <v>8532</v>
      </c>
      <c r="P99" s="2" t="s">
        <v>175</v>
      </c>
      <c r="Q99" s="2" t="s">
        <v>8445</v>
      </c>
      <c r="R99" s="2" t="s">
        <v>30</v>
      </c>
    </row>
    <row r="100" spans="1:18">
      <c r="A100" s="1">
        <v>43983</v>
      </c>
      <c r="B100" s="1">
        <v>43983</v>
      </c>
      <c r="C100">
        <v>2020</v>
      </c>
      <c r="D100">
        <v>6</v>
      </c>
      <c r="E100" s="2" t="s">
        <v>8462</v>
      </c>
      <c r="F100" s="2" t="s">
        <v>8463</v>
      </c>
      <c r="G100" s="2" t="s">
        <v>8335</v>
      </c>
      <c r="H100" s="2" t="s">
        <v>22</v>
      </c>
      <c r="I100" s="2" t="s">
        <v>8409</v>
      </c>
      <c r="J100" s="2" t="s">
        <v>24</v>
      </c>
      <c r="K100">
        <v>4.0999999999999996</v>
      </c>
      <c r="L100">
        <v>410000</v>
      </c>
      <c r="M100" s="2" t="s">
        <v>8406</v>
      </c>
      <c r="N100" s="2" t="s">
        <v>8411</v>
      </c>
      <c r="O100" s="2" t="s">
        <v>8533</v>
      </c>
      <c r="P100" s="2" t="s">
        <v>175</v>
      </c>
      <c r="Q100" s="2" t="s">
        <v>8445</v>
      </c>
      <c r="R100" s="2" t="s">
        <v>30</v>
      </c>
    </row>
    <row r="101" spans="1:18">
      <c r="A101" s="1">
        <v>43983</v>
      </c>
      <c r="B101" s="1">
        <v>43983</v>
      </c>
      <c r="C101">
        <v>2020</v>
      </c>
      <c r="D101">
        <v>6</v>
      </c>
      <c r="E101" s="2" t="s">
        <v>8464</v>
      </c>
      <c r="F101" s="2" t="s">
        <v>8465</v>
      </c>
      <c r="G101" s="2" t="s">
        <v>8335</v>
      </c>
      <c r="H101" s="2" t="s">
        <v>22</v>
      </c>
      <c r="I101" s="2" t="s">
        <v>8417</v>
      </c>
      <c r="J101" s="2" t="s">
        <v>24</v>
      </c>
      <c r="K101">
        <v>43.26</v>
      </c>
      <c r="L101">
        <v>4326000</v>
      </c>
      <c r="M101" s="2" t="s">
        <v>8414</v>
      </c>
      <c r="N101" s="2" t="s">
        <v>8419</v>
      </c>
      <c r="O101" s="2" t="s">
        <v>8534</v>
      </c>
      <c r="P101" s="2" t="s">
        <v>175</v>
      </c>
      <c r="Q101" s="2" t="s">
        <v>8445</v>
      </c>
      <c r="R101" s="2" t="s">
        <v>30</v>
      </c>
    </row>
    <row r="102" spans="1:18">
      <c r="A102" s="1">
        <v>43983</v>
      </c>
      <c r="B102" s="1">
        <v>43983</v>
      </c>
      <c r="C102">
        <v>2020</v>
      </c>
      <c r="D102">
        <v>6</v>
      </c>
      <c r="E102" s="2" t="s">
        <v>8467</v>
      </c>
      <c r="F102" s="2" t="s">
        <v>8468</v>
      </c>
      <c r="G102" s="2" t="s">
        <v>8335</v>
      </c>
      <c r="H102" s="2" t="s">
        <v>22</v>
      </c>
      <c r="I102" s="2" t="s">
        <v>8365</v>
      </c>
      <c r="J102" s="2" t="s">
        <v>24</v>
      </c>
      <c r="K102">
        <v>1454.43</v>
      </c>
      <c r="L102">
        <v>145443000</v>
      </c>
      <c r="M102" s="2" t="s">
        <v>8377</v>
      </c>
      <c r="N102" s="2" t="s">
        <v>8381</v>
      </c>
      <c r="O102" s="2" t="s">
        <v>8535</v>
      </c>
      <c r="P102" s="2" t="s">
        <v>175</v>
      </c>
      <c r="Q102" s="2" t="s">
        <v>8445</v>
      </c>
      <c r="R102" s="2" t="s">
        <v>30</v>
      </c>
    </row>
    <row r="103" spans="1:18">
      <c r="A103" s="1">
        <v>43983</v>
      </c>
      <c r="B103" s="1">
        <v>43983</v>
      </c>
      <c r="C103">
        <v>2020</v>
      </c>
      <c r="D103">
        <v>6</v>
      </c>
      <c r="E103" s="2" t="s">
        <v>8470</v>
      </c>
      <c r="F103" s="2" t="s">
        <v>8471</v>
      </c>
      <c r="G103" s="2" t="s">
        <v>8335</v>
      </c>
      <c r="H103" s="2" t="s">
        <v>22</v>
      </c>
      <c r="I103" s="2" t="s">
        <v>8365</v>
      </c>
      <c r="J103" s="2" t="s">
        <v>59</v>
      </c>
      <c r="K103">
        <v>19008.07</v>
      </c>
      <c r="L103">
        <v>1900807000</v>
      </c>
      <c r="M103" s="2" t="s">
        <v>8362</v>
      </c>
      <c r="N103" s="2" t="s">
        <v>8367</v>
      </c>
      <c r="O103" s="2" t="s">
        <v>8536</v>
      </c>
      <c r="P103" s="2" t="s">
        <v>175</v>
      </c>
      <c r="Q103" s="2" t="s">
        <v>8445</v>
      </c>
      <c r="R103" s="2" t="s">
        <v>30</v>
      </c>
    </row>
    <row r="104" spans="1:18">
      <c r="A104" s="1">
        <v>43983</v>
      </c>
      <c r="B104" s="1">
        <v>43983</v>
      </c>
      <c r="C104">
        <v>2020</v>
      </c>
      <c r="D104">
        <v>6</v>
      </c>
      <c r="E104" s="2" t="s">
        <v>8473</v>
      </c>
      <c r="F104" s="2" t="s">
        <v>8474</v>
      </c>
      <c r="G104" s="2" t="s">
        <v>8335</v>
      </c>
      <c r="H104" s="2" t="s">
        <v>22</v>
      </c>
      <c r="I104" s="2" t="s">
        <v>8365</v>
      </c>
      <c r="J104" s="2" t="s">
        <v>24</v>
      </c>
      <c r="K104">
        <v>17553.64</v>
      </c>
      <c r="L104">
        <v>1755364000</v>
      </c>
      <c r="M104" s="2" t="s">
        <v>8370</v>
      </c>
      <c r="N104" s="2" t="s">
        <v>8374</v>
      </c>
      <c r="O104" s="2" t="s">
        <v>8537</v>
      </c>
      <c r="P104" s="2" t="s">
        <v>175</v>
      </c>
      <c r="Q104" s="2" t="s">
        <v>8445</v>
      </c>
      <c r="R104" s="2" t="s">
        <v>30</v>
      </c>
    </row>
    <row r="105" spans="1:18">
      <c r="A105" s="1">
        <v>43983</v>
      </c>
      <c r="B105" s="1">
        <v>43983</v>
      </c>
      <c r="C105">
        <v>2020</v>
      </c>
      <c r="D105">
        <v>6</v>
      </c>
      <c r="E105" s="2" t="s">
        <v>7890</v>
      </c>
      <c r="F105" s="2" t="s">
        <v>7891</v>
      </c>
      <c r="G105" s="2" t="s">
        <v>8335</v>
      </c>
      <c r="H105" s="2" t="s">
        <v>22</v>
      </c>
      <c r="I105" s="2" t="s">
        <v>8417</v>
      </c>
      <c r="J105" s="2" t="s">
        <v>24</v>
      </c>
      <c r="M105" s="2" t="s">
        <v>7889</v>
      </c>
      <c r="N105" s="2" t="s">
        <v>7911</v>
      </c>
      <c r="O105" s="2" t="s">
        <v>175</v>
      </c>
      <c r="P105" s="2" t="s">
        <v>175</v>
      </c>
      <c r="Q105" s="2" t="s">
        <v>8476</v>
      </c>
      <c r="R105" s="2" t="s">
        <v>8477</v>
      </c>
    </row>
    <row r="106" spans="1:18">
      <c r="A106" s="1">
        <v>44013</v>
      </c>
      <c r="B106" s="1">
        <v>44013</v>
      </c>
      <c r="C106">
        <v>2020</v>
      </c>
      <c r="D106">
        <v>7</v>
      </c>
      <c r="E106" s="2" t="s">
        <v>8443</v>
      </c>
      <c r="F106" s="2" t="s">
        <v>8444</v>
      </c>
      <c r="G106" s="2" t="s">
        <v>8335</v>
      </c>
      <c r="H106" s="2" t="s">
        <v>22</v>
      </c>
      <c r="I106" s="2" t="s">
        <v>8387</v>
      </c>
      <c r="J106" s="2" t="s">
        <v>24</v>
      </c>
      <c r="K106">
        <v>2.1</v>
      </c>
      <c r="L106">
        <v>210000</v>
      </c>
      <c r="M106" s="2" t="s">
        <v>8392</v>
      </c>
      <c r="N106" s="2" t="s">
        <v>8396</v>
      </c>
      <c r="O106" s="2" t="s">
        <v>4756</v>
      </c>
      <c r="P106" s="2" t="s">
        <v>175</v>
      </c>
      <c r="Q106" s="2" t="s">
        <v>8445</v>
      </c>
      <c r="R106" s="2" t="s">
        <v>30</v>
      </c>
    </row>
    <row r="107" spans="1:18">
      <c r="A107" s="1">
        <v>44013</v>
      </c>
      <c r="B107" s="1">
        <v>44013</v>
      </c>
      <c r="C107">
        <v>2020</v>
      </c>
      <c r="D107">
        <v>7</v>
      </c>
      <c r="E107" s="2" t="s">
        <v>8446</v>
      </c>
      <c r="F107" s="2" t="s">
        <v>8447</v>
      </c>
      <c r="G107" s="2" t="s">
        <v>8335</v>
      </c>
      <c r="H107" s="2" t="s">
        <v>22</v>
      </c>
      <c r="I107" s="2" t="s">
        <v>8387</v>
      </c>
      <c r="J107" s="2" t="s">
        <v>59</v>
      </c>
      <c r="K107">
        <v>2.34</v>
      </c>
      <c r="L107">
        <v>234000</v>
      </c>
      <c r="M107" s="2" t="s">
        <v>8384</v>
      </c>
      <c r="N107" s="2" t="s">
        <v>8389</v>
      </c>
      <c r="O107" s="2" t="s">
        <v>3654</v>
      </c>
      <c r="P107" s="2" t="s">
        <v>175</v>
      </c>
      <c r="Q107" s="2" t="s">
        <v>8445</v>
      </c>
      <c r="R107" s="2" t="s">
        <v>30</v>
      </c>
    </row>
    <row r="108" spans="1:18">
      <c r="A108" s="1">
        <v>44013</v>
      </c>
      <c r="B108" s="1">
        <v>44013</v>
      </c>
      <c r="C108">
        <v>2020</v>
      </c>
      <c r="D108">
        <v>7</v>
      </c>
      <c r="E108" s="2" t="s">
        <v>8448</v>
      </c>
      <c r="F108" s="2" t="s">
        <v>8449</v>
      </c>
      <c r="G108" s="2" t="s">
        <v>8335</v>
      </c>
      <c r="H108" s="2" t="s">
        <v>22</v>
      </c>
      <c r="I108" s="2" t="s">
        <v>8387</v>
      </c>
      <c r="J108" s="2" t="s">
        <v>24</v>
      </c>
      <c r="K108">
        <v>0.24</v>
      </c>
      <c r="L108">
        <v>24000</v>
      </c>
      <c r="M108" s="2" t="s">
        <v>8399</v>
      </c>
      <c r="N108" s="2" t="s">
        <v>8403</v>
      </c>
      <c r="O108" s="2" t="s">
        <v>1650</v>
      </c>
      <c r="P108" s="2" t="s">
        <v>175</v>
      </c>
      <c r="Q108" s="2" t="s">
        <v>8445</v>
      </c>
      <c r="R108" s="2" t="s">
        <v>30</v>
      </c>
    </row>
    <row r="109" spans="1:18">
      <c r="A109" s="1">
        <v>44013</v>
      </c>
      <c r="B109" s="1">
        <v>44013</v>
      </c>
      <c r="C109">
        <v>2020</v>
      </c>
      <c r="D109">
        <v>7</v>
      </c>
      <c r="E109" s="2" t="s">
        <v>8450</v>
      </c>
      <c r="F109" s="2" t="s">
        <v>8451</v>
      </c>
      <c r="G109" s="2" t="s">
        <v>8335</v>
      </c>
      <c r="H109" s="2" t="s">
        <v>22</v>
      </c>
      <c r="I109" s="2" t="s">
        <v>8417</v>
      </c>
      <c r="J109" s="2" t="s">
        <v>24</v>
      </c>
      <c r="K109">
        <v>22.37</v>
      </c>
      <c r="L109">
        <v>2237000</v>
      </c>
      <c r="M109" s="2" t="s">
        <v>8422</v>
      </c>
      <c r="N109" s="2" t="s">
        <v>8426</v>
      </c>
      <c r="O109" s="2" t="s">
        <v>8538</v>
      </c>
      <c r="P109" s="2" t="s">
        <v>175</v>
      </c>
      <c r="Q109" s="2" t="s">
        <v>8445</v>
      </c>
      <c r="R109" s="2" t="s">
        <v>30</v>
      </c>
    </row>
    <row r="110" spans="1:18">
      <c r="A110" s="1">
        <v>44013</v>
      </c>
      <c r="B110" s="1">
        <v>44013</v>
      </c>
      <c r="C110">
        <v>2020</v>
      </c>
      <c r="D110">
        <v>7</v>
      </c>
      <c r="E110" s="2" t="s">
        <v>8453</v>
      </c>
      <c r="F110" s="2" t="s">
        <v>8454</v>
      </c>
      <c r="G110" s="2" t="s">
        <v>8335</v>
      </c>
      <c r="H110" s="2" t="s">
        <v>22</v>
      </c>
      <c r="I110" s="2" t="s">
        <v>8336</v>
      </c>
      <c r="J110" s="2" t="s">
        <v>24</v>
      </c>
      <c r="K110">
        <v>576.32000000000005</v>
      </c>
      <c r="L110">
        <v>57632000</v>
      </c>
      <c r="M110" s="2" t="s">
        <v>8348</v>
      </c>
      <c r="N110" s="2" t="s">
        <v>8352</v>
      </c>
      <c r="O110" s="2" t="s">
        <v>8539</v>
      </c>
      <c r="P110" s="2" t="s">
        <v>175</v>
      </c>
      <c r="Q110" s="2" t="s">
        <v>8445</v>
      </c>
      <c r="R110" s="2" t="s">
        <v>30</v>
      </c>
    </row>
    <row r="111" spans="1:18">
      <c r="A111" s="1">
        <v>44013</v>
      </c>
      <c r="B111" s="1">
        <v>44013</v>
      </c>
      <c r="C111">
        <v>2020</v>
      </c>
      <c r="D111">
        <v>7</v>
      </c>
      <c r="E111" s="2" t="s">
        <v>8456</v>
      </c>
      <c r="F111" s="2" t="s">
        <v>8457</v>
      </c>
      <c r="G111" s="2" t="s">
        <v>8335</v>
      </c>
      <c r="H111" s="2" t="s">
        <v>22</v>
      </c>
      <c r="I111" s="2" t="s">
        <v>8336</v>
      </c>
      <c r="J111" s="2" t="s">
        <v>24</v>
      </c>
      <c r="K111">
        <v>8523.5499999999993</v>
      </c>
      <c r="L111">
        <v>852355000</v>
      </c>
      <c r="M111" s="2" t="s">
        <v>8355</v>
      </c>
      <c r="N111" s="2" t="s">
        <v>8359</v>
      </c>
      <c r="O111" s="2" t="s">
        <v>8540</v>
      </c>
      <c r="P111" s="2" t="s">
        <v>175</v>
      </c>
      <c r="Q111" s="2" t="s">
        <v>8445</v>
      </c>
      <c r="R111" s="2" t="s">
        <v>30</v>
      </c>
    </row>
    <row r="112" spans="1:18">
      <c r="A112" s="1">
        <v>44013</v>
      </c>
      <c r="B112" s="1">
        <v>44013</v>
      </c>
      <c r="C112">
        <v>2020</v>
      </c>
      <c r="D112">
        <v>7</v>
      </c>
      <c r="E112" s="2" t="s">
        <v>8459</v>
      </c>
      <c r="F112" s="2" t="s">
        <v>8460</v>
      </c>
      <c r="G112" s="2" t="s">
        <v>8335</v>
      </c>
      <c r="H112" s="2" t="s">
        <v>22</v>
      </c>
      <c r="I112" s="2" t="s">
        <v>8336</v>
      </c>
      <c r="J112" s="2" t="s">
        <v>59</v>
      </c>
      <c r="K112">
        <v>9099.8700000000008</v>
      </c>
      <c r="L112">
        <v>909987000</v>
      </c>
      <c r="M112" s="2" t="s">
        <v>8331</v>
      </c>
      <c r="N112" s="2" t="s">
        <v>8341</v>
      </c>
      <c r="O112" s="2" t="s">
        <v>8541</v>
      </c>
      <c r="P112" s="2" t="s">
        <v>175</v>
      </c>
      <c r="Q112" s="2" t="s">
        <v>8445</v>
      </c>
      <c r="R112" s="2" t="s">
        <v>30</v>
      </c>
    </row>
    <row r="113" spans="1:18">
      <c r="A113" s="1">
        <v>44013</v>
      </c>
      <c r="B113" s="1">
        <v>44013</v>
      </c>
      <c r="C113">
        <v>2020</v>
      </c>
      <c r="D113">
        <v>7</v>
      </c>
      <c r="E113" s="2" t="s">
        <v>8462</v>
      </c>
      <c r="F113" s="2" t="s">
        <v>8463</v>
      </c>
      <c r="G113" s="2" t="s">
        <v>8335</v>
      </c>
      <c r="H113" s="2" t="s">
        <v>22</v>
      </c>
      <c r="I113" s="2" t="s">
        <v>8409</v>
      </c>
      <c r="J113" s="2" t="s">
        <v>24</v>
      </c>
      <c r="K113">
        <v>4.4000000000000004</v>
      </c>
      <c r="L113">
        <v>440000</v>
      </c>
      <c r="M113" s="2" t="s">
        <v>8406</v>
      </c>
      <c r="N113" s="2" t="s">
        <v>8411</v>
      </c>
      <c r="O113" s="2" t="s">
        <v>8542</v>
      </c>
      <c r="P113" s="2" t="s">
        <v>175</v>
      </c>
      <c r="Q113" s="2" t="s">
        <v>8445</v>
      </c>
      <c r="R113" s="2" t="s">
        <v>30</v>
      </c>
    </row>
    <row r="114" spans="1:18">
      <c r="A114" s="1">
        <v>44013</v>
      </c>
      <c r="B114" s="1">
        <v>44013</v>
      </c>
      <c r="C114">
        <v>2020</v>
      </c>
      <c r="D114">
        <v>7</v>
      </c>
      <c r="E114" s="2" t="s">
        <v>8464</v>
      </c>
      <c r="F114" s="2" t="s">
        <v>8465</v>
      </c>
      <c r="G114" s="2" t="s">
        <v>8335</v>
      </c>
      <c r="H114" s="2" t="s">
        <v>22</v>
      </c>
      <c r="I114" s="2" t="s">
        <v>8417</v>
      </c>
      <c r="J114" s="2" t="s">
        <v>24</v>
      </c>
      <c r="K114">
        <v>43.57</v>
      </c>
      <c r="L114">
        <v>4357000</v>
      </c>
      <c r="M114" s="2" t="s">
        <v>8414</v>
      </c>
      <c r="N114" s="2" t="s">
        <v>8419</v>
      </c>
      <c r="O114" s="2" t="s">
        <v>8543</v>
      </c>
      <c r="P114" s="2" t="s">
        <v>175</v>
      </c>
      <c r="Q114" s="2" t="s">
        <v>8445</v>
      </c>
      <c r="R114" s="2" t="s">
        <v>30</v>
      </c>
    </row>
    <row r="115" spans="1:18">
      <c r="A115" s="1">
        <v>44013</v>
      </c>
      <c r="B115" s="1">
        <v>44013</v>
      </c>
      <c r="C115">
        <v>2020</v>
      </c>
      <c r="D115">
        <v>7</v>
      </c>
      <c r="E115" s="2" t="s">
        <v>8467</v>
      </c>
      <c r="F115" s="2" t="s">
        <v>8468</v>
      </c>
      <c r="G115" s="2" t="s">
        <v>8335</v>
      </c>
      <c r="H115" s="2" t="s">
        <v>22</v>
      </c>
      <c r="I115" s="2" t="s">
        <v>8365</v>
      </c>
      <c r="J115" s="2" t="s">
        <v>24</v>
      </c>
      <c r="K115">
        <v>1523.32</v>
      </c>
      <c r="L115">
        <v>152332000</v>
      </c>
      <c r="M115" s="2" t="s">
        <v>8377</v>
      </c>
      <c r="N115" s="2" t="s">
        <v>8381</v>
      </c>
      <c r="O115" s="2" t="s">
        <v>8544</v>
      </c>
      <c r="P115" s="2" t="s">
        <v>175</v>
      </c>
      <c r="Q115" s="2" t="s">
        <v>8445</v>
      </c>
      <c r="R115" s="2" t="s">
        <v>30</v>
      </c>
    </row>
    <row r="116" spans="1:18">
      <c r="A116" s="1">
        <v>44013</v>
      </c>
      <c r="B116" s="1">
        <v>44013</v>
      </c>
      <c r="C116">
        <v>2020</v>
      </c>
      <c r="D116">
        <v>7</v>
      </c>
      <c r="E116" s="2" t="s">
        <v>8470</v>
      </c>
      <c r="F116" s="2" t="s">
        <v>8471</v>
      </c>
      <c r="G116" s="2" t="s">
        <v>8335</v>
      </c>
      <c r="H116" s="2" t="s">
        <v>22</v>
      </c>
      <c r="I116" s="2" t="s">
        <v>8365</v>
      </c>
      <c r="J116" s="2" t="s">
        <v>59</v>
      </c>
      <c r="K116">
        <v>19272.63</v>
      </c>
      <c r="L116">
        <v>1927263000</v>
      </c>
      <c r="M116" s="2" t="s">
        <v>8362</v>
      </c>
      <c r="N116" s="2" t="s">
        <v>8367</v>
      </c>
      <c r="O116" s="2" t="s">
        <v>8545</v>
      </c>
      <c r="P116" s="2" t="s">
        <v>175</v>
      </c>
      <c r="Q116" s="2" t="s">
        <v>8445</v>
      </c>
      <c r="R116" s="2" t="s">
        <v>30</v>
      </c>
    </row>
    <row r="117" spans="1:18">
      <c r="A117" s="1">
        <v>44013</v>
      </c>
      <c r="B117" s="1">
        <v>44013</v>
      </c>
      <c r="C117">
        <v>2020</v>
      </c>
      <c r="D117">
        <v>7</v>
      </c>
      <c r="E117" s="2" t="s">
        <v>8473</v>
      </c>
      <c r="F117" s="2" t="s">
        <v>8474</v>
      </c>
      <c r="G117" s="2" t="s">
        <v>8335</v>
      </c>
      <c r="H117" s="2" t="s">
        <v>22</v>
      </c>
      <c r="I117" s="2" t="s">
        <v>8365</v>
      </c>
      <c r="J117" s="2" t="s">
        <v>24</v>
      </c>
      <c r="K117">
        <v>17749.310000000001</v>
      </c>
      <c r="L117">
        <v>1774931000</v>
      </c>
      <c r="M117" s="2" t="s">
        <v>8370</v>
      </c>
      <c r="N117" s="2" t="s">
        <v>8374</v>
      </c>
      <c r="O117" s="2" t="s">
        <v>8546</v>
      </c>
      <c r="P117" s="2" t="s">
        <v>175</v>
      </c>
      <c r="Q117" s="2" t="s">
        <v>8445</v>
      </c>
      <c r="R117" s="2" t="s">
        <v>30</v>
      </c>
    </row>
    <row r="118" spans="1:18">
      <c r="A118" s="1">
        <v>44013</v>
      </c>
      <c r="B118" s="1">
        <v>44013</v>
      </c>
      <c r="C118">
        <v>2020</v>
      </c>
      <c r="D118">
        <v>7</v>
      </c>
      <c r="E118" s="2" t="s">
        <v>7890</v>
      </c>
      <c r="F118" s="2" t="s">
        <v>7891</v>
      </c>
      <c r="G118" s="2" t="s">
        <v>8335</v>
      </c>
      <c r="H118" s="2" t="s">
        <v>22</v>
      </c>
      <c r="I118" s="2" t="s">
        <v>8417</v>
      </c>
      <c r="J118" s="2" t="s">
        <v>24</v>
      </c>
      <c r="M118" s="2" t="s">
        <v>7889</v>
      </c>
      <c r="N118" s="2" t="s">
        <v>7911</v>
      </c>
      <c r="O118" s="2" t="s">
        <v>175</v>
      </c>
      <c r="P118" s="2" t="s">
        <v>175</v>
      </c>
      <c r="Q118" s="2" t="s">
        <v>8476</v>
      </c>
      <c r="R118" s="2" t="s">
        <v>8477</v>
      </c>
    </row>
    <row r="119" spans="1:18">
      <c r="A119" s="1">
        <v>44044</v>
      </c>
      <c r="B119" s="1">
        <v>44044</v>
      </c>
      <c r="C119">
        <v>2020</v>
      </c>
      <c r="D119">
        <v>8</v>
      </c>
      <c r="E119" s="2" t="s">
        <v>8443</v>
      </c>
      <c r="F119" s="2" t="s">
        <v>8444</v>
      </c>
      <c r="G119" s="2" t="s">
        <v>8335</v>
      </c>
      <c r="H119" s="2" t="s">
        <v>22</v>
      </c>
      <c r="I119" s="2" t="s">
        <v>8387</v>
      </c>
      <c r="J119" s="2" t="s">
        <v>24</v>
      </c>
      <c r="K119">
        <v>2.09</v>
      </c>
      <c r="L119">
        <v>209000</v>
      </c>
      <c r="M119" s="2" t="s">
        <v>8392</v>
      </c>
      <c r="N119" s="2" t="s">
        <v>8396</v>
      </c>
      <c r="O119" s="2" t="s">
        <v>4348</v>
      </c>
      <c r="P119" s="2" t="s">
        <v>175</v>
      </c>
      <c r="Q119" s="2" t="s">
        <v>8445</v>
      </c>
      <c r="R119" s="2" t="s">
        <v>30</v>
      </c>
    </row>
    <row r="120" spans="1:18">
      <c r="A120" s="1">
        <v>44044</v>
      </c>
      <c r="B120" s="1">
        <v>44044</v>
      </c>
      <c r="C120">
        <v>2020</v>
      </c>
      <c r="D120">
        <v>8</v>
      </c>
      <c r="E120" s="2" t="s">
        <v>8446</v>
      </c>
      <c r="F120" s="2" t="s">
        <v>8447</v>
      </c>
      <c r="G120" s="2" t="s">
        <v>8335</v>
      </c>
      <c r="H120" s="2" t="s">
        <v>22</v>
      </c>
      <c r="I120" s="2" t="s">
        <v>8387</v>
      </c>
      <c r="J120" s="2" t="s">
        <v>59</v>
      </c>
      <c r="K120">
        <v>2.33</v>
      </c>
      <c r="L120">
        <v>233000</v>
      </c>
      <c r="M120" s="2" t="s">
        <v>8384</v>
      </c>
      <c r="N120" s="2" t="s">
        <v>8389</v>
      </c>
      <c r="O120" s="2" t="s">
        <v>3842</v>
      </c>
      <c r="P120" s="2" t="s">
        <v>175</v>
      </c>
      <c r="Q120" s="2" t="s">
        <v>8445</v>
      </c>
      <c r="R120" s="2" t="s">
        <v>30</v>
      </c>
    </row>
    <row r="121" spans="1:18">
      <c r="A121" s="1">
        <v>44044</v>
      </c>
      <c r="B121" s="1">
        <v>44044</v>
      </c>
      <c r="C121">
        <v>2020</v>
      </c>
      <c r="D121">
        <v>8</v>
      </c>
      <c r="E121" s="2" t="s">
        <v>8448</v>
      </c>
      <c r="F121" s="2" t="s">
        <v>8449</v>
      </c>
      <c r="G121" s="2" t="s">
        <v>8335</v>
      </c>
      <c r="H121" s="2" t="s">
        <v>22</v>
      </c>
      <c r="I121" s="2" t="s">
        <v>8387</v>
      </c>
      <c r="J121" s="2" t="s">
        <v>24</v>
      </c>
      <c r="K121">
        <v>0.24</v>
      </c>
      <c r="L121">
        <v>24000</v>
      </c>
      <c r="M121" s="2" t="s">
        <v>8399</v>
      </c>
      <c r="N121" s="2" t="s">
        <v>8403</v>
      </c>
      <c r="O121" s="2" t="s">
        <v>1650</v>
      </c>
      <c r="P121" s="2" t="s">
        <v>175</v>
      </c>
      <c r="Q121" s="2" t="s">
        <v>8445</v>
      </c>
      <c r="R121" s="2" t="s">
        <v>30</v>
      </c>
    </row>
    <row r="122" spans="1:18">
      <c r="A122" s="1">
        <v>44044</v>
      </c>
      <c r="B122" s="1">
        <v>44044</v>
      </c>
      <c r="C122">
        <v>2020</v>
      </c>
      <c r="D122">
        <v>8</v>
      </c>
      <c r="E122" s="2" t="s">
        <v>8450</v>
      </c>
      <c r="F122" s="2" t="s">
        <v>8451</v>
      </c>
      <c r="G122" s="2" t="s">
        <v>8335</v>
      </c>
      <c r="H122" s="2" t="s">
        <v>22</v>
      </c>
      <c r="I122" s="2" t="s">
        <v>8417</v>
      </c>
      <c r="J122" s="2" t="s">
        <v>24</v>
      </c>
      <c r="K122">
        <v>22.99</v>
      </c>
      <c r="L122">
        <v>2299000</v>
      </c>
      <c r="M122" s="2" t="s">
        <v>8422</v>
      </c>
      <c r="N122" s="2" t="s">
        <v>8426</v>
      </c>
      <c r="O122" s="2" t="s">
        <v>8547</v>
      </c>
      <c r="P122" s="2" t="s">
        <v>175</v>
      </c>
      <c r="Q122" s="2" t="s">
        <v>8445</v>
      </c>
      <c r="R122" s="2" t="s">
        <v>30</v>
      </c>
    </row>
    <row r="123" spans="1:18">
      <c r="A123" s="1">
        <v>44044</v>
      </c>
      <c r="B123" s="1">
        <v>44044</v>
      </c>
      <c r="C123">
        <v>2020</v>
      </c>
      <c r="D123">
        <v>8</v>
      </c>
      <c r="E123" s="2" t="s">
        <v>8453</v>
      </c>
      <c r="F123" s="2" t="s">
        <v>8454</v>
      </c>
      <c r="G123" s="2" t="s">
        <v>8335</v>
      </c>
      <c r="H123" s="2" t="s">
        <v>22</v>
      </c>
      <c r="I123" s="2" t="s">
        <v>8336</v>
      </c>
      <c r="J123" s="2" t="s">
        <v>24</v>
      </c>
      <c r="K123">
        <v>578.30999999999995</v>
      </c>
      <c r="L123">
        <v>57831000</v>
      </c>
      <c r="M123" s="2" t="s">
        <v>8348</v>
      </c>
      <c r="N123" s="2" t="s">
        <v>8352</v>
      </c>
      <c r="O123" s="2" t="s">
        <v>8548</v>
      </c>
      <c r="P123" s="2" t="s">
        <v>175</v>
      </c>
      <c r="Q123" s="2" t="s">
        <v>8445</v>
      </c>
      <c r="R123" s="2" t="s">
        <v>30</v>
      </c>
    </row>
    <row r="124" spans="1:18">
      <c r="A124" s="1">
        <v>44044</v>
      </c>
      <c r="B124" s="1">
        <v>44044</v>
      </c>
      <c r="C124">
        <v>2020</v>
      </c>
      <c r="D124">
        <v>8</v>
      </c>
      <c r="E124" s="2" t="s">
        <v>8456</v>
      </c>
      <c r="F124" s="2" t="s">
        <v>8457</v>
      </c>
      <c r="G124" s="2" t="s">
        <v>8335</v>
      </c>
      <c r="H124" s="2" t="s">
        <v>22</v>
      </c>
      <c r="I124" s="2" t="s">
        <v>8336</v>
      </c>
      <c r="J124" s="2" t="s">
        <v>24</v>
      </c>
      <c r="K124">
        <v>8553.73</v>
      </c>
      <c r="L124">
        <v>855373000</v>
      </c>
      <c r="M124" s="2" t="s">
        <v>8355</v>
      </c>
      <c r="N124" s="2" t="s">
        <v>8359</v>
      </c>
      <c r="O124" s="2" t="s">
        <v>8549</v>
      </c>
      <c r="P124" s="2" t="s">
        <v>175</v>
      </c>
      <c r="Q124" s="2" t="s">
        <v>8445</v>
      </c>
      <c r="R124" s="2" t="s">
        <v>30</v>
      </c>
    </row>
    <row r="125" spans="1:18">
      <c r="A125" s="1">
        <v>44044</v>
      </c>
      <c r="B125" s="1">
        <v>44044</v>
      </c>
      <c r="C125">
        <v>2020</v>
      </c>
      <c r="D125">
        <v>8</v>
      </c>
      <c r="E125" s="2" t="s">
        <v>8459</v>
      </c>
      <c r="F125" s="2" t="s">
        <v>8460</v>
      </c>
      <c r="G125" s="2" t="s">
        <v>8335</v>
      </c>
      <c r="H125" s="2" t="s">
        <v>22</v>
      </c>
      <c r="I125" s="2" t="s">
        <v>8336</v>
      </c>
      <c r="J125" s="2" t="s">
        <v>59</v>
      </c>
      <c r="K125">
        <v>9132.0300000000007</v>
      </c>
      <c r="L125">
        <v>913203000</v>
      </c>
      <c r="M125" s="2" t="s">
        <v>8331</v>
      </c>
      <c r="N125" s="2" t="s">
        <v>8341</v>
      </c>
      <c r="O125" s="2" t="s">
        <v>8550</v>
      </c>
      <c r="P125" s="2" t="s">
        <v>175</v>
      </c>
      <c r="Q125" s="2" t="s">
        <v>8445</v>
      </c>
      <c r="R125" s="2" t="s">
        <v>30</v>
      </c>
    </row>
    <row r="126" spans="1:18">
      <c r="A126" s="1">
        <v>44044</v>
      </c>
      <c r="B126" s="1">
        <v>44044</v>
      </c>
      <c r="C126">
        <v>2020</v>
      </c>
      <c r="D126">
        <v>8</v>
      </c>
      <c r="E126" s="2" t="s">
        <v>8462</v>
      </c>
      <c r="F126" s="2" t="s">
        <v>8463</v>
      </c>
      <c r="G126" s="2" t="s">
        <v>8335</v>
      </c>
      <c r="H126" s="2" t="s">
        <v>22</v>
      </c>
      <c r="I126" s="2" t="s">
        <v>8409</v>
      </c>
      <c r="J126" s="2" t="s">
        <v>24</v>
      </c>
      <c r="K126">
        <v>4.41</v>
      </c>
      <c r="L126">
        <v>441000</v>
      </c>
      <c r="M126" s="2" t="s">
        <v>8406</v>
      </c>
      <c r="N126" s="2" t="s">
        <v>8411</v>
      </c>
      <c r="O126" s="2" t="s">
        <v>8551</v>
      </c>
      <c r="P126" s="2" t="s">
        <v>175</v>
      </c>
      <c r="Q126" s="2" t="s">
        <v>8445</v>
      </c>
      <c r="R126" s="2" t="s">
        <v>30</v>
      </c>
    </row>
    <row r="127" spans="1:18">
      <c r="A127" s="1">
        <v>44044</v>
      </c>
      <c r="B127" s="1">
        <v>44044</v>
      </c>
      <c r="C127">
        <v>2020</v>
      </c>
      <c r="D127">
        <v>8</v>
      </c>
      <c r="E127" s="2" t="s">
        <v>8464</v>
      </c>
      <c r="F127" s="2" t="s">
        <v>8465</v>
      </c>
      <c r="G127" s="2" t="s">
        <v>8335</v>
      </c>
      <c r="H127" s="2" t="s">
        <v>22</v>
      </c>
      <c r="I127" s="2" t="s">
        <v>8417</v>
      </c>
      <c r="J127" s="2" t="s">
        <v>24</v>
      </c>
      <c r="K127">
        <v>43.55</v>
      </c>
      <c r="L127">
        <v>4355000</v>
      </c>
      <c r="M127" s="2" t="s">
        <v>8414</v>
      </c>
      <c r="N127" s="2" t="s">
        <v>8419</v>
      </c>
      <c r="O127" s="2" t="s">
        <v>8552</v>
      </c>
      <c r="P127" s="2" t="s">
        <v>175</v>
      </c>
      <c r="Q127" s="2" t="s">
        <v>8445</v>
      </c>
      <c r="R127" s="2" t="s">
        <v>30</v>
      </c>
    </row>
    <row r="128" spans="1:18">
      <c r="A128" s="1">
        <v>44044</v>
      </c>
      <c r="B128" s="1">
        <v>44044</v>
      </c>
      <c r="C128">
        <v>2020</v>
      </c>
      <c r="D128">
        <v>8</v>
      </c>
      <c r="E128" s="2" t="s">
        <v>8467</v>
      </c>
      <c r="F128" s="2" t="s">
        <v>8468</v>
      </c>
      <c r="G128" s="2" t="s">
        <v>8335</v>
      </c>
      <c r="H128" s="2" t="s">
        <v>22</v>
      </c>
      <c r="I128" s="2" t="s">
        <v>8365</v>
      </c>
      <c r="J128" s="2" t="s">
        <v>24</v>
      </c>
      <c r="K128">
        <v>1651.58</v>
      </c>
      <c r="L128">
        <v>165158000</v>
      </c>
      <c r="M128" s="2" t="s">
        <v>8377</v>
      </c>
      <c r="N128" s="2" t="s">
        <v>8381</v>
      </c>
      <c r="O128" s="2" t="s">
        <v>8553</v>
      </c>
      <c r="P128" s="2" t="s">
        <v>175</v>
      </c>
      <c r="Q128" s="2" t="s">
        <v>8445</v>
      </c>
      <c r="R128" s="2" t="s">
        <v>30</v>
      </c>
    </row>
    <row r="129" spans="1:18">
      <c r="A129" s="1">
        <v>44044</v>
      </c>
      <c r="B129" s="1">
        <v>44044</v>
      </c>
      <c r="C129">
        <v>2020</v>
      </c>
      <c r="D129">
        <v>8</v>
      </c>
      <c r="E129" s="2" t="s">
        <v>8470</v>
      </c>
      <c r="F129" s="2" t="s">
        <v>8471</v>
      </c>
      <c r="G129" s="2" t="s">
        <v>8335</v>
      </c>
      <c r="H129" s="2" t="s">
        <v>22</v>
      </c>
      <c r="I129" s="2" t="s">
        <v>8365</v>
      </c>
      <c r="J129" s="2" t="s">
        <v>59</v>
      </c>
      <c r="K129">
        <v>20134.060000000001</v>
      </c>
      <c r="L129">
        <v>2013406000</v>
      </c>
      <c r="M129" s="2" t="s">
        <v>8362</v>
      </c>
      <c r="N129" s="2" t="s">
        <v>8367</v>
      </c>
      <c r="O129" s="2" t="s">
        <v>8554</v>
      </c>
      <c r="P129" s="2" t="s">
        <v>175</v>
      </c>
      <c r="Q129" s="2" t="s">
        <v>8445</v>
      </c>
      <c r="R129" s="2" t="s">
        <v>30</v>
      </c>
    </row>
    <row r="130" spans="1:18">
      <c r="A130" s="1">
        <v>44044</v>
      </c>
      <c r="B130" s="1">
        <v>44044</v>
      </c>
      <c r="C130">
        <v>2020</v>
      </c>
      <c r="D130">
        <v>8</v>
      </c>
      <c r="E130" s="2" t="s">
        <v>8473</v>
      </c>
      <c r="F130" s="2" t="s">
        <v>8474</v>
      </c>
      <c r="G130" s="2" t="s">
        <v>8335</v>
      </c>
      <c r="H130" s="2" t="s">
        <v>22</v>
      </c>
      <c r="I130" s="2" t="s">
        <v>8365</v>
      </c>
      <c r="J130" s="2" t="s">
        <v>24</v>
      </c>
      <c r="K130">
        <v>18482.490000000002</v>
      </c>
      <c r="L130">
        <v>1848249000</v>
      </c>
      <c r="M130" s="2" t="s">
        <v>8370</v>
      </c>
      <c r="N130" s="2" t="s">
        <v>8374</v>
      </c>
      <c r="O130" s="2" t="s">
        <v>8555</v>
      </c>
      <c r="P130" s="2" t="s">
        <v>175</v>
      </c>
      <c r="Q130" s="2" t="s">
        <v>8445</v>
      </c>
      <c r="R130" s="2" t="s">
        <v>30</v>
      </c>
    </row>
    <row r="131" spans="1:18">
      <c r="A131" s="1">
        <v>44044</v>
      </c>
      <c r="B131" s="1">
        <v>44044</v>
      </c>
      <c r="C131">
        <v>2020</v>
      </c>
      <c r="D131">
        <v>8</v>
      </c>
      <c r="E131" s="2" t="s">
        <v>7890</v>
      </c>
      <c r="F131" s="2" t="s">
        <v>7891</v>
      </c>
      <c r="G131" s="2" t="s">
        <v>8335</v>
      </c>
      <c r="H131" s="2" t="s">
        <v>22</v>
      </c>
      <c r="I131" s="2" t="s">
        <v>8417</v>
      </c>
      <c r="J131" s="2" t="s">
        <v>24</v>
      </c>
      <c r="M131" s="2" t="s">
        <v>7889</v>
      </c>
      <c r="N131" s="2" t="s">
        <v>7911</v>
      </c>
      <c r="O131" s="2" t="s">
        <v>175</v>
      </c>
      <c r="P131" s="2" t="s">
        <v>175</v>
      </c>
      <c r="Q131" s="2" t="s">
        <v>8476</v>
      </c>
      <c r="R131" s="2" t="s">
        <v>8477</v>
      </c>
    </row>
    <row r="132" spans="1:18">
      <c r="A132" s="1">
        <v>44075</v>
      </c>
      <c r="B132" s="1">
        <v>44075</v>
      </c>
      <c r="C132">
        <v>2020</v>
      </c>
      <c r="D132">
        <v>9</v>
      </c>
      <c r="E132" s="2" t="s">
        <v>8443</v>
      </c>
      <c r="F132" s="2" t="s">
        <v>8444</v>
      </c>
      <c r="G132" s="2" t="s">
        <v>8335</v>
      </c>
      <c r="H132" s="2" t="s">
        <v>22</v>
      </c>
      <c r="I132" s="2" t="s">
        <v>8387</v>
      </c>
      <c r="J132" s="2" t="s">
        <v>24</v>
      </c>
      <c r="K132">
        <v>2.1</v>
      </c>
      <c r="L132">
        <v>210000</v>
      </c>
      <c r="M132" s="2" t="s">
        <v>8392</v>
      </c>
      <c r="N132" s="2" t="s">
        <v>8396</v>
      </c>
      <c r="O132" s="2" t="s">
        <v>4756</v>
      </c>
      <c r="P132" s="2" t="s">
        <v>175</v>
      </c>
      <c r="Q132" s="2" t="s">
        <v>8445</v>
      </c>
      <c r="R132" s="2" t="s">
        <v>30</v>
      </c>
    </row>
    <row r="133" spans="1:18">
      <c r="A133" s="1">
        <v>44075</v>
      </c>
      <c r="B133" s="1">
        <v>44075</v>
      </c>
      <c r="C133">
        <v>2020</v>
      </c>
      <c r="D133">
        <v>9</v>
      </c>
      <c r="E133" s="2" t="s">
        <v>8446</v>
      </c>
      <c r="F133" s="2" t="s">
        <v>8447</v>
      </c>
      <c r="G133" s="2" t="s">
        <v>8335</v>
      </c>
      <c r="H133" s="2" t="s">
        <v>22</v>
      </c>
      <c r="I133" s="2" t="s">
        <v>8387</v>
      </c>
      <c r="J133" s="2" t="s">
        <v>59</v>
      </c>
      <c r="K133">
        <v>2.34</v>
      </c>
      <c r="L133">
        <v>234000</v>
      </c>
      <c r="M133" s="2" t="s">
        <v>8384</v>
      </c>
      <c r="N133" s="2" t="s">
        <v>8389</v>
      </c>
      <c r="O133" s="2" t="s">
        <v>3654</v>
      </c>
      <c r="P133" s="2" t="s">
        <v>175</v>
      </c>
      <c r="Q133" s="2" t="s">
        <v>8445</v>
      </c>
      <c r="R133" s="2" t="s">
        <v>30</v>
      </c>
    </row>
    <row r="134" spans="1:18">
      <c r="A134" s="1">
        <v>44075</v>
      </c>
      <c r="B134" s="1">
        <v>44075</v>
      </c>
      <c r="C134">
        <v>2020</v>
      </c>
      <c r="D134">
        <v>9</v>
      </c>
      <c r="E134" s="2" t="s">
        <v>8448</v>
      </c>
      <c r="F134" s="2" t="s">
        <v>8449</v>
      </c>
      <c r="G134" s="2" t="s">
        <v>8335</v>
      </c>
      <c r="H134" s="2" t="s">
        <v>22</v>
      </c>
      <c r="I134" s="2" t="s">
        <v>8387</v>
      </c>
      <c r="J134" s="2" t="s">
        <v>24</v>
      </c>
      <c r="K134">
        <v>0.24</v>
      </c>
      <c r="L134">
        <v>24000</v>
      </c>
      <c r="M134" s="2" t="s">
        <v>8399</v>
      </c>
      <c r="N134" s="2" t="s">
        <v>8403</v>
      </c>
      <c r="O134" s="2" t="s">
        <v>1650</v>
      </c>
      <c r="P134" s="2" t="s">
        <v>175</v>
      </c>
      <c r="Q134" s="2" t="s">
        <v>8445</v>
      </c>
      <c r="R134" s="2" t="s">
        <v>30</v>
      </c>
    </row>
    <row r="135" spans="1:18">
      <c r="A135" s="1">
        <v>44075</v>
      </c>
      <c r="B135" s="1">
        <v>44075</v>
      </c>
      <c r="C135">
        <v>2020</v>
      </c>
      <c r="D135">
        <v>9</v>
      </c>
      <c r="E135" s="2" t="s">
        <v>8450</v>
      </c>
      <c r="F135" s="2" t="s">
        <v>8451</v>
      </c>
      <c r="G135" s="2" t="s">
        <v>8335</v>
      </c>
      <c r="H135" s="2" t="s">
        <v>22</v>
      </c>
      <c r="I135" s="2" t="s">
        <v>8417</v>
      </c>
      <c r="J135" s="2" t="s">
        <v>24</v>
      </c>
      <c r="K135">
        <v>22.99</v>
      </c>
      <c r="L135">
        <v>2299000</v>
      </c>
      <c r="M135" s="2" t="s">
        <v>8422</v>
      </c>
      <c r="N135" s="2" t="s">
        <v>8426</v>
      </c>
      <c r="O135" s="2" t="s">
        <v>8547</v>
      </c>
      <c r="P135" s="2" t="s">
        <v>175</v>
      </c>
      <c r="Q135" s="2" t="s">
        <v>8445</v>
      </c>
      <c r="R135" s="2" t="s">
        <v>30</v>
      </c>
    </row>
    <row r="136" spans="1:18">
      <c r="A136" s="1">
        <v>44075</v>
      </c>
      <c r="B136" s="1">
        <v>44075</v>
      </c>
      <c r="C136">
        <v>2020</v>
      </c>
      <c r="D136">
        <v>9</v>
      </c>
      <c r="E136" s="2" t="s">
        <v>8453</v>
      </c>
      <c r="F136" s="2" t="s">
        <v>8454</v>
      </c>
      <c r="G136" s="2" t="s">
        <v>8335</v>
      </c>
      <c r="H136" s="2" t="s">
        <v>22</v>
      </c>
      <c r="I136" s="2" t="s">
        <v>8336</v>
      </c>
      <c r="J136" s="2" t="s">
        <v>24</v>
      </c>
      <c r="K136">
        <v>586.94000000000005</v>
      </c>
      <c r="L136">
        <v>58694000</v>
      </c>
      <c r="M136" s="2" t="s">
        <v>8348</v>
      </c>
      <c r="N136" s="2" t="s">
        <v>8352</v>
      </c>
      <c r="O136" s="2" t="s">
        <v>8556</v>
      </c>
      <c r="P136" s="2" t="s">
        <v>175</v>
      </c>
      <c r="Q136" s="2" t="s">
        <v>8445</v>
      </c>
      <c r="R136" s="2" t="s">
        <v>30</v>
      </c>
    </row>
    <row r="137" spans="1:18">
      <c r="A137" s="1">
        <v>44075</v>
      </c>
      <c r="B137" s="1">
        <v>44075</v>
      </c>
      <c r="C137">
        <v>2020</v>
      </c>
      <c r="D137">
        <v>9</v>
      </c>
      <c r="E137" s="2" t="s">
        <v>8456</v>
      </c>
      <c r="F137" s="2" t="s">
        <v>8457</v>
      </c>
      <c r="G137" s="2" t="s">
        <v>8335</v>
      </c>
      <c r="H137" s="2" t="s">
        <v>22</v>
      </c>
      <c r="I137" s="2" t="s">
        <v>8336</v>
      </c>
      <c r="J137" s="2" t="s">
        <v>24</v>
      </c>
      <c r="K137">
        <v>8654.35</v>
      </c>
      <c r="L137">
        <v>865435000</v>
      </c>
      <c r="M137" s="2" t="s">
        <v>8355</v>
      </c>
      <c r="N137" s="2" t="s">
        <v>8359</v>
      </c>
      <c r="O137" s="2" t="s">
        <v>8557</v>
      </c>
      <c r="P137" s="2" t="s">
        <v>175</v>
      </c>
      <c r="Q137" s="2" t="s">
        <v>8445</v>
      </c>
      <c r="R137" s="2" t="s">
        <v>30</v>
      </c>
    </row>
    <row r="138" spans="1:18">
      <c r="A138" s="1">
        <v>44075</v>
      </c>
      <c r="B138" s="1">
        <v>44075</v>
      </c>
      <c r="C138">
        <v>2020</v>
      </c>
      <c r="D138">
        <v>9</v>
      </c>
      <c r="E138" s="2" t="s">
        <v>8459</v>
      </c>
      <c r="F138" s="2" t="s">
        <v>8460</v>
      </c>
      <c r="G138" s="2" t="s">
        <v>8335</v>
      </c>
      <c r="H138" s="2" t="s">
        <v>22</v>
      </c>
      <c r="I138" s="2" t="s">
        <v>8336</v>
      </c>
      <c r="J138" s="2" t="s">
        <v>59</v>
      </c>
      <c r="K138">
        <v>9241.2900000000009</v>
      </c>
      <c r="L138">
        <v>924129000</v>
      </c>
      <c r="M138" s="2" t="s">
        <v>8331</v>
      </c>
      <c r="N138" s="2" t="s">
        <v>8341</v>
      </c>
      <c r="O138" s="2" t="s">
        <v>8558</v>
      </c>
      <c r="P138" s="2" t="s">
        <v>175</v>
      </c>
      <c r="Q138" s="2" t="s">
        <v>8445</v>
      </c>
      <c r="R138" s="2" t="s">
        <v>30</v>
      </c>
    </row>
    <row r="139" spans="1:18">
      <c r="A139" s="1">
        <v>44075</v>
      </c>
      <c r="B139" s="1">
        <v>44075</v>
      </c>
      <c r="C139">
        <v>2020</v>
      </c>
      <c r="D139">
        <v>9</v>
      </c>
      <c r="E139" s="2" t="s">
        <v>8462</v>
      </c>
      <c r="F139" s="2" t="s">
        <v>8463</v>
      </c>
      <c r="G139" s="2" t="s">
        <v>8335</v>
      </c>
      <c r="H139" s="2" t="s">
        <v>22</v>
      </c>
      <c r="I139" s="2" t="s">
        <v>8409</v>
      </c>
      <c r="J139" s="2" t="s">
        <v>24</v>
      </c>
      <c r="K139">
        <v>4.62</v>
      </c>
      <c r="L139">
        <v>462000</v>
      </c>
      <c r="M139" s="2" t="s">
        <v>8406</v>
      </c>
      <c r="N139" s="2" t="s">
        <v>8411</v>
      </c>
      <c r="O139" s="2" t="s">
        <v>8559</v>
      </c>
      <c r="P139" s="2" t="s">
        <v>175</v>
      </c>
      <c r="Q139" s="2" t="s">
        <v>8445</v>
      </c>
      <c r="R139" s="2" t="s">
        <v>30</v>
      </c>
    </row>
    <row r="140" spans="1:18">
      <c r="A140" s="1">
        <v>44075</v>
      </c>
      <c r="B140" s="1">
        <v>44075</v>
      </c>
      <c r="C140">
        <v>2020</v>
      </c>
      <c r="D140">
        <v>9</v>
      </c>
      <c r="E140" s="2" t="s">
        <v>8464</v>
      </c>
      <c r="F140" s="2" t="s">
        <v>8465</v>
      </c>
      <c r="G140" s="2" t="s">
        <v>8335</v>
      </c>
      <c r="H140" s="2" t="s">
        <v>22</v>
      </c>
      <c r="I140" s="2" t="s">
        <v>8417</v>
      </c>
      <c r="J140" s="2" t="s">
        <v>24</v>
      </c>
      <c r="K140">
        <v>44.23</v>
      </c>
      <c r="L140">
        <v>4423000</v>
      </c>
      <c r="M140" s="2" t="s">
        <v>8414</v>
      </c>
      <c r="N140" s="2" t="s">
        <v>8419</v>
      </c>
      <c r="O140" s="2" t="s">
        <v>8560</v>
      </c>
      <c r="P140" s="2" t="s">
        <v>175</v>
      </c>
      <c r="Q140" s="2" t="s">
        <v>8445</v>
      </c>
      <c r="R140" s="2" t="s">
        <v>30</v>
      </c>
    </row>
    <row r="141" spans="1:18">
      <c r="A141" s="1">
        <v>44075</v>
      </c>
      <c r="B141" s="1">
        <v>44075</v>
      </c>
      <c r="C141">
        <v>2020</v>
      </c>
      <c r="D141">
        <v>9</v>
      </c>
      <c r="E141" s="2" t="s">
        <v>8467</v>
      </c>
      <c r="F141" s="2" t="s">
        <v>8468</v>
      </c>
      <c r="G141" s="2" t="s">
        <v>8335</v>
      </c>
      <c r="H141" s="2" t="s">
        <v>22</v>
      </c>
      <c r="I141" s="2" t="s">
        <v>8365</v>
      </c>
      <c r="J141" s="2" t="s">
        <v>24</v>
      </c>
      <c r="K141">
        <v>1672.48</v>
      </c>
      <c r="L141">
        <v>167248000</v>
      </c>
      <c r="M141" s="2" t="s">
        <v>8377</v>
      </c>
      <c r="N141" s="2" t="s">
        <v>8381</v>
      </c>
      <c r="O141" s="2" t="s">
        <v>8561</v>
      </c>
      <c r="P141" s="2" t="s">
        <v>175</v>
      </c>
      <c r="Q141" s="2" t="s">
        <v>8445</v>
      </c>
      <c r="R141" s="2" t="s">
        <v>30</v>
      </c>
    </row>
    <row r="142" spans="1:18">
      <c r="A142" s="1">
        <v>44075</v>
      </c>
      <c r="B142" s="1">
        <v>44075</v>
      </c>
      <c r="C142">
        <v>2020</v>
      </c>
      <c r="D142">
        <v>9</v>
      </c>
      <c r="E142" s="2" t="s">
        <v>8470</v>
      </c>
      <c r="F142" s="2" t="s">
        <v>8471</v>
      </c>
      <c r="G142" s="2" t="s">
        <v>8335</v>
      </c>
      <c r="H142" s="2" t="s">
        <v>22</v>
      </c>
      <c r="I142" s="2" t="s">
        <v>8365</v>
      </c>
      <c r="J142" s="2" t="s">
        <v>59</v>
      </c>
      <c r="K142">
        <v>19960.47</v>
      </c>
      <c r="L142">
        <v>1996047000</v>
      </c>
      <c r="M142" s="2" t="s">
        <v>8362</v>
      </c>
      <c r="N142" s="2" t="s">
        <v>8367</v>
      </c>
      <c r="O142" s="2" t="s">
        <v>8562</v>
      </c>
      <c r="P142" s="2" t="s">
        <v>175</v>
      </c>
      <c r="Q142" s="2" t="s">
        <v>8445</v>
      </c>
      <c r="R142" s="2" t="s">
        <v>30</v>
      </c>
    </row>
    <row r="143" spans="1:18">
      <c r="A143" s="1">
        <v>44075</v>
      </c>
      <c r="B143" s="1">
        <v>44075</v>
      </c>
      <c r="C143">
        <v>2020</v>
      </c>
      <c r="D143">
        <v>9</v>
      </c>
      <c r="E143" s="2" t="s">
        <v>8473</v>
      </c>
      <c r="F143" s="2" t="s">
        <v>8474</v>
      </c>
      <c r="G143" s="2" t="s">
        <v>8335</v>
      </c>
      <c r="H143" s="2" t="s">
        <v>22</v>
      </c>
      <c r="I143" s="2" t="s">
        <v>8365</v>
      </c>
      <c r="J143" s="2" t="s">
        <v>24</v>
      </c>
      <c r="K143">
        <v>18287.990000000002</v>
      </c>
      <c r="L143">
        <v>1828799000</v>
      </c>
      <c r="M143" s="2" t="s">
        <v>8370</v>
      </c>
      <c r="N143" s="2" t="s">
        <v>8374</v>
      </c>
      <c r="O143" s="2" t="s">
        <v>8563</v>
      </c>
      <c r="P143" s="2" t="s">
        <v>175</v>
      </c>
      <c r="Q143" s="2" t="s">
        <v>8445</v>
      </c>
      <c r="R143" s="2" t="s">
        <v>30</v>
      </c>
    </row>
    <row r="144" spans="1:18">
      <c r="A144" s="1">
        <v>44075</v>
      </c>
      <c r="B144" s="1">
        <v>44075</v>
      </c>
      <c r="C144">
        <v>2020</v>
      </c>
      <c r="D144">
        <v>9</v>
      </c>
      <c r="E144" s="2" t="s">
        <v>7890</v>
      </c>
      <c r="F144" s="2" t="s">
        <v>7891</v>
      </c>
      <c r="G144" s="2" t="s">
        <v>8335</v>
      </c>
      <c r="H144" s="2" t="s">
        <v>22</v>
      </c>
      <c r="I144" s="2" t="s">
        <v>8417</v>
      </c>
      <c r="J144" s="2" t="s">
        <v>24</v>
      </c>
      <c r="K144">
        <v>604.07000000000005</v>
      </c>
      <c r="L144">
        <v>60407000</v>
      </c>
      <c r="M144" s="2" t="s">
        <v>7889</v>
      </c>
      <c r="N144" s="2" t="s">
        <v>7911</v>
      </c>
      <c r="O144" s="2" t="s">
        <v>8564</v>
      </c>
      <c r="P144" s="2" t="s">
        <v>175</v>
      </c>
      <c r="Q144" s="2" t="s">
        <v>8445</v>
      </c>
      <c r="R144" s="2" t="s">
        <v>30</v>
      </c>
    </row>
    <row r="145" spans="1:18">
      <c r="A145" s="1">
        <v>44105</v>
      </c>
      <c r="B145" s="1">
        <v>44105</v>
      </c>
      <c r="C145">
        <v>2020</v>
      </c>
      <c r="D145">
        <v>10</v>
      </c>
      <c r="E145" s="2" t="s">
        <v>8443</v>
      </c>
      <c r="F145" s="2" t="s">
        <v>8444</v>
      </c>
      <c r="G145" s="2" t="s">
        <v>8335</v>
      </c>
      <c r="H145" s="2" t="s">
        <v>22</v>
      </c>
      <c r="I145" s="2" t="s">
        <v>8387</v>
      </c>
      <c r="J145" s="2" t="s">
        <v>24</v>
      </c>
      <c r="K145">
        <v>2.1</v>
      </c>
      <c r="L145">
        <v>210000</v>
      </c>
      <c r="M145" s="2" t="s">
        <v>8392</v>
      </c>
      <c r="N145" s="2" t="s">
        <v>8396</v>
      </c>
      <c r="O145" s="2" t="s">
        <v>4756</v>
      </c>
      <c r="P145" s="2" t="s">
        <v>175</v>
      </c>
      <c r="Q145" s="2" t="s">
        <v>8445</v>
      </c>
      <c r="R145" s="2" t="s">
        <v>30</v>
      </c>
    </row>
    <row r="146" spans="1:18">
      <c r="A146" s="1">
        <v>44105</v>
      </c>
      <c r="B146" s="1">
        <v>44105</v>
      </c>
      <c r="C146">
        <v>2020</v>
      </c>
      <c r="D146">
        <v>10</v>
      </c>
      <c r="E146" s="2" t="s">
        <v>8446</v>
      </c>
      <c r="F146" s="2" t="s">
        <v>8447</v>
      </c>
      <c r="G146" s="2" t="s">
        <v>8335</v>
      </c>
      <c r="H146" s="2" t="s">
        <v>22</v>
      </c>
      <c r="I146" s="2" t="s">
        <v>8387</v>
      </c>
      <c r="J146" s="2" t="s">
        <v>59</v>
      </c>
      <c r="K146">
        <v>2.34</v>
      </c>
      <c r="L146">
        <v>234000</v>
      </c>
      <c r="M146" s="2" t="s">
        <v>8384</v>
      </c>
      <c r="N146" s="2" t="s">
        <v>8389</v>
      </c>
      <c r="O146" s="2" t="s">
        <v>3654</v>
      </c>
      <c r="P146" s="2" t="s">
        <v>175</v>
      </c>
      <c r="Q146" s="2" t="s">
        <v>8445</v>
      </c>
      <c r="R146" s="2" t="s">
        <v>30</v>
      </c>
    </row>
    <row r="147" spans="1:18">
      <c r="A147" s="1">
        <v>44105</v>
      </c>
      <c r="B147" s="1">
        <v>44105</v>
      </c>
      <c r="C147">
        <v>2020</v>
      </c>
      <c r="D147">
        <v>10</v>
      </c>
      <c r="E147" s="2" t="s">
        <v>8448</v>
      </c>
      <c r="F147" s="2" t="s">
        <v>8449</v>
      </c>
      <c r="G147" s="2" t="s">
        <v>8335</v>
      </c>
      <c r="H147" s="2" t="s">
        <v>22</v>
      </c>
      <c r="I147" s="2" t="s">
        <v>8387</v>
      </c>
      <c r="J147" s="2" t="s">
        <v>24</v>
      </c>
      <c r="K147">
        <v>0.24</v>
      </c>
      <c r="L147">
        <v>24000</v>
      </c>
      <c r="M147" s="2" t="s">
        <v>8399</v>
      </c>
      <c r="N147" s="2" t="s">
        <v>8403</v>
      </c>
      <c r="O147" s="2" t="s">
        <v>1650</v>
      </c>
      <c r="P147" s="2" t="s">
        <v>175</v>
      </c>
      <c r="Q147" s="2" t="s">
        <v>8445</v>
      </c>
      <c r="R147" s="2" t="s">
        <v>30</v>
      </c>
    </row>
    <row r="148" spans="1:18">
      <c r="A148" s="1">
        <v>44105</v>
      </c>
      <c r="B148" s="1">
        <v>44105</v>
      </c>
      <c r="C148">
        <v>2020</v>
      </c>
      <c r="D148">
        <v>10</v>
      </c>
      <c r="E148" s="2" t="s">
        <v>8450</v>
      </c>
      <c r="F148" s="2" t="s">
        <v>8451</v>
      </c>
      <c r="G148" s="2" t="s">
        <v>8335</v>
      </c>
      <c r="H148" s="2" t="s">
        <v>22</v>
      </c>
      <c r="I148" s="2" t="s">
        <v>8417</v>
      </c>
      <c r="J148" s="2" t="s">
        <v>24</v>
      </c>
      <c r="K148">
        <v>26.05</v>
      </c>
      <c r="L148">
        <v>2605000</v>
      </c>
      <c r="M148" s="2" t="s">
        <v>8422</v>
      </c>
      <c r="N148" s="2" t="s">
        <v>8426</v>
      </c>
      <c r="O148" s="2" t="s">
        <v>8565</v>
      </c>
      <c r="P148" s="2" t="s">
        <v>175</v>
      </c>
      <c r="Q148" s="2" t="s">
        <v>8445</v>
      </c>
      <c r="R148" s="2" t="s">
        <v>30</v>
      </c>
    </row>
    <row r="149" spans="1:18">
      <c r="A149" s="1">
        <v>44105</v>
      </c>
      <c r="B149" s="1">
        <v>44105</v>
      </c>
      <c r="C149">
        <v>2020</v>
      </c>
      <c r="D149">
        <v>10</v>
      </c>
      <c r="E149" s="2" t="s">
        <v>8453</v>
      </c>
      <c r="F149" s="2" t="s">
        <v>8454</v>
      </c>
      <c r="G149" s="2" t="s">
        <v>8335</v>
      </c>
      <c r="H149" s="2" t="s">
        <v>22</v>
      </c>
      <c r="I149" s="2" t="s">
        <v>8336</v>
      </c>
      <c r="J149" s="2" t="s">
        <v>24</v>
      </c>
      <c r="K149">
        <v>594.20000000000005</v>
      </c>
      <c r="L149">
        <v>59420000</v>
      </c>
      <c r="M149" s="2" t="s">
        <v>8348</v>
      </c>
      <c r="N149" s="2" t="s">
        <v>8352</v>
      </c>
      <c r="O149" s="2" t="s">
        <v>8566</v>
      </c>
      <c r="P149" s="2" t="s">
        <v>175</v>
      </c>
      <c r="Q149" s="2" t="s">
        <v>8445</v>
      </c>
      <c r="R149" s="2" t="s">
        <v>30</v>
      </c>
    </row>
    <row r="150" spans="1:18">
      <c r="A150" s="1">
        <v>44105</v>
      </c>
      <c r="B150" s="1">
        <v>44105</v>
      </c>
      <c r="C150">
        <v>2020</v>
      </c>
      <c r="D150">
        <v>10</v>
      </c>
      <c r="E150" s="2" t="s">
        <v>8456</v>
      </c>
      <c r="F150" s="2" t="s">
        <v>8457</v>
      </c>
      <c r="G150" s="2" t="s">
        <v>8335</v>
      </c>
      <c r="H150" s="2" t="s">
        <v>22</v>
      </c>
      <c r="I150" s="2" t="s">
        <v>8336</v>
      </c>
      <c r="J150" s="2" t="s">
        <v>24</v>
      </c>
      <c r="K150">
        <v>8741.65</v>
      </c>
      <c r="L150">
        <v>874165000</v>
      </c>
      <c r="M150" s="2" t="s">
        <v>8355</v>
      </c>
      <c r="N150" s="2" t="s">
        <v>8359</v>
      </c>
      <c r="O150" s="2" t="s">
        <v>8567</v>
      </c>
      <c r="P150" s="2" t="s">
        <v>175</v>
      </c>
      <c r="Q150" s="2" t="s">
        <v>8445</v>
      </c>
      <c r="R150" s="2" t="s">
        <v>30</v>
      </c>
    </row>
    <row r="151" spans="1:18">
      <c r="A151" s="1">
        <v>44105</v>
      </c>
      <c r="B151" s="1">
        <v>44105</v>
      </c>
      <c r="C151">
        <v>2020</v>
      </c>
      <c r="D151">
        <v>10</v>
      </c>
      <c r="E151" s="2" t="s">
        <v>8459</v>
      </c>
      <c r="F151" s="2" t="s">
        <v>8460</v>
      </c>
      <c r="G151" s="2" t="s">
        <v>8335</v>
      </c>
      <c r="H151" s="2" t="s">
        <v>22</v>
      </c>
      <c r="I151" s="2" t="s">
        <v>8336</v>
      </c>
      <c r="J151" s="2" t="s">
        <v>59</v>
      </c>
      <c r="K151">
        <v>9335.85</v>
      </c>
      <c r="L151">
        <v>933585000</v>
      </c>
      <c r="M151" s="2" t="s">
        <v>8331</v>
      </c>
      <c r="N151" s="2" t="s">
        <v>8341</v>
      </c>
      <c r="O151" s="2" t="s">
        <v>8568</v>
      </c>
      <c r="P151" s="2" t="s">
        <v>175</v>
      </c>
      <c r="Q151" s="2" t="s">
        <v>8445</v>
      </c>
      <c r="R151" s="2" t="s">
        <v>30</v>
      </c>
    </row>
    <row r="152" spans="1:18">
      <c r="A152" s="1">
        <v>44105</v>
      </c>
      <c r="B152" s="1">
        <v>44105</v>
      </c>
      <c r="C152">
        <v>2020</v>
      </c>
      <c r="D152">
        <v>10</v>
      </c>
      <c r="E152" s="2" t="s">
        <v>8462</v>
      </c>
      <c r="F152" s="2" t="s">
        <v>8463</v>
      </c>
      <c r="G152" s="2" t="s">
        <v>8335</v>
      </c>
      <c r="H152" s="2" t="s">
        <v>22</v>
      </c>
      <c r="I152" s="2" t="s">
        <v>8409</v>
      </c>
      <c r="J152" s="2" t="s">
        <v>24</v>
      </c>
      <c r="K152">
        <v>4.9000000000000004</v>
      </c>
      <c r="L152">
        <v>490000</v>
      </c>
      <c r="M152" s="2" t="s">
        <v>8406</v>
      </c>
      <c r="N152" s="2" t="s">
        <v>8411</v>
      </c>
      <c r="O152" s="2" t="s">
        <v>8569</v>
      </c>
      <c r="P152" s="2" t="s">
        <v>175</v>
      </c>
      <c r="Q152" s="2" t="s">
        <v>8445</v>
      </c>
      <c r="R152" s="2" t="s">
        <v>30</v>
      </c>
    </row>
    <row r="153" spans="1:18">
      <c r="A153" s="1">
        <v>44105</v>
      </c>
      <c r="B153" s="1">
        <v>44105</v>
      </c>
      <c r="C153">
        <v>2020</v>
      </c>
      <c r="D153">
        <v>10</v>
      </c>
      <c r="E153" s="2" t="s">
        <v>8464</v>
      </c>
      <c r="F153" s="2" t="s">
        <v>8465</v>
      </c>
      <c r="G153" s="2" t="s">
        <v>8335</v>
      </c>
      <c r="H153" s="2" t="s">
        <v>22</v>
      </c>
      <c r="I153" s="2" t="s">
        <v>8417</v>
      </c>
      <c r="J153" s="2" t="s">
        <v>24</v>
      </c>
      <c r="K153">
        <v>45.81</v>
      </c>
      <c r="L153">
        <v>4581000</v>
      </c>
      <c r="M153" s="2" t="s">
        <v>8414</v>
      </c>
      <c r="N153" s="2" t="s">
        <v>8419</v>
      </c>
      <c r="O153" s="2" t="s">
        <v>8570</v>
      </c>
      <c r="P153" s="2" t="s">
        <v>175</v>
      </c>
      <c r="Q153" s="2" t="s">
        <v>8445</v>
      </c>
      <c r="R153" s="2" t="s">
        <v>30</v>
      </c>
    </row>
    <row r="154" spans="1:18">
      <c r="A154" s="1">
        <v>44105</v>
      </c>
      <c r="B154" s="1">
        <v>44105</v>
      </c>
      <c r="C154">
        <v>2020</v>
      </c>
      <c r="D154">
        <v>10</v>
      </c>
      <c r="E154" s="2" t="s">
        <v>8467</v>
      </c>
      <c r="F154" s="2" t="s">
        <v>8468</v>
      </c>
      <c r="G154" s="2" t="s">
        <v>8335</v>
      </c>
      <c r="H154" s="2" t="s">
        <v>22</v>
      </c>
      <c r="I154" s="2" t="s">
        <v>8365</v>
      </c>
      <c r="J154" s="2" t="s">
        <v>24</v>
      </c>
      <c r="K154">
        <v>1564.92</v>
      </c>
      <c r="L154">
        <v>156492000</v>
      </c>
      <c r="M154" s="2" t="s">
        <v>8377</v>
      </c>
      <c r="N154" s="2" t="s">
        <v>8381</v>
      </c>
      <c r="O154" s="2" t="s">
        <v>8571</v>
      </c>
      <c r="P154" s="2" t="s">
        <v>175</v>
      </c>
      <c r="Q154" s="2" t="s">
        <v>8445</v>
      </c>
      <c r="R154" s="2" t="s">
        <v>30</v>
      </c>
    </row>
    <row r="155" spans="1:18">
      <c r="A155" s="1">
        <v>44105</v>
      </c>
      <c r="B155" s="1">
        <v>44105</v>
      </c>
      <c r="C155">
        <v>2020</v>
      </c>
      <c r="D155">
        <v>10</v>
      </c>
      <c r="E155" s="2" t="s">
        <v>8470</v>
      </c>
      <c r="F155" s="2" t="s">
        <v>8471</v>
      </c>
      <c r="G155" s="2" t="s">
        <v>8335</v>
      </c>
      <c r="H155" s="2" t="s">
        <v>22</v>
      </c>
      <c r="I155" s="2" t="s">
        <v>8365</v>
      </c>
      <c r="J155" s="2" t="s">
        <v>59</v>
      </c>
      <c r="K155">
        <v>20143.54</v>
      </c>
      <c r="L155">
        <v>2014354000</v>
      </c>
      <c r="M155" s="2" t="s">
        <v>8362</v>
      </c>
      <c r="N155" s="2" t="s">
        <v>8367</v>
      </c>
      <c r="O155" s="2" t="s">
        <v>8572</v>
      </c>
      <c r="P155" s="2" t="s">
        <v>175</v>
      </c>
      <c r="Q155" s="2" t="s">
        <v>8445</v>
      </c>
      <c r="R155" s="2" t="s">
        <v>30</v>
      </c>
    </row>
    <row r="156" spans="1:18">
      <c r="A156" s="1">
        <v>44105</v>
      </c>
      <c r="B156" s="1">
        <v>44105</v>
      </c>
      <c r="C156">
        <v>2020</v>
      </c>
      <c r="D156">
        <v>10</v>
      </c>
      <c r="E156" s="2" t="s">
        <v>8473</v>
      </c>
      <c r="F156" s="2" t="s">
        <v>8474</v>
      </c>
      <c r="G156" s="2" t="s">
        <v>8335</v>
      </c>
      <c r="H156" s="2" t="s">
        <v>22</v>
      </c>
      <c r="I156" s="2" t="s">
        <v>8365</v>
      </c>
      <c r="J156" s="2" t="s">
        <v>24</v>
      </c>
      <c r="K156">
        <v>18578.62</v>
      </c>
      <c r="L156">
        <v>1857862000</v>
      </c>
      <c r="M156" s="2" t="s">
        <v>8370</v>
      </c>
      <c r="N156" s="2" t="s">
        <v>8374</v>
      </c>
      <c r="O156" s="2" t="s">
        <v>8573</v>
      </c>
      <c r="P156" s="2" t="s">
        <v>175</v>
      </c>
      <c r="Q156" s="2" t="s">
        <v>8445</v>
      </c>
      <c r="R156" s="2" t="s">
        <v>30</v>
      </c>
    </row>
    <row r="157" spans="1:18">
      <c r="A157" s="1">
        <v>44105</v>
      </c>
      <c r="B157" s="1">
        <v>44105</v>
      </c>
      <c r="C157">
        <v>2020</v>
      </c>
      <c r="D157">
        <v>10</v>
      </c>
      <c r="E157" s="2" t="s">
        <v>7890</v>
      </c>
      <c r="F157" s="2" t="s">
        <v>7891</v>
      </c>
      <c r="G157" s="2" t="s">
        <v>8335</v>
      </c>
      <c r="H157" s="2" t="s">
        <v>22</v>
      </c>
      <c r="I157" s="2" t="s">
        <v>8417</v>
      </c>
      <c r="J157" s="2" t="s">
        <v>24</v>
      </c>
      <c r="K157">
        <v>657.45</v>
      </c>
      <c r="L157">
        <v>65745000</v>
      </c>
      <c r="M157" s="2" t="s">
        <v>7889</v>
      </c>
      <c r="N157" s="2" t="s">
        <v>7911</v>
      </c>
      <c r="O157" s="2" t="s">
        <v>8574</v>
      </c>
      <c r="P157" s="2" t="s">
        <v>175</v>
      </c>
      <c r="Q157" s="2" t="s">
        <v>8445</v>
      </c>
      <c r="R157" s="2" t="s">
        <v>30</v>
      </c>
    </row>
    <row r="158" spans="1:18">
      <c r="A158" s="1">
        <v>44136</v>
      </c>
      <c r="B158" s="1">
        <v>44136</v>
      </c>
      <c r="C158">
        <v>2020</v>
      </c>
      <c r="D158">
        <v>11</v>
      </c>
      <c r="E158" s="2" t="s">
        <v>8443</v>
      </c>
      <c r="F158" s="2" t="s">
        <v>8444</v>
      </c>
      <c r="G158" s="2" t="s">
        <v>8335</v>
      </c>
      <c r="H158" s="2" t="s">
        <v>22</v>
      </c>
      <c r="I158" s="2" t="s">
        <v>8387</v>
      </c>
      <c r="J158" s="2" t="s">
        <v>24</v>
      </c>
      <c r="K158">
        <v>2.09</v>
      </c>
      <c r="L158">
        <v>209000</v>
      </c>
      <c r="M158" s="2" t="s">
        <v>8392</v>
      </c>
      <c r="N158" s="2" t="s">
        <v>8396</v>
      </c>
      <c r="O158" s="2" t="s">
        <v>4348</v>
      </c>
      <c r="P158" s="2" t="s">
        <v>175</v>
      </c>
      <c r="Q158" s="2" t="s">
        <v>8445</v>
      </c>
      <c r="R158" s="2" t="s">
        <v>30</v>
      </c>
    </row>
    <row r="159" spans="1:18">
      <c r="A159" s="1">
        <v>44136</v>
      </c>
      <c r="B159" s="1">
        <v>44136</v>
      </c>
      <c r="C159">
        <v>2020</v>
      </c>
      <c r="D159">
        <v>11</v>
      </c>
      <c r="E159" s="2" t="s">
        <v>8446</v>
      </c>
      <c r="F159" s="2" t="s">
        <v>8447</v>
      </c>
      <c r="G159" s="2" t="s">
        <v>8335</v>
      </c>
      <c r="H159" s="2" t="s">
        <v>22</v>
      </c>
      <c r="I159" s="2" t="s">
        <v>8387</v>
      </c>
      <c r="J159" s="2" t="s">
        <v>59</v>
      </c>
      <c r="K159">
        <v>2.34</v>
      </c>
      <c r="L159">
        <v>234000</v>
      </c>
      <c r="M159" s="2" t="s">
        <v>8384</v>
      </c>
      <c r="N159" s="2" t="s">
        <v>8389</v>
      </c>
      <c r="O159" s="2" t="s">
        <v>3654</v>
      </c>
      <c r="P159" s="2" t="s">
        <v>175</v>
      </c>
      <c r="Q159" s="2" t="s">
        <v>8445</v>
      </c>
      <c r="R159" s="2" t="s">
        <v>30</v>
      </c>
    </row>
    <row r="160" spans="1:18">
      <c r="A160" s="1">
        <v>44136</v>
      </c>
      <c r="B160" s="1">
        <v>44136</v>
      </c>
      <c r="C160">
        <v>2020</v>
      </c>
      <c r="D160">
        <v>11</v>
      </c>
      <c r="E160" s="2" t="s">
        <v>8448</v>
      </c>
      <c r="F160" s="2" t="s">
        <v>8449</v>
      </c>
      <c r="G160" s="2" t="s">
        <v>8335</v>
      </c>
      <c r="H160" s="2" t="s">
        <v>22</v>
      </c>
      <c r="I160" s="2" t="s">
        <v>8387</v>
      </c>
      <c r="J160" s="2" t="s">
        <v>24</v>
      </c>
      <c r="K160">
        <v>0.25</v>
      </c>
      <c r="L160">
        <v>25000</v>
      </c>
      <c r="M160" s="2" t="s">
        <v>8399</v>
      </c>
      <c r="N160" s="2" t="s">
        <v>8403</v>
      </c>
      <c r="O160" s="2" t="s">
        <v>876</v>
      </c>
      <c r="P160" s="2" t="s">
        <v>175</v>
      </c>
      <c r="Q160" s="2" t="s">
        <v>8445</v>
      </c>
      <c r="R160" s="2" t="s">
        <v>30</v>
      </c>
    </row>
    <row r="161" spans="1:18">
      <c r="A161" s="1">
        <v>44136</v>
      </c>
      <c r="B161" s="1">
        <v>44136</v>
      </c>
      <c r="C161">
        <v>2020</v>
      </c>
      <c r="D161">
        <v>11</v>
      </c>
      <c r="E161" s="2" t="s">
        <v>8450</v>
      </c>
      <c r="F161" s="2" t="s">
        <v>8451</v>
      </c>
      <c r="G161" s="2" t="s">
        <v>8335</v>
      </c>
      <c r="H161" s="2" t="s">
        <v>22</v>
      </c>
      <c r="I161" s="2" t="s">
        <v>8417</v>
      </c>
      <c r="J161" s="2" t="s">
        <v>24</v>
      </c>
      <c r="K161">
        <v>30.46</v>
      </c>
      <c r="L161">
        <v>3046000</v>
      </c>
      <c r="M161" s="2" t="s">
        <v>8422</v>
      </c>
      <c r="N161" s="2" t="s">
        <v>8426</v>
      </c>
      <c r="O161" s="2" t="s">
        <v>8575</v>
      </c>
      <c r="P161" s="2" t="s">
        <v>175</v>
      </c>
      <c r="Q161" s="2" t="s">
        <v>8445</v>
      </c>
      <c r="R161" s="2" t="s">
        <v>30</v>
      </c>
    </row>
    <row r="162" spans="1:18">
      <c r="A162" s="1">
        <v>44136</v>
      </c>
      <c r="B162" s="1">
        <v>44136</v>
      </c>
      <c r="C162">
        <v>2020</v>
      </c>
      <c r="D162">
        <v>11</v>
      </c>
      <c r="E162" s="2" t="s">
        <v>8453</v>
      </c>
      <c r="F162" s="2" t="s">
        <v>8454</v>
      </c>
      <c r="G162" s="2" t="s">
        <v>8335</v>
      </c>
      <c r="H162" s="2" t="s">
        <v>22</v>
      </c>
      <c r="I162" s="2" t="s">
        <v>8336</v>
      </c>
      <c r="J162" s="2" t="s">
        <v>24</v>
      </c>
      <c r="K162">
        <v>601.13</v>
      </c>
      <c r="L162">
        <v>60113000</v>
      </c>
      <c r="M162" s="2" t="s">
        <v>8348</v>
      </c>
      <c r="N162" s="2" t="s">
        <v>8352</v>
      </c>
      <c r="O162" s="2" t="s">
        <v>8576</v>
      </c>
      <c r="P162" s="2" t="s">
        <v>175</v>
      </c>
      <c r="Q162" s="2" t="s">
        <v>8445</v>
      </c>
      <c r="R162" s="2" t="s">
        <v>30</v>
      </c>
    </row>
    <row r="163" spans="1:18">
      <c r="A163" s="1">
        <v>44136</v>
      </c>
      <c r="B163" s="1">
        <v>44136</v>
      </c>
      <c r="C163">
        <v>2020</v>
      </c>
      <c r="D163">
        <v>11</v>
      </c>
      <c r="E163" s="2" t="s">
        <v>8456</v>
      </c>
      <c r="F163" s="2" t="s">
        <v>8457</v>
      </c>
      <c r="G163" s="2" t="s">
        <v>8335</v>
      </c>
      <c r="H163" s="2" t="s">
        <v>22</v>
      </c>
      <c r="I163" s="2" t="s">
        <v>8336</v>
      </c>
      <c r="J163" s="2" t="s">
        <v>24</v>
      </c>
      <c r="K163">
        <v>8927.02</v>
      </c>
      <c r="L163">
        <v>892702000</v>
      </c>
      <c r="M163" s="2" t="s">
        <v>8355</v>
      </c>
      <c r="N163" s="2" t="s">
        <v>8359</v>
      </c>
      <c r="O163" s="2" t="s">
        <v>8577</v>
      </c>
      <c r="P163" s="2" t="s">
        <v>175</v>
      </c>
      <c r="Q163" s="2" t="s">
        <v>8445</v>
      </c>
      <c r="R163" s="2" t="s">
        <v>30</v>
      </c>
    </row>
    <row r="164" spans="1:18">
      <c r="A164" s="1">
        <v>44136</v>
      </c>
      <c r="B164" s="1">
        <v>44136</v>
      </c>
      <c r="C164">
        <v>2020</v>
      </c>
      <c r="D164">
        <v>11</v>
      </c>
      <c r="E164" s="2" t="s">
        <v>8459</v>
      </c>
      <c r="F164" s="2" t="s">
        <v>8460</v>
      </c>
      <c r="G164" s="2" t="s">
        <v>8335</v>
      </c>
      <c r="H164" s="2" t="s">
        <v>22</v>
      </c>
      <c r="I164" s="2" t="s">
        <v>8336</v>
      </c>
      <c r="J164" s="2" t="s">
        <v>59</v>
      </c>
      <c r="K164">
        <v>9528.15</v>
      </c>
      <c r="L164">
        <v>952815000</v>
      </c>
      <c r="M164" s="2" t="s">
        <v>8331</v>
      </c>
      <c r="N164" s="2" t="s">
        <v>8341</v>
      </c>
      <c r="O164" s="2" t="s">
        <v>8578</v>
      </c>
      <c r="P164" s="2" t="s">
        <v>175</v>
      </c>
      <c r="Q164" s="2" t="s">
        <v>8445</v>
      </c>
      <c r="R164" s="2" t="s">
        <v>30</v>
      </c>
    </row>
    <row r="165" spans="1:18">
      <c r="A165" s="1">
        <v>44136</v>
      </c>
      <c r="B165" s="1">
        <v>44136</v>
      </c>
      <c r="C165">
        <v>2020</v>
      </c>
      <c r="D165">
        <v>11</v>
      </c>
      <c r="E165" s="2" t="s">
        <v>8462</v>
      </c>
      <c r="F165" s="2" t="s">
        <v>8463</v>
      </c>
      <c r="G165" s="2" t="s">
        <v>8335</v>
      </c>
      <c r="H165" s="2" t="s">
        <v>22</v>
      </c>
      <c r="I165" s="2" t="s">
        <v>8409</v>
      </c>
      <c r="J165" s="2" t="s">
        <v>24</v>
      </c>
      <c r="K165">
        <v>4.97</v>
      </c>
      <c r="L165">
        <v>497000</v>
      </c>
      <c r="M165" s="2" t="s">
        <v>8406</v>
      </c>
      <c r="N165" s="2" t="s">
        <v>8411</v>
      </c>
      <c r="O165" s="2" t="s">
        <v>8579</v>
      </c>
      <c r="P165" s="2" t="s">
        <v>175</v>
      </c>
      <c r="Q165" s="2" t="s">
        <v>8445</v>
      </c>
      <c r="R165" s="2" t="s">
        <v>30</v>
      </c>
    </row>
    <row r="166" spans="1:18">
      <c r="A166" s="1">
        <v>44136</v>
      </c>
      <c r="B166" s="1">
        <v>44136</v>
      </c>
      <c r="C166">
        <v>2020</v>
      </c>
      <c r="D166">
        <v>11</v>
      </c>
      <c r="E166" s="2" t="s">
        <v>8464</v>
      </c>
      <c r="F166" s="2" t="s">
        <v>8465</v>
      </c>
      <c r="G166" s="2" t="s">
        <v>8335</v>
      </c>
      <c r="H166" s="2" t="s">
        <v>22</v>
      </c>
      <c r="I166" s="2" t="s">
        <v>8417</v>
      </c>
      <c r="J166" s="2" t="s">
        <v>24</v>
      </c>
      <c r="K166">
        <v>45.77</v>
      </c>
      <c r="L166">
        <v>4577000</v>
      </c>
      <c r="M166" s="2" t="s">
        <v>8414</v>
      </c>
      <c r="N166" s="2" t="s">
        <v>8419</v>
      </c>
      <c r="O166" s="2" t="s">
        <v>8580</v>
      </c>
      <c r="P166" s="2" t="s">
        <v>175</v>
      </c>
      <c r="Q166" s="2" t="s">
        <v>8445</v>
      </c>
      <c r="R166" s="2" t="s">
        <v>30</v>
      </c>
    </row>
    <row r="167" spans="1:18">
      <c r="A167" s="1">
        <v>44136</v>
      </c>
      <c r="B167" s="1">
        <v>44136</v>
      </c>
      <c r="C167">
        <v>2020</v>
      </c>
      <c r="D167">
        <v>11</v>
      </c>
      <c r="E167" s="2" t="s">
        <v>8467</v>
      </c>
      <c r="F167" s="2" t="s">
        <v>8468</v>
      </c>
      <c r="G167" s="2" t="s">
        <v>8335</v>
      </c>
      <c r="H167" s="2" t="s">
        <v>22</v>
      </c>
      <c r="I167" s="2" t="s">
        <v>8365</v>
      </c>
      <c r="J167" s="2" t="s">
        <v>24</v>
      </c>
      <c r="K167">
        <v>1585.48</v>
      </c>
      <c r="L167">
        <v>158548000</v>
      </c>
      <c r="M167" s="2" t="s">
        <v>8377</v>
      </c>
      <c r="N167" s="2" t="s">
        <v>8381</v>
      </c>
      <c r="O167" s="2" t="s">
        <v>8581</v>
      </c>
      <c r="P167" s="2" t="s">
        <v>175</v>
      </c>
      <c r="Q167" s="2" t="s">
        <v>8445</v>
      </c>
      <c r="R167" s="2" t="s">
        <v>30</v>
      </c>
    </row>
    <row r="168" spans="1:18">
      <c r="A168" s="1">
        <v>44136</v>
      </c>
      <c r="B168" s="1">
        <v>44136</v>
      </c>
      <c r="C168">
        <v>2020</v>
      </c>
      <c r="D168">
        <v>11</v>
      </c>
      <c r="E168" s="2" t="s">
        <v>8470</v>
      </c>
      <c r="F168" s="2" t="s">
        <v>8471</v>
      </c>
      <c r="G168" s="2" t="s">
        <v>8335</v>
      </c>
      <c r="H168" s="2" t="s">
        <v>22</v>
      </c>
      <c r="I168" s="2" t="s">
        <v>8365</v>
      </c>
      <c r="J168" s="2" t="s">
        <v>59</v>
      </c>
      <c r="K168">
        <v>20443.150000000001</v>
      </c>
      <c r="L168">
        <v>2044315000</v>
      </c>
      <c r="M168" s="2" t="s">
        <v>8362</v>
      </c>
      <c r="N168" s="2" t="s">
        <v>8367</v>
      </c>
      <c r="O168" s="2" t="s">
        <v>8582</v>
      </c>
      <c r="P168" s="2" t="s">
        <v>175</v>
      </c>
      <c r="Q168" s="2" t="s">
        <v>8445</v>
      </c>
      <c r="R168" s="2" t="s">
        <v>30</v>
      </c>
    </row>
    <row r="169" spans="1:18">
      <c r="A169" s="1">
        <v>44136</v>
      </c>
      <c r="B169" s="1">
        <v>44136</v>
      </c>
      <c r="C169">
        <v>2020</v>
      </c>
      <c r="D169">
        <v>11</v>
      </c>
      <c r="E169" s="2" t="s">
        <v>8473</v>
      </c>
      <c r="F169" s="2" t="s">
        <v>8474</v>
      </c>
      <c r="G169" s="2" t="s">
        <v>8335</v>
      </c>
      <c r="H169" s="2" t="s">
        <v>22</v>
      </c>
      <c r="I169" s="2" t="s">
        <v>8365</v>
      </c>
      <c r="J169" s="2" t="s">
        <v>24</v>
      </c>
      <c r="K169">
        <v>18857.669999999998</v>
      </c>
      <c r="L169">
        <v>1885767000</v>
      </c>
      <c r="M169" s="2" t="s">
        <v>8370</v>
      </c>
      <c r="N169" s="2" t="s">
        <v>8374</v>
      </c>
      <c r="O169" s="2" t="s">
        <v>8583</v>
      </c>
      <c r="P169" s="2" t="s">
        <v>175</v>
      </c>
      <c r="Q169" s="2" t="s">
        <v>8445</v>
      </c>
      <c r="R169" s="2" t="s">
        <v>30</v>
      </c>
    </row>
    <row r="170" spans="1:18">
      <c r="A170" s="1">
        <v>44136</v>
      </c>
      <c r="B170" s="1">
        <v>44136</v>
      </c>
      <c r="C170">
        <v>2020</v>
      </c>
      <c r="D170">
        <v>11</v>
      </c>
      <c r="E170" s="2" t="s">
        <v>7890</v>
      </c>
      <c r="F170" s="2" t="s">
        <v>7891</v>
      </c>
      <c r="G170" s="2" t="s">
        <v>8335</v>
      </c>
      <c r="H170" s="2" t="s">
        <v>22</v>
      </c>
      <c r="I170" s="2" t="s">
        <v>8417</v>
      </c>
      <c r="J170" s="2" t="s">
        <v>24</v>
      </c>
      <c r="K170">
        <v>697.82</v>
      </c>
      <c r="L170">
        <v>69782000</v>
      </c>
      <c r="M170" s="2" t="s">
        <v>7889</v>
      </c>
      <c r="N170" s="2" t="s">
        <v>7911</v>
      </c>
      <c r="O170" s="2" t="s">
        <v>8584</v>
      </c>
      <c r="P170" s="2" t="s">
        <v>175</v>
      </c>
      <c r="Q170" s="2" t="s">
        <v>8445</v>
      </c>
      <c r="R170" s="2" t="s">
        <v>30</v>
      </c>
    </row>
    <row r="171" spans="1:18">
      <c r="A171" s="1">
        <v>44166</v>
      </c>
      <c r="B171" s="1">
        <v>44166</v>
      </c>
      <c r="C171">
        <v>2020</v>
      </c>
      <c r="D171">
        <v>12</v>
      </c>
      <c r="E171" s="2" t="s">
        <v>8443</v>
      </c>
      <c r="F171" s="2" t="s">
        <v>8444</v>
      </c>
      <c r="G171" s="2" t="s">
        <v>8335</v>
      </c>
      <c r="H171" s="2" t="s">
        <v>22</v>
      </c>
      <c r="I171" s="2" t="s">
        <v>8387</v>
      </c>
      <c r="J171" s="2" t="s">
        <v>24</v>
      </c>
      <c r="K171">
        <v>2.08</v>
      </c>
      <c r="L171">
        <v>208000</v>
      </c>
      <c r="M171" s="2" t="s">
        <v>8392</v>
      </c>
      <c r="N171" s="2" t="s">
        <v>8396</v>
      </c>
      <c r="O171" s="2" t="s">
        <v>692</v>
      </c>
      <c r="P171" s="2" t="s">
        <v>175</v>
      </c>
      <c r="Q171" s="2" t="s">
        <v>8445</v>
      </c>
      <c r="R171" s="2" t="s">
        <v>30</v>
      </c>
    </row>
    <row r="172" spans="1:18">
      <c r="A172" s="1">
        <v>44166</v>
      </c>
      <c r="B172" s="1">
        <v>44166</v>
      </c>
      <c r="C172">
        <v>2020</v>
      </c>
      <c r="D172">
        <v>12</v>
      </c>
      <c r="E172" s="2" t="s">
        <v>8446</v>
      </c>
      <c r="F172" s="2" t="s">
        <v>8447</v>
      </c>
      <c r="G172" s="2" t="s">
        <v>8335</v>
      </c>
      <c r="H172" s="2" t="s">
        <v>22</v>
      </c>
      <c r="I172" s="2" t="s">
        <v>8387</v>
      </c>
      <c r="J172" s="2" t="s">
        <v>59</v>
      </c>
      <c r="K172">
        <v>2.33</v>
      </c>
      <c r="L172">
        <v>233000</v>
      </c>
      <c r="M172" s="2" t="s">
        <v>8384</v>
      </c>
      <c r="N172" s="2" t="s">
        <v>8389</v>
      </c>
      <c r="O172" s="2" t="s">
        <v>3842</v>
      </c>
      <c r="P172" s="2" t="s">
        <v>175</v>
      </c>
      <c r="Q172" s="2" t="s">
        <v>8445</v>
      </c>
      <c r="R172" s="2" t="s">
        <v>30</v>
      </c>
    </row>
    <row r="173" spans="1:18">
      <c r="A173" s="1">
        <v>44166</v>
      </c>
      <c r="B173" s="1">
        <v>44166</v>
      </c>
      <c r="C173">
        <v>2020</v>
      </c>
      <c r="D173">
        <v>12</v>
      </c>
      <c r="E173" s="2" t="s">
        <v>8448</v>
      </c>
      <c r="F173" s="2" t="s">
        <v>8449</v>
      </c>
      <c r="G173" s="2" t="s">
        <v>8335</v>
      </c>
      <c r="H173" s="2" t="s">
        <v>22</v>
      </c>
      <c r="I173" s="2" t="s">
        <v>8387</v>
      </c>
      <c r="J173" s="2" t="s">
        <v>24</v>
      </c>
      <c r="K173">
        <v>0.25</v>
      </c>
      <c r="L173">
        <v>25000</v>
      </c>
      <c r="M173" s="2" t="s">
        <v>8399</v>
      </c>
      <c r="N173" s="2" t="s">
        <v>8403</v>
      </c>
      <c r="O173" s="2" t="s">
        <v>876</v>
      </c>
      <c r="P173" s="2" t="s">
        <v>175</v>
      </c>
      <c r="Q173" s="2" t="s">
        <v>8445</v>
      </c>
      <c r="R173" s="2" t="s">
        <v>30</v>
      </c>
    </row>
    <row r="174" spans="1:18">
      <c r="A174" s="1">
        <v>44166</v>
      </c>
      <c r="B174" s="1">
        <v>44166</v>
      </c>
      <c r="C174">
        <v>2020</v>
      </c>
      <c r="D174">
        <v>12</v>
      </c>
      <c r="E174" s="2" t="s">
        <v>8450</v>
      </c>
      <c r="F174" s="2" t="s">
        <v>8451</v>
      </c>
      <c r="G174" s="2" t="s">
        <v>8335</v>
      </c>
      <c r="H174" s="2" t="s">
        <v>22</v>
      </c>
      <c r="I174" s="2" t="s">
        <v>8417</v>
      </c>
      <c r="J174" s="2" t="s">
        <v>24</v>
      </c>
      <c r="K174">
        <v>32</v>
      </c>
      <c r="L174">
        <v>3200000</v>
      </c>
      <c r="M174" s="2" t="s">
        <v>8422</v>
      </c>
      <c r="N174" s="2" t="s">
        <v>8426</v>
      </c>
      <c r="O174" s="2" t="s">
        <v>8585</v>
      </c>
      <c r="P174" s="2" t="s">
        <v>175</v>
      </c>
      <c r="Q174" s="2" t="s">
        <v>8445</v>
      </c>
      <c r="R174" s="2" t="s">
        <v>30</v>
      </c>
    </row>
    <row r="175" spans="1:18">
      <c r="A175" s="1">
        <v>44166</v>
      </c>
      <c r="B175" s="1">
        <v>44166</v>
      </c>
      <c r="C175">
        <v>2020</v>
      </c>
      <c r="D175">
        <v>12</v>
      </c>
      <c r="E175" s="2" t="s">
        <v>8453</v>
      </c>
      <c r="F175" s="2" t="s">
        <v>8454</v>
      </c>
      <c r="G175" s="2" t="s">
        <v>8335</v>
      </c>
      <c r="H175" s="2" t="s">
        <v>22</v>
      </c>
      <c r="I175" s="2" t="s">
        <v>8336</v>
      </c>
      <c r="J175" s="2" t="s">
        <v>24</v>
      </c>
      <c r="K175">
        <v>603.97</v>
      </c>
      <c r="L175">
        <v>60397000</v>
      </c>
      <c r="M175" s="2" t="s">
        <v>8348</v>
      </c>
      <c r="N175" s="2" t="s">
        <v>8352</v>
      </c>
      <c r="O175" s="2" t="s">
        <v>8586</v>
      </c>
      <c r="P175" s="2" t="s">
        <v>175</v>
      </c>
      <c r="Q175" s="2" t="s">
        <v>8445</v>
      </c>
      <c r="R175" s="2" t="s">
        <v>30</v>
      </c>
    </row>
    <row r="176" spans="1:18">
      <c r="A176" s="1">
        <v>44166</v>
      </c>
      <c r="B176" s="1">
        <v>44166</v>
      </c>
      <c r="C176">
        <v>2020</v>
      </c>
      <c r="D176">
        <v>12</v>
      </c>
      <c r="E176" s="2" t="s">
        <v>8456</v>
      </c>
      <c r="F176" s="2" t="s">
        <v>8457</v>
      </c>
      <c r="G176" s="2" t="s">
        <v>8335</v>
      </c>
      <c r="H176" s="2" t="s">
        <v>22</v>
      </c>
      <c r="I176" s="2" t="s">
        <v>8336</v>
      </c>
      <c r="J176" s="2" t="s">
        <v>24</v>
      </c>
      <c r="K176">
        <v>8856.6</v>
      </c>
      <c r="L176">
        <v>885660000</v>
      </c>
      <c r="M176" s="2" t="s">
        <v>8355</v>
      </c>
      <c r="N176" s="2" t="s">
        <v>8359</v>
      </c>
      <c r="O176" s="2" t="s">
        <v>8587</v>
      </c>
      <c r="P176" s="2" t="s">
        <v>175</v>
      </c>
      <c r="Q176" s="2" t="s">
        <v>8445</v>
      </c>
      <c r="R176" s="2" t="s">
        <v>30</v>
      </c>
    </row>
    <row r="177" spans="1:18">
      <c r="A177" s="1">
        <v>44166</v>
      </c>
      <c r="B177" s="1">
        <v>44166</v>
      </c>
      <c r="C177">
        <v>2020</v>
      </c>
      <c r="D177">
        <v>12</v>
      </c>
      <c r="E177" s="2" t="s">
        <v>8459</v>
      </c>
      <c r="F177" s="2" t="s">
        <v>8460</v>
      </c>
      <c r="G177" s="2" t="s">
        <v>8335</v>
      </c>
      <c r="H177" s="2" t="s">
        <v>22</v>
      </c>
      <c r="I177" s="2" t="s">
        <v>8336</v>
      </c>
      <c r="J177" s="2" t="s">
        <v>59</v>
      </c>
      <c r="K177">
        <v>9460.57</v>
      </c>
      <c r="L177">
        <v>946057000</v>
      </c>
      <c r="M177" s="2" t="s">
        <v>8331</v>
      </c>
      <c r="N177" s="2" t="s">
        <v>8341</v>
      </c>
      <c r="O177" s="2" t="s">
        <v>8588</v>
      </c>
      <c r="P177" s="2" t="s">
        <v>175</v>
      </c>
      <c r="Q177" s="2" t="s">
        <v>8445</v>
      </c>
      <c r="R177" s="2" t="s">
        <v>30</v>
      </c>
    </row>
    <row r="178" spans="1:18">
      <c r="A178" s="1">
        <v>44166</v>
      </c>
      <c r="B178" s="1">
        <v>44166</v>
      </c>
      <c r="C178">
        <v>2020</v>
      </c>
      <c r="D178">
        <v>12</v>
      </c>
      <c r="E178" s="2" t="s">
        <v>8462</v>
      </c>
      <c r="F178" s="2" t="s">
        <v>8463</v>
      </c>
      <c r="G178" s="2" t="s">
        <v>8335</v>
      </c>
      <c r="H178" s="2" t="s">
        <v>22</v>
      </c>
      <c r="I178" s="2" t="s">
        <v>8409</v>
      </c>
      <c r="J178" s="2" t="s">
        <v>24</v>
      </c>
      <c r="K178">
        <v>4.97</v>
      </c>
      <c r="L178">
        <v>497000</v>
      </c>
      <c r="M178" s="2" t="s">
        <v>8406</v>
      </c>
      <c r="N178" s="2" t="s">
        <v>8411</v>
      </c>
      <c r="O178" s="2" t="s">
        <v>8579</v>
      </c>
      <c r="P178" s="2" t="s">
        <v>175</v>
      </c>
      <c r="Q178" s="2" t="s">
        <v>8445</v>
      </c>
      <c r="R178" s="2" t="s">
        <v>30</v>
      </c>
    </row>
    <row r="179" spans="1:18">
      <c r="A179" s="1">
        <v>44166</v>
      </c>
      <c r="B179" s="1">
        <v>44166</v>
      </c>
      <c r="C179">
        <v>2020</v>
      </c>
      <c r="D179">
        <v>12</v>
      </c>
      <c r="E179" s="2" t="s">
        <v>8464</v>
      </c>
      <c r="F179" s="2" t="s">
        <v>8465</v>
      </c>
      <c r="G179" s="2" t="s">
        <v>8335</v>
      </c>
      <c r="H179" s="2" t="s">
        <v>22</v>
      </c>
      <c r="I179" s="2" t="s">
        <v>8417</v>
      </c>
      <c r="J179" s="2" t="s">
        <v>24</v>
      </c>
      <c r="K179">
        <v>45.85</v>
      </c>
      <c r="L179">
        <v>4585000</v>
      </c>
      <c r="M179" s="2" t="s">
        <v>8414</v>
      </c>
      <c r="N179" s="2" t="s">
        <v>8419</v>
      </c>
      <c r="O179" s="2" t="s">
        <v>8589</v>
      </c>
      <c r="P179" s="2" t="s">
        <v>175</v>
      </c>
      <c r="Q179" s="2" t="s">
        <v>8445</v>
      </c>
      <c r="R179" s="2" t="s">
        <v>30</v>
      </c>
    </row>
    <row r="180" spans="1:18">
      <c r="A180" s="1">
        <v>44166</v>
      </c>
      <c r="B180" s="1">
        <v>44166</v>
      </c>
      <c r="C180">
        <v>2020</v>
      </c>
      <c r="D180">
        <v>12</v>
      </c>
      <c r="E180" s="2" t="s">
        <v>8467</v>
      </c>
      <c r="F180" s="2" t="s">
        <v>8468</v>
      </c>
      <c r="G180" s="2" t="s">
        <v>8335</v>
      </c>
      <c r="H180" s="2" t="s">
        <v>22</v>
      </c>
      <c r="I180" s="2" t="s">
        <v>8365</v>
      </c>
      <c r="J180" s="2" t="s">
        <v>24</v>
      </c>
      <c r="K180">
        <v>1662.71</v>
      </c>
      <c r="L180">
        <v>166271000</v>
      </c>
      <c r="M180" s="2" t="s">
        <v>8377</v>
      </c>
      <c r="N180" s="2" t="s">
        <v>8381</v>
      </c>
      <c r="O180" s="2" t="s">
        <v>8590</v>
      </c>
      <c r="P180" s="2" t="s">
        <v>175</v>
      </c>
      <c r="Q180" s="2" t="s">
        <v>8445</v>
      </c>
      <c r="R180" s="2" t="s">
        <v>30</v>
      </c>
    </row>
    <row r="181" spans="1:18">
      <c r="A181" s="1">
        <v>44166</v>
      </c>
      <c r="B181" s="1">
        <v>44166</v>
      </c>
      <c r="C181">
        <v>2020</v>
      </c>
      <c r="D181">
        <v>12</v>
      </c>
      <c r="E181" s="2" t="s">
        <v>8470</v>
      </c>
      <c r="F181" s="2" t="s">
        <v>8471</v>
      </c>
      <c r="G181" s="2" t="s">
        <v>8335</v>
      </c>
      <c r="H181" s="2" t="s">
        <v>22</v>
      </c>
      <c r="I181" s="2" t="s">
        <v>8365</v>
      </c>
      <c r="J181" s="2" t="s">
        <v>59</v>
      </c>
      <c r="K181">
        <v>20819.060000000001</v>
      </c>
      <c r="L181">
        <v>2081906000</v>
      </c>
      <c r="M181" s="2" t="s">
        <v>8362</v>
      </c>
      <c r="N181" s="2" t="s">
        <v>8367</v>
      </c>
      <c r="O181" s="2" t="s">
        <v>8591</v>
      </c>
      <c r="P181" s="2" t="s">
        <v>175</v>
      </c>
      <c r="Q181" s="2" t="s">
        <v>8445</v>
      </c>
      <c r="R181" s="2" t="s">
        <v>30</v>
      </c>
    </row>
    <row r="182" spans="1:18">
      <c r="A182" s="1">
        <v>44166</v>
      </c>
      <c r="B182" s="1">
        <v>44166</v>
      </c>
      <c r="C182">
        <v>2020</v>
      </c>
      <c r="D182">
        <v>12</v>
      </c>
      <c r="E182" s="2" t="s">
        <v>8473</v>
      </c>
      <c r="F182" s="2" t="s">
        <v>8474</v>
      </c>
      <c r="G182" s="2" t="s">
        <v>8335</v>
      </c>
      <c r="H182" s="2" t="s">
        <v>22</v>
      </c>
      <c r="I182" s="2" t="s">
        <v>8365</v>
      </c>
      <c r="J182" s="2" t="s">
        <v>24</v>
      </c>
      <c r="K182">
        <v>19156.349999999999</v>
      </c>
      <c r="L182">
        <v>1915635000</v>
      </c>
      <c r="M182" s="2" t="s">
        <v>8370</v>
      </c>
      <c r="N182" s="2" t="s">
        <v>8374</v>
      </c>
      <c r="O182" s="2" t="s">
        <v>8592</v>
      </c>
      <c r="P182" s="2" t="s">
        <v>175</v>
      </c>
      <c r="Q182" s="2" t="s">
        <v>8445</v>
      </c>
      <c r="R182" s="2" t="s">
        <v>30</v>
      </c>
    </row>
    <row r="183" spans="1:18">
      <c r="A183" s="1">
        <v>44166</v>
      </c>
      <c r="B183" s="1">
        <v>44166</v>
      </c>
      <c r="C183">
        <v>2020</v>
      </c>
      <c r="D183">
        <v>12</v>
      </c>
      <c r="E183" s="2" t="s">
        <v>7890</v>
      </c>
      <c r="F183" s="2" t="s">
        <v>7891</v>
      </c>
      <c r="G183" s="2" t="s">
        <v>8335</v>
      </c>
      <c r="H183" s="2" t="s">
        <v>22</v>
      </c>
      <c r="I183" s="2" t="s">
        <v>8417</v>
      </c>
      <c r="J183" s="2" t="s">
        <v>24</v>
      </c>
      <c r="K183">
        <v>752.31</v>
      </c>
      <c r="L183">
        <v>75231000</v>
      </c>
      <c r="M183" s="2" t="s">
        <v>7889</v>
      </c>
      <c r="N183" s="2" t="s">
        <v>7911</v>
      </c>
      <c r="O183" s="2" t="s">
        <v>8593</v>
      </c>
      <c r="P183" s="2" t="s">
        <v>175</v>
      </c>
      <c r="Q183" s="2" t="s">
        <v>8445</v>
      </c>
      <c r="R183" s="2" t="s">
        <v>30</v>
      </c>
    </row>
    <row r="184" spans="1:18">
      <c r="A184" s="1">
        <v>44197</v>
      </c>
      <c r="B184" s="1">
        <v>44197</v>
      </c>
      <c r="C184">
        <v>2021</v>
      </c>
      <c r="D184">
        <v>1</v>
      </c>
      <c r="E184" s="2" t="s">
        <v>8443</v>
      </c>
      <c r="F184" s="2" t="s">
        <v>8444</v>
      </c>
      <c r="G184" s="2" t="s">
        <v>8335</v>
      </c>
      <c r="H184" s="2" t="s">
        <v>22</v>
      </c>
      <c r="I184" s="2" t="s">
        <v>8387</v>
      </c>
      <c r="J184" s="2" t="s">
        <v>24</v>
      </c>
      <c r="K184">
        <v>2.09</v>
      </c>
      <c r="L184">
        <v>209000</v>
      </c>
      <c r="M184" s="2" t="s">
        <v>8392</v>
      </c>
      <c r="N184" s="2" t="s">
        <v>8396</v>
      </c>
      <c r="O184" s="2" t="s">
        <v>4348</v>
      </c>
      <c r="P184" s="2" t="s">
        <v>175</v>
      </c>
      <c r="Q184" s="2" t="s">
        <v>8445</v>
      </c>
      <c r="R184" s="2" t="s">
        <v>30</v>
      </c>
    </row>
    <row r="185" spans="1:18">
      <c r="A185" s="1">
        <v>44197</v>
      </c>
      <c r="B185" s="1">
        <v>44197</v>
      </c>
      <c r="C185">
        <v>2021</v>
      </c>
      <c r="D185">
        <v>1</v>
      </c>
      <c r="E185" s="2" t="s">
        <v>8446</v>
      </c>
      <c r="F185" s="2" t="s">
        <v>8447</v>
      </c>
      <c r="G185" s="2" t="s">
        <v>8335</v>
      </c>
      <c r="H185" s="2" t="s">
        <v>22</v>
      </c>
      <c r="I185" s="2" t="s">
        <v>8387</v>
      </c>
      <c r="J185" s="2" t="s">
        <v>59</v>
      </c>
      <c r="K185">
        <v>2.34</v>
      </c>
      <c r="L185">
        <v>234000</v>
      </c>
      <c r="M185" s="2" t="s">
        <v>8384</v>
      </c>
      <c r="N185" s="2" t="s">
        <v>8389</v>
      </c>
      <c r="O185" s="2" t="s">
        <v>3654</v>
      </c>
      <c r="P185" s="2" t="s">
        <v>175</v>
      </c>
      <c r="Q185" s="2" t="s">
        <v>8445</v>
      </c>
      <c r="R185" s="2" t="s">
        <v>30</v>
      </c>
    </row>
    <row r="186" spans="1:18">
      <c r="A186" s="1">
        <v>44197</v>
      </c>
      <c r="B186" s="1">
        <v>44197</v>
      </c>
      <c r="C186">
        <v>2021</v>
      </c>
      <c r="D186">
        <v>1</v>
      </c>
      <c r="E186" s="2" t="s">
        <v>8448</v>
      </c>
      <c r="F186" s="2" t="s">
        <v>8449</v>
      </c>
      <c r="G186" s="2" t="s">
        <v>8335</v>
      </c>
      <c r="H186" s="2" t="s">
        <v>22</v>
      </c>
      <c r="I186" s="2" t="s">
        <v>8387</v>
      </c>
      <c r="J186" s="2" t="s">
        <v>24</v>
      </c>
      <c r="K186">
        <v>0.25</v>
      </c>
      <c r="L186">
        <v>25000</v>
      </c>
      <c r="M186" s="2" t="s">
        <v>8399</v>
      </c>
      <c r="N186" s="2" t="s">
        <v>8403</v>
      </c>
      <c r="O186" s="2" t="s">
        <v>876</v>
      </c>
      <c r="P186" s="2" t="s">
        <v>175</v>
      </c>
      <c r="Q186" s="2" t="s">
        <v>8445</v>
      </c>
      <c r="R186" s="2" t="s">
        <v>30</v>
      </c>
    </row>
    <row r="187" spans="1:18">
      <c r="A187" s="1">
        <v>44197</v>
      </c>
      <c r="B187" s="1">
        <v>44197</v>
      </c>
      <c r="C187">
        <v>2021</v>
      </c>
      <c r="D187">
        <v>1</v>
      </c>
      <c r="E187" s="2" t="s">
        <v>8450</v>
      </c>
      <c r="F187" s="2" t="s">
        <v>8451</v>
      </c>
      <c r="G187" s="2" t="s">
        <v>8335</v>
      </c>
      <c r="H187" s="2" t="s">
        <v>22</v>
      </c>
      <c r="I187" s="2" t="s">
        <v>8417</v>
      </c>
      <c r="J187" s="2" t="s">
        <v>24</v>
      </c>
      <c r="K187">
        <v>33.6</v>
      </c>
      <c r="L187">
        <v>3360000</v>
      </c>
      <c r="M187" s="2" t="s">
        <v>8422</v>
      </c>
      <c r="N187" s="2" t="s">
        <v>8426</v>
      </c>
      <c r="O187" s="2" t="s">
        <v>8594</v>
      </c>
      <c r="P187" s="2" t="s">
        <v>175</v>
      </c>
      <c r="Q187" s="2" t="s">
        <v>8445</v>
      </c>
      <c r="R187" s="2" t="s">
        <v>30</v>
      </c>
    </row>
    <row r="188" spans="1:18">
      <c r="A188" s="1">
        <v>44197</v>
      </c>
      <c r="B188" s="1">
        <v>44197</v>
      </c>
      <c r="C188">
        <v>2021</v>
      </c>
      <c r="D188">
        <v>1</v>
      </c>
      <c r="E188" s="2" t="s">
        <v>8453</v>
      </c>
      <c r="F188" s="2" t="s">
        <v>8454</v>
      </c>
      <c r="G188" s="2" t="s">
        <v>8335</v>
      </c>
      <c r="H188" s="2" t="s">
        <v>22</v>
      </c>
      <c r="I188" s="2" t="s">
        <v>8336</v>
      </c>
      <c r="J188" s="2" t="s">
        <v>24</v>
      </c>
      <c r="K188">
        <v>610.98</v>
      </c>
      <c r="L188">
        <v>61098000</v>
      </c>
      <c r="M188" s="2" t="s">
        <v>8348</v>
      </c>
      <c r="N188" s="2" t="s">
        <v>8352</v>
      </c>
      <c r="O188" s="2" t="s">
        <v>8595</v>
      </c>
      <c r="P188" s="2" t="s">
        <v>175</v>
      </c>
      <c r="Q188" s="2" t="s">
        <v>8445</v>
      </c>
      <c r="R188" s="2" t="s">
        <v>30</v>
      </c>
    </row>
    <row r="189" spans="1:18">
      <c r="A189" s="1">
        <v>44197</v>
      </c>
      <c r="B189" s="1">
        <v>44197</v>
      </c>
      <c r="C189">
        <v>2021</v>
      </c>
      <c r="D189">
        <v>1</v>
      </c>
      <c r="E189" s="2" t="s">
        <v>8456</v>
      </c>
      <c r="F189" s="2" t="s">
        <v>8457</v>
      </c>
      <c r="G189" s="2" t="s">
        <v>8335</v>
      </c>
      <c r="H189" s="2" t="s">
        <v>22</v>
      </c>
      <c r="I189" s="2" t="s">
        <v>8336</v>
      </c>
      <c r="J189" s="2" t="s">
        <v>24</v>
      </c>
      <c r="K189">
        <v>8880.65</v>
      </c>
      <c r="L189">
        <v>888065000</v>
      </c>
      <c r="M189" s="2" t="s">
        <v>8355</v>
      </c>
      <c r="N189" s="2" t="s">
        <v>8359</v>
      </c>
      <c r="O189" s="2" t="s">
        <v>8596</v>
      </c>
      <c r="P189" s="2" t="s">
        <v>175</v>
      </c>
      <c r="Q189" s="2" t="s">
        <v>8445</v>
      </c>
      <c r="R189" s="2" t="s">
        <v>30</v>
      </c>
    </row>
    <row r="190" spans="1:18">
      <c r="A190" s="1">
        <v>44197</v>
      </c>
      <c r="B190" s="1">
        <v>44197</v>
      </c>
      <c r="C190">
        <v>2021</v>
      </c>
      <c r="D190">
        <v>1</v>
      </c>
      <c r="E190" s="2" t="s">
        <v>8459</v>
      </c>
      <c r="F190" s="2" t="s">
        <v>8460</v>
      </c>
      <c r="G190" s="2" t="s">
        <v>8335</v>
      </c>
      <c r="H190" s="2" t="s">
        <v>22</v>
      </c>
      <c r="I190" s="2" t="s">
        <v>8336</v>
      </c>
      <c r="J190" s="2" t="s">
        <v>59</v>
      </c>
      <c r="K190">
        <v>9491.6299999999992</v>
      </c>
      <c r="L190">
        <v>949163000</v>
      </c>
      <c r="M190" s="2" t="s">
        <v>8331</v>
      </c>
      <c r="N190" s="2" t="s">
        <v>8341</v>
      </c>
      <c r="O190" s="2" t="s">
        <v>8597</v>
      </c>
      <c r="P190" s="2" t="s">
        <v>175</v>
      </c>
      <c r="Q190" s="2" t="s">
        <v>8445</v>
      </c>
      <c r="R190" s="2" t="s">
        <v>30</v>
      </c>
    </row>
    <row r="191" spans="1:18">
      <c r="A191" s="1">
        <v>44197</v>
      </c>
      <c r="B191" s="1">
        <v>44197</v>
      </c>
      <c r="C191">
        <v>2021</v>
      </c>
      <c r="D191">
        <v>1</v>
      </c>
      <c r="E191" s="2" t="s">
        <v>8462</v>
      </c>
      <c r="F191" s="2" t="s">
        <v>8463</v>
      </c>
      <c r="G191" s="2" t="s">
        <v>8335</v>
      </c>
      <c r="H191" s="2" t="s">
        <v>22</v>
      </c>
      <c r="I191" s="2" t="s">
        <v>8409</v>
      </c>
      <c r="J191" s="2" t="s">
        <v>24</v>
      </c>
      <c r="K191">
        <v>5.12</v>
      </c>
      <c r="L191">
        <v>512000</v>
      </c>
      <c r="M191" s="2" t="s">
        <v>8406</v>
      </c>
      <c r="N191" s="2" t="s">
        <v>8411</v>
      </c>
      <c r="O191" s="2" t="s">
        <v>8598</v>
      </c>
      <c r="P191" s="2" t="s">
        <v>175</v>
      </c>
      <c r="Q191" s="2" t="s">
        <v>8445</v>
      </c>
      <c r="R191" s="2" t="s">
        <v>30</v>
      </c>
    </row>
    <row r="192" spans="1:18">
      <c r="A192" s="1">
        <v>44197</v>
      </c>
      <c r="B192" s="1">
        <v>44197</v>
      </c>
      <c r="C192">
        <v>2021</v>
      </c>
      <c r="D192">
        <v>1</v>
      </c>
      <c r="E192" s="2" t="s">
        <v>8464</v>
      </c>
      <c r="F192" s="2" t="s">
        <v>8465</v>
      </c>
      <c r="G192" s="2" t="s">
        <v>8335</v>
      </c>
      <c r="H192" s="2" t="s">
        <v>22</v>
      </c>
      <c r="I192" s="2" t="s">
        <v>8417</v>
      </c>
      <c r="J192" s="2" t="s">
        <v>24</v>
      </c>
      <c r="K192">
        <v>46.55</v>
      </c>
      <c r="L192">
        <v>4655000</v>
      </c>
      <c r="M192" s="2" t="s">
        <v>8414</v>
      </c>
      <c r="N192" s="2" t="s">
        <v>8419</v>
      </c>
      <c r="O192" s="2" t="s">
        <v>8599</v>
      </c>
      <c r="P192" s="2" t="s">
        <v>175</v>
      </c>
      <c r="Q192" s="2" t="s">
        <v>8445</v>
      </c>
      <c r="R192" s="2" t="s">
        <v>30</v>
      </c>
    </row>
    <row r="193" spans="1:18">
      <c r="A193" s="1">
        <v>44197</v>
      </c>
      <c r="B193" s="1">
        <v>44197</v>
      </c>
      <c r="C193">
        <v>2021</v>
      </c>
      <c r="D193">
        <v>1</v>
      </c>
      <c r="E193" s="2" t="s">
        <v>8467</v>
      </c>
      <c r="F193" s="2" t="s">
        <v>8468</v>
      </c>
      <c r="G193" s="2" t="s">
        <v>8335</v>
      </c>
      <c r="H193" s="2" t="s">
        <v>22</v>
      </c>
      <c r="I193" s="2" t="s">
        <v>8365</v>
      </c>
      <c r="J193" s="2" t="s">
        <v>24</v>
      </c>
      <c r="K193">
        <v>1751.11</v>
      </c>
      <c r="L193">
        <v>175111000</v>
      </c>
      <c r="M193" s="2" t="s">
        <v>8377</v>
      </c>
      <c r="N193" s="2" t="s">
        <v>8381</v>
      </c>
      <c r="O193" s="2" t="s">
        <v>8600</v>
      </c>
      <c r="P193" s="2" t="s">
        <v>175</v>
      </c>
      <c r="Q193" s="2" t="s">
        <v>8445</v>
      </c>
      <c r="R193" s="2" t="s">
        <v>30</v>
      </c>
    </row>
    <row r="194" spans="1:18">
      <c r="A194" s="1">
        <v>44197</v>
      </c>
      <c r="B194" s="1">
        <v>44197</v>
      </c>
      <c r="C194">
        <v>2021</v>
      </c>
      <c r="D194">
        <v>1</v>
      </c>
      <c r="E194" s="2" t="s">
        <v>8470</v>
      </c>
      <c r="F194" s="2" t="s">
        <v>8471</v>
      </c>
      <c r="G194" s="2" t="s">
        <v>8335</v>
      </c>
      <c r="H194" s="2" t="s">
        <v>22</v>
      </c>
      <c r="I194" s="2" t="s">
        <v>8365</v>
      </c>
      <c r="J194" s="2" t="s">
        <v>59</v>
      </c>
      <c r="K194">
        <v>21212.16</v>
      </c>
      <c r="L194">
        <v>2121216000</v>
      </c>
      <c r="M194" s="2" t="s">
        <v>8362</v>
      </c>
      <c r="N194" s="2" t="s">
        <v>8367</v>
      </c>
      <c r="O194" s="2" t="s">
        <v>8601</v>
      </c>
      <c r="P194" s="2" t="s">
        <v>175</v>
      </c>
      <c r="Q194" s="2" t="s">
        <v>8445</v>
      </c>
      <c r="R194" s="2" t="s">
        <v>30</v>
      </c>
    </row>
    <row r="195" spans="1:18">
      <c r="A195" s="1">
        <v>44197</v>
      </c>
      <c r="B195" s="1">
        <v>44197</v>
      </c>
      <c r="C195">
        <v>2021</v>
      </c>
      <c r="D195">
        <v>1</v>
      </c>
      <c r="E195" s="2" t="s">
        <v>8473</v>
      </c>
      <c r="F195" s="2" t="s">
        <v>8474</v>
      </c>
      <c r="G195" s="2" t="s">
        <v>8335</v>
      </c>
      <c r="H195" s="2" t="s">
        <v>22</v>
      </c>
      <c r="I195" s="2" t="s">
        <v>8365</v>
      </c>
      <c r="J195" s="2" t="s">
        <v>24</v>
      </c>
      <c r="K195">
        <v>19461.04</v>
      </c>
      <c r="L195">
        <v>1946104000</v>
      </c>
      <c r="M195" s="2" t="s">
        <v>8370</v>
      </c>
      <c r="N195" s="2" t="s">
        <v>8374</v>
      </c>
      <c r="O195" s="2" t="s">
        <v>8602</v>
      </c>
      <c r="P195" s="2" t="s">
        <v>175</v>
      </c>
      <c r="Q195" s="2" t="s">
        <v>8445</v>
      </c>
      <c r="R195" s="2" t="s">
        <v>30</v>
      </c>
    </row>
    <row r="196" spans="1:18">
      <c r="A196" s="1">
        <v>44197</v>
      </c>
      <c r="B196" s="1">
        <v>44197</v>
      </c>
      <c r="C196">
        <v>2021</v>
      </c>
      <c r="D196">
        <v>1</v>
      </c>
      <c r="E196" s="2" t="s">
        <v>7890</v>
      </c>
      <c r="F196" s="2" t="s">
        <v>7891</v>
      </c>
      <c r="G196" s="2" t="s">
        <v>8335</v>
      </c>
      <c r="H196" s="2" t="s">
        <v>22</v>
      </c>
      <c r="I196" s="2" t="s">
        <v>8417</v>
      </c>
      <c r="J196" s="2" t="s">
        <v>24</v>
      </c>
      <c r="K196">
        <v>805.89</v>
      </c>
      <c r="L196">
        <v>80589000</v>
      </c>
      <c r="M196" s="2" t="s">
        <v>7889</v>
      </c>
      <c r="N196" s="2" t="s">
        <v>7911</v>
      </c>
      <c r="O196" s="2" t="s">
        <v>8603</v>
      </c>
      <c r="P196" s="2" t="s">
        <v>175</v>
      </c>
      <c r="Q196" s="2" t="s">
        <v>8445</v>
      </c>
      <c r="R196" s="2" t="s">
        <v>30</v>
      </c>
    </row>
    <row r="197" spans="1:18">
      <c r="A197" s="1">
        <v>44228</v>
      </c>
      <c r="B197" s="1">
        <v>44228</v>
      </c>
      <c r="C197">
        <v>2021</v>
      </c>
      <c r="D197">
        <v>2</v>
      </c>
      <c r="E197" s="2" t="s">
        <v>8443</v>
      </c>
      <c r="F197" s="2" t="s">
        <v>8444</v>
      </c>
      <c r="G197" s="2" t="s">
        <v>8335</v>
      </c>
      <c r="H197" s="2" t="s">
        <v>22</v>
      </c>
      <c r="I197" s="2" t="s">
        <v>8387</v>
      </c>
      <c r="J197" s="2" t="s">
        <v>24</v>
      </c>
      <c r="K197">
        <v>2.1</v>
      </c>
      <c r="L197">
        <v>210000</v>
      </c>
      <c r="M197" s="2" t="s">
        <v>8392</v>
      </c>
      <c r="N197" s="2" t="s">
        <v>8396</v>
      </c>
      <c r="O197" s="2" t="s">
        <v>4756</v>
      </c>
      <c r="P197" s="2" t="s">
        <v>175</v>
      </c>
      <c r="Q197" s="2" t="s">
        <v>8445</v>
      </c>
      <c r="R197" s="2" t="s">
        <v>30</v>
      </c>
    </row>
    <row r="198" spans="1:18">
      <c r="A198" s="1">
        <v>44228</v>
      </c>
      <c r="B198" s="1">
        <v>44228</v>
      </c>
      <c r="C198">
        <v>2021</v>
      </c>
      <c r="D198">
        <v>2</v>
      </c>
      <c r="E198" s="2" t="s">
        <v>8446</v>
      </c>
      <c r="F198" s="2" t="s">
        <v>8447</v>
      </c>
      <c r="G198" s="2" t="s">
        <v>8335</v>
      </c>
      <c r="H198" s="2" t="s">
        <v>22</v>
      </c>
      <c r="I198" s="2" t="s">
        <v>8387</v>
      </c>
      <c r="J198" s="2" t="s">
        <v>59</v>
      </c>
      <c r="K198">
        <v>2.35</v>
      </c>
      <c r="L198">
        <v>235000</v>
      </c>
      <c r="M198" s="2" t="s">
        <v>8384</v>
      </c>
      <c r="N198" s="2" t="s">
        <v>8389</v>
      </c>
      <c r="O198" s="2" t="s">
        <v>8604</v>
      </c>
      <c r="P198" s="2" t="s">
        <v>175</v>
      </c>
      <c r="Q198" s="2" t="s">
        <v>8445</v>
      </c>
      <c r="R198" s="2" t="s">
        <v>30</v>
      </c>
    </row>
    <row r="199" spans="1:18">
      <c r="A199" s="1">
        <v>44228</v>
      </c>
      <c r="B199" s="1">
        <v>44228</v>
      </c>
      <c r="C199">
        <v>2021</v>
      </c>
      <c r="D199">
        <v>2</v>
      </c>
      <c r="E199" s="2" t="s">
        <v>8448</v>
      </c>
      <c r="F199" s="2" t="s">
        <v>8449</v>
      </c>
      <c r="G199" s="2" t="s">
        <v>8335</v>
      </c>
      <c r="H199" s="2" t="s">
        <v>22</v>
      </c>
      <c r="I199" s="2" t="s">
        <v>8387</v>
      </c>
      <c r="J199" s="2" t="s">
        <v>24</v>
      </c>
      <c r="K199">
        <v>0.25</v>
      </c>
      <c r="L199">
        <v>25000</v>
      </c>
      <c r="M199" s="2" t="s">
        <v>8399</v>
      </c>
      <c r="N199" s="2" t="s">
        <v>8403</v>
      </c>
      <c r="O199" s="2" t="s">
        <v>876</v>
      </c>
      <c r="P199" s="2" t="s">
        <v>175</v>
      </c>
      <c r="Q199" s="2" t="s">
        <v>8445</v>
      </c>
      <c r="R199" s="2" t="s">
        <v>30</v>
      </c>
    </row>
    <row r="200" spans="1:18">
      <c r="A200" s="1">
        <v>44228</v>
      </c>
      <c r="B200" s="1">
        <v>44228</v>
      </c>
      <c r="C200">
        <v>2021</v>
      </c>
      <c r="D200">
        <v>2</v>
      </c>
      <c r="E200" s="2" t="s">
        <v>8450</v>
      </c>
      <c r="F200" s="2" t="s">
        <v>8451</v>
      </c>
      <c r="G200" s="2" t="s">
        <v>8335</v>
      </c>
      <c r="H200" s="2" t="s">
        <v>22</v>
      </c>
      <c r="I200" s="2" t="s">
        <v>8417</v>
      </c>
      <c r="J200" s="2" t="s">
        <v>24</v>
      </c>
      <c r="K200">
        <v>34.92</v>
      </c>
      <c r="L200">
        <v>3492000</v>
      </c>
      <c r="M200" s="2" t="s">
        <v>8422</v>
      </c>
      <c r="N200" s="2" t="s">
        <v>8426</v>
      </c>
      <c r="O200" s="2" t="s">
        <v>8605</v>
      </c>
      <c r="P200" s="2" t="s">
        <v>175</v>
      </c>
      <c r="Q200" s="2" t="s">
        <v>8445</v>
      </c>
      <c r="R200" s="2" t="s">
        <v>30</v>
      </c>
    </row>
    <row r="201" spans="1:18">
      <c r="A201" s="1">
        <v>44228</v>
      </c>
      <c r="B201" s="1">
        <v>44228</v>
      </c>
      <c r="C201">
        <v>2021</v>
      </c>
      <c r="D201">
        <v>2</v>
      </c>
      <c r="E201" s="2" t="s">
        <v>8453</v>
      </c>
      <c r="F201" s="2" t="s">
        <v>8454</v>
      </c>
      <c r="G201" s="2" t="s">
        <v>8335</v>
      </c>
      <c r="H201" s="2" t="s">
        <v>22</v>
      </c>
      <c r="I201" s="2" t="s">
        <v>8336</v>
      </c>
      <c r="J201" s="2" t="s">
        <v>24</v>
      </c>
      <c r="K201">
        <v>616.47</v>
      </c>
      <c r="L201">
        <v>61647000</v>
      </c>
      <c r="M201" s="2" t="s">
        <v>8348</v>
      </c>
      <c r="N201" s="2" t="s">
        <v>8352</v>
      </c>
      <c r="O201" s="2" t="s">
        <v>8606</v>
      </c>
      <c r="P201" s="2" t="s">
        <v>175</v>
      </c>
      <c r="Q201" s="2" t="s">
        <v>8445</v>
      </c>
      <c r="R201" s="2" t="s">
        <v>30</v>
      </c>
    </row>
    <row r="202" spans="1:18">
      <c r="A202" s="1">
        <v>44228</v>
      </c>
      <c r="B202" s="1">
        <v>44228</v>
      </c>
      <c r="C202">
        <v>2021</v>
      </c>
      <c r="D202">
        <v>2</v>
      </c>
      <c r="E202" s="2" t="s">
        <v>8456</v>
      </c>
      <c r="F202" s="2" t="s">
        <v>8457</v>
      </c>
      <c r="G202" s="2" t="s">
        <v>8335</v>
      </c>
      <c r="H202" s="2" t="s">
        <v>22</v>
      </c>
      <c r="I202" s="2" t="s">
        <v>8336</v>
      </c>
      <c r="J202" s="2" t="s">
        <v>24</v>
      </c>
      <c r="K202">
        <v>8940.02</v>
      </c>
      <c r="L202">
        <v>894002000</v>
      </c>
      <c r="M202" s="2" t="s">
        <v>8355</v>
      </c>
      <c r="N202" s="2" t="s">
        <v>8359</v>
      </c>
      <c r="O202" s="2" t="s">
        <v>8607</v>
      </c>
      <c r="P202" s="2" t="s">
        <v>175</v>
      </c>
      <c r="Q202" s="2" t="s">
        <v>8445</v>
      </c>
      <c r="R202" s="2" t="s">
        <v>30</v>
      </c>
    </row>
    <row r="203" spans="1:18">
      <c r="A203" s="1">
        <v>44228</v>
      </c>
      <c r="B203" s="1">
        <v>44228</v>
      </c>
      <c r="C203">
        <v>2021</v>
      </c>
      <c r="D203">
        <v>2</v>
      </c>
      <c r="E203" s="2" t="s">
        <v>8459</v>
      </c>
      <c r="F203" s="2" t="s">
        <v>8460</v>
      </c>
      <c r="G203" s="2" t="s">
        <v>8335</v>
      </c>
      <c r="H203" s="2" t="s">
        <v>22</v>
      </c>
      <c r="I203" s="2" t="s">
        <v>8336</v>
      </c>
      <c r="J203" s="2" t="s">
        <v>59</v>
      </c>
      <c r="K203">
        <v>9556.49</v>
      </c>
      <c r="L203">
        <v>955649000</v>
      </c>
      <c r="M203" s="2" t="s">
        <v>8331</v>
      </c>
      <c r="N203" s="2" t="s">
        <v>8341</v>
      </c>
      <c r="O203" s="2" t="s">
        <v>8608</v>
      </c>
      <c r="P203" s="2" t="s">
        <v>175</v>
      </c>
      <c r="Q203" s="2" t="s">
        <v>8445</v>
      </c>
      <c r="R203" s="2" t="s">
        <v>30</v>
      </c>
    </row>
    <row r="204" spans="1:18">
      <c r="A204" s="1">
        <v>44228</v>
      </c>
      <c r="B204" s="1">
        <v>44228</v>
      </c>
      <c r="C204">
        <v>2021</v>
      </c>
      <c r="D204">
        <v>2</v>
      </c>
      <c r="E204" s="2" t="s">
        <v>8462</v>
      </c>
      <c r="F204" s="2" t="s">
        <v>8463</v>
      </c>
      <c r="G204" s="2" t="s">
        <v>8335</v>
      </c>
      <c r="H204" s="2" t="s">
        <v>22</v>
      </c>
      <c r="I204" s="2" t="s">
        <v>8409</v>
      </c>
      <c r="J204" s="2" t="s">
        <v>24</v>
      </c>
      <c r="K204">
        <v>5.12</v>
      </c>
      <c r="L204">
        <v>512000</v>
      </c>
      <c r="M204" s="2" t="s">
        <v>8406</v>
      </c>
      <c r="N204" s="2" t="s">
        <v>8411</v>
      </c>
      <c r="O204" s="2" t="s">
        <v>8598</v>
      </c>
      <c r="P204" s="2" t="s">
        <v>175</v>
      </c>
      <c r="Q204" s="2" t="s">
        <v>8445</v>
      </c>
      <c r="R204" s="2" t="s">
        <v>30</v>
      </c>
    </row>
    <row r="205" spans="1:18">
      <c r="A205" s="1">
        <v>44228</v>
      </c>
      <c r="B205" s="1">
        <v>44228</v>
      </c>
      <c r="C205">
        <v>2021</v>
      </c>
      <c r="D205">
        <v>2</v>
      </c>
      <c r="E205" s="2" t="s">
        <v>8464</v>
      </c>
      <c r="F205" s="2" t="s">
        <v>8465</v>
      </c>
      <c r="G205" s="2" t="s">
        <v>8335</v>
      </c>
      <c r="H205" s="2" t="s">
        <v>22</v>
      </c>
      <c r="I205" s="2" t="s">
        <v>8417</v>
      </c>
      <c r="J205" s="2" t="s">
        <v>24</v>
      </c>
      <c r="K205">
        <v>47.15</v>
      </c>
      <c r="L205">
        <v>4715000</v>
      </c>
      <c r="M205" s="2" t="s">
        <v>8414</v>
      </c>
      <c r="N205" s="2" t="s">
        <v>8419</v>
      </c>
      <c r="O205" s="2" t="s">
        <v>8609</v>
      </c>
      <c r="P205" s="2" t="s">
        <v>175</v>
      </c>
      <c r="Q205" s="2" t="s">
        <v>8445</v>
      </c>
      <c r="R205" s="2" t="s">
        <v>30</v>
      </c>
    </row>
    <row r="206" spans="1:18">
      <c r="A206" s="1">
        <v>44228</v>
      </c>
      <c r="B206" s="1">
        <v>44228</v>
      </c>
      <c r="C206">
        <v>2021</v>
      </c>
      <c r="D206">
        <v>2</v>
      </c>
      <c r="E206" s="2" t="s">
        <v>8467</v>
      </c>
      <c r="F206" s="2" t="s">
        <v>8468</v>
      </c>
      <c r="G206" s="2" t="s">
        <v>8335</v>
      </c>
      <c r="H206" s="2" t="s">
        <v>22</v>
      </c>
      <c r="I206" s="2" t="s">
        <v>8365</v>
      </c>
      <c r="J206" s="2" t="s">
        <v>24</v>
      </c>
      <c r="K206">
        <v>1823.81</v>
      </c>
      <c r="L206">
        <v>182381000</v>
      </c>
      <c r="M206" s="2" t="s">
        <v>8377</v>
      </c>
      <c r="N206" s="2" t="s">
        <v>8381</v>
      </c>
      <c r="O206" s="2" t="s">
        <v>8610</v>
      </c>
      <c r="P206" s="2" t="s">
        <v>175</v>
      </c>
      <c r="Q206" s="2" t="s">
        <v>8445</v>
      </c>
      <c r="R206" s="2" t="s">
        <v>30</v>
      </c>
    </row>
    <row r="207" spans="1:18">
      <c r="A207" s="1">
        <v>44228</v>
      </c>
      <c r="B207" s="1">
        <v>44228</v>
      </c>
      <c r="C207">
        <v>2021</v>
      </c>
      <c r="D207">
        <v>2</v>
      </c>
      <c r="E207" s="2" t="s">
        <v>8470</v>
      </c>
      <c r="F207" s="2" t="s">
        <v>8471</v>
      </c>
      <c r="G207" s="2" t="s">
        <v>8335</v>
      </c>
      <c r="H207" s="2" t="s">
        <v>22</v>
      </c>
      <c r="I207" s="2" t="s">
        <v>8365</v>
      </c>
      <c r="J207" s="2" t="s">
        <v>59</v>
      </c>
      <c r="K207">
        <v>21556.23</v>
      </c>
      <c r="L207">
        <v>2155623000</v>
      </c>
      <c r="M207" s="2" t="s">
        <v>8362</v>
      </c>
      <c r="N207" s="2" t="s">
        <v>8367</v>
      </c>
      <c r="O207" s="2" t="s">
        <v>8611</v>
      </c>
      <c r="P207" s="2" t="s">
        <v>175</v>
      </c>
      <c r="Q207" s="2" t="s">
        <v>8445</v>
      </c>
      <c r="R207" s="2" t="s">
        <v>30</v>
      </c>
    </row>
    <row r="208" spans="1:18">
      <c r="A208" s="1">
        <v>44228</v>
      </c>
      <c r="B208" s="1">
        <v>44228</v>
      </c>
      <c r="C208">
        <v>2021</v>
      </c>
      <c r="D208">
        <v>2</v>
      </c>
      <c r="E208" s="2" t="s">
        <v>8473</v>
      </c>
      <c r="F208" s="2" t="s">
        <v>8474</v>
      </c>
      <c r="G208" s="2" t="s">
        <v>8335</v>
      </c>
      <c r="H208" s="2" t="s">
        <v>22</v>
      </c>
      <c r="I208" s="2" t="s">
        <v>8365</v>
      </c>
      <c r="J208" s="2" t="s">
        <v>24</v>
      </c>
      <c r="K208">
        <v>19732.43</v>
      </c>
      <c r="L208">
        <v>1973243000</v>
      </c>
      <c r="M208" s="2" t="s">
        <v>8370</v>
      </c>
      <c r="N208" s="2" t="s">
        <v>8374</v>
      </c>
      <c r="O208" s="2" t="s">
        <v>8612</v>
      </c>
      <c r="P208" s="2" t="s">
        <v>175</v>
      </c>
      <c r="Q208" s="2" t="s">
        <v>8445</v>
      </c>
      <c r="R208" s="2" t="s">
        <v>30</v>
      </c>
    </row>
    <row r="209" spans="1:18">
      <c r="A209" s="1">
        <v>44228</v>
      </c>
      <c r="B209" s="1">
        <v>44228</v>
      </c>
      <c r="C209">
        <v>2021</v>
      </c>
      <c r="D209">
        <v>2</v>
      </c>
      <c r="E209" s="2" t="s">
        <v>7890</v>
      </c>
      <c r="F209" s="2" t="s">
        <v>7891</v>
      </c>
      <c r="G209" s="2" t="s">
        <v>8335</v>
      </c>
      <c r="H209" s="2" t="s">
        <v>22</v>
      </c>
      <c r="I209" s="2" t="s">
        <v>8417</v>
      </c>
      <c r="J209" s="2" t="s">
        <v>24</v>
      </c>
      <c r="K209">
        <v>875.86</v>
      </c>
      <c r="L209">
        <v>87586000</v>
      </c>
      <c r="M209" s="2" t="s">
        <v>7889</v>
      </c>
      <c r="N209" s="2" t="s">
        <v>7911</v>
      </c>
      <c r="O209" s="2" t="s">
        <v>8613</v>
      </c>
      <c r="P209" s="2" t="s">
        <v>175</v>
      </c>
      <c r="Q209" s="2" t="s">
        <v>8445</v>
      </c>
      <c r="R209" s="2" t="s">
        <v>30</v>
      </c>
    </row>
    <row r="210" spans="1:18">
      <c r="A210" s="1">
        <v>44256</v>
      </c>
      <c r="B210" s="1">
        <v>44256</v>
      </c>
      <c r="C210">
        <v>2021</v>
      </c>
      <c r="D210">
        <v>3</v>
      </c>
      <c r="E210" s="2" t="s">
        <v>8443</v>
      </c>
      <c r="F210" s="2" t="s">
        <v>8444</v>
      </c>
      <c r="G210" s="2" t="s">
        <v>8335</v>
      </c>
      <c r="H210" s="2" t="s">
        <v>22</v>
      </c>
      <c r="I210" s="2" t="s">
        <v>8387</v>
      </c>
      <c r="J210" s="2" t="s">
        <v>24</v>
      </c>
      <c r="K210">
        <v>2.14</v>
      </c>
      <c r="L210">
        <v>214000</v>
      </c>
      <c r="M210" s="2" t="s">
        <v>8392</v>
      </c>
      <c r="N210" s="2" t="s">
        <v>8396</v>
      </c>
      <c r="O210" s="2" t="s">
        <v>3799</v>
      </c>
      <c r="P210" s="2" t="s">
        <v>175</v>
      </c>
      <c r="Q210" s="2" t="s">
        <v>8445</v>
      </c>
      <c r="R210" s="2" t="s">
        <v>30</v>
      </c>
    </row>
    <row r="211" spans="1:18">
      <c r="A211" s="1">
        <v>44256</v>
      </c>
      <c r="B211" s="1">
        <v>44256</v>
      </c>
      <c r="C211">
        <v>2021</v>
      </c>
      <c r="D211">
        <v>3</v>
      </c>
      <c r="E211" s="2" t="s">
        <v>8446</v>
      </c>
      <c r="F211" s="2" t="s">
        <v>8447</v>
      </c>
      <c r="G211" s="2" t="s">
        <v>8335</v>
      </c>
      <c r="H211" s="2" t="s">
        <v>22</v>
      </c>
      <c r="I211" s="2" t="s">
        <v>8387</v>
      </c>
      <c r="J211" s="2" t="s">
        <v>59</v>
      </c>
      <c r="K211">
        <v>2.39</v>
      </c>
      <c r="L211">
        <v>239000</v>
      </c>
      <c r="M211" s="2" t="s">
        <v>8384</v>
      </c>
      <c r="N211" s="2" t="s">
        <v>8389</v>
      </c>
      <c r="O211" s="2" t="s">
        <v>8614</v>
      </c>
      <c r="P211" s="2" t="s">
        <v>175</v>
      </c>
      <c r="Q211" s="2" t="s">
        <v>8445</v>
      </c>
      <c r="R211" s="2" t="s">
        <v>30</v>
      </c>
    </row>
    <row r="212" spans="1:18">
      <c r="A212" s="1">
        <v>44256</v>
      </c>
      <c r="B212" s="1">
        <v>44256</v>
      </c>
      <c r="C212">
        <v>2021</v>
      </c>
      <c r="D212">
        <v>3</v>
      </c>
      <c r="E212" s="2" t="s">
        <v>8448</v>
      </c>
      <c r="F212" s="2" t="s">
        <v>8449</v>
      </c>
      <c r="G212" s="2" t="s">
        <v>8335</v>
      </c>
      <c r="H212" s="2" t="s">
        <v>22</v>
      </c>
      <c r="I212" s="2" t="s">
        <v>8387</v>
      </c>
      <c r="J212" s="2" t="s">
        <v>24</v>
      </c>
      <c r="K212">
        <v>0.25</v>
      </c>
      <c r="L212">
        <v>25000</v>
      </c>
      <c r="M212" s="2" t="s">
        <v>8399</v>
      </c>
      <c r="N212" s="2" t="s">
        <v>8403</v>
      </c>
      <c r="O212" s="2" t="s">
        <v>876</v>
      </c>
      <c r="P212" s="2" t="s">
        <v>175</v>
      </c>
      <c r="Q212" s="2" t="s">
        <v>8445</v>
      </c>
      <c r="R212" s="2" t="s">
        <v>30</v>
      </c>
    </row>
    <row r="213" spans="1:18">
      <c r="A213" s="1">
        <v>44256</v>
      </c>
      <c r="B213" s="1">
        <v>44256</v>
      </c>
      <c r="C213">
        <v>2021</v>
      </c>
      <c r="D213">
        <v>3</v>
      </c>
      <c r="E213" s="2" t="s">
        <v>8450</v>
      </c>
      <c r="F213" s="2" t="s">
        <v>8451</v>
      </c>
      <c r="G213" s="2" t="s">
        <v>8335</v>
      </c>
      <c r="H213" s="2" t="s">
        <v>22</v>
      </c>
      <c r="I213" s="2" t="s">
        <v>8417</v>
      </c>
      <c r="J213" s="2" t="s">
        <v>24</v>
      </c>
      <c r="K213">
        <v>35.700000000000003</v>
      </c>
      <c r="L213">
        <v>3570000</v>
      </c>
      <c r="M213" s="2" t="s">
        <v>8422</v>
      </c>
      <c r="N213" s="2" t="s">
        <v>8426</v>
      </c>
      <c r="O213" s="2" t="s">
        <v>8615</v>
      </c>
      <c r="P213" s="2" t="s">
        <v>175</v>
      </c>
      <c r="Q213" s="2" t="s">
        <v>8445</v>
      </c>
      <c r="R213" s="2" t="s">
        <v>30</v>
      </c>
    </row>
    <row r="214" spans="1:18">
      <c r="A214" s="1">
        <v>44256</v>
      </c>
      <c r="B214" s="1">
        <v>44256</v>
      </c>
      <c r="C214">
        <v>2021</v>
      </c>
      <c r="D214">
        <v>3</v>
      </c>
      <c r="E214" s="2" t="s">
        <v>8453</v>
      </c>
      <c r="F214" s="2" t="s">
        <v>8454</v>
      </c>
      <c r="G214" s="2" t="s">
        <v>8335</v>
      </c>
      <c r="H214" s="2" t="s">
        <v>22</v>
      </c>
      <c r="I214" s="2" t="s">
        <v>8336</v>
      </c>
      <c r="J214" s="2" t="s">
        <v>24</v>
      </c>
      <c r="K214">
        <v>620.49</v>
      </c>
      <c r="L214">
        <v>62049000</v>
      </c>
      <c r="M214" s="2" t="s">
        <v>8348</v>
      </c>
      <c r="N214" s="2" t="s">
        <v>8352</v>
      </c>
      <c r="O214" s="2" t="s">
        <v>8616</v>
      </c>
      <c r="P214" s="2" t="s">
        <v>175</v>
      </c>
      <c r="Q214" s="2" t="s">
        <v>8445</v>
      </c>
      <c r="R214" s="2" t="s">
        <v>30</v>
      </c>
    </row>
    <row r="215" spans="1:18">
      <c r="A215" s="1">
        <v>44256</v>
      </c>
      <c r="B215" s="1">
        <v>44256</v>
      </c>
      <c r="C215">
        <v>2021</v>
      </c>
      <c r="D215">
        <v>3</v>
      </c>
      <c r="E215" s="2" t="s">
        <v>8456</v>
      </c>
      <c r="F215" s="2" t="s">
        <v>8457</v>
      </c>
      <c r="G215" s="2" t="s">
        <v>8335</v>
      </c>
      <c r="H215" s="2" t="s">
        <v>22</v>
      </c>
      <c r="I215" s="2" t="s">
        <v>8336</v>
      </c>
      <c r="J215" s="2" t="s">
        <v>24</v>
      </c>
      <c r="K215">
        <v>8982.02</v>
      </c>
      <c r="L215">
        <v>898202000</v>
      </c>
      <c r="M215" s="2" t="s">
        <v>8355</v>
      </c>
      <c r="N215" s="2" t="s">
        <v>8359</v>
      </c>
      <c r="O215" s="2" t="s">
        <v>8617</v>
      </c>
      <c r="P215" s="2" t="s">
        <v>175</v>
      </c>
      <c r="Q215" s="2" t="s">
        <v>8445</v>
      </c>
      <c r="R215" s="2" t="s">
        <v>30</v>
      </c>
    </row>
    <row r="216" spans="1:18">
      <c r="A216" s="1">
        <v>44256</v>
      </c>
      <c r="B216" s="1">
        <v>44256</v>
      </c>
      <c r="C216">
        <v>2021</v>
      </c>
      <c r="D216">
        <v>3</v>
      </c>
      <c r="E216" s="2" t="s">
        <v>8459</v>
      </c>
      <c r="F216" s="2" t="s">
        <v>8460</v>
      </c>
      <c r="G216" s="2" t="s">
        <v>8335</v>
      </c>
      <c r="H216" s="2" t="s">
        <v>22</v>
      </c>
      <c r="I216" s="2" t="s">
        <v>8336</v>
      </c>
      <c r="J216" s="2" t="s">
        <v>59</v>
      </c>
      <c r="K216">
        <v>9602.51</v>
      </c>
      <c r="L216">
        <v>960251000</v>
      </c>
      <c r="M216" s="2" t="s">
        <v>8331</v>
      </c>
      <c r="N216" s="2" t="s">
        <v>8341</v>
      </c>
      <c r="O216" s="2" t="s">
        <v>8618</v>
      </c>
      <c r="P216" s="2" t="s">
        <v>175</v>
      </c>
      <c r="Q216" s="2" t="s">
        <v>8445</v>
      </c>
      <c r="R216" s="2" t="s">
        <v>30</v>
      </c>
    </row>
    <row r="217" spans="1:18">
      <c r="A217" s="1">
        <v>44256</v>
      </c>
      <c r="B217" s="1">
        <v>44256</v>
      </c>
      <c r="C217">
        <v>2021</v>
      </c>
      <c r="D217">
        <v>3</v>
      </c>
      <c r="E217" s="2" t="s">
        <v>8462</v>
      </c>
      <c r="F217" s="2" t="s">
        <v>8463</v>
      </c>
      <c r="G217" s="2" t="s">
        <v>8335</v>
      </c>
      <c r="H217" s="2" t="s">
        <v>22</v>
      </c>
      <c r="I217" s="2" t="s">
        <v>8409</v>
      </c>
      <c r="J217" s="2" t="s">
        <v>24</v>
      </c>
      <c r="K217">
        <v>5.43</v>
      </c>
      <c r="L217">
        <v>543000</v>
      </c>
      <c r="M217" s="2" t="s">
        <v>8406</v>
      </c>
      <c r="N217" s="2" t="s">
        <v>8411</v>
      </c>
      <c r="O217" s="2" t="s">
        <v>8619</v>
      </c>
      <c r="P217" s="2" t="s">
        <v>175</v>
      </c>
      <c r="Q217" s="2" t="s">
        <v>8445</v>
      </c>
      <c r="R217" s="2" t="s">
        <v>30</v>
      </c>
    </row>
    <row r="218" spans="1:18">
      <c r="A218" s="1">
        <v>44256</v>
      </c>
      <c r="B218" s="1">
        <v>44256</v>
      </c>
      <c r="C218">
        <v>2021</v>
      </c>
      <c r="D218">
        <v>3</v>
      </c>
      <c r="E218" s="2" t="s">
        <v>8464</v>
      </c>
      <c r="F218" s="2" t="s">
        <v>8465</v>
      </c>
      <c r="G218" s="2" t="s">
        <v>8335</v>
      </c>
      <c r="H218" s="2" t="s">
        <v>22</v>
      </c>
      <c r="I218" s="2" t="s">
        <v>8417</v>
      </c>
      <c r="J218" s="2" t="s">
        <v>24</v>
      </c>
      <c r="K218">
        <v>47.2</v>
      </c>
      <c r="L218">
        <v>4720000</v>
      </c>
      <c r="M218" s="2" t="s">
        <v>8414</v>
      </c>
      <c r="N218" s="2" t="s">
        <v>8419</v>
      </c>
      <c r="O218" s="2" t="s">
        <v>8620</v>
      </c>
      <c r="P218" s="2" t="s">
        <v>175</v>
      </c>
      <c r="Q218" s="2" t="s">
        <v>8445</v>
      </c>
      <c r="R218" s="2" t="s">
        <v>30</v>
      </c>
    </row>
    <row r="219" spans="1:18">
      <c r="A219" s="1">
        <v>44256</v>
      </c>
      <c r="B219" s="1">
        <v>44256</v>
      </c>
      <c r="C219">
        <v>2021</v>
      </c>
      <c r="D219">
        <v>3</v>
      </c>
      <c r="E219" s="2" t="s">
        <v>8467</v>
      </c>
      <c r="F219" s="2" t="s">
        <v>8468</v>
      </c>
      <c r="G219" s="2" t="s">
        <v>8335</v>
      </c>
      <c r="H219" s="2" t="s">
        <v>22</v>
      </c>
      <c r="I219" s="2" t="s">
        <v>8365</v>
      </c>
      <c r="J219" s="2" t="s">
        <v>24</v>
      </c>
      <c r="K219">
        <v>1901.99</v>
      </c>
      <c r="L219">
        <v>190199000</v>
      </c>
      <c r="M219" s="2" t="s">
        <v>8377</v>
      </c>
      <c r="N219" s="2" t="s">
        <v>8381</v>
      </c>
      <c r="O219" s="2" t="s">
        <v>8621</v>
      </c>
      <c r="P219" s="2" t="s">
        <v>175</v>
      </c>
      <c r="Q219" s="2" t="s">
        <v>8445</v>
      </c>
      <c r="R219" s="2" t="s">
        <v>30</v>
      </c>
    </row>
    <row r="220" spans="1:18">
      <c r="A220" s="1">
        <v>44256</v>
      </c>
      <c r="B220" s="1">
        <v>44256</v>
      </c>
      <c r="C220">
        <v>2021</v>
      </c>
      <c r="D220">
        <v>3</v>
      </c>
      <c r="E220" s="2" t="s">
        <v>8470</v>
      </c>
      <c r="F220" s="2" t="s">
        <v>8471</v>
      </c>
      <c r="G220" s="2" t="s">
        <v>8335</v>
      </c>
      <c r="H220" s="2" t="s">
        <v>22</v>
      </c>
      <c r="I220" s="2" t="s">
        <v>8365</v>
      </c>
      <c r="J220" s="2" t="s">
        <v>59</v>
      </c>
      <c r="K220">
        <v>21655.68</v>
      </c>
      <c r="L220">
        <v>2165568000</v>
      </c>
      <c r="M220" s="2" t="s">
        <v>8362</v>
      </c>
      <c r="N220" s="2" t="s">
        <v>8367</v>
      </c>
      <c r="O220" s="2" t="s">
        <v>8622</v>
      </c>
      <c r="P220" s="2" t="s">
        <v>175</v>
      </c>
      <c r="Q220" s="2" t="s">
        <v>8445</v>
      </c>
      <c r="R220" s="2" t="s">
        <v>30</v>
      </c>
    </row>
    <row r="221" spans="1:18">
      <c r="A221" s="1">
        <v>44256</v>
      </c>
      <c r="B221" s="1">
        <v>44256</v>
      </c>
      <c r="C221">
        <v>2021</v>
      </c>
      <c r="D221">
        <v>3</v>
      </c>
      <c r="E221" s="2" t="s">
        <v>8473</v>
      </c>
      <c r="F221" s="2" t="s">
        <v>8474</v>
      </c>
      <c r="G221" s="2" t="s">
        <v>8335</v>
      </c>
      <c r="H221" s="2" t="s">
        <v>22</v>
      </c>
      <c r="I221" s="2" t="s">
        <v>8365</v>
      </c>
      <c r="J221" s="2" t="s">
        <v>24</v>
      </c>
      <c r="K221">
        <v>19753.689999999999</v>
      </c>
      <c r="L221">
        <v>1975369000</v>
      </c>
      <c r="M221" s="2" t="s">
        <v>8370</v>
      </c>
      <c r="N221" s="2" t="s">
        <v>8374</v>
      </c>
      <c r="O221" s="2" t="s">
        <v>8623</v>
      </c>
      <c r="P221" s="2" t="s">
        <v>175</v>
      </c>
      <c r="Q221" s="2" t="s">
        <v>8445</v>
      </c>
      <c r="R221" s="2" t="s">
        <v>30</v>
      </c>
    </row>
    <row r="222" spans="1:18">
      <c r="A222" s="1">
        <v>44256</v>
      </c>
      <c r="B222" s="1">
        <v>44256</v>
      </c>
      <c r="C222">
        <v>2021</v>
      </c>
      <c r="D222">
        <v>3</v>
      </c>
      <c r="E222" s="2" t="s">
        <v>7890</v>
      </c>
      <c r="F222" s="2" t="s">
        <v>7891</v>
      </c>
      <c r="G222" s="2" t="s">
        <v>8335</v>
      </c>
      <c r="H222" s="2" t="s">
        <v>22</v>
      </c>
      <c r="I222" s="2" t="s">
        <v>8417</v>
      </c>
      <c r="J222" s="2" t="s">
        <v>24</v>
      </c>
      <c r="K222">
        <v>925.22</v>
      </c>
      <c r="L222">
        <v>92522000</v>
      </c>
      <c r="M222" s="2" t="s">
        <v>7889</v>
      </c>
      <c r="N222" s="2" t="s">
        <v>7911</v>
      </c>
      <c r="O222" s="2" t="s">
        <v>8624</v>
      </c>
      <c r="P222" s="2" t="s">
        <v>175</v>
      </c>
      <c r="Q222" s="2" t="s">
        <v>8445</v>
      </c>
      <c r="R222" s="2" t="s">
        <v>30</v>
      </c>
    </row>
    <row r="223" spans="1:18">
      <c r="A223" s="1">
        <v>44287</v>
      </c>
      <c r="B223" s="1">
        <v>44287</v>
      </c>
      <c r="C223">
        <v>2021</v>
      </c>
      <c r="D223">
        <v>4</v>
      </c>
      <c r="E223" s="2" t="s">
        <v>8443</v>
      </c>
      <c r="F223" s="2" t="s">
        <v>8444</v>
      </c>
      <c r="G223" s="2" t="s">
        <v>8335</v>
      </c>
      <c r="H223" s="2" t="s">
        <v>22</v>
      </c>
      <c r="I223" s="2" t="s">
        <v>8387</v>
      </c>
      <c r="J223" s="2" t="s">
        <v>24</v>
      </c>
      <c r="K223">
        <v>2.14</v>
      </c>
      <c r="L223">
        <v>214000</v>
      </c>
      <c r="M223" s="2" t="s">
        <v>8392</v>
      </c>
      <c r="N223" s="2" t="s">
        <v>8396</v>
      </c>
      <c r="O223" s="2" t="s">
        <v>3799</v>
      </c>
      <c r="P223" s="2" t="s">
        <v>175</v>
      </c>
      <c r="Q223" s="2" t="s">
        <v>8445</v>
      </c>
      <c r="R223" s="2" t="s">
        <v>30</v>
      </c>
    </row>
    <row r="224" spans="1:18">
      <c r="A224" s="1">
        <v>44287</v>
      </c>
      <c r="B224" s="1">
        <v>44287</v>
      </c>
      <c r="C224">
        <v>2021</v>
      </c>
      <c r="D224">
        <v>4</v>
      </c>
      <c r="E224" s="2" t="s">
        <v>8446</v>
      </c>
      <c r="F224" s="2" t="s">
        <v>8447</v>
      </c>
      <c r="G224" s="2" t="s">
        <v>8335</v>
      </c>
      <c r="H224" s="2" t="s">
        <v>22</v>
      </c>
      <c r="I224" s="2" t="s">
        <v>8387</v>
      </c>
      <c r="J224" s="2" t="s">
        <v>59</v>
      </c>
      <c r="K224">
        <v>2.4</v>
      </c>
      <c r="L224">
        <v>240000</v>
      </c>
      <c r="M224" s="2" t="s">
        <v>8384</v>
      </c>
      <c r="N224" s="2" t="s">
        <v>8389</v>
      </c>
      <c r="O224" s="2" t="s">
        <v>4026</v>
      </c>
      <c r="P224" s="2" t="s">
        <v>175</v>
      </c>
      <c r="Q224" s="2" t="s">
        <v>8445</v>
      </c>
      <c r="R224" s="2" t="s">
        <v>30</v>
      </c>
    </row>
    <row r="225" spans="1:18">
      <c r="A225" s="1">
        <v>44287</v>
      </c>
      <c r="B225" s="1">
        <v>44287</v>
      </c>
      <c r="C225">
        <v>2021</v>
      </c>
      <c r="D225">
        <v>4</v>
      </c>
      <c r="E225" s="2" t="s">
        <v>8448</v>
      </c>
      <c r="F225" s="2" t="s">
        <v>8449</v>
      </c>
      <c r="G225" s="2" t="s">
        <v>8335</v>
      </c>
      <c r="H225" s="2" t="s">
        <v>22</v>
      </c>
      <c r="I225" s="2" t="s">
        <v>8387</v>
      </c>
      <c r="J225" s="2" t="s">
        <v>24</v>
      </c>
      <c r="K225">
        <v>0.25</v>
      </c>
      <c r="L225">
        <v>25000</v>
      </c>
      <c r="M225" s="2" t="s">
        <v>8399</v>
      </c>
      <c r="N225" s="2" t="s">
        <v>8403</v>
      </c>
      <c r="O225" s="2" t="s">
        <v>876</v>
      </c>
      <c r="P225" s="2" t="s">
        <v>175</v>
      </c>
      <c r="Q225" s="2" t="s">
        <v>8445</v>
      </c>
      <c r="R225" s="2" t="s">
        <v>30</v>
      </c>
    </row>
    <row r="226" spans="1:18">
      <c r="A226" s="1">
        <v>44287</v>
      </c>
      <c r="B226" s="1">
        <v>44287</v>
      </c>
      <c r="C226">
        <v>2021</v>
      </c>
      <c r="D226">
        <v>4</v>
      </c>
      <c r="E226" s="2" t="s">
        <v>8450</v>
      </c>
      <c r="F226" s="2" t="s">
        <v>8451</v>
      </c>
      <c r="G226" s="2" t="s">
        <v>8335</v>
      </c>
      <c r="H226" s="2" t="s">
        <v>22</v>
      </c>
      <c r="I226" s="2" t="s">
        <v>8417</v>
      </c>
      <c r="J226" s="2" t="s">
        <v>24</v>
      </c>
      <c r="K226">
        <v>40.28</v>
      </c>
      <c r="L226">
        <v>4028000</v>
      </c>
      <c r="M226" s="2" t="s">
        <v>8422</v>
      </c>
      <c r="N226" s="2" t="s">
        <v>8426</v>
      </c>
      <c r="O226" s="2" t="s">
        <v>8625</v>
      </c>
      <c r="P226" s="2" t="s">
        <v>175</v>
      </c>
      <c r="Q226" s="2" t="s">
        <v>8445</v>
      </c>
      <c r="R226" s="2" t="s">
        <v>30</v>
      </c>
    </row>
    <row r="227" spans="1:18">
      <c r="A227" s="1">
        <v>44287</v>
      </c>
      <c r="B227" s="1">
        <v>44287</v>
      </c>
      <c r="C227">
        <v>2021</v>
      </c>
      <c r="D227">
        <v>4</v>
      </c>
      <c r="E227" s="2" t="s">
        <v>8453</v>
      </c>
      <c r="F227" s="2" t="s">
        <v>8454</v>
      </c>
      <c r="G227" s="2" t="s">
        <v>8335</v>
      </c>
      <c r="H227" s="2" t="s">
        <v>22</v>
      </c>
      <c r="I227" s="2" t="s">
        <v>8336</v>
      </c>
      <c r="J227" s="2" t="s">
        <v>24</v>
      </c>
      <c r="K227">
        <v>622.6</v>
      </c>
      <c r="L227">
        <v>62260000</v>
      </c>
      <c r="M227" s="2" t="s">
        <v>8348</v>
      </c>
      <c r="N227" s="2" t="s">
        <v>8352</v>
      </c>
      <c r="O227" s="2" t="s">
        <v>8626</v>
      </c>
      <c r="P227" s="2" t="s">
        <v>175</v>
      </c>
      <c r="Q227" s="2" t="s">
        <v>8445</v>
      </c>
      <c r="R227" s="2" t="s">
        <v>30</v>
      </c>
    </row>
    <row r="228" spans="1:18">
      <c r="A228" s="1">
        <v>44287</v>
      </c>
      <c r="B228" s="1">
        <v>44287</v>
      </c>
      <c r="C228">
        <v>2021</v>
      </c>
      <c r="D228">
        <v>4</v>
      </c>
      <c r="E228" s="2" t="s">
        <v>8456</v>
      </c>
      <c r="F228" s="2" t="s">
        <v>8457</v>
      </c>
      <c r="G228" s="2" t="s">
        <v>8335</v>
      </c>
      <c r="H228" s="2" t="s">
        <v>22</v>
      </c>
      <c r="I228" s="2" t="s">
        <v>8336</v>
      </c>
      <c r="J228" s="2" t="s">
        <v>24</v>
      </c>
      <c r="K228">
        <v>9005</v>
      </c>
      <c r="L228">
        <v>900500000</v>
      </c>
      <c r="M228" s="2" t="s">
        <v>8355</v>
      </c>
      <c r="N228" s="2" t="s">
        <v>8359</v>
      </c>
      <c r="O228" s="2" t="s">
        <v>8627</v>
      </c>
      <c r="P228" s="2" t="s">
        <v>175</v>
      </c>
      <c r="Q228" s="2" t="s">
        <v>8445</v>
      </c>
      <c r="R228" s="2" t="s">
        <v>30</v>
      </c>
    </row>
    <row r="229" spans="1:18">
      <c r="A229" s="1">
        <v>44287</v>
      </c>
      <c r="B229" s="1">
        <v>44287</v>
      </c>
      <c r="C229">
        <v>2021</v>
      </c>
      <c r="D229">
        <v>4</v>
      </c>
      <c r="E229" s="2" t="s">
        <v>8459</v>
      </c>
      <c r="F229" s="2" t="s">
        <v>8460</v>
      </c>
      <c r="G229" s="2" t="s">
        <v>8335</v>
      </c>
      <c r="H229" s="2" t="s">
        <v>22</v>
      </c>
      <c r="I229" s="2" t="s">
        <v>8336</v>
      </c>
      <c r="J229" s="2" t="s">
        <v>59</v>
      </c>
      <c r="K229">
        <v>9627.6</v>
      </c>
      <c r="L229">
        <v>962760000</v>
      </c>
      <c r="M229" s="2" t="s">
        <v>8331</v>
      </c>
      <c r="N229" s="2" t="s">
        <v>8341</v>
      </c>
      <c r="O229" s="2" t="s">
        <v>8628</v>
      </c>
      <c r="P229" s="2" t="s">
        <v>175</v>
      </c>
      <c r="Q229" s="2" t="s">
        <v>8445</v>
      </c>
      <c r="R229" s="2" t="s">
        <v>30</v>
      </c>
    </row>
    <row r="230" spans="1:18">
      <c r="A230" s="1">
        <v>44287</v>
      </c>
      <c r="B230" s="1">
        <v>44287</v>
      </c>
      <c r="C230">
        <v>2021</v>
      </c>
      <c r="D230">
        <v>4</v>
      </c>
      <c r="E230" s="2" t="s">
        <v>8462</v>
      </c>
      <c r="F230" s="2" t="s">
        <v>8463</v>
      </c>
      <c r="G230" s="2" t="s">
        <v>8335</v>
      </c>
      <c r="H230" s="2" t="s">
        <v>22</v>
      </c>
      <c r="I230" s="2" t="s">
        <v>8409</v>
      </c>
      <c r="J230" s="2" t="s">
        <v>24</v>
      </c>
      <c r="K230">
        <v>5.51</v>
      </c>
      <c r="L230">
        <v>551000</v>
      </c>
      <c r="M230" s="2" t="s">
        <v>8406</v>
      </c>
      <c r="N230" s="2" t="s">
        <v>8411</v>
      </c>
      <c r="O230" s="2" t="s">
        <v>8629</v>
      </c>
      <c r="P230" s="2" t="s">
        <v>175</v>
      </c>
      <c r="Q230" s="2" t="s">
        <v>8445</v>
      </c>
      <c r="R230" s="2" t="s">
        <v>30</v>
      </c>
    </row>
    <row r="231" spans="1:18">
      <c r="A231" s="1">
        <v>44287</v>
      </c>
      <c r="B231" s="1">
        <v>44287</v>
      </c>
      <c r="C231">
        <v>2021</v>
      </c>
      <c r="D231">
        <v>4</v>
      </c>
      <c r="E231" s="2" t="s">
        <v>8464</v>
      </c>
      <c r="F231" s="2" t="s">
        <v>8465</v>
      </c>
      <c r="G231" s="2" t="s">
        <v>8335</v>
      </c>
      <c r="H231" s="2" t="s">
        <v>22</v>
      </c>
      <c r="I231" s="2" t="s">
        <v>8417</v>
      </c>
      <c r="J231" s="2" t="s">
        <v>24</v>
      </c>
      <c r="K231">
        <v>45.25</v>
      </c>
      <c r="L231">
        <v>4525000</v>
      </c>
      <c r="M231" s="2" t="s">
        <v>8414</v>
      </c>
      <c r="N231" s="2" t="s">
        <v>8419</v>
      </c>
      <c r="O231" s="2" t="s">
        <v>8630</v>
      </c>
      <c r="P231" s="2" t="s">
        <v>175</v>
      </c>
      <c r="Q231" s="2" t="s">
        <v>8445</v>
      </c>
      <c r="R231" s="2" t="s">
        <v>30</v>
      </c>
    </row>
    <row r="232" spans="1:18">
      <c r="A232" s="1">
        <v>44287</v>
      </c>
      <c r="B232" s="1">
        <v>44287</v>
      </c>
      <c r="C232">
        <v>2021</v>
      </c>
      <c r="D232">
        <v>4</v>
      </c>
      <c r="E232" s="2" t="s">
        <v>8467</v>
      </c>
      <c r="F232" s="2" t="s">
        <v>8468</v>
      </c>
      <c r="G232" s="2" t="s">
        <v>8335</v>
      </c>
      <c r="H232" s="2" t="s">
        <v>22</v>
      </c>
      <c r="I232" s="2" t="s">
        <v>8365</v>
      </c>
      <c r="J232" s="2" t="s">
        <v>24</v>
      </c>
      <c r="K232">
        <v>1969.01</v>
      </c>
      <c r="L232">
        <v>196901000</v>
      </c>
      <c r="M232" s="2" t="s">
        <v>8377</v>
      </c>
      <c r="N232" s="2" t="s">
        <v>8381</v>
      </c>
      <c r="O232" s="2" t="s">
        <v>8631</v>
      </c>
      <c r="P232" s="2" t="s">
        <v>175</v>
      </c>
      <c r="Q232" s="2" t="s">
        <v>8445</v>
      </c>
      <c r="R232" s="2" t="s">
        <v>30</v>
      </c>
    </row>
    <row r="233" spans="1:18">
      <c r="A233" s="1">
        <v>44287</v>
      </c>
      <c r="B233" s="1">
        <v>44287</v>
      </c>
      <c r="C233">
        <v>2021</v>
      </c>
      <c r="D233">
        <v>4</v>
      </c>
      <c r="E233" s="2" t="s">
        <v>8470</v>
      </c>
      <c r="F233" s="2" t="s">
        <v>8471</v>
      </c>
      <c r="G233" s="2" t="s">
        <v>8335</v>
      </c>
      <c r="H233" s="2" t="s">
        <v>22</v>
      </c>
      <c r="I233" s="2" t="s">
        <v>8365</v>
      </c>
      <c r="J233" s="2" t="s">
        <v>59</v>
      </c>
      <c r="K233">
        <v>12546.32</v>
      </c>
      <c r="L233">
        <v>1254632000</v>
      </c>
      <c r="M233" s="2" t="s">
        <v>8362</v>
      </c>
      <c r="N233" s="2" t="s">
        <v>8367</v>
      </c>
      <c r="O233" s="2" t="s">
        <v>8632</v>
      </c>
      <c r="P233" s="2" t="s">
        <v>175</v>
      </c>
      <c r="Q233" s="2" t="s">
        <v>8445</v>
      </c>
      <c r="R233" s="2" t="s">
        <v>30</v>
      </c>
    </row>
    <row r="234" spans="1:18">
      <c r="A234" s="1">
        <v>44287</v>
      </c>
      <c r="B234" s="1">
        <v>44287</v>
      </c>
      <c r="C234">
        <v>2021</v>
      </c>
      <c r="D234">
        <v>4</v>
      </c>
      <c r="E234" s="2" t="s">
        <v>8473</v>
      </c>
      <c r="F234" s="2" t="s">
        <v>8474</v>
      </c>
      <c r="G234" s="2" t="s">
        <v>8335</v>
      </c>
      <c r="H234" s="2" t="s">
        <v>22</v>
      </c>
      <c r="I234" s="2" t="s">
        <v>8365</v>
      </c>
      <c r="J234" s="2" t="s">
        <v>24</v>
      </c>
      <c r="K234">
        <v>10577.3</v>
      </c>
      <c r="L234">
        <v>1057730000</v>
      </c>
      <c r="M234" s="2" t="s">
        <v>8370</v>
      </c>
      <c r="N234" s="2" t="s">
        <v>8374</v>
      </c>
      <c r="O234" s="2" t="s">
        <v>8633</v>
      </c>
      <c r="P234" s="2" t="s">
        <v>175</v>
      </c>
      <c r="Q234" s="2" t="s">
        <v>8445</v>
      </c>
      <c r="R234" s="2" t="s">
        <v>30</v>
      </c>
    </row>
    <row r="235" spans="1:18">
      <c r="A235" s="1">
        <v>44287</v>
      </c>
      <c r="B235" s="1">
        <v>44287</v>
      </c>
      <c r="C235">
        <v>2021</v>
      </c>
      <c r="D235">
        <v>4</v>
      </c>
      <c r="E235" s="2" t="s">
        <v>7890</v>
      </c>
      <c r="F235" s="2" t="s">
        <v>7891</v>
      </c>
      <c r="G235" s="2" t="s">
        <v>8335</v>
      </c>
      <c r="H235" s="2" t="s">
        <v>22</v>
      </c>
      <c r="I235" s="2" t="s">
        <v>8417</v>
      </c>
      <c r="J235" s="2" t="s">
        <v>24</v>
      </c>
      <c r="K235">
        <v>978.19</v>
      </c>
      <c r="L235">
        <v>97819000</v>
      </c>
      <c r="M235" s="2" t="s">
        <v>7889</v>
      </c>
      <c r="N235" s="2" t="s">
        <v>7911</v>
      </c>
      <c r="O235" s="2" t="s">
        <v>8634</v>
      </c>
      <c r="P235" s="2" t="s">
        <v>175</v>
      </c>
      <c r="Q235" s="2" t="s">
        <v>8445</v>
      </c>
      <c r="R235" s="2" t="s">
        <v>30</v>
      </c>
    </row>
    <row r="236" spans="1:18">
      <c r="A236" s="1">
        <v>44317</v>
      </c>
      <c r="B236" s="1">
        <v>44317</v>
      </c>
      <c r="C236">
        <v>2021</v>
      </c>
      <c r="D236">
        <v>5</v>
      </c>
      <c r="E236" s="2" t="s">
        <v>8443</v>
      </c>
      <c r="F236" s="2" t="s">
        <v>8444</v>
      </c>
      <c r="G236" s="2" t="s">
        <v>8335</v>
      </c>
      <c r="H236" s="2" t="s">
        <v>22</v>
      </c>
      <c r="I236" s="2" t="s">
        <v>8387</v>
      </c>
      <c r="J236" s="2" t="s">
        <v>24</v>
      </c>
      <c r="K236">
        <v>2.15</v>
      </c>
      <c r="L236">
        <v>215000</v>
      </c>
      <c r="M236" s="2" t="s">
        <v>8392</v>
      </c>
      <c r="N236" s="2" t="s">
        <v>8396</v>
      </c>
      <c r="O236" s="2" t="s">
        <v>3047</v>
      </c>
      <c r="P236" s="2" t="s">
        <v>175</v>
      </c>
      <c r="Q236" s="2" t="s">
        <v>8445</v>
      </c>
      <c r="R236" s="2" t="s">
        <v>30</v>
      </c>
    </row>
    <row r="237" spans="1:18">
      <c r="A237" s="1">
        <v>44317</v>
      </c>
      <c r="B237" s="1">
        <v>44317</v>
      </c>
      <c r="C237">
        <v>2021</v>
      </c>
      <c r="D237">
        <v>5</v>
      </c>
      <c r="E237" s="2" t="s">
        <v>8446</v>
      </c>
      <c r="F237" s="2" t="s">
        <v>8447</v>
      </c>
      <c r="G237" s="2" t="s">
        <v>8335</v>
      </c>
      <c r="H237" s="2" t="s">
        <v>22</v>
      </c>
      <c r="I237" s="2" t="s">
        <v>8387</v>
      </c>
      <c r="J237" s="2" t="s">
        <v>59</v>
      </c>
      <c r="K237">
        <v>2.4</v>
      </c>
      <c r="L237">
        <v>240000</v>
      </c>
      <c r="M237" s="2" t="s">
        <v>8384</v>
      </c>
      <c r="N237" s="2" t="s">
        <v>8389</v>
      </c>
      <c r="O237" s="2" t="s">
        <v>4026</v>
      </c>
      <c r="P237" s="2" t="s">
        <v>175</v>
      </c>
      <c r="Q237" s="2" t="s">
        <v>8445</v>
      </c>
      <c r="R237" s="2" t="s">
        <v>30</v>
      </c>
    </row>
    <row r="238" spans="1:18">
      <c r="A238" s="1">
        <v>44317</v>
      </c>
      <c r="B238" s="1">
        <v>44317</v>
      </c>
      <c r="C238">
        <v>2021</v>
      </c>
      <c r="D238">
        <v>5</v>
      </c>
      <c r="E238" s="2" t="s">
        <v>8448</v>
      </c>
      <c r="F238" s="2" t="s">
        <v>8449</v>
      </c>
      <c r="G238" s="2" t="s">
        <v>8335</v>
      </c>
      <c r="H238" s="2" t="s">
        <v>22</v>
      </c>
      <c r="I238" s="2" t="s">
        <v>8387</v>
      </c>
      <c r="J238" s="2" t="s">
        <v>24</v>
      </c>
      <c r="K238">
        <v>0.26</v>
      </c>
      <c r="L238">
        <v>26000</v>
      </c>
      <c r="M238" s="2" t="s">
        <v>8399</v>
      </c>
      <c r="N238" s="2" t="s">
        <v>8403</v>
      </c>
      <c r="O238" s="2" t="s">
        <v>1941</v>
      </c>
      <c r="P238" s="2" t="s">
        <v>175</v>
      </c>
      <c r="Q238" s="2" t="s">
        <v>8445</v>
      </c>
      <c r="R238" s="2" t="s">
        <v>30</v>
      </c>
    </row>
    <row r="239" spans="1:18">
      <c r="A239" s="1">
        <v>44317</v>
      </c>
      <c r="B239" s="1">
        <v>44317</v>
      </c>
      <c r="C239">
        <v>2021</v>
      </c>
      <c r="D239">
        <v>5</v>
      </c>
      <c r="E239" s="2" t="s">
        <v>8450</v>
      </c>
      <c r="F239" s="2" t="s">
        <v>8451</v>
      </c>
      <c r="G239" s="2" t="s">
        <v>8335</v>
      </c>
      <c r="H239" s="2" t="s">
        <v>22</v>
      </c>
      <c r="I239" s="2" t="s">
        <v>8417</v>
      </c>
      <c r="J239" s="2" t="s">
        <v>24</v>
      </c>
      <c r="K239">
        <v>40.22</v>
      </c>
      <c r="L239">
        <v>4022000</v>
      </c>
      <c r="M239" s="2" t="s">
        <v>8422</v>
      </c>
      <c r="N239" s="2" t="s">
        <v>8426</v>
      </c>
      <c r="O239" s="2" t="s">
        <v>8635</v>
      </c>
      <c r="P239" s="2" t="s">
        <v>175</v>
      </c>
      <c r="Q239" s="2" t="s">
        <v>8445</v>
      </c>
      <c r="R239" s="2" t="s">
        <v>30</v>
      </c>
    </row>
    <row r="240" spans="1:18">
      <c r="A240" s="1">
        <v>44317</v>
      </c>
      <c r="B240" s="1">
        <v>44317</v>
      </c>
      <c r="C240">
        <v>2021</v>
      </c>
      <c r="D240">
        <v>5</v>
      </c>
      <c r="E240" s="2" t="s">
        <v>8453</v>
      </c>
      <c r="F240" s="2" t="s">
        <v>8454</v>
      </c>
      <c r="G240" s="2" t="s">
        <v>8335</v>
      </c>
      <c r="H240" s="2" t="s">
        <v>22</v>
      </c>
      <c r="I240" s="2" t="s">
        <v>8336</v>
      </c>
      <c r="J240" s="2" t="s">
        <v>24</v>
      </c>
      <c r="K240">
        <v>623.92999999999995</v>
      </c>
      <c r="L240">
        <v>62393000</v>
      </c>
      <c r="M240" s="2" t="s">
        <v>8348</v>
      </c>
      <c r="N240" s="2" t="s">
        <v>8352</v>
      </c>
      <c r="O240" s="2" t="s">
        <v>8636</v>
      </c>
      <c r="P240" s="2" t="s">
        <v>175</v>
      </c>
      <c r="Q240" s="2" t="s">
        <v>8445</v>
      </c>
      <c r="R240" s="2" t="s">
        <v>30</v>
      </c>
    </row>
    <row r="241" spans="1:18">
      <c r="A241" s="1">
        <v>44317</v>
      </c>
      <c r="B241" s="1">
        <v>44317</v>
      </c>
      <c r="C241">
        <v>2021</v>
      </c>
      <c r="D241">
        <v>5</v>
      </c>
      <c r="E241" s="2" t="s">
        <v>8456</v>
      </c>
      <c r="F241" s="2" t="s">
        <v>8457</v>
      </c>
      <c r="G241" s="2" t="s">
        <v>8335</v>
      </c>
      <c r="H241" s="2" t="s">
        <v>22</v>
      </c>
      <c r="I241" s="2" t="s">
        <v>8336</v>
      </c>
      <c r="J241" s="2" t="s">
        <v>24</v>
      </c>
      <c r="K241">
        <v>9019.7099999999991</v>
      </c>
      <c r="L241">
        <v>901971000</v>
      </c>
      <c r="M241" s="2" t="s">
        <v>8355</v>
      </c>
      <c r="N241" s="2" t="s">
        <v>8359</v>
      </c>
      <c r="O241" s="2" t="s">
        <v>8637</v>
      </c>
      <c r="P241" s="2" t="s">
        <v>175</v>
      </c>
      <c r="Q241" s="2" t="s">
        <v>8445</v>
      </c>
      <c r="R241" s="2" t="s">
        <v>30</v>
      </c>
    </row>
    <row r="242" spans="1:18">
      <c r="A242" s="1">
        <v>44317</v>
      </c>
      <c r="B242" s="1">
        <v>44317</v>
      </c>
      <c r="C242">
        <v>2021</v>
      </c>
      <c r="D242">
        <v>5</v>
      </c>
      <c r="E242" s="2" t="s">
        <v>8459</v>
      </c>
      <c r="F242" s="2" t="s">
        <v>8460</v>
      </c>
      <c r="G242" s="2" t="s">
        <v>8335</v>
      </c>
      <c r="H242" s="2" t="s">
        <v>22</v>
      </c>
      <c r="I242" s="2" t="s">
        <v>8336</v>
      </c>
      <c r="J242" s="2" t="s">
        <v>59</v>
      </c>
      <c r="K242">
        <v>9643.64</v>
      </c>
      <c r="L242">
        <v>964364000</v>
      </c>
      <c r="M242" s="2" t="s">
        <v>8331</v>
      </c>
      <c r="N242" s="2" t="s">
        <v>8341</v>
      </c>
      <c r="O242" s="2" t="s">
        <v>8638</v>
      </c>
      <c r="P242" s="2" t="s">
        <v>175</v>
      </c>
      <c r="Q242" s="2" t="s">
        <v>8445</v>
      </c>
      <c r="R242" s="2" t="s">
        <v>30</v>
      </c>
    </row>
    <row r="243" spans="1:18">
      <c r="A243" s="1">
        <v>44317</v>
      </c>
      <c r="B243" s="1">
        <v>44317</v>
      </c>
      <c r="C243">
        <v>2021</v>
      </c>
      <c r="D243">
        <v>5</v>
      </c>
      <c r="E243" s="2" t="s">
        <v>8462</v>
      </c>
      <c r="F243" s="2" t="s">
        <v>8463</v>
      </c>
      <c r="G243" s="2" t="s">
        <v>8335</v>
      </c>
      <c r="H243" s="2" t="s">
        <v>22</v>
      </c>
      <c r="I243" s="2" t="s">
        <v>8409</v>
      </c>
      <c r="J243" s="2" t="s">
        <v>24</v>
      </c>
      <c r="K243">
        <v>5.62</v>
      </c>
      <c r="L243">
        <v>562000</v>
      </c>
      <c r="M243" s="2" t="s">
        <v>8406</v>
      </c>
      <c r="N243" s="2" t="s">
        <v>8411</v>
      </c>
      <c r="O243" s="2" t="s">
        <v>8639</v>
      </c>
      <c r="P243" s="2" t="s">
        <v>175</v>
      </c>
      <c r="Q243" s="2" t="s">
        <v>8445</v>
      </c>
      <c r="R243" s="2" t="s">
        <v>30</v>
      </c>
    </row>
    <row r="244" spans="1:18">
      <c r="A244" s="1">
        <v>44317</v>
      </c>
      <c r="B244" s="1">
        <v>44317</v>
      </c>
      <c r="C244">
        <v>2021</v>
      </c>
      <c r="D244">
        <v>5</v>
      </c>
      <c r="E244" s="2" t="s">
        <v>8464</v>
      </c>
      <c r="F244" s="2" t="s">
        <v>8465</v>
      </c>
      <c r="G244" s="2" t="s">
        <v>8335</v>
      </c>
      <c r="H244" s="2" t="s">
        <v>22</v>
      </c>
      <c r="I244" s="2" t="s">
        <v>8417</v>
      </c>
      <c r="J244" s="2" t="s">
        <v>24</v>
      </c>
      <c r="K244">
        <v>45.2</v>
      </c>
      <c r="L244">
        <v>4520000</v>
      </c>
      <c r="M244" s="2" t="s">
        <v>8414</v>
      </c>
      <c r="N244" s="2" t="s">
        <v>8419</v>
      </c>
      <c r="O244" s="2" t="s">
        <v>8640</v>
      </c>
      <c r="P244" s="2" t="s">
        <v>175</v>
      </c>
      <c r="Q244" s="2" t="s">
        <v>8445</v>
      </c>
      <c r="R244" s="2" t="s">
        <v>30</v>
      </c>
    </row>
    <row r="245" spans="1:18">
      <c r="A245" s="1">
        <v>44317</v>
      </c>
      <c r="B245" s="1">
        <v>44317</v>
      </c>
      <c r="C245">
        <v>2021</v>
      </c>
      <c r="D245">
        <v>5</v>
      </c>
      <c r="E245" s="2" t="s">
        <v>8467</v>
      </c>
      <c r="F245" s="2" t="s">
        <v>8468</v>
      </c>
      <c r="G245" s="2" t="s">
        <v>8335</v>
      </c>
      <c r="H245" s="2" t="s">
        <v>22</v>
      </c>
      <c r="I245" s="2" t="s">
        <v>8365</v>
      </c>
      <c r="J245" s="2" t="s">
        <v>24</v>
      </c>
      <c r="K245">
        <v>2068.7600000000002</v>
      </c>
      <c r="L245">
        <v>206876000</v>
      </c>
      <c r="M245" s="2" t="s">
        <v>8377</v>
      </c>
      <c r="N245" s="2" t="s">
        <v>8381</v>
      </c>
      <c r="O245" s="2" t="s">
        <v>8641</v>
      </c>
      <c r="P245" s="2" t="s">
        <v>175</v>
      </c>
      <c r="Q245" s="2" t="s">
        <v>8445</v>
      </c>
      <c r="R245" s="2" t="s">
        <v>30</v>
      </c>
    </row>
    <row r="246" spans="1:18">
      <c r="A246" s="1">
        <v>44317</v>
      </c>
      <c r="B246" s="1">
        <v>44317</v>
      </c>
      <c r="C246">
        <v>2021</v>
      </c>
      <c r="D246">
        <v>5</v>
      </c>
      <c r="E246" s="2" t="s">
        <v>8470</v>
      </c>
      <c r="F246" s="2" t="s">
        <v>8471</v>
      </c>
      <c r="G246" s="2" t="s">
        <v>8335</v>
      </c>
      <c r="H246" s="2" t="s">
        <v>22</v>
      </c>
      <c r="I246" s="2" t="s">
        <v>8365</v>
      </c>
      <c r="J246" s="2" t="s">
        <v>59</v>
      </c>
      <c r="K246">
        <v>12811.27</v>
      </c>
      <c r="L246">
        <v>1281127000</v>
      </c>
      <c r="M246" s="2" t="s">
        <v>8362</v>
      </c>
      <c r="N246" s="2" t="s">
        <v>8367</v>
      </c>
      <c r="O246" s="2" t="s">
        <v>8642</v>
      </c>
      <c r="P246" s="2" t="s">
        <v>175</v>
      </c>
      <c r="Q246" s="2" t="s">
        <v>8445</v>
      </c>
      <c r="R246" s="2" t="s">
        <v>30</v>
      </c>
    </row>
    <row r="247" spans="1:18">
      <c r="A247" s="1">
        <v>44317</v>
      </c>
      <c r="B247" s="1">
        <v>44317</v>
      </c>
      <c r="C247">
        <v>2021</v>
      </c>
      <c r="D247">
        <v>5</v>
      </c>
      <c r="E247" s="2" t="s">
        <v>8473</v>
      </c>
      <c r="F247" s="2" t="s">
        <v>8474</v>
      </c>
      <c r="G247" s="2" t="s">
        <v>8335</v>
      </c>
      <c r="H247" s="2" t="s">
        <v>22</v>
      </c>
      <c r="I247" s="2" t="s">
        <v>8365</v>
      </c>
      <c r="J247" s="2" t="s">
        <v>24</v>
      </c>
      <c r="K247">
        <v>10742.52</v>
      </c>
      <c r="L247">
        <v>1074252000</v>
      </c>
      <c r="M247" s="2" t="s">
        <v>8370</v>
      </c>
      <c r="N247" s="2" t="s">
        <v>8374</v>
      </c>
      <c r="O247" s="2" t="s">
        <v>8643</v>
      </c>
      <c r="P247" s="2" t="s">
        <v>175</v>
      </c>
      <c r="Q247" s="2" t="s">
        <v>8445</v>
      </c>
      <c r="R247" s="2" t="s">
        <v>30</v>
      </c>
    </row>
    <row r="248" spans="1:18">
      <c r="A248" s="1">
        <v>44317</v>
      </c>
      <c r="B248" s="1">
        <v>44317</v>
      </c>
      <c r="C248">
        <v>2021</v>
      </c>
      <c r="D248">
        <v>5</v>
      </c>
      <c r="E248" s="2" t="s">
        <v>7890</v>
      </c>
      <c r="F248" s="2" t="s">
        <v>7891</v>
      </c>
      <c r="G248" s="2" t="s">
        <v>8335</v>
      </c>
      <c r="H248" s="2" t="s">
        <v>22</v>
      </c>
      <c r="I248" s="2" t="s">
        <v>8417</v>
      </c>
      <c r="J248" s="2" t="s">
        <v>24</v>
      </c>
      <c r="K248">
        <v>990.22</v>
      </c>
      <c r="L248">
        <v>99022000</v>
      </c>
      <c r="M248" s="2" t="s">
        <v>7889</v>
      </c>
      <c r="N248" s="2" t="s">
        <v>7911</v>
      </c>
      <c r="O248" s="2" t="s">
        <v>8644</v>
      </c>
      <c r="P248" s="2" t="s">
        <v>175</v>
      </c>
      <c r="Q248" s="2" t="s">
        <v>8445</v>
      </c>
      <c r="R248" s="2" t="s">
        <v>30</v>
      </c>
    </row>
    <row r="249" spans="1:18">
      <c r="A249" s="1">
        <v>44348</v>
      </c>
      <c r="B249" s="1">
        <v>44348</v>
      </c>
      <c r="C249">
        <v>2021</v>
      </c>
      <c r="D249">
        <v>6</v>
      </c>
      <c r="E249" s="2" t="s">
        <v>8443</v>
      </c>
      <c r="F249" s="2" t="s">
        <v>8444</v>
      </c>
      <c r="G249" s="2" t="s">
        <v>8335</v>
      </c>
      <c r="H249" s="2" t="s">
        <v>22</v>
      </c>
      <c r="I249" s="2" t="s">
        <v>8387</v>
      </c>
      <c r="J249" s="2" t="s">
        <v>24</v>
      </c>
      <c r="K249">
        <v>2.14</v>
      </c>
      <c r="L249">
        <v>214000</v>
      </c>
      <c r="M249" s="2" t="s">
        <v>8392</v>
      </c>
      <c r="N249" s="2" t="s">
        <v>8396</v>
      </c>
      <c r="O249" s="2" t="s">
        <v>3799</v>
      </c>
      <c r="P249" s="2" t="s">
        <v>175</v>
      </c>
      <c r="Q249" s="2" t="s">
        <v>8445</v>
      </c>
      <c r="R249" s="2" t="s">
        <v>30</v>
      </c>
    </row>
    <row r="250" spans="1:18">
      <c r="A250" s="1">
        <v>44348</v>
      </c>
      <c r="B250" s="1">
        <v>44348</v>
      </c>
      <c r="C250">
        <v>2021</v>
      </c>
      <c r="D250">
        <v>6</v>
      </c>
      <c r="E250" s="2" t="s">
        <v>8446</v>
      </c>
      <c r="F250" s="2" t="s">
        <v>8447</v>
      </c>
      <c r="G250" s="2" t="s">
        <v>8335</v>
      </c>
      <c r="H250" s="2" t="s">
        <v>22</v>
      </c>
      <c r="I250" s="2" t="s">
        <v>8387</v>
      </c>
      <c r="J250" s="2" t="s">
        <v>59</v>
      </c>
      <c r="K250">
        <v>2.4</v>
      </c>
      <c r="L250">
        <v>240000</v>
      </c>
      <c r="M250" s="2" t="s">
        <v>8384</v>
      </c>
      <c r="N250" s="2" t="s">
        <v>8389</v>
      </c>
      <c r="O250" s="2" t="s">
        <v>4026</v>
      </c>
      <c r="P250" s="2" t="s">
        <v>175</v>
      </c>
      <c r="Q250" s="2" t="s">
        <v>8445</v>
      </c>
      <c r="R250" s="2" t="s">
        <v>30</v>
      </c>
    </row>
    <row r="251" spans="1:18">
      <c r="A251" s="1">
        <v>44348</v>
      </c>
      <c r="B251" s="1">
        <v>44348</v>
      </c>
      <c r="C251">
        <v>2021</v>
      </c>
      <c r="D251">
        <v>6</v>
      </c>
      <c r="E251" s="2" t="s">
        <v>8448</v>
      </c>
      <c r="F251" s="2" t="s">
        <v>8449</v>
      </c>
      <c r="G251" s="2" t="s">
        <v>8335</v>
      </c>
      <c r="H251" s="2" t="s">
        <v>22</v>
      </c>
      <c r="I251" s="2" t="s">
        <v>8387</v>
      </c>
      <c r="J251" s="2" t="s">
        <v>24</v>
      </c>
      <c r="K251">
        <v>0.26</v>
      </c>
      <c r="L251">
        <v>26000</v>
      </c>
      <c r="M251" s="2" t="s">
        <v>8399</v>
      </c>
      <c r="N251" s="2" t="s">
        <v>8403</v>
      </c>
      <c r="O251" s="2" t="s">
        <v>1941</v>
      </c>
      <c r="P251" s="2" t="s">
        <v>175</v>
      </c>
      <c r="Q251" s="2" t="s">
        <v>8445</v>
      </c>
      <c r="R251" s="2" t="s">
        <v>30</v>
      </c>
    </row>
    <row r="252" spans="1:18">
      <c r="A252" s="1">
        <v>44348</v>
      </c>
      <c r="B252" s="1">
        <v>44348</v>
      </c>
      <c r="C252">
        <v>2021</v>
      </c>
      <c r="D252">
        <v>6</v>
      </c>
      <c r="E252" s="2" t="s">
        <v>8450</v>
      </c>
      <c r="F252" s="2" t="s">
        <v>8451</v>
      </c>
      <c r="G252" s="2" t="s">
        <v>8335</v>
      </c>
      <c r="H252" s="2" t="s">
        <v>22</v>
      </c>
      <c r="I252" s="2" t="s">
        <v>8417</v>
      </c>
      <c r="J252" s="2" t="s">
        <v>24</v>
      </c>
      <c r="K252">
        <v>40.83</v>
      </c>
      <c r="L252">
        <v>4083000</v>
      </c>
      <c r="M252" s="2" t="s">
        <v>8422</v>
      </c>
      <c r="N252" s="2" t="s">
        <v>8426</v>
      </c>
      <c r="O252" s="2" t="s">
        <v>8645</v>
      </c>
      <c r="P252" s="2" t="s">
        <v>175</v>
      </c>
      <c r="Q252" s="2" t="s">
        <v>8445</v>
      </c>
      <c r="R252" s="2" t="s">
        <v>30</v>
      </c>
    </row>
    <row r="253" spans="1:18">
      <c r="A253" s="1">
        <v>44348</v>
      </c>
      <c r="B253" s="1">
        <v>44348</v>
      </c>
      <c r="C253">
        <v>2021</v>
      </c>
      <c r="D253">
        <v>6</v>
      </c>
      <c r="E253" s="2" t="s">
        <v>8453</v>
      </c>
      <c r="F253" s="2" t="s">
        <v>8454</v>
      </c>
      <c r="G253" s="2" t="s">
        <v>8335</v>
      </c>
      <c r="H253" s="2" t="s">
        <v>22</v>
      </c>
      <c r="I253" s="2" t="s">
        <v>8336</v>
      </c>
      <c r="J253" s="2" t="s">
        <v>24</v>
      </c>
      <c r="K253">
        <v>628.15</v>
      </c>
      <c r="L253">
        <v>62815000</v>
      </c>
      <c r="M253" s="2" t="s">
        <v>8348</v>
      </c>
      <c r="N253" s="2" t="s">
        <v>8352</v>
      </c>
      <c r="O253" s="2" t="s">
        <v>8646</v>
      </c>
      <c r="P253" s="2" t="s">
        <v>175</v>
      </c>
      <c r="Q253" s="2" t="s">
        <v>8445</v>
      </c>
      <c r="R253" s="2" t="s">
        <v>30</v>
      </c>
    </row>
    <row r="254" spans="1:18">
      <c r="A254" s="1">
        <v>44348</v>
      </c>
      <c r="B254" s="1">
        <v>44348</v>
      </c>
      <c r="C254">
        <v>2021</v>
      </c>
      <c r="D254">
        <v>6</v>
      </c>
      <c r="E254" s="2" t="s">
        <v>8456</v>
      </c>
      <c r="F254" s="2" t="s">
        <v>8457</v>
      </c>
      <c r="G254" s="2" t="s">
        <v>8335</v>
      </c>
      <c r="H254" s="2" t="s">
        <v>22</v>
      </c>
      <c r="I254" s="2" t="s">
        <v>8336</v>
      </c>
      <c r="J254" s="2" t="s">
        <v>24</v>
      </c>
      <c r="K254">
        <v>9056.31</v>
      </c>
      <c r="L254">
        <v>905631000</v>
      </c>
      <c r="M254" s="2" t="s">
        <v>8355</v>
      </c>
      <c r="N254" s="2" t="s">
        <v>8359</v>
      </c>
      <c r="O254" s="2" t="s">
        <v>8647</v>
      </c>
      <c r="P254" s="2" t="s">
        <v>175</v>
      </c>
      <c r="Q254" s="2" t="s">
        <v>8445</v>
      </c>
      <c r="R254" s="2" t="s">
        <v>30</v>
      </c>
    </row>
    <row r="255" spans="1:18">
      <c r="A255" s="1">
        <v>44348</v>
      </c>
      <c r="B255" s="1">
        <v>44348</v>
      </c>
      <c r="C255">
        <v>2021</v>
      </c>
      <c r="D255">
        <v>6</v>
      </c>
      <c r="E255" s="2" t="s">
        <v>8459</v>
      </c>
      <c r="F255" s="2" t="s">
        <v>8460</v>
      </c>
      <c r="G255" s="2" t="s">
        <v>8335</v>
      </c>
      <c r="H255" s="2" t="s">
        <v>22</v>
      </c>
      <c r="I255" s="2" t="s">
        <v>8336</v>
      </c>
      <c r="J255" s="2" t="s">
        <v>59</v>
      </c>
      <c r="K255">
        <v>9684.4599999999991</v>
      </c>
      <c r="L255">
        <v>968446000</v>
      </c>
      <c r="M255" s="2" t="s">
        <v>8331</v>
      </c>
      <c r="N255" s="2" t="s">
        <v>8341</v>
      </c>
      <c r="O255" s="2" t="s">
        <v>8648</v>
      </c>
      <c r="P255" s="2" t="s">
        <v>175</v>
      </c>
      <c r="Q255" s="2" t="s">
        <v>8445</v>
      </c>
      <c r="R255" s="2" t="s">
        <v>30</v>
      </c>
    </row>
    <row r="256" spans="1:18">
      <c r="A256" s="1">
        <v>44348</v>
      </c>
      <c r="B256" s="1">
        <v>44348</v>
      </c>
      <c r="C256">
        <v>2021</v>
      </c>
      <c r="D256">
        <v>6</v>
      </c>
      <c r="E256" s="2" t="s">
        <v>8462</v>
      </c>
      <c r="F256" s="2" t="s">
        <v>8463</v>
      </c>
      <c r="G256" s="2" t="s">
        <v>8335</v>
      </c>
      <c r="H256" s="2" t="s">
        <v>22</v>
      </c>
      <c r="I256" s="2" t="s">
        <v>8409</v>
      </c>
      <c r="J256" s="2" t="s">
        <v>24</v>
      </c>
      <c r="K256">
        <v>5.91</v>
      </c>
      <c r="L256">
        <v>591000</v>
      </c>
      <c r="M256" s="2" t="s">
        <v>8406</v>
      </c>
      <c r="N256" s="2" t="s">
        <v>8411</v>
      </c>
      <c r="O256" s="2" t="s">
        <v>8649</v>
      </c>
      <c r="P256" s="2" t="s">
        <v>175</v>
      </c>
      <c r="Q256" s="2" t="s">
        <v>8445</v>
      </c>
      <c r="R256" s="2" t="s">
        <v>30</v>
      </c>
    </row>
    <row r="257" spans="1:18">
      <c r="A257" s="1">
        <v>44348</v>
      </c>
      <c r="B257" s="1">
        <v>44348</v>
      </c>
      <c r="C257">
        <v>2021</v>
      </c>
      <c r="D257">
        <v>6</v>
      </c>
      <c r="E257" s="2" t="s">
        <v>8464</v>
      </c>
      <c r="F257" s="2" t="s">
        <v>8465</v>
      </c>
      <c r="G257" s="2" t="s">
        <v>8335</v>
      </c>
      <c r="H257" s="2" t="s">
        <v>22</v>
      </c>
      <c r="I257" s="2" t="s">
        <v>8417</v>
      </c>
      <c r="J257" s="2" t="s">
        <v>24</v>
      </c>
      <c r="K257">
        <v>45.93</v>
      </c>
      <c r="L257">
        <v>4593000</v>
      </c>
      <c r="M257" s="2" t="s">
        <v>8414</v>
      </c>
      <c r="N257" s="2" t="s">
        <v>8419</v>
      </c>
      <c r="O257" s="2" t="s">
        <v>8650</v>
      </c>
      <c r="P257" s="2" t="s">
        <v>175</v>
      </c>
      <c r="Q257" s="2" t="s">
        <v>8445</v>
      </c>
      <c r="R257" s="2" t="s">
        <v>30</v>
      </c>
    </row>
    <row r="258" spans="1:18">
      <c r="A258" s="1">
        <v>44348</v>
      </c>
      <c r="B258" s="1">
        <v>44348</v>
      </c>
      <c r="C258">
        <v>2021</v>
      </c>
      <c r="D258">
        <v>6</v>
      </c>
      <c r="E258" s="2" t="s">
        <v>8467</v>
      </c>
      <c r="F258" s="2" t="s">
        <v>8468</v>
      </c>
      <c r="G258" s="2" t="s">
        <v>8335</v>
      </c>
      <c r="H258" s="2" t="s">
        <v>22</v>
      </c>
      <c r="I258" s="2" t="s">
        <v>8365</v>
      </c>
      <c r="J258" s="2" t="s">
        <v>24</v>
      </c>
      <c r="K258">
        <v>2086.38</v>
      </c>
      <c r="L258">
        <v>208638000</v>
      </c>
      <c r="M258" s="2" t="s">
        <v>8377</v>
      </c>
      <c r="N258" s="2" t="s">
        <v>8381</v>
      </c>
      <c r="O258" s="2" t="s">
        <v>8651</v>
      </c>
      <c r="P258" s="2" t="s">
        <v>175</v>
      </c>
      <c r="Q258" s="2" t="s">
        <v>8445</v>
      </c>
      <c r="R258" s="2" t="s">
        <v>30</v>
      </c>
    </row>
    <row r="259" spans="1:18">
      <c r="A259" s="1">
        <v>44348</v>
      </c>
      <c r="B259" s="1">
        <v>44348</v>
      </c>
      <c r="C259">
        <v>2021</v>
      </c>
      <c r="D259">
        <v>6</v>
      </c>
      <c r="E259" s="2" t="s">
        <v>8470</v>
      </c>
      <c r="F259" s="2" t="s">
        <v>8471</v>
      </c>
      <c r="G259" s="2" t="s">
        <v>8335</v>
      </c>
      <c r="H259" s="2" t="s">
        <v>22</v>
      </c>
      <c r="I259" s="2" t="s">
        <v>8365</v>
      </c>
      <c r="J259" s="2" t="s">
        <v>59</v>
      </c>
      <c r="K259">
        <v>12935.33</v>
      </c>
      <c r="L259">
        <v>1293533000</v>
      </c>
      <c r="M259" s="2" t="s">
        <v>8362</v>
      </c>
      <c r="N259" s="2" t="s">
        <v>8367</v>
      </c>
      <c r="O259" s="2" t="s">
        <v>8652</v>
      </c>
      <c r="P259" s="2" t="s">
        <v>175</v>
      </c>
      <c r="Q259" s="2" t="s">
        <v>8445</v>
      </c>
      <c r="R259" s="2" t="s">
        <v>30</v>
      </c>
    </row>
    <row r="260" spans="1:18">
      <c r="A260" s="1">
        <v>44348</v>
      </c>
      <c r="B260" s="1">
        <v>44348</v>
      </c>
      <c r="C260">
        <v>2021</v>
      </c>
      <c r="D260">
        <v>6</v>
      </c>
      <c r="E260" s="2" t="s">
        <v>8473</v>
      </c>
      <c r="F260" s="2" t="s">
        <v>8474</v>
      </c>
      <c r="G260" s="2" t="s">
        <v>8335</v>
      </c>
      <c r="H260" s="2" t="s">
        <v>22</v>
      </c>
      <c r="I260" s="2" t="s">
        <v>8365</v>
      </c>
      <c r="J260" s="2" t="s">
        <v>24</v>
      </c>
      <c r="K260">
        <v>10848.95</v>
      </c>
      <c r="L260">
        <v>1084895000</v>
      </c>
      <c r="M260" s="2" t="s">
        <v>8370</v>
      </c>
      <c r="N260" s="2" t="s">
        <v>8374</v>
      </c>
      <c r="O260" s="2" t="s">
        <v>8653</v>
      </c>
      <c r="P260" s="2" t="s">
        <v>175</v>
      </c>
      <c r="Q260" s="2" t="s">
        <v>8445</v>
      </c>
      <c r="R260" s="2" t="s">
        <v>30</v>
      </c>
    </row>
    <row r="261" spans="1:18">
      <c r="A261" s="1">
        <v>44348</v>
      </c>
      <c r="B261" s="1">
        <v>44348</v>
      </c>
      <c r="C261">
        <v>2021</v>
      </c>
      <c r="D261">
        <v>6</v>
      </c>
      <c r="E261" s="2" t="s">
        <v>7890</v>
      </c>
      <c r="F261" s="2" t="s">
        <v>7891</v>
      </c>
      <c r="G261" s="2" t="s">
        <v>8335</v>
      </c>
      <c r="H261" s="2" t="s">
        <v>22</v>
      </c>
      <c r="I261" s="2" t="s">
        <v>8417</v>
      </c>
      <c r="J261" s="2" t="s">
        <v>24</v>
      </c>
      <c r="K261">
        <v>1026.76</v>
      </c>
      <c r="L261">
        <v>102676000</v>
      </c>
      <c r="M261" s="2" t="s">
        <v>7889</v>
      </c>
      <c r="N261" s="2" t="s">
        <v>7911</v>
      </c>
      <c r="O261" s="2" t="s">
        <v>8654</v>
      </c>
      <c r="P261" s="2" t="s">
        <v>175</v>
      </c>
      <c r="Q261" s="2" t="s">
        <v>8445</v>
      </c>
      <c r="R261" s="2" t="s">
        <v>30</v>
      </c>
    </row>
    <row r="262" spans="1:18">
      <c r="A262" s="1">
        <v>44378</v>
      </c>
      <c r="B262" s="1">
        <v>44378</v>
      </c>
      <c r="C262">
        <v>2021</v>
      </c>
      <c r="D262">
        <v>7</v>
      </c>
      <c r="E262" s="2" t="s">
        <v>8443</v>
      </c>
      <c r="F262" s="2" t="s">
        <v>8444</v>
      </c>
      <c r="G262" s="2" t="s">
        <v>8335</v>
      </c>
      <c r="H262" s="2" t="s">
        <v>22</v>
      </c>
      <c r="I262" s="2" t="s">
        <v>8387</v>
      </c>
      <c r="J262" s="2" t="s">
        <v>24</v>
      </c>
      <c r="K262">
        <v>2.13</v>
      </c>
      <c r="L262">
        <v>213000</v>
      </c>
      <c r="M262" s="2" t="s">
        <v>8392</v>
      </c>
      <c r="N262" s="2" t="s">
        <v>8396</v>
      </c>
      <c r="O262" s="2" t="s">
        <v>2955</v>
      </c>
      <c r="P262" s="2" t="s">
        <v>175</v>
      </c>
      <c r="Q262" s="2" t="s">
        <v>8445</v>
      </c>
      <c r="R262" s="2" t="s">
        <v>30</v>
      </c>
    </row>
    <row r="263" spans="1:18">
      <c r="A263" s="1">
        <v>44378</v>
      </c>
      <c r="B263" s="1">
        <v>44378</v>
      </c>
      <c r="C263">
        <v>2021</v>
      </c>
      <c r="D263">
        <v>7</v>
      </c>
      <c r="E263" s="2" t="s">
        <v>8446</v>
      </c>
      <c r="F263" s="2" t="s">
        <v>8447</v>
      </c>
      <c r="G263" s="2" t="s">
        <v>8335</v>
      </c>
      <c r="H263" s="2" t="s">
        <v>22</v>
      </c>
      <c r="I263" s="2" t="s">
        <v>8387</v>
      </c>
      <c r="J263" s="2" t="s">
        <v>59</v>
      </c>
      <c r="K263">
        <v>2.4</v>
      </c>
      <c r="L263">
        <v>240000</v>
      </c>
      <c r="M263" s="2" t="s">
        <v>8384</v>
      </c>
      <c r="N263" s="2" t="s">
        <v>8389</v>
      </c>
      <c r="O263" s="2" t="s">
        <v>4026</v>
      </c>
      <c r="P263" s="2" t="s">
        <v>175</v>
      </c>
      <c r="Q263" s="2" t="s">
        <v>8445</v>
      </c>
      <c r="R263" s="2" t="s">
        <v>30</v>
      </c>
    </row>
    <row r="264" spans="1:18">
      <c r="A264" s="1">
        <v>44378</v>
      </c>
      <c r="B264" s="1">
        <v>44378</v>
      </c>
      <c r="C264">
        <v>2021</v>
      </c>
      <c r="D264">
        <v>7</v>
      </c>
      <c r="E264" s="2" t="s">
        <v>8448</v>
      </c>
      <c r="F264" s="2" t="s">
        <v>8449</v>
      </c>
      <c r="G264" s="2" t="s">
        <v>8335</v>
      </c>
      <c r="H264" s="2" t="s">
        <v>22</v>
      </c>
      <c r="I264" s="2" t="s">
        <v>8387</v>
      </c>
      <c r="J264" s="2" t="s">
        <v>24</v>
      </c>
      <c r="K264">
        <v>0.27</v>
      </c>
      <c r="L264">
        <v>27000</v>
      </c>
      <c r="M264" s="2" t="s">
        <v>8399</v>
      </c>
      <c r="N264" s="2" t="s">
        <v>8403</v>
      </c>
      <c r="O264" s="2" t="s">
        <v>980</v>
      </c>
      <c r="P264" s="2" t="s">
        <v>175</v>
      </c>
      <c r="Q264" s="2" t="s">
        <v>8445</v>
      </c>
      <c r="R264" s="2" t="s">
        <v>30</v>
      </c>
    </row>
    <row r="265" spans="1:18">
      <c r="A265" s="1">
        <v>44378</v>
      </c>
      <c r="B265" s="1">
        <v>44378</v>
      </c>
      <c r="C265">
        <v>2021</v>
      </c>
      <c r="D265">
        <v>7</v>
      </c>
      <c r="E265" s="2" t="s">
        <v>8450</v>
      </c>
      <c r="F265" s="2" t="s">
        <v>8451</v>
      </c>
      <c r="G265" s="2" t="s">
        <v>8335</v>
      </c>
      <c r="H265" s="2" t="s">
        <v>22</v>
      </c>
      <c r="I265" s="2" t="s">
        <v>8417</v>
      </c>
      <c r="J265" s="2" t="s">
        <v>24</v>
      </c>
      <c r="K265">
        <v>42.51</v>
      </c>
      <c r="L265">
        <v>4251000</v>
      </c>
      <c r="M265" s="2" t="s">
        <v>8422</v>
      </c>
      <c r="N265" s="2" t="s">
        <v>8426</v>
      </c>
      <c r="O265" s="2" t="s">
        <v>8655</v>
      </c>
      <c r="P265" s="2" t="s">
        <v>175</v>
      </c>
      <c r="Q265" s="2" t="s">
        <v>8445</v>
      </c>
      <c r="R265" s="2" t="s">
        <v>30</v>
      </c>
    </row>
    <row r="266" spans="1:18">
      <c r="A266" s="1">
        <v>44378</v>
      </c>
      <c r="B266" s="1">
        <v>44378</v>
      </c>
      <c r="C266">
        <v>2021</v>
      </c>
      <c r="D266">
        <v>7</v>
      </c>
      <c r="E266" s="2" t="s">
        <v>8453</v>
      </c>
      <c r="F266" s="2" t="s">
        <v>8454</v>
      </c>
      <c r="G266" s="2" t="s">
        <v>8335</v>
      </c>
      <c r="H266" s="2" t="s">
        <v>22</v>
      </c>
      <c r="I266" s="2" t="s">
        <v>8336</v>
      </c>
      <c r="J266" s="2" t="s">
        <v>24</v>
      </c>
      <c r="K266">
        <v>634.14</v>
      </c>
      <c r="L266">
        <v>63414000</v>
      </c>
      <c r="M266" s="2" t="s">
        <v>8348</v>
      </c>
      <c r="N266" s="2" t="s">
        <v>8352</v>
      </c>
      <c r="O266" s="2" t="s">
        <v>8656</v>
      </c>
      <c r="P266" s="2" t="s">
        <v>175</v>
      </c>
      <c r="Q266" s="2" t="s">
        <v>8445</v>
      </c>
      <c r="R266" s="2" t="s">
        <v>30</v>
      </c>
    </row>
    <row r="267" spans="1:18">
      <c r="A267" s="1">
        <v>44378</v>
      </c>
      <c r="B267" s="1">
        <v>44378</v>
      </c>
      <c r="C267">
        <v>2021</v>
      </c>
      <c r="D267">
        <v>7</v>
      </c>
      <c r="E267" s="2" t="s">
        <v>8456</v>
      </c>
      <c r="F267" s="2" t="s">
        <v>8457</v>
      </c>
      <c r="G267" s="2" t="s">
        <v>8335</v>
      </c>
      <c r="H267" s="2" t="s">
        <v>22</v>
      </c>
      <c r="I267" s="2" t="s">
        <v>8336</v>
      </c>
      <c r="J267" s="2" t="s">
        <v>24</v>
      </c>
      <c r="K267">
        <v>9056.2900000000009</v>
      </c>
      <c r="L267">
        <v>905629000</v>
      </c>
      <c r="M267" s="2" t="s">
        <v>8355</v>
      </c>
      <c r="N267" s="2" t="s">
        <v>8359</v>
      </c>
      <c r="O267" s="2" t="s">
        <v>8657</v>
      </c>
      <c r="P267" s="2" t="s">
        <v>175</v>
      </c>
      <c r="Q267" s="2" t="s">
        <v>8445</v>
      </c>
      <c r="R267" s="2" t="s">
        <v>30</v>
      </c>
    </row>
    <row r="268" spans="1:18">
      <c r="A268" s="1">
        <v>44378</v>
      </c>
      <c r="B268" s="1">
        <v>44378</v>
      </c>
      <c r="C268">
        <v>2021</v>
      </c>
      <c r="D268">
        <v>7</v>
      </c>
      <c r="E268" s="2" t="s">
        <v>8459</v>
      </c>
      <c r="F268" s="2" t="s">
        <v>8460</v>
      </c>
      <c r="G268" s="2" t="s">
        <v>8335</v>
      </c>
      <c r="H268" s="2" t="s">
        <v>22</v>
      </c>
      <c r="I268" s="2" t="s">
        <v>8336</v>
      </c>
      <c r="J268" s="2" t="s">
        <v>59</v>
      </c>
      <c r="K268">
        <v>9690.43</v>
      </c>
      <c r="L268">
        <v>969043000</v>
      </c>
      <c r="M268" s="2" t="s">
        <v>8331</v>
      </c>
      <c r="N268" s="2" t="s">
        <v>8341</v>
      </c>
      <c r="O268" s="2" t="s">
        <v>8658</v>
      </c>
      <c r="P268" s="2" t="s">
        <v>175</v>
      </c>
      <c r="Q268" s="2" t="s">
        <v>8445</v>
      </c>
      <c r="R268" s="2" t="s">
        <v>30</v>
      </c>
    </row>
    <row r="269" spans="1:18">
      <c r="A269" s="1">
        <v>44378</v>
      </c>
      <c r="B269" s="1">
        <v>44378</v>
      </c>
      <c r="C269">
        <v>2021</v>
      </c>
      <c r="D269">
        <v>7</v>
      </c>
      <c r="E269" s="2" t="s">
        <v>8462</v>
      </c>
      <c r="F269" s="2" t="s">
        <v>8463</v>
      </c>
      <c r="G269" s="2" t="s">
        <v>8335</v>
      </c>
      <c r="H269" s="2" t="s">
        <v>22</v>
      </c>
      <c r="I269" s="2" t="s">
        <v>8409</v>
      </c>
      <c r="J269" s="2" t="s">
        <v>24</v>
      </c>
      <c r="K269">
        <v>6.11</v>
      </c>
      <c r="L269">
        <v>611000</v>
      </c>
      <c r="M269" s="2" t="s">
        <v>8406</v>
      </c>
      <c r="N269" s="2" t="s">
        <v>8411</v>
      </c>
      <c r="O269" s="2" t="s">
        <v>8659</v>
      </c>
      <c r="P269" s="2" t="s">
        <v>175</v>
      </c>
      <c r="Q269" s="2" t="s">
        <v>8445</v>
      </c>
      <c r="R269" s="2" t="s">
        <v>30</v>
      </c>
    </row>
    <row r="270" spans="1:18">
      <c r="A270" s="1">
        <v>44378</v>
      </c>
      <c r="B270" s="1">
        <v>44378</v>
      </c>
      <c r="C270">
        <v>2021</v>
      </c>
      <c r="D270">
        <v>7</v>
      </c>
      <c r="E270" s="2" t="s">
        <v>8464</v>
      </c>
      <c r="F270" s="2" t="s">
        <v>8465</v>
      </c>
      <c r="G270" s="2" t="s">
        <v>8335</v>
      </c>
      <c r="H270" s="2" t="s">
        <v>22</v>
      </c>
      <c r="I270" s="2" t="s">
        <v>8417</v>
      </c>
      <c r="J270" s="2" t="s">
        <v>24</v>
      </c>
      <c r="K270">
        <v>46.08</v>
      </c>
      <c r="L270">
        <v>4608000</v>
      </c>
      <c r="M270" s="2" t="s">
        <v>8414</v>
      </c>
      <c r="N270" s="2" t="s">
        <v>8419</v>
      </c>
      <c r="O270" s="2" t="s">
        <v>8660</v>
      </c>
      <c r="P270" s="2" t="s">
        <v>175</v>
      </c>
      <c r="Q270" s="2" t="s">
        <v>8445</v>
      </c>
      <c r="R270" s="2" t="s">
        <v>30</v>
      </c>
    </row>
    <row r="271" spans="1:18">
      <c r="A271" s="1">
        <v>44378</v>
      </c>
      <c r="B271" s="1">
        <v>44378</v>
      </c>
      <c r="C271">
        <v>2021</v>
      </c>
      <c r="D271">
        <v>7</v>
      </c>
      <c r="E271" s="2" t="s">
        <v>8467</v>
      </c>
      <c r="F271" s="2" t="s">
        <v>8468</v>
      </c>
      <c r="G271" s="2" t="s">
        <v>8335</v>
      </c>
      <c r="H271" s="2" t="s">
        <v>22</v>
      </c>
      <c r="I271" s="2" t="s">
        <v>8365</v>
      </c>
      <c r="J271" s="2" t="s">
        <v>24</v>
      </c>
      <c r="K271">
        <v>2143.9499999999998</v>
      </c>
      <c r="L271">
        <v>214395000</v>
      </c>
      <c r="M271" s="2" t="s">
        <v>8377</v>
      </c>
      <c r="N271" s="2" t="s">
        <v>8381</v>
      </c>
      <c r="O271" s="2" t="s">
        <v>8661</v>
      </c>
      <c r="P271" s="2" t="s">
        <v>175</v>
      </c>
      <c r="Q271" s="2" t="s">
        <v>8445</v>
      </c>
      <c r="R271" s="2" t="s">
        <v>30</v>
      </c>
    </row>
    <row r="272" spans="1:18">
      <c r="A272" s="1">
        <v>44378</v>
      </c>
      <c r="B272" s="1">
        <v>44378</v>
      </c>
      <c r="C272">
        <v>2021</v>
      </c>
      <c r="D272">
        <v>7</v>
      </c>
      <c r="E272" s="2" t="s">
        <v>8470</v>
      </c>
      <c r="F272" s="2" t="s">
        <v>8471</v>
      </c>
      <c r="G272" s="2" t="s">
        <v>8335</v>
      </c>
      <c r="H272" s="2" t="s">
        <v>22</v>
      </c>
      <c r="I272" s="2" t="s">
        <v>8365</v>
      </c>
      <c r="J272" s="2" t="s">
        <v>59</v>
      </c>
      <c r="K272">
        <v>13176.84</v>
      </c>
      <c r="L272">
        <v>1317684000</v>
      </c>
      <c r="M272" s="2" t="s">
        <v>8362</v>
      </c>
      <c r="N272" s="2" t="s">
        <v>8367</v>
      </c>
      <c r="O272" s="2" t="s">
        <v>8662</v>
      </c>
      <c r="P272" s="2" t="s">
        <v>175</v>
      </c>
      <c r="Q272" s="2" t="s">
        <v>8445</v>
      </c>
      <c r="R272" s="2" t="s">
        <v>30</v>
      </c>
    </row>
    <row r="273" spans="1:18">
      <c r="A273" s="1">
        <v>44378</v>
      </c>
      <c r="B273" s="1">
        <v>44378</v>
      </c>
      <c r="C273">
        <v>2021</v>
      </c>
      <c r="D273">
        <v>7</v>
      </c>
      <c r="E273" s="2" t="s">
        <v>8473</v>
      </c>
      <c r="F273" s="2" t="s">
        <v>8474</v>
      </c>
      <c r="G273" s="2" t="s">
        <v>8335</v>
      </c>
      <c r="H273" s="2" t="s">
        <v>22</v>
      </c>
      <c r="I273" s="2" t="s">
        <v>8365</v>
      </c>
      <c r="J273" s="2" t="s">
        <v>24</v>
      </c>
      <c r="K273">
        <v>11032.89</v>
      </c>
      <c r="L273">
        <v>1103289000</v>
      </c>
      <c r="M273" s="2" t="s">
        <v>8370</v>
      </c>
      <c r="N273" s="2" t="s">
        <v>8374</v>
      </c>
      <c r="O273" s="2" t="s">
        <v>8663</v>
      </c>
      <c r="P273" s="2" t="s">
        <v>175</v>
      </c>
      <c r="Q273" s="2" t="s">
        <v>8445</v>
      </c>
      <c r="R273" s="2" t="s">
        <v>30</v>
      </c>
    </row>
    <row r="274" spans="1:18">
      <c r="A274" s="1">
        <v>44378</v>
      </c>
      <c r="B274" s="1">
        <v>44378</v>
      </c>
      <c r="C274">
        <v>2021</v>
      </c>
      <c r="D274">
        <v>7</v>
      </c>
      <c r="E274" s="2" t="s">
        <v>7890</v>
      </c>
      <c r="F274" s="2" t="s">
        <v>7891</v>
      </c>
      <c r="G274" s="2" t="s">
        <v>8335</v>
      </c>
      <c r="H274" s="2" t="s">
        <v>22</v>
      </c>
      <c r="I274" s="2" t="s">
        <v>8417</v>
      </c>
      <c r="J274" s="2" t="s">
        <v>24</v>
      </c>
      <c r="K274">
        <v>1078.8</v>
      </c>
      <c r="L274">
        <v>107880000</v>
      </c>
      <c r="M274" s="2" t="s">
        <v>7889</v>
      </c>
      <c r="N274" s="2" t="s">
        <v>7911</v>
      </c>
      <c r="O274" s="2" t="s">
        <v>8664</v>
      </c>
      <c r="P274" s="2" t="s">
        <v>175</v>
      </c>
      <c r="Q274" s="2" t="s">
        <v>8445</v>
      </c>
      <c r="R274" s="2" t="s">
        <v>30</v>
      </c>
    </row>
    <row r="275" spans="1:18">
      <c r="A275" s="1">
        <v>44409</v>
      </c>
      <c r="B275" s="1">
        <v>44409</v>
      </c>
      <c r="C275">
        <v>2021</v>
      </c>
      <c r="D275">
        <v>8</v>
      </c>
      <c r="E275" s="2" t="s">
        <v>8443</v>
      </c>
      <c r="F275" s="2" t="s">
        <v>8444</v>
      </c>
      <c r="G275" s="2" t="s">
        <v>8335</v>
      </c>
      <c r="H275" s="2" t="s">
        <v>22</v>
      </c>
      <c r="I275" s="2" t="s">
        <v>8387</v>
      </c>
      <c r="J275" s="2" t="s">
        <v>24</v>
      </c>
      <c r="K275">
        <v>2.14</v>
      </c>
      <c r="L275">
        <v>214000</v>
      </c>
      <c r="M275" s="2" t="s">
        <v>8392</v>
      </c>
      <c r="N275" s="2" t="s">
        <v>8396</v>
      </c>
      <c r="O275" s="2" t="s">
        <v>3799</v>
      </c>
      <c r="P275" s="2" t="s">
        <v>175</v>
      </c>
      <c r="Q275" s="2" t="s">
        <v>8445</v>
      </c>
      <c r="R275" s="2" t="s">
        <v>30</v>
      </c>
    </row>
    <row r="276" spans="1:18">
      <c r="A276" s="1">
        <v>44409</v>
      </c>
      <c r="B276" s="1">
        <v>44409</v>
      </c>
      <c r="C276">
        <v>2021</v>
      </c>
      <c r="D276">
        <v>8</v>
      </c>
      <c r="E276" s="2" t="s">
        <v>8446</v>
      </c>
      <c r="F276" s="2" t="s">
        <v>8447</v>
      </c>
      <c r="G276" s="2" t="s">
        <v>8335</v>
      </c>
      <c r="H276" s="2" t="s">
        <v>22</v>
      </c>
      <c r="I276" s="2" t="s">
        <v>8387</v>
      </c>
      <c r="J276" s="2" t="s">
        <v>59</v>
      </c>
      <c r="K276">
        <v>2.41</v>
      </c>
      <c r="L276">
        <v>241000</v>
      </c>
      <c r="M276" s="2" t="s">
        <v>8384</v>
      </c>
      <c r="N276" s="2" t="s">
        <v>8389</v>
      </c>
      <c r="O276" s="2" t="s">
        <v>8665</v>
      </c>
      <c r="P276" s="2" t="s">
        <v>175</v>
      </c>
      <c r="Q276" s="2" t="s">
        <v>8445</v>
      </c>
      <c r="R276" s="2" t="s">
        <v>30</v>
      </c>
    </row>
    <row r="277" spans="1:18">
      <c r="A277" s="1">
        <v>44409</v>
      </c>
      <c r="B277" s="1">
        <v>44409</v>
      </c>
      <c r="C277">
        <v>2021</v>
      </c>
      <c r="D277">
        <v>8</v>
      </c>
      <c r="E277" s="2" t="s">
        <v>8448</v>
      </c>
      <c r="F277" s="2" t="s">
        <v>8449</v>
      </c>
      <c r="G277" s="2" t="s">
        <v>8335</v>
      </c>
      <c r="H277" s="2" t="s">
        <v>22</v>
      </c>
      <c r="I277" s="2" t="s">
        <v>8387</v>
      </c>
      <c r="J277" s="2" t="s">
        <v>24</v>
      </c>
      <c r="K277">
        <v>0.27</v>
      </c>
      <c r="L277">
        <v>27000</v>
      </c>
      <c r="M277" s="2" t="s">
        <v>8399</v>
      </c>
      <c r="N277" s="2" t="s">
        <v>8403</v>
      </c>
      <c r="O277" s="2" t="s">
        <v>980</v>
      </c>
      <c r="P277" s="2" t="s">
        <v>175</v>
      </c>
      <c r="Q277" s="2" t="s">
        <v>8445</v>
      </c>
      <c r="R277" s="2" t="s">
        <v>30</v>
      </c>
    </row>
    <row r="278" spans="1:18">
      <c r="A278" s="1">
        <v>44409</v>
      </c>
      <c r="B278" s="1">
        <v>44409</v>
      </c>
      <c r="C278">
        <v>2021</v>
      </c>
      <c r="D278">
        <v>8</v>
      </c>
      <c r="E278" s="2" t="s">
        <v>8450</v>
      </c>
      <c r="F278" s="2" t="s">
        <v>8451</v>
      </c>
      <c r="G278" s="2" t="s">
        <v>8335</v>
      </c>
      <c r="H278" s="2" t="s">
        <v>22</v>
      </c>
      <c r="I278" s="2" t="s">
        <v>8417</v>
      </c>
      <c r="J278" s="2" t="s">
        <v>24</v>
      </c>
      <c r="K278">
        <v>43.52</v>
      </c>
      <c r="L278">
        <v>4352000</v>
      </c>
      <c r="M278" s="2" t="s">
        <v>8422</v>
      </c>
      <c r="N278" s="2" t="s">
        <v>8426</v>
      </c>
      <c r="O278" s="2" t="s">
        <v>8666</v>
      </c>
      <c r="P278" s="2" t="s">
        <v>175</v>
      </c>
      <c r="Q278" s="2" t="s">
        <v>8445</v>
      </c>
      <c r="R278" s="2" t="s">
        <v>30</v>
      </c>
    </row>
    <row r="279" spans="1:18">
      <c r="A279" s="1">
        <v>44409</v>
      </c>
      <c r="B279" s="1">
        <v>44409</v>
      </c>
      <c r="C279">
        <v>2021</v>
      </c>
      <c r="D279">
        <v>8</v>
      </c>
      <c r="E279" s="2" t="s">
        <v>8453</v>
      </c>
      <c r="F279" s="2" t="s">
        <v>8454</v>
      </c>
      <c r="G279" s="2" t="s">
        <v>8335</v>
      </c>
      <c r="H279" s="2" t="s">
        <v>22</v>
      </c>
      <c r="I279" s="2" t="s">
        <v>8336</v>
      </c>
      <c r="J279" s="2" t="s">
        <v>24</v>
      </c>
      <c r="K279">
        <v>639.34</v>
      </c>
      <c r="L279">
        <v>63934000</v>
      </c>
      <c r="M279" s="2" t="s">
        <v>8348</v>
      </c>
      <c r="N279" s="2" t="s">
        <v>8352</v>
      </c>
      <c r="O279" s="2" t="s">
        <v>8667</v>
      </c>
      <c r="P279" s="2" t="s">
        <v>175</v>
      </c>
      <c r="Q279" s="2" t="s">
        <v>8445</v>
      </c>
      <c r="R279" s="2" t="s">
        <v>30</v>
      </c>
    </row>
    <row r="280" spans="1:18">
      <c r="A280" s="1">
        <v>44409</v>
      </c>
      <c r="B280" s="1">
        <v>44409</v>
      </c>
      <c r="C280">
        <v>2021</v>
      </c>
      <c r="D280">
        <v>8</v>
      </c>
      <c r="E280" s="2" t="s">
        <v>8456</v>
      </c>
      <c r="F280" s="2" t="s">
        <v>8457</v>
      </c>
      <c r="G280" s="2" t="s">
        <v>8335</v>
      </c>
      <c r="H280" s="2" t="s">
        <v>22</v>
      </c>
      <c r="I280" s="2" t="s">
        <v>8336</v>
      </c>
      <c r="J280" s="2" t="s">
        <v>24</v>
      </c>
      <c r="K280">
        <v>9132.6299999999992</v>
      </c>
      <c r="L280">
        <v>913263000</v>
      </c>
      <c r="M280" s="2" t="s">
        <v>8355</v>
      </c>
      <c r="N280" s="2" t="s">
        <v>8359</v>
      </c>
      <c r="O280" s="2" t="s">
        <v>8668</v>
      </c>
      <c r="P280" s="2" t="s">
        <v>175</v>
      </c>
      <c r="Q280" s="2" t="s">
        <v>8445</v>
      </c>
      <c r="R280" s="2" t="s">
        <v>30</v>
      </c>
    </row>
    <row r="281" spans="1:18">
      <c r="A281" s="1">
        <v>44409</v>
      </c>
      <c r="B281" s="1">
        <v>44409</v>
      </c>
      <c r="C281">
        <v>2021</v>
      </c>
      <c r="D281">
        <v>8</v>
      </c>
      <c r="E281" s="2" t="s">
        <v>8459</v>
      </c>
      <c r="F281" s="2" t="s">
        <v>8460</v>
      </c>
      <c r="G281" s="2" t="s">
        <v>8335</v>
      </c>
      <c r="H281" s="2" t="s">
        <v>22</v>
      </c>
      <c r="I281" s="2" t="s">
        <v>8336</v>
      </c>
      <c r="J281" s="2" t="s">
        <v>59</v>
      </c>
      <c r="K281">
        <v>9771.9699999999993</v>
      </c>
      <c r="L281">
        <v>977197000</v>
      </c>
      <c r="M281" s="2" t="s">
        <v>8331</v>
      </c>
      <c r="N281" s="2" t="s">
        <v>8341</v>
      </c>
      <c r="O281" s="2" t="s">
        <v>8669</v>
      </c>
      <c r="P281" s="2" t="s">
        <v>175</v>
      </c>
      <c r="Q281" s="2" t="s">
        <v>8445</v>
      </c>
      <c r="R281" s="2" t="s">
        <v>30</v>
      </c>
    </row>
    <row r="282" spans="1:18">
      <c r="A282" s="1">
        <v>44409</v>
      </c>
      <c r="B282" s="1">
        <v>44409</v>
      </c>
      <c r="C282">
        <v>2021</v>
      </c>
      <c r="D282">
        <v>8</v>
      </c>
      <c r="E282" s="2" t="s">
        <v>8462</v>
      </c>
      <c r="F282" s="2" t="s">
        <v>8463</v>
      </c>
      <c r="G282" s="2" t="s">
        <v>8335</v>
      </c>
      <c r="H282" s="2" t="s">
        <v>22</v>
      </c>
      <c r="I282" s="2" t="s">
        <v>8409</v>
      </c>
      <c r="J282" s="2" t="s">
        <v>24</v>
      </c>
      <c r="K282">
        <v>6.31</v>
      </c>
      <c r="L282">
        <v>631000</v>
      </c>
      <c r="M282" s="2" t="s">
        <v>8406</v>
      </c>
      <c r="N282" s="2" t="s">
        <v>8411</v>
      </c>
      <c r="O282" s="2" t="s">
        <v>8670</v>
      </c>
      <c r="P282" s="2" t="s">
        <v>175</v>
      </c>
      <c r="Q282" s="2" t="s">
        <v>8445</v>
      </c>
      <c r="R282" s="2" t="s">
        <v>30</v>
      </c>
    </row>
    <row r="283" spans="1:18">
      <c r="A283" s="1">
        <v>44409</v>
      </c>
      <c r="B283" s="1">
        <v>44409</v>
      </c>
      <c r="C283">
        <v>2021</v>
      </c>
      <c r="D283">
        <v>8</v>
      </c>
      <c r="E283" s="2" t="s">
        <v>8464</v>
      </c>
      <c r="F283" s="2" t="s">
        <v>8465</v>
      </c>
      <c r="G283" s="2" t="s">
        <v>8335</v>
      </c>
      <c r="H283" s="2" t="s">
        <v>22</v>
      </c>
      <c r="I283" s="2" t="s">
        <v>8417</v>
      </c>
      <c r="J283" s="2" t="s">
        <v>24</v>
      </c>
      <c r="K283">
        <v>48.16</v>
      </c>
      <c r="L283">
        <v>4816000</v>
      </c>
      <c r="M283" s="2" t="s">
        <v>8414</v>
      </c>
      <c r="N283" s="2" t="s">
        <v>8419</v>
      </c>
      <c r="O283" s="2" t="s">
        <v>8671</v>
      </c>
      <c r="P283" s="2" t="s">
        <v>175</v>
      </c>
      <c r="Q283" s="2" t="s">
        <v>8445</v>
      </c>
      <c r="R283" s="2" t="s">
        <v>30</v>
      </c>
    </row>
    <row r="284" spans="1:18">
      <c r="A284" s="1">
        <v>44409</v>
      </c>
      <c r="B284" s="1">
        <v>44409</v>
      </c>
      <c r="C284">
        <v>2021</v>
      </c>
      <c r="D284">
        <v>8</v>
      </c>
      <c r="E284" s="2" t="s">
        <v>8467</v>
      </c>
      <c r="F284" s="2" t="s">
        <v>8468</v>
      </c>
      <c r="G284" s="2" t="s">
        <v>8335</v>
      </c>
      <c r="H284" s="2" t="s">
        <v>22</v>
      </c>
      <c r="I284" s="2" t="s">
        <v>8365</v>
      </c>
      <c r="J284" s="2" t="s">
        <v>24</v>
      </c>
      <c r="K284">
        <v>2171.94</v>
      </c>
      <c r="L284">
        <v>217194000</v>
      </c>
      <c r="M284" s="2" t="s">
        <v>8377</v>
      </c>
      <c r="N284" s="2" t="s">
        <v>8381</v>
      </c>
      <c r="O284" s="2" t="s">
        <v>8672</v>
      </c>
      <c r="P284" s="2" t="s">
        <v>175</v>
      </c>
      <c r="Q284" s="2" t="s">
        <v>8445</v>
      </c>
      <c r="R284" s="2" t="s">
        <v>30</v>
      </c>
    </row>
    <row r="285" spans="1:18">
      <c r="A285" s="1">
        <v>44409</v>
      </c>
      <c r="B285" s="1">
        <v>44409</v>
      </c>
      <c r="C285">
        <v>2021</v>
      </c>
      <c r="D285">
        <v>8</v>
      </c>
      <c r="E285" s="2" t="s">
        <v>8470</v>
      </c>
      <c r="F285" s="2" t="s">
        <v>8471</v>
      </c>
      <c r="G285" s="2" t="s">
        <v>8335</v>
      </c>
      <c r="H285" s="2" t="s">
        <v>22</v>
      </c>
      <c r="I285" s="2" t="s">
        <v>8365</v>
      </c>
      <c r="J285" s="2" t="s">
        <v>59</v>
      </c>
      <c r="K285">
        <v>13682.92</v>
      </c>
      <c r="L285">
        <v>1368292000</v>
      </c>
      <c r="M285" s="2" t="s">
        <v>8362</v>
      </c>
      <c r="N285" s="2" t="s">
        <v>8367</v>
      </c>
      <c r="O285" s="2" t="s">
        <v>8673</v>
      </c>
      <c r="P285" s="2" t="s">
        <v>175</v>
      </c>
      <c r="Q285" s="2" t="s">
        <v>8445</v>
      </c>
      <c r="R285" s="2" t="s">
        <v>30</v>
      </c>
    </row>
    <row r="286" spans="1:18">
      <c r="A286" s="1">
        <v>44409</v>
      </c>
      <c r="B286" s="1">
        <v>44409</v>
      </c>
      <c r="C286">
        <v>2021</v>
      </c>
      <c r="D286">
        <v>8</v>
      </c>
      <c r="E286" s="2" t="s">
        <v>8473</v>
      </c>
      <c r="F286" s="2" t="s">
        <v>8474</v>
      </c>
      <c r="G286" s="2" t="s">
        <v>8335</v>
      </c>
      <c r="H286" s="2" t="s">
        <v>22</v>
      </c>
      <c r="I286" s="2" t="s">
        <v>8365</v>
      </c>
      <c r="J286" s="2" t="s">
        <v>24</v>
      </c>
      <c r="K286">
        <v>11510.97</v>
      </c>
      <c r="L286">
        <v>1151097000</v>
      </c>
      <c r="M286" s="2" t="s">
        <v>8370</v>
      </c>
      <c r="N286" s="2" t="s">
        <v>8374</v>
      </c>
      <c r="O286" s="2" t="s">
        <v>8674</v>
      </c>
      <c r="P286" s="2" t="s">
        <v>175</v>
      </c>
      <c r="Q286" s="2" t="s">
        <v>8445</v>
      </c>
      <c r="R286" s="2" t="s">
        <v>30</v>
      </c>
    </row>
    <row r="287" spans="1:18">
      <c r="A287" s="1">
        <v>44409</v>
      </c>
      <c r="B287" s="1">
        <v>44409</v>
      </c>
      <c r="C287">
        <v>2021</v>
      </c>
      <c r="D287">
        <v>8</v>
      </c>
      <c r="E287" s="2" t="s">
        <v>7890</v>
      </c>
      <c r="F287" s="2" t="s">
        <v>7891</v>
      </c>
      <c r="G287" s="2" t="s">
        <v>8335</v>
      </c>
      <c r="H287" s="2" t="s">
        <v>22</v>
      </c>
      <c r="I287" s="2" t="s">
        <v>8417</v>
      </c>
      <c r="J287" s="2" t="s">
        <v>24</v>
      </c>
      <c r="K287">
        <v>1142.06</v>
      </c>
      <c r="L287">
        <v>114206000</v>
      </c>
      <c r="M287" s="2" t="s">
        <v>7889</v>
      </c>
      <c r="N287" s="2" t="s">
        <v>7911</v>
      </c>
      <c r="O287" s="2" t="s">
        <v>8675</v>
      </c>
      <c r="P287" s="2" t="s">
        <v>175</v>
      </c>
      <c r="Q287" s="2" t="s">
        <v>8445</v>
      </c>
      <c r="R287" s="2" t="s">
        <v>30</v>
      </c>
    </row>
    <row r="288" spans="1:18">
      <c r="A288" s="1">
        <v>44440</v>
      </c>
      <c r="B288" s="1">
        <v>44440</v>
      </c>
      <c r="C288">
        <v>2021</v>
      </c>
      <c r="D288">
        <v>9</v>
      </c>
      <c r="E288" s="2" t="s">
        <v>8443</v>
      </c>
      <c r="F288" s="2" t="s">
        <v>8444</v>
      </c>
      <c r="G288" s="2" t="s">
        <v>8335</v>
      </c>
      <c r="H288" s="2" t="s">
        <v>22</v>
      </c>
      <c r="I288" s="2" t="s">
        <v>8387</v>
      </c>
      <c r="J288" s="2" t="s">
        <v>24</v>
      </c>
      <c r="K288">
        <v>2.13</v>
      </c>
      <c r="L288">
        <v>213000</v>
      </c>
      <c r="M288" s="2" t="s">
        <v>8392</v>
      </c>
      <c r="N288" s="2" t="s">
        <v>8396</v>
      </c>
      <c r="O288" s="2" t="s">
        <v>2955</v>
      </c>
      <c r="P288" s="2" t="s">
        <v>175</v>
      </c>
      <c r="Q288" s="2" t="s">
        <v>8445</v>
      </c>
      <c r="R288" s="2" t="s">
        <v>30</v>
      </c>
    </row>
    <row r="289" spans="1:18">
      <c r="A289" s="1">
        <v>44440</v>
      </c>
      <c r="B289" s="1">
        <v>44440</v>
      </c>
      <c r="C289">
        <v>2021</v>
      </c>
      <c r="D289">
        <v>9</v>
      </c>
      <c r="E289" s="2" t="s">
        <v>8446</v>
      </c>
      <c r="F289" s="2" t="s">
        <v>8447</v>
      </c>
      <c r="G289" s="2" t="s">
        <v>8335</v>
      </c>
      <c r="H289" s="2" t="s">
        <v>22</v>
      </c>
      <c r="I289" s="2" t="s">
        <v>8387</v>
      </c>
      <c r="J289" s="2" t="s">
        <v>59</v>
      </c>
      <c r="K289">
        <v>2.41</v>
      </c>
      <c r="L289">
        <v>241000</v>
      </c>
      <c r="M289" s="2" t="s">
        <v>8384</v>
      </c>
      <c r="N289" s="2" t="s">
        <v>8389</v>
      </c>
      <c r="O289" s="2" t="s">
        <v>8665</v>
      </c>
      <c r="P289" s="2" t="s">
        <v>175</v>
      </c>
      <c r="Q289" s="2" t="s">
        <v>8445</v>
      </c>
      <c r="R289" s="2" t="s">
        <v>30</v>
      </c>
    </row>
    <row r="290" spans="1:18">
      <c r="A290" s="1">
        <v>44440</v>
      </c>
      <c r="B290" s="1">
        <v>44440</v>
      </c>
      <c r="C290">
        <v>2021</v>
      </c>
      <c r="D290">
        <v>9</v>
      </c>
      <c r="E290" s="2" t="s">
        <v>8448</v>
      </c>
      <c r="F290" s="2" t="s">
        <v>8449</v>
      </c>
      <c r="G290" s="2" t="s">
        <v>8335</v>
      </c>
      <c r="H290" s="2" t="s">
        <v>22</v>
      </c>
      <c r="I290" s="2" t="s">
        <v>8387</v>
      </c>
      <c r="J290" s="2" t="s">
        <v>24</v>
      </c>
      <c r="K290">
        <v>0.28000000000000003</v>
      </c>
      <c r="L290">
        <v>28000</v>
      </c>
      <c r="M290" s="2" t="s">
        <v>8399</v>
      </c>
      <c r="N290" s="2" t="s">
        <v>8403</v>
      </c>
      <c r="O290" s="2" t="s">
        <v>2910</v>
      </c>
      <c r="P290" s="2" t="s">
        <v>175</v>
      </c>
      <c r="Q290" s="2" t="s">
        <v>8445</v>
      </c>
      <c r="R290" s="2" t="s">
        <v>30</v>
      </c>
    </row>
    <row r="291" spans="1:18">
      <c r="A291" s="1">
        <v>44440</v>
      </c>
      <c r="B291" s="1">
        <v>44440</v>
      </c>
      <c r="C291">
        <v>2021</v>
      </c>
      <c r="D291">
        <v>9</v>
      </c>
      <c r="E291" s="2" t="s">
        <v>8450</v>
      </c>
      <c r="F291" s="2" t="s">
        <v>8451</v>
      </c>
      <c r="G291" s="2" t="s">
        <v>8335</v>
      </c>
      <c r="H291" s="2" t="s">
        <v>22</v>
      </c>
      <c r="I291" s="2" t="s">
        <v>8417</v>
      </c>
      <c r="J291" s="2" t="s">
        <v>24</v>
      </c>
      <c r="K291">
        <v>43.74</v>
      </c>
      <c r="L291">
        <v>4374000</v>
      </c>
      <c r="M291" s="2" t="s">
        <v>8422</v>
      </c>
      <c r="N291" s="2" t="s">
        <v>8426</v>
      </c>
      <c r="O291" s="2" t="s">
        <v>8676</v>
      </c>
      <c r="P291" s="2" t="s">
        <v>175</v>
      </c>
      <c r="Q291" s="2" t="s">
        <v>8445</v>
      </c>
      <c r="R291" s="2" t="s">
        <v>30</v>
      </c>
    </row>
    <row r="292" spans="1:18">
      <c r="A292" s="1">
        <v>44440</v>
      </c>
      <c r="B292" s="1">
        <v>44440</v>
      </c>
      <c r="C292">
        <v>2021</v>
      </c>
      <c r="D292">
        <v>9</v>
      </c>
      <c r="E292" s="2" t="s">
        <v>8453</v>
      </c>
      <c r="F292" s="2" t="s">
        <v>8454</v>
      </c>
      <c r="G292" s="2" t="s">
        <v>8335</v>
      </c>
      <c r="H292" s="2" t="s">
        <v>22</v>
      </c>
      <c r="I292" s="2" t="s">
        <v>8336</v>
      </c>
      <c r="J292" s="2" t="s">
        <v>24</v>
      </c>
      <c r="K292">
        <v>650.25</v>
      </c>
      <c r="L292">
        <v>65025000</v>
      </c>
      <c r="M292" s="2" t="s">
        <v>8348</v>
      </c>
      <c r="N292" s="2" t="s">
        <v>8352</v>
      </c>
      <c r="O292" s="2" t="s">
        <v>8677</v>
      </c>
      <c r="P292" s="2" t="s">
        <v>175</v>
      </c>
      <c r="Q292" s="2" t="s">
        <v>8445</v>
      </c>
      <c r="R292" s="2" t="s">
        <v>30</v>
      </c>
    </row>
    <row r="293" spans="1:18">
      <c r="A293" s="1">
        <v>44440</v>
      </c>
      <c r="B293" s="1">
        <v>44440</v>
      </c>
      <c r="C293">
        <v>2021</v>
      </c>
      <c r="D293">
        <v>9</v>
      </c>
      <c r="E293" s="2" t="s">
        <v>8456</v>
      </c>
      <c r="F293" s="2" t="s">
        <v>8457</v>
      </c>
      <c r="G293" s="2" t="s">
        <v>8335</v>
      </c>
      <c r="H293" s="2" t="s">
        <v>22</v>
      </c>
      <c r="I293" s="2" t="s">
        <v>8336</v>
      </c>
      <c r="J293" s="2" t="s">
        <v>24</v>
      </c>
      <c r="K293">
        <v>9193.84</v>
      </c>
      <c r="L293">
        <v>919384000</v>
      </c>
      <c r="M293" s="2" t="s">
        <v>8355</v>
      </c>
      <c r="N293" s="2" t="s">
        <v>8359</v>
      </c>
      <c r="O293" s="2" t="s">
        <v>8678</v>
      </c>
      <c r="P293" s="2" t="s">
        <v>175</v>
      </c>
      <c r="Q293" s="2" t="s">
        <v>8445</v>
      </c>
      <c r="R293" s="2" t="s">
        <v>30</v>
      </c>
    </row>
    <row r="294" spans="1:18">
      <c r="A294" s="1">
        <v>44440</v>
      </c>
      <c r="B294" s="1">
        <v>44440</v>
      </c>
      <c r="C294">
        <v>2021</v>
      </c>
      <c r="D294">
        <v>9</v>
      </c>
      <c r="E294" s="2" t="s">
        <v>8459</v>
      </c>
      <c r="F294" s="2" t="s">
        <v>8460</v>
      </c>
      <c r="G294" s="2" t="s">
        <v>8335</v>
      </c>
      <c r="H294" s="2" t="s">
        <v>22</v>
      </c>
      <c r="I294" s="2" t="s">
        <v>8336</v>
      </c>
      <c r="J294" s="2" t="s">
        <v>59</v>
      </c>
      <c r="K294">
        <v>9844.09</v>
      </c>
      <c r="L294">
        <v>984409000</v>
      </c>
      <c r="M294" s="2" t="s">
        <v>8331</v>
      </c>
      <c r="N294" s="2" t="s">
        <v>8341</v>
      </c>
      <c r="O294" s="2" t="s">
        <v>8679</v>
      </c>
      <c r="P294" s="2" t="s">
        <v>175</v>
      </c>
      <c r="Q294" s="2" t="s">
        <v>8445</v>
      </c>
      <c r="R294" s="2" t="s">
        <v>30</v>
      </c>
    </row>
    <row r="295" spans="1:18">
      <c r="A295" s="1">
        <v>44440</v>
      </c>
      <c r="B295" s="1">
        <v>44440</v>
      </c>
      <c r="C295">
        <v>2021</v>
      </c>
      <c r="D295">
        <v>9</v>
      </c>
      <c r="E295" s="2" t="s">
        <v>8462</v>
      </c>
      <c r="F295" s="2" t="s">
        <v>8463</v>
      </c>
      <c r="G295" s="2" t="s">
        <v>8335</v>
      </c>
      <c r="H295" s="2" t="s">
        <v>22</v>
      </c>
      <c r="I295" s="2" t="s">
        <v>8409</v>
      </c>
      <c r="J295" s="2" t="s">
        <v>24</v>
      </c>
      <c r="K295">
        <v>6.5</v>
      </c>
      <c r="L295">
        <v>650000</v>
      </c>
      <c r="M295" s="2" t="s">
        <v>8406</v>
      </c>
      <c r="N295" s="2" t="s">
        <v>8411</v>
      </c>
      <c r="O295" s="2" t="s">
        <v>8680</v>
      </c>
      <c r="P295" s="2" t="s">
        <v>175</v>
      </c>
      <c r="Q295" s="2" t="s">
        <v>8445</v>
      </c>
      <c r="R295" s="2" t="s">
        <v>30</v>
      </c>
    </row>
    <row r="296" spans="1:18">
      <c r="A296" s="1">
        <v>44440</v>
      </c>
      <c r="B296" s="1">
        <v>44440</v>
      </c>
      <c r="C296">
        <v>2021</v>
      </c>
      <c r="D296">
        <v>9</v>
      </c>
      <c r="E296" s="2" t="s">
        <v>8464</v>
      </c>
      <c r="F296" s="2" t="s">
        <v>8465</v>
      </c>
      <c r="G296" s="2" t="s">
        <v>8335</v>
      </c>
      <c r="H296" s="2" t="s">
        <v>22</v>
      </c>
      <c r="I296" s="2" t="s">
        <v>8417</v>
      </c>
      <c r="J296" s="2" t="s">
        <v>24</v>
      </c>
      <c r="K296">
        <v>49.77</v>
      </c>
      <c r="L296">
        <v>4977000</v>
      </c>
      <c r="M296" s="2" t="s">
        <v>8414</v>
      </c>
      <c r="N296" s="2" t="s">
        <v>8419</v>
      </c>
      <c r="O296" s="2" t="s">
        <v>8681</v>
      </c>
      <c r="P296" s="2" t="s">
        <v>175</v>
      </c>
      <c r="Q296" s="2" t="s">
        <v>8445</v>
      </c>
      <c r="R296" s="2" t="s">
        <v>30</v>
      </c>
    </row>
    <row r="297" spans="1:18">
      <c r="A297" s="1">
        <v>44440</v>
      </c>
      <c r="B297" s="1">
        <v>44440</v>
      </c>
      <c r="C297">
        <v>2021</v>
      </c>
      <c r="D297">
        <v>9</v>
      </c>
      <c r="E297" s="2" t="s">
        <v>8467</v>
      </c>
      <c r="F297" s="2" t="s">
        <v>8468</v>
      </c>
      <c r="G297" s="2" t="s">
        <v>8335</v>
      </c>
      <c r="H297" s="2" t="s">
        <v>22</v>
      </c>
      <c r="I297" s="2" t="s">
        <v>8365</v>
      </c>
      <c r="J297" s="2" t="s">
        <v>24</v>
      </c>
      <c r="K297">
        <v>2264.7399999999998</v>
      </c>
      <c r="L297">
        <v>226474000</v>
      </c>
      <c r="M297" s="2" t="s">
        <v>8377</v>
      </c>
      <c r="N297" s="2" t="s">
        <v>8381</v>
      </c>
      <c r="O297" s="2" t="s">
        <v>8682</v>
      </c>
      <c r="P297" s="2" t="s">
        <v>175</v>
      </c>
      <c r="Q297" s="2" t="s">
        <v>8445</v>
      </c>
      <c r="R297" s="2" t="s">
        <v>30</v>
      </c>
    </row>
    <row r="298" spans="1:18">
      <c r="A298" s="1">
        <v>44440</v>
      </c>
      <c r="B298" s="1">
        <v>44440</v>
      </c>
      <c r="C298">
        <v>2021</v>
      </c>
      <c r="D298">
        <v>9</v>
      </c>
      <c r="E298" s="2" t="s">
        <v>8470</v>
      </c>
      <c r="F298" s="2" t="s">
        <v>8471</v>
      </c>
      <c r="G298" s="2" t="s">
        <v>8335</v>
      </c>
      <c r="H298" s="2" t="s">
        <v>22</v>
      </c>
      <c r="I298" s="2" t="s">
        <v>8365</v>
      </c>
      <c r="J298" s="2" t="s">
        <v>59</v>
      </c>
      <c r="K298">
        <v>13979.08</v>
      </c>
      <c r="L298">
        <v>1397908000</v>
      </c>
      <c r="M298" s="2" t="s">
        <v>8362</v>
      </c>
      <c r="N298" s="2" t="s">
        <v>8367</v>
      </c>
      <c r="O298" s="2" t="s">
        <v>8683</v>
      </c>
      <c r="P298" s="2" t="s">
        <v>175</v>
      </c>
      <c r="Q298" s="2" t="s">
        <v>8445</v>
      </c>
      <c r="R298" s="2" t="s">
        <v>30</v>
      </c>
    </row>
    <row r="299" spans="1:18">
      <c r="A299" s="1">
        <v>44440</v>
      </c>
      <c r="B299" s="1">
        <v>44440</v>
      </c>
      <c r="C299">
        <v>2021</v>
      </c>
      <c r="D299">
        <v>9</v>
      </c>
      <c r="E299" s="2" t="s">
        <v>8473</v>
      </c>
      <c r="F299" s="2" t="s">
        <v>8474</v>
      </c>
      <c r="G299" s="2" t="s">
        <v>8335</v>
      </c>
      <c r="H299" s="2" t="s">
        <v>22</v>
      </c>
      <c r="I299" s="2" t="s">
        <v>8365</v>
      </c>
      <c r="J299" s="2" t="s">
        <v>24</v>
      </c>
      <c r="K299">
        <v>11714.34</v>
      </c>
      <c r="L299">
        <v>1171434000</v>
      </c>
      <c r="M299" s="2" t="s">
        <v>8370</v>
      </c>
      <c r="N299" s="2" t="s">
        <v>8374</v>
      </c>
      <c r="O299" s="2" t="s">
        <v>8684</v>
      </c>
      <c r="P299" s="2" t="s">
        <v>175</v>
      </c>
      <c r="Q299" s="2" t="s">
        <v>8445</v>
      </c>
      <c r="R299" s="2" t="s">
        <v>30</v>
      </c>
    </row>
    <row r="300" spans="1:18">
      <c r="A300" s="1">
        <v>44440</v>
      </c>
      <c r="B300" s="1">
        <v>44440</v>
      </c>
      <c r="C300">
        <v>2021</v>
      </c>
      <c r="D300">
        <v>9</v>
      </c>
      <c r="E300" s="2" t="s">
        <v>7890</v>
      </c>
      <c r="F300" s="2" t="s">
        <v>7891</v>
      </c>
      <c r="G300" s="2" t="s">
        <v>8335</v>
      </c>
      <c r="H300" s="2" t="s">
        <v>22</v>
      </c>
      <c r="I300" s="2" t="s">
        <v>8417</v>
      </c>
      <c r="J300" s="2" t="s">
        <v>24</v>
      </c>
      <c r="K300">
        <v>1205.19</v>
      </c>
      <c r="L300">
        <v>120519000</v>
      </c>
      <c r="M300" s="2" t="s">
        <v>7889</v>
      </c>
      <c r="N300" s="2" t="s">
        <v>7911</v>
      </c>
      <c r="O300" s="2" t="s">
        <v>8685</v>
      </c>
      <c r="P300" s="2" t="s">
        <v>175</v>
      </c>
      <c r="Q300" s="2" t="s">
        <v>8445</v>
      </c>
      <c r="R300" s="2" t="s">
        <v>30</v>
      </c>
    </row>
    <row r="301" spans="1:18">
      <c r="A301" s="1">
        <v>44470</v>
      </c>
      <c r="B301" s="1">
        <v>44470</v>
      </c>
      <c r="C301">
        <v>2021</v>
      </c>
      <c r="D301">
        <v>10</v>
      </c>
      <c r="E301" s="2" t="s">
        <v>8443</v>
      </c>
      <c r="F301" s="2" t="s">
        <v>8444</v>
      </c>
      <c r="G301" s="2" t="s">
        <v>8335</v>
      </c>
      <c r="H301" s="2" t="s">
        <v>22</v>
      </c>
      <c r="I301" s="2" t="s">
        <v>8387</v>
      </c>
      <c r="J301" s="2" t="s">
        <v>24</v>
      </c>
      <c r="K301">
        <v>2.13</v>
      </c>
      <c r="L301">
        <v>213000</v>
      </c>
      <c r="M301" s="2" t="s">
        <v>8392</v>
      </c>
      <c r="N301" s="2" t="s">
        <v>8396</v>
      </c>
      <c r="O301" s="2" t="s">
        <v>2955</v>
      </c>
      <c r="P301" s="2" t="s">
        <v>175</v>
      </c>
      <c r="Q301" s="2" t="s">
        <v>8445</v>
      </c>
      <c r="R301" s="2" t="s">
        <v>30</v>
      </c>
    </row>
    <row r="302" spans="1:18">
      <c r="A302" s="1">
        <v>44470</v>
      </c>
      <c r="B302" s="1">
        <v>44470</v>
      </c>
      <c r="C302">
        <v>2021</v>
      </c>
      <c r="D302">
        <v>10</v>
      </c>
      <c r="E302" s="2" t="s">
        <v>8446</v>
      </c>
      <c r="F302" s="2" t="s">
        <v>8447</v>
      </c>
      <c r="G302" s="2" t="s">
        <v>8335</v>
      </c>
      <c r="H302" s="2" t="s">
        <v>22</v>
      </c>
      <c r="I302" s="2" t="s">
        <v>8387</v>
      </c>
      <c r="J302" s="2" t="s">
        <v>59</v>
      </c>
      <c r="K302">
        <v>2.41</v>
      </c>
      <c r="L302">
        <v>241000</v>
      </c>
      <c r="M302" s="2" t="s">
        <v>8384</v>
      </c>
      <c r="N302" s="2" t="s">
        <v>8389</v>
      </c>
      <c r="O302" s="2" t="s">
        <v>8665</v>
      </c>
      <c r="P302" s="2" t="s">
        <v>175</v>
      </c>
      <c r="Q302" s="2" t="s">
        <v>8445</v>
      </c>
      <c r="R302" s="2" t="s">
        <v>30</v>
      </c>
    </row>
    <row r="303" spans="1:18">
      <c r="A303" s="1">
        <v>44470</v>
      </c>
      <c r="B303" s="1">
        <v>44470</v>
      </c>
      <c r="C303">
        <v>2021</v>
      </c>
      <c r="D303">
        <v>10</v>
      </c>
      <c r="E303" s="2" t="s">
        <v>8448</v>
      </c>
      <c r="F303" s="2" t="s">
        <v>8449</v>
      </c>
      <c r="G303" s="2" t="s">
        <v>8335</v>
      </c>
      <c r="H303" s="2" t="s">
        <v>22</v>
      </c>
      <c r="I303" s="2" t="s">
        <v>8387</v>
      </c>
      <c r="J303" s="2" t="s">
        <v>24</v>
      </c>
      <c r="K303">
        <v>0.28000000000000003</v>
      </c>
      <c r="L303">
        <v>28000</v>
      </c>
      <c r="M303" s="2" t="s">
        <v>8399</v>
      </c>
      <c r="N303" s="2" t="s">
        <v>8403</v>
      </c>
      <c r="O303" s="2" t="s">
        <v>2910</v>
      </c>
      <c r="P303" s="2" t="s">
        <v>175</v>
      </c>
      <c r="Q303" s="2" t="s">
        <v>8445</v>
      </c>
      <c r="R303" s="2" t="s">
        <v>30</v>
      </c>
    </row>
    <row r="304" spans="1:18">
      <c r="A304" s="1">
        <v>44470</v>
      </c>
      <c r="B304" s="1">
        <v>44470</v>
      </c>
      <c r="C304">
        <v>2021</v>
      </c>
      <c r="D304">
        <v>10</v>
      </c>
      <c r="E304" s="2" t="s">
        <v>8450</v>
      </c>
      <c r="F304" s="2" t="s">
        <v>8451</v>
      </c>
      <c r="G304" s="2" t="s">
        <v>8335</v>
      </c>
      <c r="H304" s="2" t="s">
        <v>22</v>
      </c>
      <c r="I304" s="2" t="s">
        <v>8417</v>
      </c>
      <c r="J304" s="2" t="s">
        <v>24</v>
      </c>
      <c r="K304">
        <v>44.35</v>
      </c>
      <c r="L304">
        <v>4435000</v>
      </c>
      <c r="M304" s="2" t="s">
        <v>8422</v>
      </c>
      <c r="N304" s="2" t="s">
        <v>8426</v>
      </c>
      <c r="O304" s="2" t="s">
        <v>8686</v>
      </c>
      <c r="P304" s="2" t="s">
        <v>175</v>
      </c>
      <c r="Q304" s="2" t="s">
        <v>8445</v>
      </c>
      <c r="R304" s="2" t="s">
        <v>30</v>
      </c>
    </row>
    <row r="305" spans="1:18">
      <c r="A305" s="1">
        <v>44470</v>
      </c>
      <c r="B305" s="1">
        <v>44470</v>
      </c>
      <c r="C305">
        <v>2021</v>
      </c>
      <c r="D305">
        <v>10</v>
      </c>
      <c r="E305" s="2" t="s">
        <v>8453</v>
      </c>
      <c r="F305" s="2" t="s">
        <v>8454</v>
      </c>
      <c r="G305" s="2" t="s">
        <v>8335</v>
      </c>
      <c r="H305" s="2" t="s">
        <v>22</v>
      </c>
      <c r="I305" s="2" t="s">
        <v>8336</v>
      </c>
      <c r="J305" s="2" t="s">
        <v>24</v>
      </c>
      <c r="K305">
        <v>663.61</v>
      </c>
      <c r="L305">
        <v>66361000</v>
      </c>
      <c r="M305" s="2" t="s">
        <v>8348</v>
      </c>
      <c r="N305" s="2" t="s">
        <v>8352</v>
      </c>
      <c r="O305" s="2" t="s">
        <v>8687</v>
      </c>
      <c r="P305" s="2" t="s">
        <v>175</v>
      </c>
      <c r="Q305" s="2" t="s">
        <v>8445</v>
      </c>
      <c r="R305" s="2" t="s">
        <v>30</v>
      </c>
    </row>
    <row r="306" spans="1:18">
      <c r="A306" s="1">
        <v>44470</v>
      </c>
      <c r="B306" s="1">
        <v>44470</v>
      </c>
      <c r="C306">
        <v>2021</v>
      </c>
      <c r="D306">
        <v>10</v>
      </c>
      <c r="E306" s="2" t="s">
        <v>8456</v>
      </c>
      <c r="F306" s="2" t="s">
        <v>8457</v>
      </c>
      <c r="G306" s="2" t="s">
        <v>8335</v>
      </c>
      <c r="H306" s="2" t="s">
        <v>22</v>
      </c>
      <c r="I306" s="2" t="s">
        <v>8336</v>
      </c>
      <c r="J306" s="2" t="s">
        <v>24</v>
      </c>
      <c r="K306">
        <v>9328.34</v>
      </c>
      <c r="L306">
        <v>932834000</v>
      </c>
      <c r="M306" s="2" t="s">
        <v>8355</v>
      </c>
      <c r="N306" s="2" t="s">
        <v>8359</v>
      </c>
      <c r="O306" s="2" t="s">
        <v>8688</v>
      </c>
      <c r="P306" s="2" t="s">
        <v>175</v>
      </c>
      <c r="Q306" s="2" t="s">
        <v>8445</v>
      </c>
      <c r="R306" s="2" t="s">
        <v>30</v>
      </c>
    </row>
    <row r="307" spans="1:18">
      <c r="A307" s="1">
        <v>44470</v>
      </c>
      <c r="B307" s="1">
        <v>44470</v>
      </c>
      <c r="C307">
        <v>2021</v>
      </c>
      <c r="D307">
        <v>10</v>
      </c>
      <c r="E307" s="2" t="s">
        <v>8459</v>
      </c>
      <c r="F307" s="2" t="s">
        <v>8460</v>
      </c>
      <c r="G307" s="2" t="s">
        <v>8335</v>
      </c>
      <c r="H307" s="2" t="s">
        <v>22</v>
      </c>
      <c r="I307" s="2" t="s">
        <v>8336</v>
      </c>
      <c r="J307" s="2" t="s">
        <v>59</v>
      </c>
      <c r="K307">
        <v>9991.9500000000007</v>
      </c>
      <c r="L307">
        <v>999195000</v>
      </c>
      <c r="M307" s="2" t="s">
        <v>8331</v>
      </c>
      <c r="N307" s="2" t="s">
        <v>8341</v>
      </c>
      <c r="O307" s="2" t="s">
        <v>8689</v>
      </c>
      <c r="P307" s="2" t="s">
        <v>175</v>
      </c>
      <c r="Q307" s="2" t="s">
        <v>8445</v>
      </c>
      <c r="R307" s="2" t="s">
        <v>30</v>
      </c>
    </row>
    <row r="308" spans="1:18">
      <c r="A308" s="1">
        <v>44470</v>
      </c>
      <c r="B308" s="1">
        <v>44470</v>
      </c>
      <c r="C308">
        <v>2021</v>
      </c>
      <c r="D308">
        <v>10</v>
      </c>
      <c r="E308" s="2" t="s">
        <v>8462</v>
      </c>
      <c r="F308" s="2" t="s">
        <v>8463</v>
      </c>
      <c r="G308" s="2" t="s">
        <v>8335</v>
      </c>
      <c r="H308" s="2" t="s">
        <v>22</v>
      </c>
      <c r="I308" s="2" t="s">
        <v>8409</v>
      </c>
      <c r="J308" s="2" t="s">
        <v>24</v>
      </c>
      <c r="K308">
        <v>6.71</v>
      </c>
      <c r="L308">
        <v>671000</v>
      </c>
      <c r="M308" s="2" t="s">
        <v>8406</v>
      </c>
      <c r="N308" s="2" t="s">
        <v>8411</v>
      </c>
      <c r="O308" s="2" t="s">
        <v>6822</v>
      </c>
      <c r="P308" s="2" t="s">
        <v>175</v>
      </c>
      <c r="Q308" s="2" t="s">
        <v>8445</v>
      </c>
      <c r="R308" s="2" t="s">
        <v>30</v>
      </c>
    </row>
    <row r="309" spans="1:18">
      <c r="A309" s="1">
        <v>44470</v>
      </c>
      <c r="B309" s="1">
        <v>44470</v>
      </c>
      <c r="C309">
        <v>2021</v>
      </c>
      <c r="D309">
        <v>10</v>
      </c>
      <c r="E309" s="2" t="s">
        <v>8464</v>
      </c>
      <c r="F309" s="2" t="s">
        <v>8465</v>
      </c>
      <c r="G309" s="2" t="s">
        <v>8335</v>
      </c>
      <c r="H309" s="2" t="s">
        <v>22</v>
      </c>
      <c r="I309" s="2" t="s">
        <v>8417</v>
      </c>
      <c r="J309" s="2" t="s">
        <v>24</v>
      </c>
      <c r="K309">
        <v>51.55</v>
      </c>
      <c r="L309">
        <v>5155000</v>
      </c>
      <c r="M309" s="2" t="s">
        <v>8414</v>
      </c>
      <c r="N309" s="2" t="s">
        <v>8419</v>
      </c>
      <c r="O309" s="2" t="s">
        <v>8690</v>
      </c>
      <c r="P309" s="2" t="s">
        <v>175</v>
      </c>
      <c r="Q309" s="2" t="s">
        <v>8445</v>
      </c>
      <c r="R309" s="2" t="s">
        <v>30</v>
      </c>
    </row>
    <row r="310" spans="1:18">
      <c r="A310" s="1">
        <v>44470</v>
      </c>
      <c r="B310" s="1">
        <v>44470</v>
      </c>
      <c r="C310">
        <v>2021</v>
      </c>
      <c r="D310">
        <v>10</v>
      </c>
      <c r="E310" s="2" t="s">
        <v>8467</v>
      </c>
      <c r="F310" s="2" t="s">
        <v>8468</v>
      </c>
      <c r="G310" s="2" t="s">
        <v>8335</v>
      </c>
      <c r="H310" s="2" t="s">
        <v>22</v>
      </c>
      <c r="I310" s="2" t="s">
        <v>8365</v>
      </c>
      <c r="J310" s="2" t="s">
        <v>24</v>
      </c>
      <c r="K310">
        <v>2425.77</v>
      </c>
      <c r="L310">
        <v>242577000</v>
      </c>
      <c r="M310" s="2" t="s">
        <v>8377</v>
      </c>
      <c r="N310" s="2" t="s">
        <v>8381</v>
      </c>
      <c r="O310" s="2" t="s">
        <v>8691</v>
      </c>
      <c r="P310" s="2" t="s">
        <v>175</v>
      </c>
      <c r="Q310" s="2" t="s">
        <v>8445</v>
      </c>
      <c r="R310" s="2" t="s">
        <v>30</v>
      </c>
    </row>
    <row r="311" spans="1:18">
      <c r="A311" s="1">
        <v>44470</v>
      </c>
      <c r="B311" s="1">
        <v>44470</v>
      </c>
      <c r="C311">
        <v>2021</v>
      </c>
      <c r="D311">
        <v>10</v>
      </c>
      <c r="E311" s="2" t="s">
        <v>8470</v>
      </c>
      <c r="F311" s="2" t="s">
        <v>8471</v>
      </c>
      <c r="G311" s="2" t="s">
        <v>8335</v>
      </c>
      <c r="H311" s="2" t="s">
        <v>22</v>
      </c>
      <c r="I311" s="2" t="s">
        <v>8365</v>
      </c>
      <c r="J311" s="2" t="s">
        <v>59</v>
      </c>
      <c r="K311">
        <v>14450.87</v>
      </c>
      <c r="L311">
        <v>1445087000</v>
      </c>
      <c r="M311" s="2" t="s">
        <v>8362</v>
      </c>
      <c r="N311" s="2" t="s">
        <v>8367</v>
      </c>
      <c r="O311" s="2" t="s">
        <v>8692</v>
      </c>
      <c r="P311" s="2" t="s">
        <v>175</v>
      </c>
      <c r="Q311" s="2" t="s">
        <v>8445</v>
      </c>
      <c r="R311" s="2" t="s">
        <v>30</v>
      </c>
    </row>
    <row r="312" spans="1:18">
      <c r="A312" s="1">
        <v>44470</v>
      </c>
      <c r="B312" s="1">
        <v>44470</v>
      </c>
      <c r="C312">
        <v>2021</v>
      </c>
      <c r="D312">
        <v>10</v>
      </c>
      <c r="E312" s="2" t="s">
        <v>8473</v>
      </c>
      <c r="F312" s="2" t="s">
        <v>8474</v>
      </c>
      <c r="G312" s="2" t="s">
        <v>8335</v>
      </c>
      <c r="H312" s="2" t="s">
        <v>22</v>
      </c>
      <c r="I312" s="2" t="s">
        <v>8365</v>
      </c>
      <c r="J312" s="2" t="s">
        <v>24</v>
      </c>
      <c r="K312">
        <v>12025.1</v>
      </c>
      <c r="L312">
        <v>1202510000</v>
      </c>
      <c r="M312" s="2" t="s">
        <v>8370</v>
      </c>
      <c r="N312" s="2" t="s">
        <v>8374</v>
      </c>
      <c r="O312" s="2" t="s">
        <v>8693</v>
      </c>
      <c r="P312" s="2" t="s">
        <v>175</v>
      </c>
      <c r="Q312" s="2" t="s">
        <v>8445</v>
      </c>
      <c r="R312" s="2" t="s">
        <v>30</v>
      </c>
    </row>
    <row r="313" spans="1:18">
      <c r="A313" s="1">
        <v>44470</v>
      </c>
      <c r="B313" s="1">
        <v>44470</v>
      </c>
      <c r="C313">
        <v>2021</v>
      </c>
      <c r="D313">
        <v>10</v>
      </c>
      <c r="E313" s="2" t="s">
        <v>7890</v>
      </c>
      <c r="F313" s="2" t="s">
        <v>7891</v>
      </c>
      <c r="G313" s="2" t="s">
        <v>8335</v>
      </c>
      <c r="H313" s="2" t="s">
        <v>22</v>
      </c>
      <c r="I313" s="2" t="s">
        <v>8417</v>
      </c>
      <c r="J313" s="2" t="s">
        <v>24</v>
      </c>
      <c r="K313">
        <v>1285.05</v>
      </c>
      <c r="L313">
        <v>128505000</v>
      </c>
      <c r="M313" s="2" t="s">
        <v>7889</v>
      </c>
      <c r="N313" s="2" t="s">
        <v>7911</v>
      </c>
      <c r="O313" s="2" t="s">
        <v>8694</v>
      </c>
      <c r="P313" s="2" t="s">
        <v>175</v>
      </c>
      <c r="Q313" s="2" t="s">
        <v>8445</v>
      </c>
      <c r="R313" s="2" t="s">
        <v>30</v>
      </c>
    </row>
    <row r="314" spans="1:18">
      <c r="A314" s="1">
        <v>44501</v>
      </c>
      <c r="B314" s="1">
        <v>44501</v>
      </c>
      <c r="C314">
        <v>2021</v>
      </c>
      <c r="D314">
        <v>11</v>
      </c>
      <c r="E314" s="2" t="s">
        <v>8443</v>
      </c>
      <c r="F314" s="2" t="s">
        <v>8444</v>
      </c>
      <c r="G314" s="2" t="s">
        <v>8335</v>
      </c>
      <c r="H314" s="2" t="s">
        <v>22</v>
      </c>
      <c r="I314" s="2" t="s">
        <v>8387</v>
      </c>
      <c r="J314" s="2" t="s">
        <v>24</v>
      </c>
      <c r="K314">
        <v>2.13</v>
      </c>
      <c r="L314">
        <v>213000</v>
      </c>
      <c r="M314" s="2" t="s">
        <v>8392</v>
      </c>
      <c r="N314" s="2" t="s">
        <v>8396</v>
      </c>
      <c r="O314" s="2" t="s">
        <v>2955</v>
      </c>
      <c r="P314" s="2" t="s">
        <v>175</v>
      </c>
      <c r="Q314" s="2" t="s">
        <v>8445</v>
      </c>
      <c r="R314" s="2" t="s">
        <v>30</v>
      </c>
    </row>
    <row r="315" spans="1:18">
      <c r="A315" s="1">
        <v>44501</v>
      </c>
      <c r="B315" s="1">
        <v>44501</v>
      </c>
      <c r="C315">
        <v>2021</v>
      </c>
      <c r="D315">
        <v>11</v>
      </c>
      <c r="E315" s="2" t="s">
        <v>8446</v>
      </c>
      <c r="F315" s="2" t="s">
        <v>8447</v>
      </c>
      <c r="G315" s="2" t="s">
        <v>8335</v>
      </c>
      <c r="H315" s="2" t="s">
        <v>22</v>
      </c>
      <c r="I315" s="2" t="s">
        <v>8387</v>
      </c>
      <c r="J315" s="2" t="s">
        <v>59</v>
      </c>
      <c r="K315">
        <v>2.42</v>
      </c>
      <c r="L315">
        <v>242000</v>
      </c>
      <c r="M315" s="2" t="s">
        <v>8384</v>
      </c>
      <c r="N315" s="2" t="s">
        <v>8389</v>
      </c>
      <c r="O315" s="2" t="s">
        <v>4075</v>
      </c>
      <c r="P315" s="2" t="s">
        <v>175</v>
      </c>
      <c r="Q315" s="2" t="s">
        <v>8445</v>
      </c>
      <c r="R315" s="2" t="s">
        <v>30</v>
      </c>
    </row>
    <row r="316" spans="1:18">
      <c r="A316" s="1">
        <v>44501</v>
      </c>
      <c r="B316" s="1">
        <v>44501</v>
      </c>
      <c r="C316">
        <v>2021</v>
      </c>
      <c r="D316">
        <v>11</v>
      </c>
      <c r="E316" s="2" t="s">
        <v>8448</v>
      </c>
      <c r="F316" s="2" t="s">
        <v>8449</v>
      </c>
      <c r="G316" s="2" t="s">
        <v>8335</v>
      </c>
      <c r="H316" s="2" t="s">
        <v>22</v>
      </c>
      <c r="I316" s="2" t="s">
        <v>8387</v>
      </c>
      <c r="J316" s="2" t="s">
        <v>24</v>
      </c>
      <c r="K316">
        <v>0.28999999999999998</v>
      </c>
      <c r="L316">
        <v>29000</v>
      </c>
      <c r="M316" s="2" t="s">
        <v>8399</v>
      </c>
      <c r="N316" s="2" t="s">
        <v>8403</v>
      </c>
      <c r="O316" s="2" t="s">
        <v>1138</v>
      </c>
      <c r="P316" s="2" t="s">
        <v>175</v>
      </c>
      <c r="Q316" s="2" t="s">
        <v>8445</v>
      </c>
      <c r="R316" s="2" t="s">
        <v>30</v>
      </c>
    </row>
    <row r="317" spans="1:18">
      <c r="A317" s="1">
        <v>44501</v>
      </c>
      <c r="B317" s="1">
        <v>44501</v>
      </c>
      <c r="C317">
        <v>2021</v>
      </c>
      <c r="D317">
        <v>11</v>
      </c>
      <c r="E317" s="2" t="s">
        <v>8450</v>
      </c>
      <c r="F317" s="2" t="s">
        <v>8451</v>
      </c>
      <c r="G317" s="2" t="s">
        <v>8335</v>
      </c>
      <c r="H317" s="2" t="s">
        <v>22</v>
      </c>
      <c r="I317" s="2" t="s">
        <v>8417</v>
      </c>
      <c r="J317" s="2" t="s">
        <v>24</v>
      </c>
      <c r="K317">
        <v>45.41</v>
      </c>
      <c r="L317">
        <v>4541000</v>
      </c>
      <c r="M317" s="2" t="s">
        <v>8422</v>
      </c>
      <c r="N317" s="2" t="s">
        <v>8426</v>
      </c>
      <c r="O317" s="2" t="s">
        <v>8695</v>
      </c>
      <c r="P317" s="2" t="s">
        <v>175</v>
      </c>
      <c r="Q317" s="2" t="s">
        <v>8445</v>
      </c>
      <c r="R317" s="2" t="s">
        <v>30</v>
      </c>
    </row>
    <row r="318" spans="1:18">
      <c r="A318" s="1">
        <v>44501</v>
      </c>
      <c r="B318" s="1">
        <v>44501</v>
      </c>
      <c r="C318">
        <v>2021</v>
      </c>
      <c r="D318">
        <v>11</v>
      </c>
      <c r="E318" s="2" t="s">
        <v>8453</v>
      </c>
      <c r="F318" s="2" t="s">
        <v>8454</v>
      </c>
      <c r="G318" s="2" t="s">
        <v>8335</v>
      </c>
      <c r="H318" s="2" t="s">
        <v>22</v>
      </c>
      <c r="I318" s="2" t="s">
        <v>8336</v>
      </c>
      <c r="J318" s="2" t="s">
        <v>24</v>
      </c>
      <c r="K318">
        <v>675.83</v>
      </c>
      <c r="L318">
        <v>67583000</v>
      </c>
      <c r="M318" s="2" t="s">
        <v>8348</v>
      </c>
      <c r="N318" s="2" t="s">
        <v>8352</v>
      </c>
      <c r="O318" s="2" t="s">
        <v>8696</v>
      </c>
      <c r="P318" s="2" t="s">
        <v>175</v>
      </c>
      <c r="Q318" s="2" t="s">
        <v>8445</v>
      </c>
      <c r="R318" s="2" t="s">
        <v>30</v>
      </c>
    </row>
    <row r="319" spans="1:18">
      <c r="A319" s="1">
        <v>44501</v>
      </c>
      <c r="B319" s="1">
        <v>44501</v>
      </c>
      <c r="C319">
        <v>2021</v>
      </c>
      <c r="D319">
        <v>11</v>
      </c>
      <c r="E319" s="2" t="s">
        <v>8456</v>
      </c>
      <c r="F319" s="2" t="s">
        <v>8457</v>
      </c>
      <c r="G319" s="2" t="s">
        <v>8335</v>
      </c>
      <c r="H319" s="2" t="s">
        <v>22</v>
      </c>
      <c r="I319" s="2" t="s">
        <v>8336</v>
      </c>
      <c r="J319" s="2" t="s">
        <v>24</v>
      </c>
      <c r="K319">
        <v>9340.07</v>
      </c>
      <c r="L319">
        <v>934007000</v>
      </c>
      <c r="M319" s="2" t="s">
        <v>8355</v>
      </c>
      <c r="N319" s="2" t="s">
        <v>8359</v>
      </c>
      <c r="O319" s="2" t="s">
        <v>8697</v>
      </c>
      <c r="P319" s="2" t="s">
        <v>175</v>
      </c>
      <c r="Q319" s="2" t="s">
        <v>8445</v>
      </c>
      <c r="R319" s="2" t="s">
        <v>30</v>
      </c>
    </row>
    <row r="320" spans="1:18">
      <c r="A320" s="1">
        <v>44501</v>
      </c>
      <c r="B320" s="1">
        <v>44501</v>
      </c>
      <c r="C320">
        <v>2021</v>
      </c>
      <c r="D320">
        <v>11</v>
      </c>
      <c r="E320" s="2" t="s">
        <v>8459</v>
      </c>
      <c r="F320" s="2" t="s">
        <v>8460</v>
      </c>
      <c r="G320" s="2" t="s">
        <v>8335</v>
      </c>
      <c r="H320" s="2" t="s">
        <v>22</v>
      </c>
      <c r="I320" s="2" t="s">
        <v>8336</v>
      </c>
      <c r="J320" s="2" t="s">
        <v>59</v>
      </c>
      <c r="K320">
        <v>10015.9</v>
      </c>
      <c r="L320">
        <v>1001590000</v>
      </c>
      <c r="M320" s="2" t="s">
        <v>8331</v>
      </c>
      <c r="N320" s="2" t="s">
        <v>8341</v>
      </c>
      <c r="O320" s="2" t="s">
        <v>8698</v>
      </c>
      <c r="P320" s="2" t="s">
        <v>175</v>
      </c>
      <c r="Q320" s="2" t="s">
        <v>8445</v>
      </c>
      <c r="R320" s="2" t="s">
        <v>30</v>
      </c>
    </row>
    <row r="321" spans="1:18">
      <c r="A321" s="1">
        <v>44501</v>
      </c>
      <c r="B321" s="1">
        <v>44501</v>
      </c>
      <c r="C321">
        <v>2021</v>
      </c>
      <c r="D321">
        <v>11</v>
      </c>
      <c r="E321" s="2" t="s">
        <v>8462</v>
      </c>
      <c r="F321" s="2" t="s">
        <v>8463</v>
      </c>
      <c r="G321" s="2" t="s">
        <v>8335</v>
      </c>
      <c r="H321" s="2" t="s">
        <v>22</v>
      </c>
      <c r="I321" s="2" t="s">
        <v>8409</v>
      </c>
      <c r="J321" s="2" t="s">
        <v>24</v>
      </c>
      <c r="K321">
        <v>6.93</v>
      </c>
      <c r="L321">
        <v>693000</v>
      </c>
      <c r="M321" s="2" t="s">
        <v>8406</v>
      </c>
      <c r="N321" s="2" t="s">
        <v>8411</v>
      </c>
      <c r="O321" s="2" t="s">
        <v>8699</v>
      </c>
      <c r="P321" s="2" t="s">
        <v>175</v>
      </c>
      <c r="Q321" s="2" t="s">
        <v>8445</v>
      </c>
      <c r="R321" s="2" t="s">
        <v>30</v>
      </c>
    </row>
    <row r="322" spans="1:18">
      <c r="A322" s="1">
        <v>44501</v>
      </c>
      <c r="B322" s="1">
        <v>44501</v>
      </c>
      <c r="C322">
        <v>2021</v>
      </c>
      <c r="D322">
        <v>11</v>
      </c>
      <c r="E322" s="2" t="s">
        <v>8464</v>
      </c>
      <c r="F322" s="2" t="s">
        <v>8465</v>
      </c>
      <c r="G322" s="2" t="s">
        <v>8335</v>
      </c>
      <c r="H322" s="2" t="s">
        <v>22</v>
      </c>
      <c r="I322" s="2" t="s">
        <v>8417</v>
      </c>
      <c r="J322" s="2" t="s">
        <v>24</v>
      </c>
      <c r="K322">
        <v>52.92</v>
      </c>
      <c r="L322">
        <v>5292000</v>
      </c>
      <c r="M322" s="2" t="s">
        <v>8414</v>
      </c>
      <c r="N322" s="2" t="s">
        <v>8419</v>
      </c>
      <c r="O322" s="2" t="s">
        <v>8700</v>
      </c>
      <c r="P322" s="2" t="s">
        <v>175</v>
      </c>
      <c r="Q322" s="2" t="s">
        <v>8445</v>
      </c>
      <c r="R322" s="2" t="s">
        <v>30</v>
      </c>
    </row>
    <row r="323" spans="1:18">
      <c r="A323" s="1">
        <v>44501</v>
      </c>
      <c r="B323" s="1">
        <v>44501</v>
      </c>
      <c r="C323">
        <v>2021</v>
      </c>
      <c r="D323">
        <v>11</v>
      </c>
      <c r="E323" s="2" t="s">
        <v>8467</v>
      </c>
      <c r="F323" s="2" t="s">
        <v>8468</v>
      </c>
      <c r="G323" s="2" t="s">
        <v>8335</v>
      </c>
      <c r="H323" s="2" t="s">
        <v>22</v>
      </c>
      <c r="I323" s="2" t="s">
        <v>8365</v>
      </c>
      <c r="J323" s="2" t="s">
        <v>24</v>
      </c>
      <c r="K323">
        <v>2514.2600000000002</v>
      </c>
      <c r="L323">
        <v>251426000</v>
      </c>
      <c r="M323" s="2" t="s">
        <v>8377</v>
      </c>
      <c r="N323" s="2" t="s">
        <v>8381</v>
      </c>
      <c r="O323" s="2" t="s">
        <v>8701</v>
      </c>
      <c r="P323" s="2" t="s">
        <v>175</v>
      </c>
      <c r="Q323" s="2" t="s">
        <v>8445</v>
      </c>
      <c r="R323" s="2" t="s">
        <v>30</v>
      </c>
    </row>
    <row r="324" spans="1:18">
      <c r="A324" s="1">
        <v>44501</v>
      </c>
      <c r="B324" s="1">
        <v>44501</v>
      </c>
      <c r="C324">
        <v>2021</v>
      </c>
      <c r="D324">
        <v>11</v>
      </c>
      <c r="E324" s="2" t="s">
        <v>8470</v>
      </c>
      <c r="F324" s="2" t="s">
        <v>8471</v>
      </c>
      <c r="G324" s="2" t="s">
        <v>8335</v>
      </c>
      <c r="H324" s="2" t="s">
        <v>22</v>
      </c>
      <c r="I324" s="2" t="s">
        <v>8365</v>
      </c>
      <c r="J324" s="2" t="s">
        <v>59</v>
      </c>
      <c r="K324">
        <v>14832.43</v>
      </c>
      <c r="L324">
        <v>1483243000</v>
      </c>
      <c r="M324" s="2" t="s">
        <v>8362</v>
      </c>
      <c r="N324" s="2" t="s">
        <v>8367</v>
      </c>
      <c r="O324" s="2" t="s">
        <v>8702</v>
      </c>
      <c r="P324" s="2" t="s">
        <v>175</v>
      </c>
      <c r="Q324" s="2" t="s">
        <v>8445</v>
      </c>
      <c r="R324" s="2" t="s">
        <v>30</v>
      </c>
    </row>
    <row r="325" spans="1:18">
      <c r="A325" s="1">
        <v>44501</v>
      </c>
      <c r="B325" s="1">
        <v>44501</v>
      </c>
      <c r="C325">
        <v>2021</v>
      </c>
      <c r="D325">
        <v>11</v>
      </c>
      <c r="E325" s="2" t="s">
        <v>8473</v>
      </c>
      <c r="F325" s="2" t="s">
        <v>8474</v>
      </c>
      <c r="G325" s="2" t="s">
        <v>8335</v>
      </c>
      <c r="H325" s="2" t="s">
        <v>22</v>
      </c>
      <c r="I325" s="2" t="s">
        <v>8365</v>
      </c>
      <c r="J325" s="2" t="s">
        <v>24</v>
      </c>
      <c r="K325">
        <v>12318.18</v>
      </c>
      <c r="L325">
        <v>1231818000</v>
      </c>
      <c r="M325" s="2" t="s">
        <v>8370</v>
      </c>
      <c r="N325" s="2" t="s">
        <v>8374</v>
      </c>
      <c r="O325" s="2" t="s">
        <v>8703</v>
      </c>
      <c r="P325" s="2" t="s">
        <v>175</v>
      </c>
      <c r="Q325" s="2" t="s">
        <v>8445</v>
      </c>
      <c r="R325" s="2" t="s">
        <v>30</v>
      </c>
    </row>
    <row r="326" spans="1:18">
      <c r="A326" s="1">
        <v>44501</v>
      </c>
      <c r="B326" s="1">
        <v>44501</v>
      </c>
      <c r="C326">
        <v>2021</v>
      </c>
      <c r="D326">
        <v>11</v>
      </c>
      <c r="E326" s="2" t="s">
        <v>7890</v>
      </c>
      <c r="F326" s="2" t="s">
        <v>7891</v>
      </c>
      <c r="G326" s="2" t="s">
        <v>8335</v>
      </c>
      <c r="H326" s="2" t="s">
        <v>22</v>
      </c>
      <c r="I326" s="2" t="s">
        <v>8417</v>
      </c>
      <c r="J326" s="2" t="s">
        <v>24</v>
      </c>
      <c r="K326">
        <v>1373.33</v>
      </c>
      <c r="L326">
        <v>137333000</v>
      </c>
      <c r="M326" s="2" t="s">
        <v>7889</v>
      </c>
      <c r="N326" s="2" t="s">
        <v>7911</v>
      </c>
      <c r="O326" s="2" t="s">
        <v>8704</v>
      </c>
      <c r="P326" s="2" t="s">
        <v>175</v>
      </c>
      <c r="Q326" s="2" t="s">
        <v>8445</v>
      </c>
      <c r="R326" s="2" t="s">
        <v>30</v>
      </c>
    </row>
    <row r="327" spans="1:18">
      <c r="A327" s="1">
        <v>44531</v>
      </c>
      <c r="B327" s="1">
        <v>44531</v>
      </c>
      <c r="C327">
        <v>2021</v>
      </c>
      <c r="D327">
        <v>12</v>
      </c>
      <c r="E327" s="2" t="s">
        <v>8443</v>
      </c>
      <c r="F327" s="2" t="s">
        <v>8444</v>
      </c>
      <c r="G327" s="2" t="s">
        <v>8335</v>
      </c>
      <c r="H327" s="2" t="s">
        <v>22</v>
      </c>
      <c r="I327" s="2" t="s">
        <v>8387</v>
      </c>
      <c r="J327" s="2" t="s">
        <v>24</v>
      </c>
      <c r="K327">
        <v>2.15</v>
      </c>
      <c r="L327">
        <v>215000</v>
      </c>
      <c r="M327" s="2" t="s">
        <v>8392</v>
      </c>
      <c r="N327" s="2" t="s">
        <v>8396</v>
      </c>
      <c r="O327" s="2" t="s">
        <v>3047</v>
      </c>
      <c r="P327" s="2" t="s">
        <v>175</v>
      </c>
      <c r="Q327" s="2" t="s">
        <v>8445</v>
      </c>
      <c r="R327" s="2" t="s">
        <v>30</v>
      </c>
    </row>
    <row r="328" spans="1:18">
      <c r="A328" s="1">
        <v>44531</v>
      </c>
      <c r="B328" s="1">
        <v>44531</v>
      </c>
      <c r="C328">
        <v>2021</v>
      </c>
      <c r="D328">
        <v>12</v>
      </c>
      <c r="E328" s="2" t="s">
        <v>8446</v>
      </c>
      <c r="F328" s="2" t="s">
        <v>8447</v>
      </c>
      <c r="G328" s="2" t="s">
        <v>8335</v>
      </c>
      <c r="H328" s="2" t="s">
        <v>22</v>
      </c>
      <c r="I328" s="2" t="s">
        <v>8387</v>
      </c>
      <c r="J328" s="2" t="s">
        <v>59</v>
      </c>
      <c r="K328">
        <v>2.4500000000000002</v>
      </c>
      <c r="L328">
        <v>245000</v>
      </c>
      <c r="M328" s="2" t="s">
        <v>8384</v>
      </c>
      <c r="N328" s="2" t="s">
        <v>8389</v>
      </c>
      <c r="O328" s="2" t="s">
        <v>1553</v>
      </c>
      <c r="P328" s="2" t="s">
        <v>175</v>
      </c>
      <c r="Q328" s="2" t="s">
        <v>8445</v>
      </c>
      <c r="R328" s="2" t="s">
        <v>30</v>
      </c>
    </row>
    <row r="329" spans="1:18">
      <c r="A329" s="1">
        <v>44531</v>
      </c>
      <c r="B329" s="1">
        <v>44531</v>
      </c>
      <c r="C329">
        <v>2021</v>
      </c>
      <c r="D329">
        <v>12</v>
      </c>
      <c r="E329" s="2" t="s">
        <v>8448</v>
      </c>
      <c r="F329" s="2" t="s">
        <v>8449</v>
      </c>
      <c r="G329" s="2" t="s">
        <v>8335</v>
      </c>
      <c r="H329" s="2" t="s">
        <v>22</v>
      </c>
      <c r="I329" s="2" t="s">
        <v>8387</v>
      </c>
      <c r="J329" s="2" t="s">
        <v>24</v>
      </c>
      <c r="K329">
        <v>0.3</v>
      </c>
      <c r="L329">
        <v>30000</v>
      </c>
      <c r="M329" s="2" t="s">
        <v>8399</v>
      </c>
      <c r="N329" s="2" t="s">
        <v>8403</v>
      </c>
      <c r="O329" s="2" t="s">
        <v>2807</v>
      </c>
      <c r="P329" s="2" t="s">
        <v>175</v>
      </c>
      <c r="Q329" s="2" t="s">
        <v>8445</v>
      </c>
      <c r="R329" s="2" t="s">
        <v>30</v>
      </c>
    </row>
    <row r="330" spans="1:18">
      <c r="A330" s="1">
        <v>44531</v>
      </c>
      <c r="B330" s="1">
        <v>44531</v>
      </c>
      <c r="C330">
        <v>2021</v>
      </c>
      <c r="D330">
        <v>12</v>
      </c>
      <c r="E330" s="2" t="s">
        <v>8450</v>
      </c>
      <c r="F330" s="2" t="s">
        <v>8451</v>
      </c>
      <c r="G330" s="2" t="s">
        <v>8335</v>
      </c>
      <c r="H330" s="2" t="s">
        <v>22</v>
      </c>
      <c r="I330" s="2" t="s">
        <v>8417</v>
      </c>
      <c r="J330" s="2" t="s">
        <v>24</v>
      </c>
      <c r="K330">
        <v>46.47</v>
      </c>
      <c r="L330">
        <v>4647000</v>
      </c>
      <c r="M330" s="2" t="s">
        <v>8422</v>
      </c>
      <c r="N330" s="2" t="s">
        <v>8426</v>
      </c>
      <c r="O330" s="2" t="s">
        <v>8705</v>
      </c>
      <c r="P330" s="2" t="s">
        <v>175</v>
      </c>
      <c r="Q330" s="2" t="s">
        <v>8445</v>
      </c>
      <c r="R330" s="2" t="s">
        <v>30</v>
      </c>
    </row>
    <row r="331" spans="1:18">
      <c r="A331" s="1">
        <v>44531</v>
      </c>
      <c r="B331" s="1">
        <v>44531</v>
      </c>
      <c r="C331">
        <v>2021</v>
      </c>
      <c r="D331">
        <v>12</v>
      </c>
      <c r="E331" s="2" t="s">
        <v>8453</v>
      </c>
      <c r="F331" s="2" t="s">
        <v>8454</v>
      </c>
      <c r="G331" s="2" t="s">
        <v>8335</v>
      </c>
      <c r="H331" s="2" t="s">
        <v>22</v>
      </c>
      <c r="I331" s="2" t="s">
        <v>8336</v>
      </c>
      <c r="J331" s="2" t="s">
        <v>24</v>
      </c>
      <c r="K331">
        <v>689.49</v>
      </c>
      <c r="L331">
        <v>68949000</v>
      </c>
      <c r="M331" s="2" t="s">
        <v>8348</v>
      </c>
      <c r="N331" s="2" t="s">
        <v>8352</v>
      </c>
      <c r="O331" s="2" t="s">
        <v>8706</v>
      </c>
      <c r="P331" s="2" t="s">
        <v>175</v>
      </c>
      <c r="Q331" s="2" t="s">
        <v>8445</v>
      </c>
      <c r="R331" s="2" t="s">
        <v>30</v>
      </c>
    </row>
    <row r="332" spans="1:18">
      <c r="A332" s="1">
        <v>44531</v>
      </c>
      <c r="B332" s="1">
        <v>44531</v>
      </c>
      <c r="C332">
        <v>2021</v>
      </c>
      <c r="D332">
        <v>12</v>
      </c>
      <c r="E332" s="2" t="s">
        <v>8456</v>
      </c>
      <c r="F332" s="2" t="s">
        <v>8457</v>
      </c>
      <c r="G332" s="2" t="s">
        <v>8335</v>
      </c>
      <c r="H332" s="2" t="s">
        <v>22</v>
      </c>
      <c r="I332" s="2" t="s">
        <v>8336</v>
      </c>
      <c r="J332" s="2" t="s">
        <v>24</v>
      </c>
      <c r="K332">
        <v>9377.42</v>
      </c>
      <c r="L332">
        <v>937742000</v>
      </c>
      <c r="M332" s="2" t="s">
        <v>8355</v>
      </c>
      <c r="N332" s="2" t="s">
        <v>8359</v>
      </c>
      <c r="O332" s="2" t="s">
        <v>8707</v>
      </c>
      <c r="P332" s="2" t="s">
        <v>175</v>
      </c>
      <c r="Q332" s="2" t="s">
        <v>8445</v>
      </c>
      <c r="R332" s="2" t="s">
        <v>30</v>
      </c>
    </row>
    <row r="333" spans="1:18">
      <c r="A333" s="1">
        <v>44531</v>
      </c>
      <c r="B333" s="1">
        <v>44531</v>
      </c>
      <c r="C333">
        <v>2021</v>
      </c>
      <c r="D333">
        <v>12</v>
      </c>
      <c r="E333" s="2" t="s">
        <v>8459</v>
      </c>
      <c r="F333" s="2" t="s">
        <v>8460</v>
      </c>
      <c r="G333" s="2" t="s">
        <v>8335</v>
      </c>
      <c r="H333" s="2" t="s">
        <v>22</v>
      </c>
      <c r="I333" s="2" t="s">
        <v>8336</v>
      </c>
      <c r="J333" s="2" t="s">
        <v>59</v>
      </c>
      <c r="K333">
        <v>10066.9</v>
      </c>
      <c r="L333">
        <v>1006690000</v>
      </c>
      <c r="M333" s="2" t="s">
        <v>8331</v>
      </c>
      <c r="N333" s="2" t="s">
        <v>8341</v>
      </c>
      <c r="O333" s="2" t="s">
        <v>8708</v>
      </c>
      <c r="P333" s="2" t="s">
        <v>175</v>
      </c>
      <c r="Q333" s="2" t="s">
        <v>8445</v>
      </c>
      <c r="R333" s="2" t="s">
        <v>30</v>
      </c>
    </row>
    <row r="334" spans="1:18">
      <c r="A334" s="1">
        <v>44531</v>
      </c>
      <c r="B334" s="1">
        <v>44531</v>
      </c>
      <c r="C334">
        <v>2021</v>
      </c>
      <c r="D334">
        <v>12</v>
      </c>
      <c r="E334" s="2" t="s">
        <v>8462</v>
      </c>
      <c r="F334" s="2" t="s">
        <v>8463</v>
      </c>
      <c r="G334" s="2" t="s">
        <v>8335</v>
      </c>
      <c r="H334" s="2" t="s">
        <v>22</v>
      </c>
      <c r="I334" s="2" t="s">
        <v>8409</v>
      </c>
      <c r="J334" s="2" t="s">
        <v>24</v>
      </c>
      <c r="K334">
        <v>7.27</v>
      </c>
      <c r="L334">
        <v>727000</v>
      </c>
      <c r="M334" s="2" t="s">
        <v>8406</v>
      </c>
      <c r="N334" s="2" t="s">
        <v>8411</v>
      </c>
      <c r="O334" s="2" t="s">
        <v>8709</v>
      </c>
      <c r="P334" s="2" t="s">
        <v>175</v>
      </c>
      <c r="Q334" s="2" t="s">
        <v>8445</v>
      </c>
      <c r="R334" s="2" t="s">
        <v>30</v>
      </c>
    </row>
    <row r="335" spans="1:18">
      <c r="A335" s="1">
        <v>44531</v>
      </c>
      <c r="B335" s="1">
        <v>44531</v>
      </c>
      <c r="C335">
        <v>2021</v>
      </c>
      <c r="D335">
        <v>12</v>
      </c>
      <c r="E335" s="2" t="s">
        <v>8464</v>
      </c>
      <c r="F335" s="2" t="s">
        <v>8465</v>
      </c>
      <c r="G335" s="2" t="s">
        <v>8335</v>
      </c>
      <c r="H335" s="2" t="s">
        <v>22</v>
      </c>
      <c r="I335" s="2" t="s">
        <v>8417</v>
      </c>
      <c r="J335" s="2" t="s">
        <v>24</v>
      </c>
      <c r="K335">
        <v>54.98</v>
      </c>
      <c r="L335">
        <v>5498000</v>
      </c>
      <c r="M335" s="2" t="s">
        <v>8414</v>
      </c>
      <c r="N335" s="2" t="s">
        <v>8419</v>
      </c>
      <c r="O335" s="2" t="s">
        <v>8710</v>
      </c>
      <c r="P335" s="2" t="s">
        <v>175</v>
      </c>
      <c r="Q335" s="2" t="s">
        <v>8445</v>
      </c>
      <c r="R335" s="2" t="s">
        <v>30</v>
      </c>
    </row>
    <row r="336" spans="1:18">
      <c r="A336" s="1">
        <v>44531</v>
      </c>
      <c r="B336" s="1">
        <v>44531</v>
      </c>
      <c r="C336">
        <v>2021</v>
      </c>
      <c r="D336">
        <v>12</v>
      </c>
      <c r="E336" s="2" t="s">
        <v>8467</v>
      </c>
      <c r="F336" s="2" t="s">
        <v>8468</v>
      </c>
      <c r="G336" s="2" t="s">
        <v>8335</v>
      </c>
      <c r="H336" s="2" t="s">
        <v>22</v>
      </c>
      <c r="I336" s="2" t="s">
        <v>8365</v>
      </c>
      <c r="J336" s="2" t="s">
        <v>24</v>
      </c>
      <c r="K336">
        <v>2600.9</v>
      </c>
      <c r="L336">
        <v>260090000</v>
      </c>
      <c r="M336" s="2" t="s">
        <v>8377</v>
      </c>
      <c r="N336" s="2" t="s">
        <v>8381</v>
      </c>
      <c r="O336" s="2" t="s">
        <v>8711</v>
      </c>
      <c r="P336" s="2" t="s">
        <v>175</v>
      </c>
      <c r="Q336" s="2" t="s">
        <v>8445</v>
      </c>
      <c r="R336" s="2" t="s">
        <v>30</v>
      </c>
    </row>
    <row r="337" spans="1:18">
      <c r="A337" s="1">
        <v>44531</v>
      </c>
      <c r="B337" s="1">
        <v>44531</v>
      </c>
      <c r="C337">
        <v>2021</v>
      </c>
      <c r="D337">
        <v>12</v>
      </c>
      <c r="E337" s="2" t="s">
        <v>8470</v>
      </c>
      <c r="F337" s="2" t="s">
        <v>8471</v>
      </c>
      <c r="G337" s="2" t="s">
        <v>8335</v>
      </c>
      <c r="H337" s="2" t="s">
        <v>22</v>
      </c>
      <c r="I337" s="2" t="s">
        <v>8365</v>
      </c>
      <c r="J337" s="2" t="s">
        <v>59</v>
      </c>
      <c r="K337">
        <v>15111.9</v>
      </c>
      <c r="L337">
        <v>1511190000</v>
      </c>
      <c r="M337" s="2" t="s">
        <v>8362</v>
      </c>
      <c r="N337" s="2" t="s">
        <v>8367</v>
      </c>
      <c r="O337" s="2" t="s">
        <v>8712</v>
      </c>
      <c r="P337" s="2" t="s">
        <v>175</v>
      </c>
      <c r="Q337" s="2" t="s">
        <v>8445</v>
      </c>
      <c r="R337" s="2" t="s">
        <v>30</v>
      </c>
    </row>
    <row r="338" spans="1:18">
      <c r="A338" s="1">
        <v>44531</v>
      </c>
      <c r="B338" s="1">
        <v>44531</v>
      </c>
      <c r="C338">
        <v>2021</v>
      </c>
      <c r="D338">
        <v>12</v>
      </c>
      <c r="E338" s="2" t="s">
        <v>8473</v>
      </c>
      <c r="F338" s="2" t="s">
        <v>8474</v>
      </c>
      <c r="G338" s="2" t="s">
        <v>8335</v>
      </c>
      <c r="H338" s="2" t="s">
        <v>22</v>
      </c>
      <c r="I338" s="2" t="s">
        <v>8365</v>
      </c>
      <c r="J338" s="2" t="s">
        <v>24</v>
      </c>
      <c r="K338">
        <v>12511</v>
      </c>
      <c r="L338">
        <v>1251100000</v>
      </c>
      <c r="M338" s="2" t="s">
        <v>8370</v>
      </c>
      <c r="N338" s="2" t="s">
        <v>8374</v>
      </c>
      <c r="O338" s="2" t="s">
        <v>8713</v>
      </c>
      <c r="P338" s="2" t="s">
        <v>175</v>
      </c>
      <c r="Q338" s="2" t="s">
        <v>8445</v>
      </c>
      <c r="R338" s="2" t="s">
        <v>30</v>
      </c>
    </row>
    <row r="339" spans="1:18">
      <c r="A339" s="1">
        <v>44531</v>
      </c>
      <c r="B339" s="1">
        <v>44531</v>
      </c>
      <c r="C339">
        <v>2021</v>
      </c>
      <c r="D339">
        <v>12</v>
      </c>
      <c r="E339" s="2" t="s">
        <v>7890</v>
      </c>
      <c r="F339" s="2" t="s">
        <v>7891</v>
      </c>
      <c r="G339" s="2" t="s">
        <v>8335</v>
      </c>
      <c r="H339" s="2" t="s">
        <v>22</v>
      </c>
      <c r="I339" s="2" t="s">
        <v>8417</v>
      </c>
      <c r="J339" s="2" t="s">
        <v>24</v>
      </c>
      <c r="K339">
        <v>1440.1</v>
      </c>
      <c r="L339">
        <v>144010000</v>
      </c>
      <c r="M339" s="2" t="s">
        <v>7889</v>
      </c>
      <c r="N339" s="2" t="s">
        <v>7911</v>
      </c>
      <c r="O339" s="2" t="s">
        <v>8714</v>
      </c>
      <c r="P339" s="2" t="s">
        <v>175</v>
      </c>
      <c r="Q339" s="2" t="s">
        <v>8445</v>
      </c>
      <c r="R339" s="2" t="s">
        <v>30</v>
      </c>
    </row>
    <row r="340" spans="1:18">
      <c r="A340" s="1">
        <v>44562</v>
      </c>
      <c r="B340" s="1">
        <v>44562</v>
      </c>
      <c r="C340">
        <v>2022</v>
      </c>
      <c r="D340">
        <v>1</v>
      </c>
      <c r="E340" s="2" t="s">
        <v>8443</v>
      </c>
      <c r="F340" s="2" t="s">
        <v>8444</v>
      </c>
      <c r="G340" s="2" t="s">
        <v>8335</v>
      </c>
      <c r="H340" s="2" t="s">
        <v>22</v>
      </c>
      <c r="I340" s="2" t="s">
        <v>8387</v>
      </c>
      <c r="J340" s="2" t="s">
        <v>24</v>
      </c>
      <c r="K340">
        <v>2.16</v>
      </c>
      <c r="L340">
        <v>216000</v>
      </c>
      <c r="M340" s="2" t="s">
        <v>8392</v>
      </c>
      <c r="N340" s="2" t="s">
        <v>8396</v>
      </c>
      <c r="O340" s="2" t="s">
        <v>3609</v>
      </c>
      <c r="P340" s="2" t="s">
        <v>175</v>
      </c>
      <c r="Q340" s="2" t="s">
        <v>8445</v>
      </c>
      <c r="R340" s="2" t="s">
        <v>30</v>
      </c>
    </row>
    <row r="341" spans="1:18">
      <c r="A341" s="1">
        <v>44562</v>
      </c>
      <c r="B341" s="1">
        <v>44562</v>
      </c>
      <c r="C341">
        <v>2022</v>
      </c>
      <c r="D341">
        <v>1</v>
      </c>
      <c r="E341" s="2" t="s">
        <v>8446</v>
      </c>
      <c r="F341" s="2" t="s">
        <v>8447</v>
      </c>
      <c r="G341" s="2" t="s">
        <v>8335</v>
      </c>
      <c r="H341" s="2" t="s">
        <v>22</v>
      </c>
      <c r="I341" s="2" t="s">
        <v>8387</v>
      </c>
      <c r="J341" s="2" t="s">
        <v>59</v>
      </c>
      <c r="K341">
        <v>2.46</v>
      </c>
      <c r="L341">
        <v>246000</v>
      </c>
      <c r="M341" s="2" t="s">
        <v>8384</v>
      </c>
      <c r="N341" s="2" t="s">
        <v>8389</v>
      </c>
      <c r="O341" s="2" t="s">
        <v>6436</v>
      </c>
      <c r="P341" s="2" t="s">
        <v>175</v>
      </c>
      <c r="Q341" s="2" t="s">
        <v>8445</v>
      </c>
      <c r="R341" s="2" t="s">
        <v>30</v>
      </c>
    </row>
    <row r="342" spans="1:18">
      <c r="A342" s="1">
        <v>44562</v>
      </c>
      <c r="B342" s="1">
        <v>44562</v>
      </c>
      <c r="C342">
        <v>2022</v>
      </c>
      <c r="D342">
        <v>1</v>
      </c>
      <c r="E342" s="2" t="s">
        <v>8448</v>
      </c>
      <c r="F342" s="2" t="s">
        <v>8449</v>
      </c>
      <c r="G342" s="2" t="s">
        <v>8335</v>
      </c>
      <c r="H342" s="2" t="s">
        <v>22</v>
      </c>
      <c r="I342" s="2" t="s">
        <v>8387</v>
      </c>
      <c r="J342" s="2" t="s">
        <v>24</v>
      </c>
      <c r="K342">
        <v>0.3</v>
      </c>
      <c r="L342">
        <v>30000</v>
      </c>
      <c r="M342" s="2" t="s">
        <v>8399</v>
      </c>
      <c r="N342" s="2" t="s">
        <v>8403</v>
      </c>
      <c r="O342" s="2" t="s">
        <v>2807</v>
      </c>
      <c r="P342" s="2" t="s">
        <v>175</v>
      </c>
      <c r="Q342" s="2" t="s">
        <v>8445</v>
      </c>
      <c r="R342" s="2" t="s">
        <v>30</v>
      </c>
    </row>
    <row r="343" spans="1:18">
      <c r="A343" s="1">
        <v>44562</v>
      </c>
      <c r="B343" s="1">
        <v>44562</v>
      </c>
      <c r="C343">
        <v>2022</v>
      </c>
      <c r="D343">
        <v>1</v>
      </c>
      <c r="E343" s="2" t="s">
        <v>8450</v>
      </c>
      <c r="F343" s="2" t="s">
        <v>8451</v>
      </c>
      <c r="G343" s="2" t="s">
        <v>8335</v>
      </c>
      <c r="H343" s="2" t="s">
        <v>22</v>
      </c>
      <c r="I343" s="2" t="s">
        <v>8417</v>
      </c>
      <c r="J343" s="2" t="s">
        <v>24</v>
      </c>
      <c r="K343">
        <v>46.97</v>
      </c>
      <c r="L343">
        <v>4697000</v>
      </c>
      <c r="M343" s="2" t="s">
        <v>8422</v>
      </c>
      <c r="N343" s="2" t="s">
        <v>8426</v>
      </c>
      <c r="O343" s="2" t="s">
        <v>8715</v>
      </c>
      <c r="P343" s="2" t="s">
        <v>175</v>
      </c>
      <c r="Q343" s="2" t="s">
        <v>8445</v>
      </c>
      <c r="R343" s="2" t="s">
        <v>30</v>
      </c>
    </row>
    <row r="344" spans="1:18">
      <c r="A344" s="1">
        <v>44562</v>
      </c>
      <c r="B344" s="1">
        <v>44562</v>
      </c>
      <c r="C344">
        <v>2022</v>
      </c>
      <c r="D344">
        <v>1</v>
      </c>
      <c r="E344" s="2" t="s">
        <v>8453</v>
      </c>
      <c r="F344" s="2" t="s">
        <v>8454</v>
      </c>
      <c r="G344" s="2" t="s">
        <v>8335</v>
      </c>
      <c r="H344" s="2" t="s">
        <v>22</v>
      </c>
      <c r="I344" s="2" t="s">
        <v>8336</v>
      </c>
      <c r="J344" s="2" t="s">
        <v>24</v>
      </c>
      <c r="K344">
        <v>702.52</v>
      </c>
      <c r="L344">
        <v>70252000</v>
      </c>
      <c r="M344" s="2" t="s">
        <v>8348</v>
      </c>
      <c r="N344" s="2" t="s">
        <v>8352</v>
      </c>
      <c r="O344" s="2" t="s">
        <v>8716</v>
      </c>
      <c r="P344" s="2" t="s">
        <v>175</v>
      </c>
      <c r="Q344" s="2" t="s">
        <v>8445</v>
      </c>
      <c r="R344" s="2" t="s">
        <v>30</v>
      </c>
    </row>
    <row r="345" spans="1:18">
      <c r="A345" s="1">
        <v>44562</v>
      </c>
      <c r="B345" s="1">
        <v>44562</v>
      </c>
      <c r="C345">
        <v>2022</v>
      </c>
      <c r="D345">
        <v>1</v>
      </c>
      <c r="E345" s="2" t="s">
        <v>8456</v>
      </c>
      <c r="F345" s="2" t="s">
        <v>8457</v>
      </c>
      <c r="G345" s="2" t="s">
        <v>8335</v>
      </c>
      <c r="H345" s="2" t="s">
        <v>22</v>
      </c>
      <c r="I345" s="2" t="s">
        <v>8336</v>
      </c>
      <c r="J345" s="2" t="s">
        <v>24</v>
      </c>
      <c r="K345">
        <v>9409.2900000000009</v>
      </c>
      <c r="L345">
        <v>940929000</v>
      </c>
      <c r="M345" s="2" t="s">
        <v>8355</v>
      </c>
      <c r="N345" s="2" t="s">
        <v>8359</v>
      </c>
      <c r="O345" s="2" t="s">
        <v>8717</v>
      </c>
      <c r="P345" s="2" t="s">
        <v>175</v>
      </c>
      <c r="Q345" s="2" t="s">
        <v>8445</v>
      </c>
      <c r="R345" s="2" t="s">
        <v>30</v>
      </c>
    </row>
    <row r="346" spans="1:18">
      <c r="A346" s="1">
        <v>44562</v>
      </c>
      <c r="B346" s="1">
        <v>44562</v>
      </c>
      <c r="C346">
        <v>2022</v>
      </c>
      <c r="D346">
        <v>1</v>
      </c>
      <c r="E346" s="2" t="s">
        <v>8459</v>
      </c>
      <c r="F346" s="2" t="s">
        <v>8460</v>
      </c>
      <c r="G346" s="2" t="s">
        <v>8335</v>
      </c>
      <c r="H346" s="2" t="s">
        <v>22</v>
      </c>
      <c r="I346" s="2" t="s">
        <v>8336</v>
      </c>
      <c r="J346" s="2" t="s">
        <v>59</v>
      </c>
      <c r="K346">
        <v>10111.81</v>
      </c>
      <c r="L346">
        <v>1011181000</v>
      </c>
      <c r="M346" s="2" t="s">
        <v>8331</v>
      </c>
      <c r="N346" s="2" t="s">
        <v>8341</v>
      </c>
      <c r="O346" s="2" t="s">
        <v>8718</v>
      </c>
      <c r="P346" s="2" t="s">
        <v>175</v>
      </c>
      <c r="Q346" s="2" t="s">
        <v>8445</v>
      </c>
      <c r="R346" s="2" t="s">
        <v>30</v>
      </c>
    </row>
    <row r="347" spans="1:18">
      <c r="A347" s="1">
        <v>44562</v>
      </c>
      <c r="B347" s="1">
        <v>44562</v>
      </c>
      <c r="C347">
        <v>2022</v>
      </c>
      <c r="D347">
        <v>1</v>
      </c>
      <c r="E347" s="2" t="s">
        <v>8462</v>
      </c>
      <c r="F347" s="2" t="s">
        <v>8463</v>
      </c>
      <c r="G347" s="2" t="s">
        <v>8335</v>
      </c>
      <c r="H347" s="2" t="s">
        <v>22</v>
      </c>
      <c r="I347" s="2" t="s">
        <v>8409</v>
      </c>
      <c r="J347" s="2" t="s">
        <v>24</v>
      </c>
      <c r="K347">
        <v>7.78</v>
      </c>
      <c r="L347">
        <v>778000</v>
      </c>
      <c r="M347" s="2" t="s">
        <v>8406</v>
      </c>
      <c r="N347" s="2" t="s">
        <v>8411</v>
      </c>
      <c r="O347" s="2" t="s">
        <v>8719</v>
      </c>
      <c r="P347" s="2" t="s">
        <v>175</v>
      </c>
      <c r="Q347" s="2" t="s">
        <v>8445</v>
      </c>
      <c r="R347" s="2" t="s">
        <v>30</v>
      </c>
    </row>
    <row r="348" spans="1:18">
      <c r="A348" s="1">
        <v>44562</v>
      </c>
      <c r="B348" s="1">
        <v>44562</v>
      </c>
      <c r="C348">
        <v>2022</v>
      </c>
      <c r="D348">
        <v>1</v>
      </c>
      <c r="E348" s="2" t="s">
        <v>8464</v>
      </c>
      <c r="F348" s="2" t="s">
        <v>8465</v>
      </c>
      <c r="G348" s="2" t="s">
        <v>8335</v>
      </c>
      <c r="H348" s="2" t="s">
        <v>22</v>
      </c>
      <c r="I348" s="2" t="s">
        <v>8417</v>
      </c>
      <c r="J348" s="2" t="s">
        <v>24</v>
      </c>
      <c r="K348">
        <v>56.2</v>
      </c>
      <c r="L348">
        <v>5620000</v>
      </c>
      <c r="M348" s="2" t="s">
        <v>8414</v>
      </c>
      <c r="N348" s="2" t="s">
        <v>8419</v>
      </c>
      <c r="O348" s="2" t="s">
        <v>8720</v>
      </c>
      <c r="P348" s="2" t="s">
        <v>175</v>
      </c>
      <c r="Q348" s="2" t="s">
        <v>8445</v>
      </c>
      <c r="R348" s="2" t="s">
        <v>30</v>
      </c>
    </row>
    <row r="349" spans="1:18">
      <c r="A349" s="1">
        <v>44562</v>
      </c>
      <c r="B349" s="1">
        <v>44562</v>
      </c>
      <c r="C349">
        <v>2022</v>
      </c>
      <c r="D349">
        <v>1</v>
      </c>
      <c r="E349" s="2" t="s">
        <v>8467</v>
      </c>
      <c r="F349" s="2" t="s">
        <v>8468</v>
      </c>
      <c r="G349" s="2" t="s">
        <v>8335</v>
      </c>
      <c r="H349" s="2" t="s">
        <v>22</v>
      </c>
      <c r="I349" s="2" t="s">
        <v>8365</v>
      </c>
      <c r="J349" s="2" t="s">
        <v>24</v>
      </c>
      <c r="K349">
        <v>2667.07</v>
      </c>
      <c r="L349">
        <v>266707000</v>
      </c>
      <c r="M349" s="2" t="s">
        <v>8377</v>
      </c>
      <c r="N349" s="2" t="s">
        <v>8381</v>
      </c>
      <c r="O349" s="2" t="s">
        <v>8721</v>
      </c>
      <c r="P349" s="2" t="s">
        <v>175</v>
      </c>
      <c r="Q349" s="2" t="s">
        <v>8445</v>
      </c>
      <c r="R349" s="2" t="s">
        <v>30</v>
      </c>
    </row>
    <row r="350" spans="1:18">
      <c r="A350" s="1">
        <v>44562</v>
      </c>
      <c r="B350" s="1">
        <v>44562</v>
      </c>
      <c r="C350">
        <v>2022</v>
      </c>
      <c r="D350">
        <v>1</v>
      </c>
      <c r="E350" s="2" t="s">
        <v>8470</v>
      </c>
      <c r="F350" s="2" t="s">
        <v>8471</v>
      </c>
      <c r="G350" s="2" t="s">
        <v>8335</v>
      </c>
      <c r="H350" s="2" t="s">
        <v>22</v>
      </c>
      <c r="I350" s="2" t="s">
        <v>8365</v>
      </c>
      <c r="J350" s="2" t="s">
        <v>59</v>
      </c>
      <c r="K350">
        <v>15389.63</v>
      </c>
      <c r="L350">
        <v>1538963000</v>
      </c>
      <c r="M350" s="2" t="s">
        <v>8362</v>
      </c>
      <c r="N350" s="2" t="s">
        <v>8367</v>
      </c>
      <c r="O350" s="2" t="s">
        <v>8722</v>
      </c>
      <c r="P350" s="2" t="s">
        <v>175</v>
      </c>
      <c r="Q350" s="2" t="s">
        <v>8445</v>
      </c>
      <c r="R350" s="2" t="s">
        <v>30</v>
      </c>
    </row>
    <row r="351" spans="1:18">
      <c r="A351" s="1">
        <v>44562</v>
      </c>
      <c r="B351" s="1">
        <v>44562</v>
      </c>
      <c r="C351">
        <v>2022</v>
      </c>
      <c r="D351">
        <v>1</v>
      </c>
      <c r="E351" s="2" t="s">
        <v>8473</v>
      </c>
      <c r="F351" s="2" t="s">
        <v>8474</v>
      </c>
      <c r="G351" s="2" t="s">
        <v>8335</v>
      </c>
      <c r="H351" s="2" t="s">
        <v>22</v>
      </c>
      <c r="I351" s="2" t="s">
        <v>8365</v>
      </c>
      <c r="J351" s="2" t="s">
        <v>24</v>
      </c>
      <c r="K351">
        <v>12722.56</v>
      </c>
      <c r="L351">
        <v>1272256000</v>
      </c>
      <c r="M351" s="2" t="s">
        <v>8370</v>
      </c>
      <c r="N351" s="2" t="s">
        <v>8374</v>
      </c>
      <c r="O351" s="2" t="s">
        <v>8723</v>
      </c>
      <c r="P351" s="2" t="s">
        <v>175</v>
      </c>
      <c r="Q351" s="2" t="s">
        <v>8445</v>
      </c>
      <c r="R351" s="2" t="s">
        <v>30</v>
      </c>
    </row>
    <row r="352" spans="1:18">
      <c r="A352" s="1">
        <v>44562</v>
      </c>
      <c r="B352" s="1">
        <v>44562</v>
      </c>
      <c r="C352">
        <v>2022</v>
      </c>
      <c r="D352">
        <v>1</v>
      </c>
      <c r="E352" s="2" t="s">
        <v>7890</v>
      </c>
      <c r="F352" s="2" t="s">
        <v>7891</v>
      </c>
      <c r="G352" s="2" t="s">
        <v>8335</v>
      </c>
      <c r="H352" s="2" t="s">
        <v>22</v>
      </c>
      <c r="I352" s="2" t="s">
        <v>8417</v>
      </c>
      <c r="J352" s="2" t="s">
        <v>24</v>
      </c>
      <c r="K352">
        <v>1521.05</v>
      </c>
      <c r="L352">
        <v>152105000</v>
      </c>
      <c r="M352" s="2" t="s">
        <v>7889</v>
      </c>
      <c r="N352" s="2" t="s">
        <v>7911</v>
      </c>
      <c r="O352" s="2" t="s">
        <v>8724</v>
      </c>
      <c r="P352" s="2" t="s">
        <v>175</v>
      </c>
      <c r="Q352" s="2" t="s">
        <v>8445</v>
      </c>
      <c r="R352" s="2" t="s">
        <v>30</v>
      </c>
    </row>
    <row r="353" spans="1:18">
      <c r="A353" s="1">
        <v>44593</v>
      </c>
      <c r="B353" s="1">
        <v>44593</v>
      </c>
      <c r="C353">
        <v>2022</v>
      </c>
      <c r="D353">
        <v>2</v>
      </c>
      <c r="E353" s="2" t="s">
        <v>8443</v>
      </c>
      <c r="F353" s="2" t="s">
        <v>8444</v>
      </c>
      <c r="G353" s="2" t="s">
        <v>8335</v>
      </c>
      <c r="H353" s="2" t="s">
        <v>22</v>
      </c>
      <c r="I353" s="2" t="s">
        <v>8387</v>
      </c>
      <c r="J353" s="2" t="s">
        <v>24</v>
      </c>
      <c r="K353">
        <v>2.16</v>
      </c>
      <c r="L353">
        <v>216000</v>
      </c>
      <c r="M353" s="2" t="s">
        <v>8392</v>
      </c>
      <c r="N353" s="2" t="s">
        <v>8396</v>
      </c>
      <c r="O353" s="2" t="s">
        <v>3609</v>
      </c>
      <c r="P353" s="2" t="s">
        <v>175</v>
      </c>
      <c r="Q353" s="2" t="s">
        <v>8445</v>
      </c>
      <c r="R353" s="2" t="s">
        <v>30</v>
      </c>
    </row>
    <row r="354" spans="1:18">
      <c r="A354" s="1">
        <v>44593</v>
      </c>
      <c r="B354" s="1">
        <v>44593</v>
      </c>
      <c r="C354">
        <v>2022</v>
      </c>
      <c r="D354">
        <v>2</v>
      </c>
      <c r="E354" s="2" t="s">
        <v>8446</v>
      </c>
      <c r="F354" s="2" t="s">
        <v>8447</v>
      </c>
      <c r="G354" s="2" t="s">
        <v>8335</v>
      </c>
      <c r="H354" s="2" t="s">
        <v>22</v>
      </c>
      <c r="I354" s="2" t="s">
        <v>8387</v>
      </c>
      <c r="J354" s="2" t="s">
        <v>59</v>
      </c>
      <c r="K354">
        <v>2.4700000000000002</v>
      </c>
      <c r="L354">
        <v>247000</v>
      </c>
      <c r="M354" s="2" t="s">
        <v>8384</v>
      </c>
      <c r="N354" s="2" t="s">
        <v>8389</v>
      </c>
      <c r="O354" s="2" t="s">
        <v>8725</v>
      </c>
      <c r="P354" s="2" t="s">
        <v>175</v>
      </c>
      <c r="Q354" s="2" t="s">
        <v>8445</v>
      </c>
      <c r="R354" s="2" t="s">
        <v>30</v>
      </c>
    </row>
    <row r="355" spans="1:18">
      <c r="A355" s="1">
        <v>44593</v>
      </c>
      <c r="B355" s="1">
        <v>44593</v>
      </c>
      <c r="C355">
        <v>2022</v>
      </c>
      <c r="D355">
        <v>2</v>
      </c>
      <c r="E355" s="2" t="s">
        <v>8448</v>
      </c>
      <c r="F355" s="2" t="s">
        <v>8449</v>
      </c>
      <c r="G355" s="2" t="s">
        <v>8335</v>
      </c>
      <c r="H355" s="2" t="s">
        <v>22</v>
      </c>
      <c r="I355" s="2" t="s">
        <v>8387</v>
      </c>
      <c r="J355" s="2" t="s">
        <v>24</v>
      </c>
      <c r="K355">
        <v>0.31</v>
      </c>
      <c r="L355">
        <v>31000</v>
      </c>
      <c r="M355" s="2" t="s">
        <v>8399</v>
      </c>
      <c r="N355" s="2" t="s">
        <v>8403</v>
      </c>
      <c r="O355" s="2" t="s">
        <v>2811</v>
      </c>
      <c r="P355" s="2" t="s">
        <v>175</v>
      </c>
      <c r="Q355" s="2" t="s">
        <v>8445</v>
      </c>
      <c r="R355" s="2" t="s">
        <v>30</v>
      </c>
    </row>
    <row r="356" spans="1:18">
      <c r="A356" s="1">
        <v>44593</v>
      </c>
      <c r="B356" s="1">
        <v>44593</v>
      </c>
      <c r="C356">
        <v>2022</v>
      </c>
      <c r="D356">
        <v>2</v>
      </c>
      <c r="E356" s="2" t="s">
        <v>8450</v>
      </c>
      <c r="F356" s="2" t="s">
        <v>8451</v>
      </c>
      <c r="G356" s="2" t="s">
        <v>8335</v>
      </c>
      <c r="H356" s="2" t="s">
        <v>22</v>
      </c>
      <c r="I356" s="2" t="s">
        <v>8417</v>
      </c>
      <c r="J356" s="2" t="s">
        <v>24</v>
      </c>
      <c r="K356">
        <v>48.27</v>
      </c>
      <c r="L356">
        <v>4827000</v>
      </c>
      <c r="M356" s="2" t="s">
        <v>8422</v>
      </c>
      <c r="N356" s="2" t="s">
        <v>8426</v>
      </c>
      <c r="O356" s="2" t="s">
        <v>8726</v>
      </c>
      <c r="P356" s="2" t="s">
        <v>175</v>
      </c>
      <c r="Q356" s="2" t="s">
        <v>8445</v>
      </c>
      <c r="R356" s="2" t="s">
        <v>30</v>
      </c>
    </row>
    <row r="357" spans="1:18">
      <c r="A357" s="1">
        <v>44593</v>
      </c>
      <c r="B357" s="1">
        <v>44593</v>
      </c>
      <c r="C357">
        <v>2022</v>
      </c>
      <c r="D357">
        <v>2</v>
      </c>
      <c r="E357" s="2" t="s">
        <v>8453</v>
      </c>
      <c r="F357" s="2" t="s">
        <v>8454</v>
      </c>
      <c r="G357" s="2" t="s">
        <v>8335</v>
      </c>
      <c r="H357" s="2" t="s">
        <v>22</v>
      </c>
      <c r="I357" s="2" t="s">
        <v>8336</v>
      </c>
      <c r="J357" s="2" t="s">
        <v>24</v>
      </c>
      <c r="K357">
        <v>717.08</v>
      </c>
      <c r="L357">
        <v>71708000</v>
      </c>
      <c r="M357" s="2" t="s">
        <v>8348</v>
      </c>
      <c r="N357" s="2" t="s">
        <v>8352</v>
      </c>
      <c r="O357" s="2" t="s">
        <v>8727</v>
      </c>
      <c r="P357" s="2" t="s">
        <v>175</v>
      </c>
      <c r="Q357" s="2" t="s">
        <v>8445</v>
      </c>
      <c r="R357" s="2" t="s">
        <v>30</v>
      </c>
    </row>
    <row r="358" spans="1:18">
      <c r="A358" s="1">
        <v>44593</v>
      </c>
      <c r="B358" s="1">
        <v>44593</v>
      </c>
      <c r="C358">
        <v>2022</v>
      </c>
      <c r="D358">
        <v>2</v>
      </c>
      <c r="E358" s="2" t="s">
        <v>8456</v>
      </c>
      <c r="F358" s="2" t="s">
        <v>8457</v>
      </c>
      <c r="G358" s="2" t="s">
        <v>8335</v>
      </c>
      <c r="H358" s="2" t="s">
        <v>22</v>
      </c>
      <c r="I358" s="2" t="s">
        <v>8336</v>
      </c>
      <c r="J358" s="2" t="s">
        <v>24</v>
      </c>
      <c r="K358">
        <v>9350.66</v>
      </c>
      <c r="L358">
        <v>935066000</v>
      </c>
      <c r="M358" s="2" t="s">
        <v>8355</v>
      </c>
      <c r="N358" s="2" t="s">
        <v>8359</v>
      </c>
      <c r="O358" s="2" t="s">
        <v>8728</v>
      </c>
      <c r="P358" s="2" t="s">
        <v>175</v>
      </c>
      <c r="Q358" s="2" t="s">
        <v>8445</v>
      </c>
      <c r="R358" s="2" t="s">
        <v>30</v>
      </c>
    </row>
    <row r="359" spans="1:18">
      <c r="A359" s="1">
        <v>44593</v>
      </c>
      <c r="B359" s="1">
        <v>44593</v>
      </c>
      <c r="C359">
        <v>2022</v>
      </c>
      <c r="D359">
        <v>2</v>
      </c>
      <c r="E359" s="2" t="s">
        <v>8459</v>
      </c>
      <c r="F359" s="2" t="s">
        <v>8460</v>
      </c>
      <c r="G359" s="2" t="s">
        <v>8335</v>
      </c>
      <c r="H359" s="2" t="s">
        <v>22</v>
      </c>
      <c r="I359" s="2" t="s">
        <v>8336</v>
      </c>
      <c r="J359" s="2" t="s">
        <v>59</v>
      </c>
      <c r="K359">
        <v>10067.74</v>
      </c>
      <c r="L359">
        <v>1006774000</v>
      </c>
      <c r="M359" s="2" t="s">
        <v>8331</v>
      </c>
      <c r="N359" s="2" t="s">
        <v>8341</v>
      </c>
      <c r="O359" s="2" t="s">
        <v>8729</v>
      </c>
      <c r="P359" s="2" t="s">
        <v>175</v>
      </c>
      <c r="Q359" s="2" t="s">
        <v>8445</v>
      </c>
      <c r="R359" s="2" t="s">
        <v>30</v>
      </c>
    </row>
    <row r="360" spans="1:18">
      <c r="A360" s="1">
        <v>44593</v>
      </c>
      <c r="B360" s="1">
        <v>44593</v>
      </c>
      <c r="C360">
        <v>2022</v>
      </c>
      <c r="D360">
        <v>2</v>
      </c>
      <c r="E360" s="2" t="s">
        <v>8462</v>
      </c>
      <c r="F360" s="2" t="s">
        <v>8463</v>
      </c>
      <c r="G360" s="2" t="s">
        <v>8335</v>
      </c>
      <c r="H360" s="2" t="s">
        <v>22</v>
      </c>
      <c r="I360" s="2" t="s">
        <v>8409</v>
      </c>
      <c r="J360" s="2" t="s">
        <v>24</v>
      </c>
      <c r="K360">
        <v>8.51</v>
      </c>
      <c r="L360">
        <v>851000</v>
      </c>
      <c r="M360" s="2" t="s">
        <v>8406</v>
      </c>
      <c r="N360" s="2" t="s">
        <v>8411</v>
      </c>
      <c r="O360" s="2" t="s">
        <v>8730</v>
      </c>
      <c r="P360" s="2" t="s">
        <v>175</v>
      </c>
      <c r="Q360" s="2" t="s">
        <v>8445</v>
      </c>
      <c r="R360" s="2" t="s">
        <v>30</v>
      </c>
    </row>
    <row r="361" spans="1:18">
      <c r="A361" s="1">
        <v>44593</v>
      </c>
      <c r="B361" s="1">
        <v>44593</v>
      </c>
      <c r="C361">
        <v>2022</v>
      </c>
      <c r="D361">
        <v>2</v>
      </c>
      <c r="E361" s="2" t="s">
        <v>8464</v>
      </c>
      <c r="F361" s="2" t="s">
        <v>8465</v>
      </c>
      <c r="G361" s="2" t="s">
        <v>8335</v>
      </c>
      <c r="H361" s="2" t="s">
        <v>22</v>
      </c>
      <c r="I361" s="2" t="s">
        <v>8417</v>
      </c>
      <c r="J361" s="2" t="s">
        <v>24</v>
      </c>
      <c r="K361">
        <v>58.34</v>
      </c>
      <c r="L361">
        <v>5834000</v>
      </c>
      <c r="M361" s="2" t="s">
        <v>8414</v>
      </c>
      <c r="N361" s="2" t="s">
        <v>8419</v>
      </c>
      <c r="O361" s="2" t="s">
        <v>8731</v>
      </c>
      <c r="P361" s="2" t="s">
        <v>175</v>
      </c>
      <c r="Q361" s="2" t="s">
        <v>8445</v>
      </c>
      <c r="R361" s="2" t="s">
        <v>30</v>
      </c>
    </row>
    <row r="362" spans="1:18">
      <c r="A362" s="1">
        <v>44593</v>
      </c>
      <c r="B362" s="1">
        <v>44593</v>
      </c>
      <c r="C362">
        <v>2022</v>
      </c>
      <c r="D362">
        <v>2</v>
      </c>
      <c r="E362" s="2" t="s">
        <v>8467</v>
      </c>
      <c r="F362" s="2" t="s">
        <v>8468</v>
      </c>
      <c r="G362" s="2" t="s">
        <v>8335</v>
      </c>
      <c r="H362" s="2" t="s">
        <v>22</v>
      </c>
      <c r="I362" s="2" t="s">
        <v>8365</v>
      </c>
      <c r="J362" s="2" t="s">
        <v>24</v>
      </c>
      <c r="K362">
        <v>2709.78</v>
      </c>
      <c r="L362">
        <v>270978000</v>
      </c>
      <c r="M362" s="2" t="s">
        <v>8377</v>
      </c>
      <c r="N362" s="2" t="s">
        <v>8381</v>
      </c>
      <c r="O362" s="2" t="s">
        <v>8732</v>
      </c>
      <c r="P362" s="2" t="s">
        <v>175</v>
      </c>
      <c r="Q362" s="2" t="s">
        <v>8445</v>
      </c>
      <c r="R362" s="2" t="s">
        <v>30</v>
      </c>
    </row>
    <row r="363" spans="1:18">
      <c r="A363" s="1">
        <v>44593</v>
      </c>
      <c r="B363" s="1">
        <v>44593</v>
      </c>
      <c r="C363">
        <v>2022</v>
      </c>
      <c r="D363">
        <v>2</v>
      </c>
      <c r="E363" s="2" t="s">
        <v>8470</v>
      </c>
      <c r="F363" s="2" t="s">
        <v>8471</v>
      </c>
      <c r="G363" s="2" t="s">
        <v>8335</v>
      </c>
      <c r="H363" s="2" t="s">
        <v>22</v>
      </c>
      <c r="I363" s="2" t="s">
        <v>8365</v>
      </c>
      <c r="J363" s="2" t="s">
        <v>59</v>
      </c>
      <c r="K363">
        <v>15652.06</v>
      </c>
      <c r="L363">
        <v>1565206000</v>
      </c>
      <c r="M363" s="2" t="s">
        <v>8362</v>
      </c>
      <c r="N363" s="2" t="s">
        <v>8367</v>
      </c>
      <c r="O363" s="2" t="s">
        <v>8733</v>
      </c>
      <c r="P363" s="2" t="s">
        <v>175</v>
      </c>
      <c r="Q363" s="2" t="s">
        <v>8445</v>
      </c>
      <c r="R363" s="2" t="s">
        <v>30</v>
      </c>
    </row>
    <row r="364" spans="1:18">
      <c r="A364" s="1">
        <v>44593</v>
      </c>
      <c r="B364" s="1">
        <v>44593</v>
      </c>
      <c r="C364">
        <v>2022</v>
      </c>
      <c r="D364">
        <v>2</v>
      </c>
      <c r="E364" s="2" t="s">
        <v>8473</v>
      </c>
      <c r="F364" s="2" t="s">
        <v>8474</v>
      </c>
      <c r="G364" s="2" t="s">
        <v>8335</v>
      </c>
      <c r="H364" s="2" t="s">
        <v>22</v>
      </c>
      <c r="I364" s="2" t="s">
        <v>8365</v>
      </c>
      <c r="J364" s="2" t="s">
        <v>24</v>
      </c>
      <c r="K364">
        <v>12942.28</v>
      </c>
      <c r="L364">
        <v>1294228000</v>
      </c>
      <c r="M364" s="2" t="s">
        <v>8370</v>
      </c>
      <c r="N364" s="2" t="s">
        <v>8374</v>
      </c>
      <c r="O364" s="2" t="s">
        <v>8734</v>
      </c>
      <c r="P364" s="2" t="s">
        <v>175</v>
      </c>
      <c r="Q364" s="2" t="s">
        <v>8445</v>
      </c>
      <c r="R364" s="2" t="s">
        <v>30</v>
      </c>
    </row>
    <row r="365" spans="1:18">
      <c r="A365" s="1">
        <v>44593</v>
      </c>
      <c r="B365" s="1">
        <v>44593</v>
      </c>
      <c r="C365">
        <v>2022</v>
      </c>
      <c r="D365">
        <v>2</v>
      </c>
      <c r="E365" s="2" t="s">
        <v>7890</v>
      </c>
      <c r="F365" s="2" t="s">
        <v>7891</v>
      </c>
      <c r="G365" s="2" t="s">
        <v>8335</v>
      </c>
      <c r="H365" s="2" t="s">
        <v>22</v>
      </c>
      <c r="I365" s="2" t="s">
        <v>8417</v>
      </c>
      <c r="J365" s="2" t="s">
        <v>24</v>
      </c>
      <c r="K365">
        <v>1600.19</v>
      </c>
      <c r="L365">
        <v>160019000</v>
      </c>
      <c r="M365" s="2" t="s">
        <v>7889</v>
      </c>
      <c r="N365" s="2" t="s">
        <v>7911</v>
      </c>
      <c r="O365" s="2" t="s">
        <v>8735</v>
      </c>
      <c r="P365" s="2" t="s">
        <v>175</v>
      </c>
      <c r="Q365" s="2" t="s">
        <v>8445</v>
      </c>
      <c r="R365" s="2" t="s">
        <v>30</v>
      </c>
    </row>
    <row r="366" spans="1:18">
      <c r="A366" s="1">
        <v>44621</v>
      </c>
      <c r="B366" s="1">
        <v>44621</v>
      </c>
      <c r="C366">
        <v>2022</v>
      </c>
      <c r="D366">
        <v>3</v>
      </c>
      <c r="E366" s="2" t="s">
        <v>8443</v>
      </c>
      <c r="F366" s="2" t="s">
        <v>8444</v>
      </c>
      <c r="G366" s="2" t="s">
        <v>8335</v>
      </c>
      <c r="H366" s="2" t="s">
        <v>22</v>
      </c>
      <c r="I366" s="2" t="s">
        <v>8387</v>
      </c>
      <c r="J366" s="2" t="s">
        <v>24</v>
      </c>
      <c r="K366">
        <v>2.2000000000000002</v>
      </c>
      <c r="L366">
        <v>220000</v>
      </c>
      <c r="M366" s="2" t="s">
        <v>8392</v>
      </c>
      <c r="N366" s="2" t="s">
        <v>8396</v>
      </c>
      <c r="O366" s="2" t="s">
        <v>477</v>
      </c>
      <c r="P366" s="2" t="s">
        <v>175</v>
      </c>
      <c r="Q366" s="2" t="s">
        <v>8445</v>
      </c>
      <c r="R366" s="2" t="s">
        <v>30</v>
      </c>
    </row>
    <row r="367" spans="1:18">
      <c r="A367" s="1">
        <v>44621</v>
      </c>
      <c r="B367" s="1">
        <v>44621</v>
      </c>
      <c r="C367">
        <v>2022</v>
      </c>
      <c r="D367">
        <v>3</v>
      </c>
      <c r="E367" s="2" t="s">
        <v>8446</v>
      </c>
      <c r="F367" s="2" t="s">
        <v>8447</v>
      </c>
      <c r="G367" s="2" t="s">
        <v>8335</v>
      </c>
      <c r="H367" s="2" t="s">
        <v>22</v>
      </c>
      <c r="I367" s="2" t="s">
        <v>8387</v>
      </c>
      <c r="J367" s="2" t="s">
        <v>59</v>
      </c>
      <c r="K367">
        <v>2.52</v>
      </c>
      <c r="L367">
        <v>252000</v>
      </c>
      <c r="M367" s="2" t="s">
        <v>8384</v>
      </c>
      <c r="N367" s="2" t="s">
        <v>8389</v>
      </c>
      <c r="O367" s="2" t="s">
        <v>1145</v>
      </c>
      <c r="P367" s="2" t="s">
        <v>175</v>
      </c>
      <c r="Q367" s="2" t="s">
        <v>8445</v>
      </c>
      <c r="R367" s="2" t="s">
        <v>30</v>
      </c>
    </row>
    <row r="368" spans="1:18">
      <c r="A368" s="1">
        <v>44621</v>
      </c>
      <c r="B368" s="1">
        <v>44621</v>
      </c>
      <c r="C368">
        <v>2022</v>
      </c>
      <c r="D368">
        <v>3</v>
      </c>
      <c r="E368" s="2" t="s">
        <v>8448</v>
      </c>
      <c r="F368" s="2" t="s">
        <v>8449</v>
      </c>
      <c r="G368" s="2" t="s">
        <v>8335</v>
      </c>
      <c r="H368" s="2" t="s">
        <v>22</v>
      </c>
      <c r="I368" s="2" t="s">
        <v>8387</v>
      </c>
      <c r="J368" s="2" t="s">
        <v>24</v>
      </c>
      <c r="K368">
        <v>0.31</v>
      </c>
      <c r="L368">
        <v>31000</v>
      </c>
      <c r="M368" s="2" t="s">
        <v>8399</v>
      </c>
      <c r="N368" s="2" t="s">
        <v>8403</v>
      </c>
      <c r="O368" s="2" t="s">
        <v>2811</v>
      </c>
      <c r="P368" s="2" t="s">
        <v>175</v>
      </c>
      <c r="Q368" s="2" t="s">
        <v>8445</v>
      </c>
      <c r="R368" s="2" t="s">
        <v>30</v>
      </c>
    </row>
    <row r="369" spans="1:18">
      <c r="A369" s="1">
        <v>44621</v>
      </c>
      <c r="B369" s="1">
        <v>44621</v>
      </c>
      <c r="C369">
        <v>2022</v>
      </c>
      <c r="D369">
        <v>3</v>
      </c>
      <c r="E369" s="2" t="s">
        <v>8450</v>
      </c>
      <c r="F369" s="2" t="s">
        <v>8451</v>
      </c>
      <c r="G369" s="2" t="s">
        <v>8335</v>
      </c>
      <c r="H369" s="2" t="s">
        <v>22</v>
      </c>
      <c r="I369" s="2" t="s">
        <v>8417</v>
      </c>
      <c r="J369" s="2" t="s">
        <v>24</v>
      </c>
      <c r="K369">
        <v>49.72</v>
      </c>
      <c r="L369">
        <v>4972000</v>
      </c>
      <c r="M369" s="2" t="s">
        <v>8422</v>
      </c>
      <c r="N369" s="2" t="s">
        <v>8426</v>
      </c>
      <c r="O369" s="2" t="s">
        <v>8736</v>
      </c>
      <c r="P369" s="2" t="s">
        <v>175</v>
      </c>
      <c r="Q369" s="2" t="s">
        <v>8445</v>
      </c>
      <c r="R369" s="2" t="s">
        <v>30</v>
      </c>
    </row>
    <row r="370" spans="1:18">
      <c r="A370" s="1">
        <v>44621</v>
      </c>
      <c r="B370" s="1">
        <v>44621</v>
      </c>
      <c r="C370">
        <v>2022</v>
      </c>
      <c r="D370">
        <v>3</v>
      </c>
      <c r="E370" s="2" t="s">
        <v>8453</v>
      </c>
      <c r="F370" s="2" t="s">
        <v>8454</v>
      </c>
      <c r="G370" s="2" t="s">
        <v>8335</v>
      </c>
      <c r="H370" s="2" t="s">
        <v>22</v>
      </c>
      <c r="I370" s="2" t="s">
        <v>8336</v>
      </c>
      <c r="J370" s="2" t="s">
        <v>24</v>
      </c>
      <c r="K370">
        <v>736.27</v>
      </c>
      <c r="L370">
        <v>73627000</v>
      </c>
      <c r="M370" s="2" t="s">
        <v>8348</v>
      </c>
      <c r="N370" s="2" t="s">
        <v>8352</v>
      </c>
      <c r="O370" s="2" t="s">
        <v>8737</v>
      </c>
      <c r="P370" s="2" t="s">
        <v>175</v>
      </c>
      <c r="Q370" s="2" t="s">
        <v>8445</v>
      </c>
      <c r="R370" s="2" t="s">
        <v>30</v>
      </c>
    </row>
    <row r="371" spans="1:18">
      <c r="A371" s="1">
        <v>44621</v>
      </c>
      <c r="B371" s="1">
        <v>44621</v>
      </c>
      <c r="C371">
        <v>2022</v>
      </c>
      <c r="D371">
        <v>3</v>
      </c>
      <c r="E371" s="2" t="s">
        <v>8456</v>
      </c>
      <c r="F371" s="2" t="s">
        <v>8457</v>
      </c>
      <c r="G371" s="2" t="s">
        <v>8335</v>
      </c>
      <c r="H371" s="2" t="s">
        <v>22</v>
      </c>
      <c r="I371" s="2" t="s">
        <v>8336</v>
      </c>
      <c r="J371" s="2" t="s">
        <v>24</v>
      </c>
      <c r="K371">
        <v>9176.66</v>
      </c>
      <c r="L371">
        <v>917666000</v>
      </c>
      <c r="M371" s="2" t="s">
        <v>8355</v>
      </c>
      <c r="N371" s="2" t="s">
        <v>8359</v>
      </c>
      <c r="O371" s="2" t="s">
        <v>8738</v>
      </c>
      <c r="P371" s="2" t="s">
        <v>175</v>
      </c>
      <c r="Q371" s="2" t="s">
        <v>8445</v>
      </c>
      <c r="R371" s="2" t="s">
        <v>30</v>
      </c>
    </row>
    <row r="372" spans="1:18">
      <c r="A372" s="1">
        <v>44621</v>
      </c>
      <c r="B372" s="1">
        <v>44621</v>
      </c>
      <c r="C372">
        <v>2022</v>
      </c>
      <c r="D372">
        <v>3</v>
      </c>
      <c r="E372" s="2" t="s">
        <v>8459</v>
      </c>
      <c r="F372" s="2" t="s">
        <v>8460</v>
      </c>
      <c r="G372" s="2" t="s">
        <v>8335</v>
      </c>
      <c r="H372" s="2" t="s">
        <v>22</v>
      </c>
      <c r="I372" s="2" t="s">
        <v>8336</v>
      </c>
      <c r="J372" s="2" t="s">
        <v>59</v>
      </c>
      <c r="K372">
        <v>9912.93</v>
      </c>
      <c r="L372">
        <v>991293000</v>
      </c>
      <c r="M372" s="2" t="s">
        <v>8331</v>
      </c>
      <c r="N372" s="2" t="s">
        <v>8341</v>
      </c>
      <c r="O372" s="2" t="s">
        <v>8739</v>
      </c>
      <c r="P372" s="2" t="s">
        <v>175</v>
      </c>
      <c r="Q372" s="2" t="s">
        <v>8445</v>
      </c>
      <c r="R372" s="2" t="s">
        <v>30</v>
      </c>
    </row>
    <row r="373" spans="1:18">
      <c r="A373" s="1">
        <v>44621</v>
      </c>
      <c r="B373" s="1">
        <v>44621</v>
      </c>
      <c r="C373">
        <v>2022</v>
      </c>
      <c r="D373">
        <v>3</v>
      </c>
      <c r="E373" s="2" t="s">
        <v>8462</v>
      </c>
      <c r="F373" s="2" t="s">
        <v>8463</v>
      </c>
      <c r="G373" s="2" t="s">
        <v>8335</v>
      </c>
      <c r="H373" s="2" t="s">
        <v>22</v>
      </c>
      <c r="I373" s="2" t="s">
        <v>8409</v>
      </c>
      <c r="J373" s="2" t="s">
        <v>24</v>
      </c>
      <c r="K373">
        <v>9.16</v>
      </c>
      <c r="L373">
        <v>916000</v>
      </c>
      <c r="M373" s="2" t="s">
        <v>8406</v>
      </c>
      <c r="N373" s="2" t="s">
        <v>8411</v>
      </c>
      <c r="O373" s="2" t="s">
        <v>8740</v>
      </c>
      <c r="P373" s="2" t="s">
        <v>175</v>
      </c>
      <c r="Q373" s="2" t="s">
        <v>8445</v>
      </c>
      <c r="R373" s="2" t="s">
        <v>30</v>
      </c>
    </row>
    <row r="374" spans="1:18">
      <c r="A374" s="1">
        <v>44621</v>
      </c>
      <c r="B374" s="1">
        <v>44621</v>
      </c>
      <c r="C374">
        <v>2022</v>
      </c>
      <c r="D374">
        <v>3</v>
      </c>
      <c r="E374" s="2" t="s">
        <v>8464</v>
      </c>
      <c r="F374" s="2" t="s">
        <v>8465</v>
      </c>
      <c r="G374" s="2" t="s">
        <v>8335</v>
      </c>
      <c r="H374" s="2" t="s">
        <v>22</v>
      </c>
      <c r="I374" s="2" t="s">
        <v>8417</v>
      </c>
      <c r="J374" s="2" t="s">
        <v>24</v>
      </c>
      <c r="K374">
        <v>60.7</v>
      </c>
      <c r="L374">
        <v>6070000</v>
      </c>
      <c r="M374" s="2" t="s">
        <v>8414</v>
      </c>
      <c r="N374" s="2" t="s">
        <v>8419</v>
      </c>
      <c r="O374" s="2" t="s">
        <v>8741</v>
      </c>
      <c r="P374" s="2" t="s">
        <v>175</v>
      </c>
      <c r="Q374" s="2" t="s">
        <v>8445</v>
      </c>
      <c r="R374" s="2" t="s">
        <v>30</v>
      </c>
    </row>
    <row r="375" spans="1:18">
      <c r="A375" s="1">
        <v>44621</v>
      </c>
      <c r="B375" s="1">
        <v>44621</v>
      </c>
      <c r="C375">
        <v>2022</v>
      </c>
      <c r="D375">
        <v>3</v>
      </c>
      <c r="E375" s="2" t="s">
        <v>8467</v>
      </c>
      <c r="F375" s="2" t="s">
        <v>8468</v>
      </c>
      <c r="G375" s="2" t="s">
        <v>8335</v>
      </c>
      <c r="H375" s="2" t="s">
        <v>22</v>
      </c>
      <c r="I375" s="2" t="s">
        <v>8365</v>
      </c>
      <c r="J375" s="2" t="s">
        <v>24</v>
      </c>
      <c r="K375">
        <v>2750.3</v>
      </c>
      <c r="L375">
        <v>275030000</v>
      </c>
      <c r="M375" s="2" t="s">
        <v>8377</v>
      </c>
      <c r="N375" s="2" t="s">
        <v>8381</v>
      </c>
      <c r="O375" s="2" t="s">
        <v>8742</v>
      </c>
      <c r="P375" s="2" t="s">
        <v>175</v>
      </c>
      <c r="Q375" s="2" t="s">
        <v>8445</v>
      </c>
      <c r="R375" s="2" t="s">
        <v>30</v>
      </c>
    </row>
    <row r="376" spans="1:18">
      <c r="A376" s="1">
        <v>44621</v>
      </c>
      <c r="B376" s="1">
        <v>44621</v>
      </c>
      <c r="C376">
        <v>2022</v>
      </c>
      <c r="D376">
        <v>3</v>
      </c>
      <c r="E376" s="2" t="s">
        <v>8470</v>
      </c>
      <c r="F376" s="2" t="s">
        <v>8471</v>
      </c>
      <c r="G376" s="2" t="s">
        <v>8335</v>
      </c>
      <c r="H376" s="2" t="s">
        <v>22</v>
      </c>
      <c r="I376" s="2" t="s">
        <v>8365</v>
      </c>
      <c r="J376" s="2" t="s">
        <v>59</v>
      </c>
      <c r="K376">
        <v>15538.22</v>
      </c>
      <c r="L376">
        <v>1553822000</v>
      </c>
      <c r="M376" s="2" t="s">
        <v>8362</v>
      </c>
      <c r="N376" s="2" t="s">
        <v>8367</v>
      </c>
      <c r="O376" s="2" t="s">
        <v>8743</v>
      </c>
      <c r="P376" s="2" t="s">
        <v>175</v>
      </c>
      <c r="Q376" s="2" t="s">
        <v>8445</v>
      </c>
      <c r="R376" s="2" t="s">
        <v>30</v>
      </c>
    </row>
    <row r="377" spans="1:18">
      <c r="A377" s="1">
        <v>44621</v>
      </c>
      <c r="B377" s="1">
        <v>44621</v>
      </c>
      <c r="C377">
        <v>2022</v>
      </c>
      <c r="D377">
        <v>3</v>
      </c>
      <c r="E377" s="2" t="s">
        <v>8473</v>
      </c>
      <c r="F377" s="2" t="s">
        <v>8474</v>
      </c>
      <c r="G377" s="2" t="s">
        <v>8335</v>
      </c>
      <c r="H377" s="2" t="s">
        <v>22</v>
      </c>
      <c r="I377" s="2" t="s">
        <v>8365</v>
      </c>
      <c r="J377" s="2" t="s">
        <v>24</v>
      </c>
      <c r="K377">
        <v>12787.93</v>
      </c>
      <c r="L377">
        <v>1278793000</v>
      </c>
      <c r="M377" s="2" t="s">
        <v>8370</v>
      </c>
      <c r="N377" s="2" t="s">
        <v>8374</v>
      </c>
      <c r="O377" s="2" t="s">
        <v>8744</v>
      </c>
      <c r="P377" s="2" t="s">
        <v>175</v>
      </c>
      <c r="Q377" s="2" t="s">
        <v>8445</v>
      </c>
      <c r="R377" s="2" t="s">
        <v>30</v>
      </c>
    </row>
    <row r="378" spans="1:18">
      <c r="A378" s="1">
        <v>44621</v>
      </c>
      <c r="B378" s="1">
        <v>44621</v>
      </c>
      <c r="C378">
        <v>2022</v>
      </c>
      <c r="D378">
        <v>3</v>
      </c>
      <c r="E378" s="2" t="s">
        <v>7890</v>
      </c>
      <c r="F378" s="2" t="s">
        <v>7891</v>
      </c>
      <c r="G378" s="2" t="s">
        <v>8335</v>
      </c>
      <c r="H378" s="2" t="s">
        <v>22</v>
      </c>
      <c r="I378" s="2" t="s">
        <v>8417</v>
      </c>
      <c r="J378" s="2" t="s">
        <v>24</v>
      </c>
      <c r="K378">
        <v>1727.34</v>
      </c>
      <c r="L378">
        <v>172734000</v>
      </c>
      <c r="M378" s="2" t="s">
        <v>7889</v>
      </c>
      <c r="N378" s="2" t="s">
        <v>7911</v>
      </c>
      <c r="O378" s="2" t="s">
        <v>8745</v>
      </c>
      <c r="P378" s="2" t="s">
        <v>175</v>
      </c>
      <c r="Q378" s="2" t="s">
        <v>8445</v>
      </c>
      <c r="R378" s="2" t="s">
        <v>30</v>
      </c>
    </row>
    <row r="379" spans="1:18">
      <c r="A379" s="1">
        <v>44652</v>
      </c>
      <c r="B379" s="1">
        <v>44652</v>
      </c>
      <c r="C379">
        <v>2022</v>
      </c>
      <c r="D379">
        <v>4</v>
      </c>
      <c r="E379" s="2" t="s">
        <v>8443</v>
      </c>
      <c r="F379" s="2" t="s">
        <v>8444</v>
      </c>
      <c r="G379" s="2" t="s">
        <v>8335</v>
      </c>
      <c r="H379" s="2" t="s">
        <v>22</v>
      </c>
      <c r="I379" s="2" t="s">
        <v>8387</v>
      </c>
      <c r="J379" s="2" t="s">
        <v>24</v>
      </c>
      <c r="K379">
        <v>2.19</v>
      </c>
      <c r="L379">
        <v>219000</v>
      </c>
      <c r="M379" s="2" t="s">
        <v>8392</v>
      </c>
      <c r="N379" s="2" t="s">
        <v>8396</v>
      </c>
      <c r="O379" s="2" t="s">
        <v>3049</v>
      </c>
      <c r="P379" s="2" t="s">
        <v>639</v>
      </c>
      <c r="Q379" s="2" t="s">
        <v>8445</v>
      </c>
      <c r="R379" s="2" t="s">
        <v>30</v>
      </c>
    </row>
    <row r="380" spans="1:18">
      <c r="A380" s="1">
        <v>44652</v>
      </c>
      <c r="B380" s="1">
        <v>44652</v>
      </c>
      <c r="C380">
        <v>2022</v>
      </c>
      <c r="D380">
        <v>4</v>
      </c>
      <c r="E380" s="2" t="s">
        <v>8446</v>
      </c>
      <c r="F380" s="2" t="s">
        <v>8447</v>
      </c>
      <c r="G380" s="2" t="s">
        <v>8335</v>
      </c>
      <c r="H380" s="2" t="s">
        <v>22</v>
      </c>
      <c r="I380" s="2" t="s">
        <v>8387</v>
      </c>
      <c r="J380" s="2" t="s">
        <v>59</v>
      </c>
      <c r="K380">
        <v>2.5099999999999998</v>
      </c>
      <c r="L380">
        <v>251000</v>
      </c>
      <c r="M380" s="2" t="s">
        <v>8384</v>
      </c>
      <c r="N380" s="2" t="s">
        <v>8389</v>
      </c>
      <c r="O380" s="2" t="s">
        <v>1090</v>
      </c>
      <c r="P380" s="2" t="s">
        <v>639</v>
      </c>
      <c r="Q380" s="2" t="s">
        <v>8445</v>
      </c>
      <c r="R380" s="2" t="s">
        <v>30</v>
      </c>
    </row>
    <row r="381" spans="1:18">
      <c r="A381" s="1">
        <v>44652</v>
      </c>
      <c r="B381" s="1">
        <v>44652</v>
      </c>
      <c r="C381">
        <v>2022</v>
      </c>
      <c r="D381">
        <v>4</v>
      </c>
      <c r="E381" s="2" t="s">
        <v>8448</v>
      </c>
      <c r="F381" s="2" t="s">
        <v>8449</v>
      </c>
      <c r="G381" s="2" t="s">
        <v>8335</v>
      </c>
      <c r="H381" s="2" t="s">
        <v>22</v>
      </c>
      <c r="I381" s="2" t="s">
        <v>8387</v>
      </c>
      <c r="J381" s="2" t="s">
        <v>24</v>
      </c>
      <c r="K381">
        <v>0.32</v>
      </c>
      <c r="L381">
        <v>32000</v>
      </c>
      <c r="M381" s="2" t="s">
        <v>8399</v>
      </c>
      <c r="N381" s="2" t="s">
        <v>8403</v>
      </c>
      <c r="O381" s="2" t="s">
        <v>1083</v>
      </c>
      <c r="P381" s="2" t="s">
        <v>639</v>
      </c>
      <c r="Q381" s="2" t="s">
        <v>8445</v>
      </c>
      <c r="R381" s="2" t="s">
        <v>30</v>
      </c>
    </row>
    <row r="382" spans="1:18">
      <c r="A382" s="1">
        <v>44652</v>
      </c>
      <c r="B382" s="1">
        <v>44652</v>
      </c>
      <c r="C382">
        <v>2022</v>
      </c>
      <c r="D382">
        <v>4</v>
      </c>
      <c r="E382" s="2" t="s">
        <v>8450</v>
      </c>
      <c r="F382" s="2" t="s">
        <v>8451</v>
      </c>
      <c r="G382" s="2" t="s">
        <v>8335</v>
      </c>
      <c r="H382" s="2" t="s">
        <v>22</v>
      </c>
      <c r="I382" s="2" t="s">
        <v>8417</v>
      </c>
      <c r="J382" s="2" t="s">
        <v>24</v>
      </c>
      <c r="K382">
        <v>40.9</v>
      </c>
      <c r="L382">
        <v>4090000</v>
      </c>
      <c r="M382" s="2" t="s">
        <v>8422</v>
      </c>
      <c r="N382" s="2" t="s">
        <v>8426</v>
      </c>
      <c r="O382" s="2" t="s">
        <v>8746</v>
      </c>
      <c r="P382" s="2" t="s">
        <v>639</v>
      </c>
      <c r="Q382" s="2" t="s">
        <v>8445</v>
      </c>
      <c r="R382" s="2" t="s">
        <v>30</v>
      </c>
    </row>
    <row r="383" spans="1:18">
      <c r="A383" s="1">
        <v>44652</v>
      </c>
      <c r="B383" s="1">
        <v>44652</v>
      </c>
      <c r="C383">
        <v>2022</v>
      </c>
      <c r="D383">
        <v>4</v>
      </c>
      <c r="E383" s="2" t="s">
        <v>8453</v>
      </c>
      <c r="F383" s="2" t="s">
        <v>8454</v>
      </c>
      <c r="G383" s="2" t="s">
        <v>8335</v>
      </c>
      <c r="H383" s="2" t="s">
        <v>22</v>
      </c>
      <c r="I383" s="2" t="s">
        <v>8336</v>
      </c>
      <c r="J383" s="2" t="s">
        <v>24</v>
      </c>
      <c r="K383">
        <v>751.66</v>
      </c>
      <c r="L383">
        <v>75166000</v>
      </c>
      <c r="M383" s="2" t="s">
        <v>8348</v>
      </c>
      <c r="N383" s="2" t="s">
        <v>8352</v>
      </c>
      <c r="O383" s="2" t="s">
        <v>8747</v>
      </c>
      <c r="P383" s="2" t="s">
        <v>639</v>
      </c>
      <c r="Q383" s="2" t="s">
        <v>8445</v>
      </c>
      <c r="R383" s="2" t="s">
        <v>30</v>
      </c>
    </row>
    <row r="384" spans="1:18">
      <c r="A384" s="1">
        <v>44652</v>
      </c>
      <c r="B384" s="1">
        <v>44652</v>
      </c>
      <c r="C384">
        <v>2022</v>
      </c>
      <c r="D384">
        <v>4</v>
      </c>
      <c r="E384" s="2" t="s">
        <v>8456</v>
      </c>
      <c r="F384" s="2" t="s">
        <v>8457</v>
      </c>
      <c r="G384" s="2" t="s">
        <v>8335</v>
      </c>
      <c r="H384" s="2" t="s">
        <v>22</v>
      </c>
      <c r="I384" s="2" t="s">
        <v>8336</v>
      </c>
      <c r="J384" s="2" t="s">
        <v>24</v>
      </c>
      <c r="K384">
        <v>9205.18</v>
      </c>
      <c r="L384">
        <v>920518000</v>
      </c>
      <c r="M384" s="2" t="s">
        <v>8355</v>
      </c>
      <c r="N384" s="2" t="s">
        <v>8359</v>
      </c>
      <c r="O384" s="2" t="s">
        <v>8748</v>
      </c>
      <c r="P384" s="2" t="s">
        <v>639</v>
      </c>
      <c r="Q384" s="2" t="s">
        <v>8445</v>
      </c>
      <c r="R384" s="2" t="s">
        <v>30</v>
      </c>
    </row>
    <row r="385" spans="1:18">
      <c r="A385" s="1">
        <v>44652</v>
      </c>
      <c r="B385" s="1">
        <v>44652</v>
      </c>
      <c r="C385">
        <v>2022</v>
      </c>
      <c r="D385">
        <v>4</v>
      </c>
      <c r="E385" s="2" t="s">
        <v>8459</v>
      </c>
      <c r="F385" s="2" t="s">
        <v>8460</v>
      </c>
      <c r="G385" s="2" t="s">
        <v>8335</v>
      </c>
      <c r="H385" s="2" t="s">
        <v>22</v>
      </c>
      <c r="I385" s="2" t="s">
        <v>8336</v>
      </c>
      <c r="J385" s="2" t="s">
        <v>59</v>
      </c>
      <c r="K385">
        <v>9956.84</v>
      </c>
      <c r="L385">
        <v>995684000</v>
      </c>
      <c r="M385" s="2" t="s">
        <v>8331</v>
      </c>
      <c r="N385" s="2" t="s">
        <v>8341</v>
      </c>
      <c r="O385" s="2" t="s">
        <v>8749</v>
      </c>
      <c r="P385" s="2" t="s">
        <v>639</v>
      </c>
      <c r="Q385" s="2" t="s">
        <v>8445</v>
      </c>
      <c r="R385" s="2" t="s">
        <v>30</v>
      </c>
    </row>
    <row r="386" spans="1:18">
      <c r="A386" s="1">
        <v>44652</v>
      </c>
      <c r="B386" s="1">
        <v>44652</v>
      </c>
      <c r="C386">
        <v>2022</v>
      </c>
      <c r="D386">
        <v>4</v>
      </c>
      <c r="E386" s="2" t="s">
        <v>8462</v>
      </c>
      <c r="F386" s="2" t="s">
        <v>8463</v>
      </c>
      <c r="G386" s="2" t="s">
        <v>8335</v>
      </c>
      <c r="H386" s="2" t="s">
        <v>22</v>
      </c>
      <c r="I386" s="2" t="s">
        <v>8409</v>
      </c>
      <c r="J386" s="2" t="s">
        <v>24</v>
      </c>
      <c r="K386">
        <v>9.48</v>
      </c>
      <c r="L386">
        <v>948000</v>
      </c>
      <c r="M386" s="2" t="s">
        <v>8406</v>
      </c>
      <c r="N386" s="2" t="s">
        <v>8411</v>
      </c>
      <c r="O386" s="2" t="s">
        <v>8750</v>
      </c>
      <c r="P386" s="2" t="s">
        <v>639</v>
      </c>
      <c r="Q386" s="2" t="s">
        <v>8445</v>
      </c>
      <c r="R386" s="2" t="s">
        <v>30</v>
      </c>
    </row>
    <row r="387" spans="1:18">
      <c r="A387" s="1">
        <v>44652</v>
      </c>
      <c r="B387" s="1">
        <v>44652</v>
      </c>
      <c r="C387">
        <v>2022</v>
      </c>
      <c r="D387">
        <v>4</v>
      </c>
      <c r="E387" s="2" t="s">
        <v>8464</v>
      </c>
      <c r="F387" s="2" t="s">
        <v>8465</v>
      </c>
      <c r="G387" s="2" t="s">
        <v>8335</v>
      </c>
      <c r="H387" s="2" t="s">
        <v>22</v>
      </c>
      <c r="I387" s="2" t="s">
        <v>8417</v>
      </c>
      <c r="J387" s="2" t="s">
        <v>24</v>
      </c>
      <c r="K387">
        <v>61.26</v>
      </c>
      <c r="L387">
        <v>6126000</v>
      </c>
      <c r="M387" s="2" t="s">
        <v>8414</v>
      </c>
      <c r="N387" s="2" t="s">
        <v>8419</v>
      </c>
      <c r="O387" s="2" t="s">
        <v>1490</v>
      </c>
      <c r="P387" s="2" t="s">
        <v>639</v>
      </c>
      <c r="Q387" s="2" t="s">
        <v>8445</v>
      </c>
      <c r="R387" s="2" t="s">
        <v>30</v>
      </c>
    </row>
    <row r="388" spans="1:18">
      <c r="A388" s="1">
        <v>44652</v>
      </c>
      <c r="B388" s="1">
        <v>44652</v>
      </c>
      <c r="C388">
        <v>2022</v>
      </c>
      <c r="D388">
        <v>4</v>
      </c>
      <c r="E388" s="2" t="s">
        <v>8467</v>
      </c>
      <c r="F388" s="2" t="s">
        <v>8468</v>
      </c>
      <c r="G388" s="2" t="s">
        <v>8335</v>
      </c>
      <c r="H388" s="2" t="s">
        <v>22</v>
      </c>
      <c r="I388" s="2" t="s">
        <v>8365</v>
      </c>
      <c r="J388" s="2" t="s">
        <v>24</v>
      </c>
      <c r="K388">
        <v>2688.28</v>
      </c>
      <c r="L388">
        <v>268828000</v>
      </c>
      <c r="M388" s="2" t="s">
        <v>8377</v>
      </c>
      <c r="N388" s="2" t="s">
        <v>8381</v>
      </c>
      <c r="O388" s="2" t="s">
        <v>8751</v>
      </c>
      <c r="P388" s="2" t="s">
        <v>639</v>
      </c>
      <c r="Q388" s="2" t="s">
        <v>8445</v>
      </c>
      <c r="R388" s="2" t="s">
        <v>30</v>
      </c>
    </row>
    <row r="389" spans="1:18">
      <c r="A389" s="1">
        <v>44652</v>
      </c>
      <c r="B389" s="1">
        <v>44652</v>
      </c>
      <c r="C389">
        <v>2022</v>
      </c>
      <c r="D389">
        <v>4</v>
      </c>
      <c r="E389" s="2" t="s">
        <v>8470</v>
      </c>
      <c r="F389" s="2" t="s">
        <v>8471</v>
      </c>
      <c r="G389" s="2" t="s">
        <v>8335</v>
      </c>
      <c r="H389" s="2" t="s">
        <v>22</v>
      </c>
      <c r="I389" s="2" t="s">
        <v>8365</v>
      </c>
      <c r="J389" s="2" t="s">
        <v>59</v>
      </c>
      <c r="K389">
        <v>15553.36</v>
      </c>
      <c r="L389">
        <v>1555336000</v>
      </c>
      <c r="M389" s="2" t="s">
        <v>8362</v>
      </c>
      <c r="N389" s="2" t="s">
        <v>8367</v>
      </c>
      <c r="O389" s="2" t="s">
        <v>8752</v>
      </c>
      <c r="P389" s="2" t="s">
        <v>639</v>
      </c>
      <c r="Q389" s="2" t="s">
        <v>8445</v>
      </c>
      <c r="R389" s="2" t="s">
        <v>30</v>
      </c>
    </row>
    <row r="390" spans="1:18">
      <c r="A390" s="1">
        <v>44652</v>
      </c>
      <c r="B390" s="1">
        <v>44652</v>
      </c>
      <c r="C390">
        <v>2022</v>
      </c>
      <c r="D390">
        <v>4</v>
      </c>
      <c r="E390" s="2" t="s">
        <v>8473</v>
      </c>
      <c r="F390" s="2" t="s">
        <v>8474</v>
      </c>
      <c r="G390" s="2" t="s">
        <v>8335</v>
      </c>
      <c r="H390" s="2" t="s">
        <v>22</v>
      </c>
      <c r="I390" s="2" t="s">
        <v>8365</v>
      </c>
      <c r="J390" s="2" t="s">
        <v>24</v>
      </c>
      <c r="K390">
        <v>12865.09</v>
      </c>
      <c r="L390">
        <v>1286509000</v>
      </c>
      <c r="M390" s="2" t="s">
        <v>8370</v>
      </c>
      <c r="N390" s="2" t="s">
        <v>8374</v>
      </c>
      <c r="O390" s="2" t="s">
        <v>8753</v>
      </c>
      <c r="P390" s="2" t="s">
        <v>639</v>
      </c>
      <c r="Q390" s="2" t="s">
        <v>8445</v>
      </c>
      <c r="R390" s="2" t="s">
        <v>30</v>
      </c>
    </row>
    <row r="391" spans="1:18">
      <c r="A391" s="1">
        <v>44652</v>
      </c>
      <c r="B391" s="1">
        <v>44652</v>
      </c>
      <c r="C391">
        <v>2022</v>
      </c>
      <c r="D391">
        <v>4</v>
      </c>
      <c r="E391" s="2" t="s">
        <v>7890</v>
      </c>
      <c r="F391" s="2" t="s">
        <v>7891</v>
      </c>
      <c r="G391" s="2" t="s">
        <v>8335</v>
      </c>
      <c r="H391" s="2" t="s">
        <v>22</v>
      </c>
      <c r="I391" s="2" t="s">
        <v>8417</v>
      </c>
      <c r="J391" s="2" t="s">
        <v>24</v>
      </c>
      <c r="K391">
        <v>1807.21</v>
      </c>
      <c r="L391">
        <v>180721000</v>
      </c>
      <c r="M391" s="2" t="s">
        <v>7889</v>
      </c>
      <c r="N391" s="2" t="s">
        <v>7911</v>
      </c>
      <c r="O391" s="2" t="s">
        <v>8754</v>
      </c>
      <c r="P391" s="2" t="s">
        <v>639</v>
      </c>
      <c r="Q391" s="2" t="s">
        <v>8445</v>
      </c>
      <c r="R391" s="2" t="s">
        <v>30</v>
      </c>
    </row>
    <row r="392" spans="1:18">
      <c r="A392" s="1">
        <v>44682</v>
      </c>
      <c r="B392" s="1">
        <v>44682</v>
      </c>
      <c r="C392">
        <v>2022</v>
      </c>
      <c r="D392">
        <v>5</v>
      </c>
      <c r="E392" s="2" t="s">
        <v>8443</v>
      </c>
      <c r="F392" s="2" t="s">
        <v>8444</v>
      </c>
      <c r="G392" s="2" t="s">
        <v>8335</v>
      </c>
      <c r="H392" s="2" t="s">
        <v>22</v>
      </c>
      <c r="I392" s="2" t="s">
        <v>8387</v>
      </c>
      <c r="J392" s="2" t="s">
        <v>24</v>
      </c>
      <c r="K392">
        <v>2.2000000000000002</v>
      </c>
      <c r="L392">
        <v>220000</v>
      </c>
      <c r="M392" s="2" t="s">
        <v>8392</v>
      </c>
      <c r="N392" s="2" t="s">
        <v>8396</v>
      </c>
      <c r="O392" s="2" t="s">
        <v>477</v>
      </c>
      <c r="P392" s="2" t="s">
        <v>639</v>
      </c>
      <c r="Q392" s="2" t="s">
        <v>8445</v>
      </c>
      <c r="R392" s="2" t="s">
        <v>30</v>
      </c>
    </row>
    <row r="393" spans="1:18">
      <c r="A393" s="1">
        <v>44682</v>
      </c>
      <c r="B393" s="1">
        <v>44682</v>
      </c>
      <c r="C393">
        <v>2022</v>
      </c>
      <c r="D393">
        <v>5</v>
      </c>
      <c r="E393" s="2" t="s">
        <v>8446</v>
      </c>
      <c r="F393" s="2" t="s">
        <v>8447</v>
      </c>
      <c r="G393" s="2" t="s">
        <v>8335</v>
      </c>
      <c r="H393" s="2" t="s">
        <v>22</v>
      </c>
      <c r="I393" s="2" t="s">
        <v>8387</v>
      </c>
      <c r="J393" s="2" t="s">
        <v>59</v>
      </c>
      <c r="K393">
        <v>2.52</v>
      </c>
      <c r="L393">
        <v>252000</v>
      </c>
      <c r="M393" s="2" t="s">
        <v>8384</v>
      </c>
      <c r="N393" s="2" t="s">
        <v>8389</v>
      </c>
      <c r="O393" s="2" t="s">
        <v>1145</v>
      </c>
      <c r="P393" s="2" t="s">
        <v>639</v>
      </c>
      <c r="Q393" s="2" t="s">
        <v>8445</v>
      </c>
      <c r="R393" s="2" t="s">
        <v>30</v>
      </c>
    </row>
    <row r="394" spans="1:18">
      <c r="A394" s="1">
        <v>44682</v>
      </c>
      <c r="B394" s="1">
        <v>44682</v>
      </c>
      <c r="C394">
        <v>2022</v>
      </c>
      <c r="D394">
        <v>5</v>
      </c>
      <c r="E394" s="2" t="s">
        <v>8448</v>
      </c>
      <c r="F394" s="2" t="s">
        <v>8449</v>
      </c>
      <c r="G394" s="2" t="s">
        <v>8335</v>
      </c>
      <c r="H394" s="2" t="s">
        <v>22</v>
      </c>
      <c r="I394" s="2" t="s">
        <v>8387</v>
      </c>
      <c r="J394" s="2" t="s">
        <v>24</v>
      </c>
      <c r="K394">
        <v>0.32</v>
      </c>
      <c r="L394">
        <v>32000</v>
      </c>
      <c r="M394" s="2" t="s">
        <v>8399</v>
      </c>
      <c r="N394" s="2" t="s">
        <v>8403</v>
      </c>
      <c r="O394" s="2" t="s">
        <v>1083</v>
      </c>
      <c r="P394" s="2" t="s">
        <v>639</v>
      </c>
      <c r="Q394" s="2" t="s">
        <v>8445</v>
      </c>
      <c r="R394" s="2" t="s">
        <v>30</v>
      </c>
    </row>
    <row r="395" spans="1:18">
      <c r="A395" s="1">
        <v>44682</v>
      </c>
      <c r="B395" s="1">
        <v>44682</v>
      </c>
      <c r="C395">
        <v>2022</v>
      </c>
      <c r="D395">
        <v>5</v>
      </c>
      <c r="E395" s="2" t="s">
        <v>8450</v>
      </c>
      <c r="F395" s="2" t="s">
        <v>8451</v>
      </c>
      <c r="G395" s="2" t="s">
        <v>8335</v>
      </c>
      <c r="H395" s="2" t="s">
        <v>22</v>
      </c>
      <c r="I395" s="2" t="s">
        <v>8417</v>
      </c>
      <c r="J395" s="2" t="s">
        <v>24</v>
      </c>
      <c r="K395">
        <v>41.38</v>
      </c>
      <c r="L395">
        <v>4138000</v>
      </c>
      <c r="M395" s="2" t="s">
        <v>8422</v>
      </c>
      <c r="N395" s="2" t="s">
        <v>8426</v>
      </c>
      <c r="O395" s="2" t="s">
        <v>8755</v>
      </c>
      <c r="P395" s="2" t="s">
        <v>639</v>
      </c>
      <c r="Q395" s="2" t="s">
        <v>8445</v>
      </c>
      <c r="R395" s="2" t="s">
        <v>30</v>
      </c>
    </row>
    <row r="396" spans="1:18">
      <c r="A396" s="1">
        <v>44682</v>
      </c>
      <c r="B396" s="1">
        <v>44682</v>
      </c>
      <c r="C396">
        <v>2022</v>
      </c>
      <c r="D396">
        <v>5</v>
      </c>
      <c r="E396" s="2" t="s">
        <v>8453</v>
      </c>
      <c r="F396" s="2" t="s">
        <v>8454</v>
      </c>
      <c r="G396" s="2" t="s">
        <v>8335</v>
      </c>
      <c r="H396" s="2" t="s">
        <v>22</v>
      </c>
      <c r="I396" s="2" t="s">
        <v>8336</v>
      </c>
      <c r="J396" s="2" t="s">
        <v>24</v>
      </c>
      <c r="K396">
        <v>768.77</v>
      </c>
      <c r="L396">
        <v>76877000</v>
      </c>
      <c r="M396" s="2" t="s">
        <v>8348</v>
      </c>
      <c r="N396" s="2" t="s">
        <v>8352</v>
      </c>
      <c r="O396" s="2" t="s">
        <v>8756</v>
      </c>
      <c r="P396" s="2" t="s">
        <v>639</v>
      </c>
      <c r="Q396" s="2" t="s">
        <v>8445</v>
      </c>
      <c r="R396" s="2" t="s">
        <v>30</v>
      </c>
    </row>
    <row r="397" spans="1:18">
      <c r="A397" s="1">
        <v>44682</v>
      </c>
      <c r="B397" s="1">
        <v>44682</v>
      </c>
      <c r="C397">
        <v>2022</v>
      </c>
      <c r="D397">
        <v>5</v>
      </c>
      <c r="E397" s="2" t="s">
        <v>8456</v>
      </c>
      <c r="F397" s="2" t="s">
        <v>8457</v>
      </c>
      <c r="G397" s="2" t="s">
        <v>8335</v>
      </c>
      <c r="H397" s="2" t="s">
        <v>22</v>
      </c>
      <c r="I397" s="2" t="s">
        <v>8336</v>
      </c>
      <c r="J397" s="2" t="s">
        <v>24</v>
      </c>
      <c r="K397">
        <v>9176.2099999999991</v>
      </c>
      <c r="L397">
        <v>917621000</v>
      </c>
      <c r="M397" s="2" t="s">
        <v>8355</v>
      </c>
      <c r="N397" s="2" t="s">
        <v>8359</v>
      </c>
      <c r="O397" s="2" t="s">
        <v>8757</v>
      </c>
      <c r="P397" s="2" t="s">
        <v>639</v>
      </c>
      <c r="Q397" s="2" t="s">
        <v>8445</v>
      </c>
      <c r="R397" s="2" t="s">
        <v>30</v>
      </c>
    </row>
    <row r="398" spans="1:18">
      <c r="A398" s="1">
        <v>44682</v>
      </c>
      <c r="B398" s="1">
        <v>44682</v>
      </c>
      <c r="C398">
        <v>2022</v>
      </c>
      <c r="D398">
        <v>5</v>
      </c>
      <c r="E398" s="2" t="s">
        <v>8459</v>
      </c>
      <c r="F398" s="2" t="s">
        <v>8460</v>
      </c>
      <c r="G398" s="2" t="s">
        <v>8335</v>
      </c>
      <c r="H398" s="2" t="s">
        <v>22</v>
      </c>
      <c r="I398" s="2" t="s">
        <v>8336</v>
      </c>
      <c r="J398" s="2" t="s">
        <v>59</v>
      </c>
      <c r="K398">
        <v>9944.98</v>
      </c>
      <c r="L398">
        <v>994498000</v>
      </c>
      <c r="M398" s="2" t="s">
        <v>8331</v>
      </c>
      <c r="N398" s="2" t="s">
        <v>8341</v>
      </c>
      <c r="O398" s="2" t="s">
        <v>8758</v>
      </c>
      <c r="P398" s="2" t="s">
        <v>639</v>
      </c>
      <c r="Q398" s="2" t="s">
        <v>8445</v>
      </c>
      <c r="R398" s="2" t="s">
        <v>30</v>
      </c>
    </row>
    <row r="399" spans="1:18">
      <c r="A399" s="1">
        <v>44682</v>
      </c>
      <c r="B399" s="1">
        <v>44682</v>
      </c>
      <c r="C399">
        <v>2022</v>
      </c>
      <c r="D399">
        <v>5</v>
      </c>
      <c r="E399" s="2" t="s">
        <v>8462</v>
      </c>
      <c r="F399" s="2" t="s">
        <v>8463</v>
      </c>
      <c r="G399" s="2" t="s">
        <v>8335</v>
      </c>
      <c r="H399" s="2" t="s">
        <v>22</v>
      </c>
      <c r="I399" s="2" t="s">
        <v>8409</v>
      </c>
      <c r="J399" s="2" t="s">
        <v>24</v>
      </c>
      <c r="K399">
        <v>10.130000000000001</v>
      </c>
      <c r="L399">
        <v>1013000</v>
      </c>
      <c r="M399" s="2" t="s">
        <v>8406</v>
      </c>
      <c r="N399" s="2" t="s">
        <v>8411</v>
      </c>
      <c r="O399" s="2" t="s">
        <v>8759</v>
      </c>
      <c r="P399" s="2" t="s">
        <v>639</v>
      </c>
      <c r="Q399" s="2" t="s">
        <v>8445</v>
      </c>
      <c r="R399" s="2" t="s">
        <v>30</v>
      </c>
    </row>
    <row r="400" spans="1:18">
      <c r="A400" s="1">
        <v>44682</v>
      </c>
      <c r="B400" s="1">
        <v>44682</v>
      </c>
      <c r="C400">
        <v>2022</v>
      </c>
      <c r="D400">
        <v>5</v>
      </c>
      <c r="E400" s="2" t="s">
        <v>8464</v>
      </c>
      <c r="F400" s="2" t="s">
        <v>8465</v>
      </c>
      <c r="G400" s="2" t="s">
        <v>8335</v>
      </c>
      <c r="H400" s="2" t="s">
        <v>22</v>
      </c>
      <c r="I400" s="2" t="s">
        <v>8417</v>
      </c>
      <c r="J400" s="2" t="s">
        <v>24</v>
      </c>
      <c r="K400">
        <v>61.69</v>
      </c>
      <c r="L400">
        <v>6169000</v>
      </c>
      <c r="M400" s="2" t="s">
        <v>8414</v>
      </c>
      <c r="N400" s="2" t="s">
        <v>8419</v>
      </c>
      <c r="O400" s="2" t="s">
        <v>8760</v>
      </c>
      <c r="P400" s="2" t="s">
        <v>639</v>
      </c>
      <c r="Q400" s="2" t="s">
        <v>8445</v>
      </c>
      <c r="R400" s="2" t="s">
        <v>30</v>
      </c>
    </row>
    <row r="401" spans="1:18">
      <c r="A401" s="1">
        <v>44682</v>
      </c>
      <c r="B401" s="1">
        <v>44682</v>
      </c>
      <c r="C401">
        <v>2022</v>
      </c>
      <c r="D401">
        <v>5</v>
      </c>
      <c r="E401" s="2" t="s">
        <v>8467</v>
      </c>
      <c r="F401" s="2" t="s">
        <v>8468</v>
      </c>
      <c r="G401" s="2" t="s">
        <v>8335</v>
      </c>
      <c r="H401" s="2" t="s">
        <v>22</v>
      </c>
      <c r="I401" s="2" t="s">
        <v>8365</v>
      </c>
      <c r="J401" s="2" t="s">
        <v>24</v>
      </c>
      <c r="K401">
        <v>2706.97</v>
      </c>
      <c r="L401">
        <v>270697000</v>
      </c>
      <c r="M401" s="2" t="s">
        <v>8377</v>
      </c>
      <c r="N401" s="2" t="s">
        <v>8381</v>
      </c>
      <c r="O401" s="2" t="s">
        <v>8761</v>
      </c>
      <c r="P401" s="2" t="s">
        <v>639</v>
      </c>
      <c r="Q401" s="2" t="s">
        <v>8445</v>
      </c>
      <c r="R401" s="2" t="s">
        <v>30</v>
      </c>
    </row>
    <row r="402" spans="1:18">
      <c r="A402" s="1">
        <v>44682</v>
      </c>
      <c r="B402" s="1">
        <v>44682</v>
      </c>
      <c r="C402">
        <v>2022</v>
      </c>
      <c r="D402">
        <v>5</v>
      </c>
      <c r="E402" s="2" t="s">
        <v>8470</v>
      </c>
      <c r="F402" s="2" t="s">
        <v>8471</v>
      </c>
      <c r="G402" s="2" t="s">
        <v>8335</v>
      </c>
      <c r="H402" s="2" t="s">
        <v>22</v>
      </c>
      <c r="I402" s="2" t="s">
        <v>8365</v>
      </c>
      <c r="J402" s="2" t="s">
        <v>59</v>
      </c>
      <c r="K402">
        <v>15591.1</v>
      </c>
      <c r="L402">
        <v>1559110000</v>
      </c>
      <c r="M402" s="2" t="s">
        <v>8362</v>
      </c>
      <c r="N402" s="2" t="s">
        <v>8367</v>
      </c>
      <c r="O402" s="2" t="s">
        <v>8762</v>
      </c>
      <c r="P402" s="2" t="s">
        <v>639</v>
      </c>
      <c r="Q402" s="2" t="s">
        <v>8445</v>
      </c>
      <c r="R402" s="2" t="s">
        <v>30</v>
      </c>
    </row>
    <row r="403" spans="1:18">
      <c r="A403" s="1">
        <v>44682</v>
      </c>
      <c r="B403" s="1">
        <v>44682</v>
      </c>
      <c r="C403">
        <v>2022</v>
      </c>
      <c r="D403">
        <v>5</v>
      </c>
      <c r="E403" s="2" t="s">
        <v>8473</v>
      </c>
      <c r="F403" s="2" t="s">
        <v>8474</v>
      </c>
      <c r="G403" s="2" t="s">
        <v>8335</v>
      </c>
      <c r="H403" s="2" t="s">
        <v>22</v>
      </c>
      <c r="I403" s="2" t="s">
        <v>8365</v>
      </c>
      <c r="J403" s="2" t="s">
        <v>24</v>
      </c>
      <c r="K403">
        <v>12884.13</v>
      </c>
      <c r="L403">
        <v>1288413000</v>
      </c>
      <c r="M403" s="2" t="s">
        <v>8370</v>
      </c>
      <c r="N403" s="2" t="s">
        <v>8374</v>
      </c>
      <c r="O403" s="2" t="s">
        <v>8763</v>
      </c>
      <c r="P403" s="2" t="s">
        <v>639</v>
      </c>
      <c r="Q403" s="2" t="s">
        <v>8445</v>
      </c>
      <c r="R403" s="2" t="s">
        <v>30</v>
      </c>
    </row>
    <row r="404" spans="1:18">
      <c r="A404" s="1">
        <v>44682</v>
      </c>
      <c r="B404" s="1">
        <v>44682</v>
      </c>
      <c r="C404">
        <v>2022</v>
      </c>
      <c r="D404">
        <v>5</v>
      </c>
      <c r="E404" s="2" t="s">
        <v>7890</v>
      </c>
      <c r="F404" s="2" t="s">
        <v>7891</v>
      </c>
      <c r="G404" s="2" t="s">
        <v>8335</v>
      </c>
      <c r="H404" s="2" t="s">
        <v>22</v>
      </c>
      <c r="I404" s="2" t="s">
        <v>8417</v>
      </c>
      <c r="J404" s="2" t="s">
        <v>24</v>
      </c>
      <c r="K404">
        <v>1881.16</v>
      </c>
      <c r="L404">
        <v>188116000</v>
      </c>
      <c r="M404" s="2" t="s">
        <v>7889</v>
      </c>
      <c r="N404" s="2" t="s">
        <v>7911</v>
      </c>
      <c r="O404" s="2" t="s">
        <v>8764</v>
      </c>
      <c r="P404" s="2" t="s">
        <v>639</v>
      </c>
      <c r="Q404" s="2" t="s">
        <v>8445</v>
      </c>
      <c r="R404" s="2" t="s">
        <v>30</v>
      </c>
    </row>
    <row r="405" spans="1:18">
      <c r="A405" s="1">
        <v>44713</v>
      </c>
      <c r="B405" s="1">
        <v>44713</v>
      </c>
      <c r="C405">
        <v>2022</v>
      </c>
      <c r="D405">
        <v>6</v>
      </c>
      <c r="E405" s="2" t="s">
        <v>8443</v>
      </c>
      <c r="F405" s="2" t="s">
        <v>8444</v>
      </c>
      <c r="G405" s="2" t="s">
        <v>8335</v>
      </c>
      <c r="H405" s="2" t="s">
        <v>22</v>
      </c>
      <c r="I405" s="2" t="s">
        <v>8387</v>
      </c>
      <c r="J405" s="2" t="s">
        <v>24</v>
      </c>
      <c r="K405">
        <v>2.2000000000000002</v>
      </c>
      <c r="L405">
        <v>220000</v>
      </c>
      <c r="M405" s="2" t="s">
        <v>8392</v>
      </c>
      <c r="N405" s="2" t="s">
        <v>8396</v>
      </c>
      <c r="O405" s="2" t="s">
        <v>477</v>
      </c>
      <c r="P405" s="2" t="s">
        <v>639</v>
      </c>
      <c r="Q405" s="2" t="s">
        <v>8445</v>
      </c>
      <c r="R405" s="2" t="s">
        <v>30</v>
      </c>
    </row>
    <row r="406" spans="1:18">
      <c r="A406" s="1">
        <v>44713</v>
      </c>
      <c r="B406" s="1">
        <v>44713</v>
      </c>
      <c r="C406">
        <v>2022</v>
      </c>
      <c r="D406">
        <v>6</v>
      </c>
      <c r="E406" s="2" t="s">
        <v>8446</v>
      </c>
      <c r="F406" s="2" t="s">
        <v>8447</v>
      </c>
      <c r="G406" s="2" t="s">
        <v>8335</v>
      </c>
      <c r="H406" s="2" t="s">
        <v>22</v>
      </c>
      <c r="I406" s="2" t="s">
        <v>8387</v>
      </c>
      <c r="J406" s="2" t="s">
        <v>59</v>
      </c>
      <c r="K406">
        <v>2.5299999999999998</v>
      </c>
      <c r="L406">
        <v>253000</v>
      </c>
      <c r="M406" s="2" t="s">
        <v>8384</v>
      </c>
      <c r="N406" s="2" t="s">
        <v>8389</v>
      </c>
      <c r="O406" s="2" t="s">
        <v>8765</v>
      </c>
      <c r="P406" s="2" t="s">
        <v>639</v>
      </c>
      <c r="Q406" s="2" t="s">
        <v>8445</v>
      </c>
      <c r="R406" s="2" t="s">
        <v>30</v>
      </c>
    </row>
    <row r="407" spans="1:18">
      <c r="A407" s="1">
        <v>44713</v>
      </c>
      <c r="B407" s="1">
        <v>44713</v>
      </c>
      <c r="C407">
        <v>2022</v>
      </c>
      <c r="D407">
        <v>6</v>
      </c>
      <c r="E407" s="2" t="s">
        <v>8448</v>
      </c>
      <c r="F407" s="2" t="s">
        <v>8449</v>
      </c>
      <c r="G407" s="2" t="s">
        <v>8335</v>
      </c>
      <c r="H407" s="2" t="s">
        <v>22</v>
      </c>
      <c r="I407" s="2" t="s">
        <v>8387</v>
      </c>
      <c r="J407" s="2" t="s">
        <v>24</v>
      </c>
      <c r="K407">
        <v>0.33</v>
      </c>
      <c r="L407">
        <v>33000</v>
      </c>
      <c r="M407" s="2" t="s">
        <v>8399</v>
      </c>
      <c r="N407" s="2" t="s">
        <v>8403</v>
      </c>
      <c r="O407" s="2" t="s">
        <v>773</v>
      </c>
      <c r="P407" s="2" t="s">
        <v>639</v>
      </c>
      <c r="Q407" s="2" t="s">
        <v>8445</v>
      </c>
      <c r="R407" s="2" t="s">
        <v>30</v>
      </c>
    </row>
    <row r="408" spans="1:18">
      <c r="A408" s="1">
        <v>44713</v>
      </c>
      <c r="B408" s="1">
        <v>44713</v>
      </c>
      <c r="C408">
        <v>2022</v>
      </c>
      <c r="D408">
        <v>6</v>
      </c>
      <c r="E408" s="2" t="s">
        <v>8450</v>
      </c>
      <c r="F408" s="2" t="s">
        <v>8451</v>
      </c>
      <c r="G408" s="2" t="s">
        <v>8335</v>
      </c>
      <c r="H408" s="2" t="s">
        <v>22</v>
      </c>
      <c r="I408" s="2" t="s">
        <v>8417</v>
      </c>
      <c r="J408" s="2" t="s">
        <v>24</v>
      </c>
      <c r="K408">
        <v>42.8</v>
      </c>
      <c r="L408">
        <v>4280000</v>
      </c>
      <c r="M408" s="2" t="s">
        <v>8422</v>
      </c>
      <c r="N408" s="2" t="s">
        <v>8426</v>
      </c>
      <c r="O408" s="2" t="s">
        <v>8766</v>
      </c>
      <c r="P408" s="2" t="s">
        <v>639</v>
      </c>
      <c r="Q408" s="2" t="s">
        <v>8445</v>
      </c>
      <c r="R408" s="2" t="s">
        <v>30</v>
      </c>
    </row>
    <row r="409" spans="1:18">
      <c r="A409" s="1">
        <v>44713</v>
      </c>
      <c r="B409" s="1">
        <v>44713</v>
      </c>
      <c r="C409">
        <v>2022</v>
      </c>
      <c r="D409">
        <v>6</v>
      </c>
      <c r="E409" s="2" t="s">
        <v>8453</v>
      </c>
      <c r="F409" s="2" t="s">
        <v>8454</v>
      </c>
      <c r="G409" s="2" t="s">
        <v>8335</v>
      </c>
      <c r="H409" s="2" t="s">
        <v>22</v>
      </c>
      <c r="I409" s="2" t="s">
        <v>8336</v>
      </c>
      <c r="J409" s="2" t="s">
        <v>24</v>
      </c>
      <c r="K409">
        <v>787.23</v>
      </c>
      <c r="L409">
        <v>78723000</v>
      </c>
      <c r="M409" s="2" t="s">
        <v>8348</v>
      </c>
      <c r="N409" s="2" t="s">
        <v>8352</v>
      </c>
      <c r="O409" s="2" t="s">
        <v>8767</v>
      </c>
      <c r="P409" s="2" t="s">
        <v>639</v>
      </c>
      <c r="Q409" s="2" t="s">
        <v>8445</v>
      </c>
      <c r="R409" s="2" t="s">
        <v>30</v>
      </c>
    </row>
    <row r="410" spans="1:18">
      <c r="A410" s="1">
        <v>44713</v>
      </c>
      <c r="B410" s="1">
        <v>44713</v>
      </c>
      <c r="C410">
        <v>2022</v>
      </c>
      <c r="D410">
        <v>6</v>
      </c>
      <c r="E410" s="2" t="s">
        <v>8456</v>
      </c>
      <c r="F410" s="2" t="s">
        <v>8457</v>
      </c>
      <c r="G410" s="2" t="s">
        <v>8335</v>
      </c>
      <c r="H410" s="2" t="s">
        <v>22</v>
      </c>
      <c r="I410" s="2" t="s">
        <v>8336</v>
      </c>
      <c r="J410" s="2" t="s">
        <v>24</v>
      </c>
      <c r="K410">
        <v>9154.51</v>
      </c>
      <c r="L410">
        <v>915451000</v>
      </c>
      <c r="M410" s="2" t="s">
        <v>8355</v>
      </c>
      <c r="N410" s="2" t="s">
        <v>8359</v>
      </c>
      <c r="O410" s="2" t="s">
        <v>8768</v>
      </c>
      <c r="P410" s="2" t="s">
        <v>639</v>
      </c>
      <c r="Q410" s="2" t="s">
        <v>8445</v>
      </c>
      <c r="R410" s="2" t="s">
        <v>30</v>
      </c>
    </row>
    <row r="411" spans="1:18">
      <c r="A411" s="1">
        <v>44713</v>
      </c>
      <c r="B411" s="1">
        <v>44713</v>
      </c>
      <c r="C411">
        <v>2022</v>
      </c>
      <c r="D411">
        <v>6</v>
      </c>
      <c r="E411" s="2" t="s">
        <v>8459</v>
      </c>
      <c r="F411" s="2" t="s">
        <v>8460</v>
      </c>
      <c r="G411" s="2" t="s">
        <v>8335</v>
      </c>
      <c r="H411" s="2" t="s">
        <v>22</v>
      </c>
      <c r="I411" s="2" t="s">
        <v>8336</v>
      </c>
      <c r="J411" s="2" t="s">
        <v>59</v>
      </c>
      <c r="K411">
        <v>9941.74</v>
      </c>
      <c r="L411">
        <v>994174000</v>
      </c>
      <c r="M411" s="2" t="s">
        <v>8331</v>
      </c>
      <c r="N411" s="2" t="s">
        <v>8341</v>
      </c>
      <c r="O411" s="2" t="s">
        <v>8769</v>
      </c>
      <c r="P411" s="2" t="s">
        <v>639</v>
      </c>
      <c r="Q411" s="2" t="s">
        <v>8445</v>
      </c>
      <c r="R411" s="2" t="s">
        <v>30</v>
      </c>
    </row>
    <row r="412" spans="1:18">
      <c r="A412" s="1">
        <v>44713</v>
      </c>
      <c r="B412" s="1">
        <v>44713</v>
      </c>
      <c r="C412">
        <v>2022</v>
      </c>
      <c r="D412">
        <v>6</v>
      </c>
      <c r="E412" s="2" t="s">
        <v>8462</v>
      </c>
      <c r="F412" s="2" t="s">
        <v>8463</v>
      </c>
      <c r="G412" s="2" t="s">
        <v>8335</v>
      </c>
      <c r="H412" s="2" t="s">
        <v>22</v>
      </c>
      <c r="I412" s="2" t="s">
        <v>8409</v>
      </c>
      <c r="J412" s="2" t="s">
        <v>24</v>
      </c>
      <c r="K412">
        <v>10.72</v>
      </c>
      <c r="L412">
        <v>1072000</v>
      </c>
      <c r="M412" s="2" t="s">
        <v>8406</v>
      </c>
      <c r="N412" s="2" t="s">
        <v>8411</v>
      </c>
      <c r="O412" s="2" t="s">
        <v>8770</v>
      </c>
      <c r="P412" s="2" t="s">
        <v>639</v>
      </c>
      <c r="Q412" s="2" t="s">
        <v>8445</v>
      </c>
      <c r="R412" s="2" t="s">
        <v>30</v>
      </c>
    </row>
    <row r="413" spans="1:18">
      <c r="A413" s="1">
        <v>44713</v>
      </c>
      <c r="B413" s="1">
        <v>44713</v>
      </c>
      <c r="C413">
        <v>2022</v>
      </c>
      <c r="D413">
        <v>6</v>
      </c>
      <c r="E413" s="2" t="s">
        <v>8464</v>
      </c>
      <c r="F413" s="2" t="s">
        <v>8465</v>
      </c>
      <c r="G413" s="2" t="s">
        <v>8335</v>
      </c>
      <c r="H413" s="2" t="s">
        <v>22</v>
      </c>
      <c r="I413" s="2" t="s">
        <v>8417</v>
      </c>
      <c r="J413" s="2" t="s">
        <v>24</v>
      </c>
      <c r="K413">
        <v>65.91</v>
      </c>
      <c r="L413">
        <v>6591000</v>
      </c>
      <c r="M413" s="2" t="s">
        <v>8414</v>
      </c>
      <c r="N413" s="2" t="s">
        <v>8419</v>
      </c>
      <c r="O413" s="2" t="s">
        <v>8771</v>
      </c>
      <c r="P413" s="2" t="s">
        <v>639</v>
      </c>
      <c r="Q413" s="2" t="s">
        <v>8445</v>
      </c>
      <c r="R413" s="2" t="s">
        <v>30</v>
      </c>
    </row>
    <row r="414" spans="1:18">
      <c r="A414" s="1">
        <v>44713</v>
      </c>
      <c r="B414" s="1">
        <v>44713</v>
      </c>
      <c r="C414">
        <v>2022</v>
      </c>
      <c r="D414">
        <v>6</v>
      </c>
      <c r="E414" s="2" t="s">
        <v>8467</v>
      </c>
      <c r="F414" s="2" t="s">
        <v>8468</v>
      </c>
      <c r="G414" s="2" t="s">
        <v>8335</v>
      </c>
      <c r="H414" s="2" t="s">
        <v>22</v>
      </c>
      <c r="I414" s="2" t="s">
        <v>8365</v>
      </c>
      <c r="J414" s="2" t="s">
        <v>24</v>
      </c>
      <c r="K414">
        <v>2676.2</v>
      </c>
      <c r="L414">
        <v>267620000</v>
      </c>
      <c r="M414" s="2" t="s">
        <v>8377</v>
      </c>
      <c r="N414" s="2" t="s">
        <v>8381</v>
      </c>
      <c r="O414" s="2" t="s">
        <v>8772</v>
      </c>
      <c r="P414" s="2" t="s">
        <v>639</v>
      </c>
      <c r="Q414" s="2" t="s">
        <v>8445</v>
      </c>
      <c r="R414" s="2" t="s">
        <v>30</v>
      </c>
    </row>
    <row r="415" spans="1:18">
      <c r="A415" s="1">
        <v>44713</v>
      </c>
      <c r="B415" s="1">
        <v>44713</v>
      </c>
      <c r="C415">
        <v>2022</v>
      </c>
      <c r="D415">
        <v>6</v>
      </c>
      <c r="E415" s="2" t="s">
        <v>8470</v>
      </c>
      <c r="F415" s="2" t="s">
        <v>8471</v>
      </c>
      <c r="G415" s="2" t="s">
        <v>8335</v>
      </c>
      <c r="H415" s="2" t="s">
        <v>22</v>
      </c>
      <c r="I415" s="2" t="s">
        <v>8365</v>
      </c>
      <c r="J415" s="2" t="s">
        <v>59</v>
      </c>
      <c r="K415">
        <v>15608.66</v>
      </c>
      <c r="L415">
        <v>1560866000</v>
      </c>
      <c r="M415" s="2" t="s">
        <v>8362</v>
      </c>
      <c r="N415" s="2" t="s">
        <v>8367</v>
      </c>
      <c r="O415" s="2" t="s">
        <v>8773</v>
      </c>
      <c r="P415" s="2" t="s">
        <v>639</v>
      </c>
      <c r="Q415" s="2" t="s">
        <v>8445</v>
      </c>
      <c r="R415" s="2" t="s">
        <v>30</v>
      </c>
    </row>
    <row r="416" spans="1:18">
      <c r="A416" s="1">
        <v>44713</v>
      </c>
      <c r="B416" s="1">
        <v>44713</v>
      </c>
      <c r="C416">
        <v>2022</v>
      </c>
      <c r="D416">
        <v>6</v>
      </c>
      <c r="E416" s="2" t="s">
        <v>8473</v>
      </c>
      <c r="F416" s="2" t="s">
        <v>8474</v>
      </c>
      <c r="G416" s="2" t="s">
        <v>8335</v>
      </c>
      <c r="H416" s="2" t="s">
        <v>22</v>
      </c>
      <c r="I416" s="2" t="s">
        <v>8365</v>
      </c>
      <c r="J416" s="2" t="s">
        <v>24</v>
      </c>
      <c r="K416">
        <v>12932.46</v>
      </c>
      <c r="L416">
        <v>1293246000</v>
      </c>
      <c r="M416" s="2" t="s">
        <v>8370</v>
      </c>
      <c r="N416" s="2" t="s">
        <v>8374</v>
      </c>
      <c r="O416" s="2" t="s">
        <v>8774</v>
      </c>
      <c r="P416" s="2" t="s">
        <v>639</v>
      </c>
      <c r="Q416" s="2" t="s">
        <v>8445</v>
      </c>
      <c r="R416" s="2" t="s">
        <v>30</v>
      </c>
    </row>
    <row r="417" spans="1:18">
      <c r="A417" s="1">
        <v>44713</v>
      </c>
      <c r="B417" s="1">
        <v>44713</v>
      </c>
      <c r="C417">
        <v>2022</v>
      </c>
      <c r="D417">
        <v>6</v>
      </c>
      <c r="E417" s="2" t="s">
        <v>7890</v>
      </c>
      <c r="F417" s="2" t="s">
        <v>7891</v>
      </c>
      <c r="G417" s="2" t="s">
        <v>8335</v>
      </c>
      <c r="H417" s="2" t="s">
        <v>22</v>
      </c>
      <c r="I417" s="2" t="s">
        <v>8417</v>
      </c>
      <c r="J417" s="2" t="s">
        <v>24</v>
      </c>
      <c r="K417">
        <v>1952.91</v>
      </c>
      <c r="L417">
        <v>195291000</v>
      </c>
      <c r="M417" s="2" t="s">
        <v>7889</v>
      </c>
      <c r="N417" s="2" t="s">
        <v>7911</v>
      </c>
      <c r="O417" s="2" t="s">
        <v>8775</v>
      </c>
      <c r="P417" s="2" t="s">
        <v>639</v>
      </c>
      <c r="Q417" s="2" t="s">
        <v>8445</v>
      </c>
      <c r="R417" s="2" t="s">
        <v>30</v>
      </c>
    </row>
    <row r="418" spans="1:18">
      <c r="A418" s="1">
        <v>44743</v>
      </c>
      <c r="B418" s="1">
        <v>44743</v>
      </c>
      <c r="C418">
        <v>2022</v>
      </c>
      <c r="D418">
        <v>7</v>
      </c>
      <c r="E418" s="2" t="s">
        <v>8443</v>
      </c>
      <c r="F418" s="2" t="s">
        <v>8444</v>
      </c>
      <c r="G418" s="2" t="s">
        <v>8335</v>
      </c>
      <c r="H418" s="2" t="s">
        <v>22</v>
      </c>
      <c r="I418" s="2" t="s">
        <v>8387</v>
      </c>
      <c r="J418" s="2" t="s">
        <v>24</v>
      </c>
      <c r="K418">
        <v>2.2000000000000002</v>
      </c>
      <c r="L418">
        <v>220000</v>
      </c>
      <c r="M418" s="2" t="s">
        <v>8392</v>
      </c>
      <c r="N418" s="2" t="s">
        <v>8396</v>
      </c>
      <c r="O418" s="2" t="s">
        <v>477</v>
      </c>
      <c r="P418" s="2" t="s">
        <v>639</v>
      </c>
      <c r="Q418" s="2" t="s">
        <v>8445</v>
      </c>
      <c r="R418" s="2" t="s">
        <v>30</v>
      </c>
    </row>
    <row r="419" spans="1:18">
      <c r="A419" s="1">
        <v>44743</v>
      </c>
      <c r="B419" s="1">
        <v>44743</v>
      </c>
      <c r="C419">
        <v>2022</v>
      </c>
      <c r="D419">
        <v>7</v>
      </c>
      <c r="E419" s="2" t="s">
        <v>8446</v>
      </c>
      <c r="F419" s="2" t="s">
        <v>8447</v>
      </c>
      <c r="G419" s="2" t="s">
        <v>8335</v>
      </c>
      <c r="H419" s="2" t="s">
        <v>22</v>
      </c>
      <c r="I419" s="2" t="s">
        <v>8387</v>
      </c>
      <c r="J419" s="2" t="s">
        <v>59</v>
      </c>
      <c r="K419">
        <v>2.54</v>
      </c>
      <c r="L419">
        <v>254000</v>
      </c>
      <c r="M419" s="2" t="s">
        <v>8384</v>
      </c>
      <c r="N419" s="2" t="s">
        <v>8389</v>
      </c>
      <c r="O419" s="2" t="s">
        <v>2913</v>
      </c>
      <c r="P419" s="2" t="s">
        <v>639</v>
      </c>
      <c r="Q419" s="2" t="s">
        <v>8445</v>
      </c>
      <c r="R419" s="2" t="s">
        <v>30</v>
      </c>
    </row>
    <row r="420" spans="1:18">
      <c r="A420" s="1">
        <v>44743</v>
      </c>
      <c r="B420" s="1">
        <v>44743</v>
      </c>
      <c r="C420">
        <v>2022</v>
      </c>
      <c r="D420">
        <v>7</v>
      </c>
      <c r="E420" s="2" t="s">
        <v>8448</v>
      </c>
      <c r="F420" s="2" t="s">
        <v>8449</v>
      </c>
      <c r="G420" s="2" t="s">
        <v>8335</v>
      </c>
      <c r="H420" s="2" t="s">
        <v>22</v>
      </c>
      <c r="I420" s="2" t="s">
        <v>8387</v>
      </c>
      <c r="J420" s="2" t="s">
        <v>24</v>
      </c>
      <c r="K420">
        <v>0.34</v>
      </c>
      <c r="L420">
        <v>34000</v>
      </c>
      <c r="M420" s="2" t="s">
        <v>8399</v>
      </c>
      <c r="N420" s="2" t="s">
        <v>8403</v>
      </c>
      <c r="O420" s="2" t="s">
        <v>3373</v>
      </c>
      <c r="P420" s="2" t="s">
        <v>639</v>
      </c>
      <c r="Q420" s="2" t="s">
        <v>8445</v>
      </c>
      <c r="R420" s="2" t="s">
        <v>30</v>
      </c>
    </row>
    <row r="421" spans="1:18">
      <c r="A421" s="1">
        <v>44743</v>
      </c>
      <c r="B421" s="1">
        <v>44743</v>
      </c>
      <c r="C421">
        <v>2022</v>
      </c>
      <c r="D421">
        <v>7</v>
      </c>
      <c r="E421" s="2" t="s">
        <v>8450</v>
      </c>
      <c r="F421" s="2" t="s">
        <v>8451</v>
      </c>
      <c r="G421" s="2" t="s">
        <v>8335</v>
      </c>
      <c r="H421" s="2" t="s">
        <v>22</v>
      </c>
      <c r="I421" s="2" t="s">
        <v>8417</v>
      </c>
      <c r="J421" s="2" t="s">
        <v>24</v>
      </c>
      <c r="K421">
        <v>45.21</v>
      </c>
      <c r="L421">
        <v>4521000</v>
      </c>
      <c r="M421" s="2" t="s">
        <v>8422</v>
      </c>
      <c r="N421" s="2" t="s">
        <v>8426</v>
      </c>
      <c r="O421" s="2" t="s">
        <v>8776</v>
      </c>
      <c r="P421" s="2" t="s">
        <v>639</v>
      </c>
      <c r="Q421" s="2" t="s">
        <v>8445</v>
      </c>
      <c r="R421" s="2" t="s">
        <v>30</v>
      </c>
    </row>
    <row r="422" spans="1:18">
      <c r="A422" s="1">
        <v>44743</v>
      </c>
      <c r="B422" s="1">
        <v>44743</v>
      </c>
      <c r="C422">
        <v>2022</v>
      </c>
      <c r="D422">
        <v>7</v>
      </c>
      <c r="E422" s="2" t="s">
        <v>8453</v>
      </c>
      <c r="F422" s="2" t="s">
        <v>8454</v>
      </c>
      <c r="G422" s="2" t="s">
        <v>8335</v>
      </c>
      <c r="H422" s="2" t="s">
        <v>22</v>
      </c>
      <c r="I422" s="2" t="s">
        <v>8336</v>
      </c>
      <c r="J422" s="2" t="s">
        <v>24</v>
      </c>
      <c r="K422">
        <v>802.56</v>
      </c>
      <c r="L422">
        <v>80256000</v>
      </c>
      <c r="M422" s="2" t="s">
        <v>8348</v>
      </c>
      <c r="N422" s="2" t="s">
        <v>8352</v>
      </c>
      <c r="O422" s="2" t="s">
        <v>8777</v>
      </c>
      <c r="P422" s="2" t="s">
        <v>639</v>
      </c>
      <c r="Q422" s="2" t="s">
        <v>8445</v>
      </c>
      <c r="R422" s="2" t="s">
        <v>30</v>
      </c>
    </row>
    <row r="423" spans="1:18">
      <c r="A423" s="1">
        <v>44743</v>
      </c>
      <c r="B423" s="1">
        <v>44743</v>
      </c>
      <c r="C423">
        <v>2022</v>
      </c>
      <c r="D423">
        <v>7</v>
      </c>
      <c r="E423" s="2" t="s">
        <v>8456</v>
      </c>
      <c r="F423" s="2" t="s">
        <v>8457</v>
      </c>
      <c r="G423" s="2" t="s">
        <v>8335</v>
      </c>
      <c r="H423" s="2" t="s">
        <v>22</v>
      </c>
      <c r="I423" s="2" t="s">
        <v>8336</v>
      </c>
      <c r="J423" s="2" t="s">
        <v>24</v>
      </c>
      <c r="K423">
        <v>9281.34</v>
      </c>
      <c r="L423">
        <v>928134000</v>
      </c>
      <c r="M423" s="2" t="s">
        <v>8355</v>
      </c>
      <c r="N423" s="2" t="s">
        <v>8359</v>
      </c>
      <c r="O423" s="2" t="s">
        <v>8778</v>
      </c>
      <c r="P423" s="2" t="s">
        <v>175</v>
      </c>
      <c r="Q423" s="2" t="s">
        <v>8445</v>
      </c>
      <c r="R423" s="2" t="s">
        <v>30</v>
      </c>
    </row>
    <row r="424" spans="1:18">
      <c r="A424" s="1">
        <v>44743</v>
      </c>
      <c r="B424" s="1">
        <v>44743</v>
      </c>
      <c r="C424">
        <v>2022</v>
      </c>
      <c r="D424">
        <v>7</v>
      </c>
      <c r="E424" s="2" t="s">
        <v>8459</v>
      </c>
      <c r="F424" s="2" t="s">
        <v>8460</v>
      </c>
      <c r="G424" s="2" t="s">
        <v>8335</v>
      </c>
      <c r="H424" s="2" t="s">
        <v>22</v>
      </c>
      <c r="I424" s="2" t="s">
        <v>8336</v>
      </c>
      <c r="J424" s="2" t="s">
        <v>59</v>
      </c>
      <c r="K424">
        <v>10083.9</v>
      </c>
      <c r="L424">
        <v>1008390000</v>
      </c>
      <c r="M424" s="2" t="s">
        <v>8331</v>
      </c>
      <c r="N424" s="2" t="s">
        <v>8341</v>
      </c>
      <c r="O424" s="2" t="s">
        <v>8779</v>
      </c>
      <c r="P424" s="2" t="s">
        <v>175</v>
      </c>
      <c r="Q424" s="2" t="s">
        <v>8445</v>
      </c>
      <c r="R424" s="2" t="s">
        <v>30</v>
      </c>
    </row>
    <row r="425" spans="1:18">
      <c r="A425" s="1">
        <v>44743</v>
      </c>
      <c r="B425" s="1">
        <v>44743</v>
      </c>
      <c r="C425">
        <v>2022</v>
      </c>
      <c r="D425">
        <v>7</v>
      </c>
      <c r="E425" s="2" t="s">
        <v>8462</v>
      </c>
      <c r="F425" s="2" t="s">
        <v>8463</v>
      </c>
      <c r="G425" s="2" t="s">
        <v>8335</v>
      </c>
      <c r="H425" s="2" t="s">
        <v>22</v>
      </c>
      <c r="I425" s="2" t="s">
        <v>8409</v>
      </c>
      <c r="J425" s="2" t="s">
        <v>24</v>
      </c>
      <c r="K425">
        <v>11.36</v>
      </c>
      <c r="L425">
        <v>1136000</v>
      </c>
      <c r="M425" s="2" t="s">
        <v>8406</v>
      </c>
      <c r="N425" s="2" t="s">
        <v>8411</v>
      </c>
      <c r="O425" s="2" t="s">
        <v>8780</v>
      </c>
      <c r="P425" s="2" t="s">
        <v>175</v>
      </c>
      <c r="Q425" s="2" t="s">
        <v>8445</v>
      </c>
      <c r="R425" s="2" t="s">
        <v>30</v>
      </c>
    </row>
    <row r="426" spans="1:18">
      <c r="A426" s="1">
        <v>44743</v>
      </c>
      <c r="B426" s="1">
        <v>44743</v>
      </c>
      <c r="C426">
        <v>2022</v>
      </c>
      <c r="D426">
        <v>7</v>
      </c>
      <c r="E426" s="2" t="s">
        <v>8464</v>
      </c>
      <c r="F426" s="2" t="s">
        <v>8465</v>
      </c>
      <c r="G426" s="2" t="s">
        <v>8335</v>
      </c>
      <c r="H426" s="2" t="s">
        <v>22</v>
      </c>
      <c r="I426" s="2" t="s">
        <v>8417</v>
      </c>
      <c r="J426" s="2" t="s">
        <v>24</v>
      </c>
      <c r="K426">
        <v>68.19</v>
      </c>
      <c r="L426">
        <v>6819000</v>
      </c>
      <c r="M426" s="2" t="s">
        <v>8414</v>
      </c>
      <c r="N426" s="2" t="s">
        <v>8419</v>
      </c>
      <c r="O426" s="2" t="s">
        <v>8781</v>
      </c>
      <c r="P426" s="2" t="s">
        <v>639</v>
      </c>
      <c r="Q426" s="2" t="s">
        <v>8445</v>
      </c>
      <c r="R426" s="2" t="s">
        <v>30</v>
      </c>
    </row>
    <row r="427" spans="1:18">
      <c r="A427" s="1">
        <v>44743</v>
      </c>
      <c r="B427" s="1">
        <v>44743</v>
      </c>
      <c r="C427">
        <v>2022</v>
      </c>
      <c r="D427">
        <v>7</v>
      </c>
      <c r="E427" s="2" t="s">
        <v>8467</v>
      </c>
      <c r="F427" s="2" t="s">
        <v>8468</v>
      </c>
      <c r="G427" s="2" t="s">
        <v>8335</v>
      </c>
      <c r="H427" s="2" t="s">
        <v>22</v>
      </c>
      <c r="I427" s="2" t="s">
        <v>8365</v>
      </c>
      <c r="J427" s="2" t="s">
        <v>24</v>
      </c>
      <c r="K427">
        <v>2699.35</v>
      </c>
      <c r="L427">
        <v>269935000</v>
      </c>
      <c r="M427" s="2" t="s">
        <v>8377</v>
      </c>
      <c r="N427" s="2" t="s">
        <v>8381</v>
      </c>
      <c r="O427" s="2" t="s">
        <v>8782</v>
      </c>
      <c r="P427" s="2" t="s">
        <v>175</v>
      </c>
      <c r="Q427" s="2" t="s">
        <v>8445</v>
      </c>
      <c r="R427" s="2" t="s">
        <v>30</v>
      </c>
    </row>
    <row r="428" spans="1:18">
      <c r="A428" s="1">
        <v>44743</v>
      </c>
      <c r="B428" s="1">
        <v>44743</v>
      </c>
      <c r="C428">
        <v>2022</v>
      </c>
      <c r="D428">
        <v>7</v>
      </c>
      <c r="E428" s="2" t="s">
        <v>8470</v>
      </c>
      <c r="F428" s="2" t="s">
        <v>8471</v>
      </c>
      <c r="G428" s="2" t="s">
        <v>8335</v>
      </c>
      <c r="H428" s="2" t="s">
        <v>22</v>
      </c>
      <c r="I428" s="2" t="s">
        <v>8365</v>
      </c>
      <c r="J428" s="2" t="s">
        <v>59</v>
      </c>
      <c r="K428">
        <v>15621.99</v>
      </c>
      <c r="L428">
        <v>1562199000</v>
      </c>
      <c r="M428" s="2" t="s">
        <v>8362</v>
      </c>
      <c r="N428" s="2" t="s">
        <v>8367</v>
      </c>
      <c r="O428" s="2" t="s">
        <v>8783</v>
      </c>
      <c r="P428" s="2" t="s">
        <v>175</v>
      </c>
      <c r="Q428" s="2" t="s">
        <v>8445</v>
      </c>
      <c r="R428" s="2" t="s">
        <v>30</v>
      </c>
    </row>
    <row r="429" spans="1:18">
      <c r="A429" s="1">
        <v>44743</v>
      </c>
      <c r="B429" s="1">
        <v>44743</v>
      </c>
      <c r="C429">
        <v>2022</v>
      </c>
      <c r="D429">
        <v>7</v>
      </c>
      <c r="E429" s="2" t="s">
        <v>8473</v>
      </c>
      <c r="F429" s="2" t="s">
        <v>8474</v>
      </c>
      <c r="G429" s="2" t="s">
        <v>8335</v>
      </c>
      <c r="H429" s="2" t="s">
        <v>22</v>
      </c>
      <c r="I429" s="2" t="s">
        <v>8365</v>
      </c>
      <c r="J429" s="2" t="s">
        <v>24</v>
      </c>
      <c r="K429">
        <v>12922.65</v>
      </c>
      <c r="L429">
        <v>1292265000</v>
      </c>
      <c r="M429" s="2" t="s">
        <v>8370</v>
      </c>
      <c r="N429" s="2" t="s">
        <v>8374</v>
      </c>
      <c r="O429" s="2" t="s">
        <v>8784</v>
      </c>
      <c r="P429" s="2" t="s">
        <v>639</v>
      </c>
      <c r="Q429" s="2" t="s">
        <v>8445</v>
      </c>
      <c r="R429" s="2" t="s">
        <v>30</v>
      </c>
    </row>
    <row r="430" spans="1:18">
      <c r="A430" s="1">
        <v>44743</v>
      </c>
      <c r="B430" s="1">
        <v>44743</v>
      </c>
      <c r="C430">
        <v>2022</v>
      </c>
      <c r="D430">
        <v>7</v>
      </c>
      <c r="E430" s="2" t="s">
        <v>7890</v>
      </c>
      <c r="F430" s="2" t="s">
        <v>7891</v>
      </c>
      <c r="G430" s="2" t="s">
        <v>8335</v>
      </c>
      <c r="H430" s="2" t="s">
        <v>22</v>
      </c>
      <c r="I430" s="2" t="s">
        <v>8417</v>
      </c>
      <c r="J430" s="2" t="s">
        <v>24</v>
      </c>
      <c r="K430">
        <v>2013.02</v>
      </c>
      <c r="L430">
        <v>201302000</v>
      </c>
      <c r="M430" s="2" t="s">
        <v>7889</v>
      </c>
      <c r="N430" s="2" t="s">
        <v>7911</v>
      </c>
      <c r="O430" s="2" t="s">
        <v>8785</v>
      </c>
      <c r="P430" s="2" t="s">
        <v>175</v>
      </c>
      <c r="Q430" s="2" t="s">
        <v>8445</v>
      </c>
      <c r="R430" s="2" t="s">
        <v>30</v>
      </c>
    </row>
    <row r="431" spans="1:18">
      <c r="A431" s="1">
        <v>44774</v>
      </c>
      <c r="B431" s="1">
        <v>44774</v>
      </c>
      <c r="C431">
        <v>2022</v>
      </c>
      <c r="D431">
        <v>8</v>
      </c>
      <c r="E431" s="2" t="s">
        <v>8443</v>
      </c>
      <c r="F431" s="2" t="s">
        <v>8444</v>
      </c>
      <c r="G431" s="2" t="s">
        <v>8335</v>
      </c>
      <c r="H431" s="2" t="s">
        <v>22</v>
      </c>
      <c r="I431" s="2" t="s">
        <v>8387</v>
      </c>
      <c r="J431" s="2" t="s">
        <v>24</v>
      </c>
      <c r="K431">
        <v>2.2000000000000002</v>
      </c>
      <c r="L431">
        <v>220000</v>
      </c>
      <c r="M431" s="2" t="s">
        <v>8392</v>
      </c>
      <c r="N431" s="2" t="s">
        <v>8396</v>
      </c>
      <c r="O431" s="2" t="s">
        <v>477</v>
      </c>
      <c r="P431" s="2" t="s">
        <v>639</v>
      </c>
      <c r="Q431" s="2" t="s">
        <v>8445</v>
      </c>
      <c r="R431" s="2" t="s">
        <v>30</v>
      </c>
    </row>
    <row r="432" spans="1:18">
      <c r="A432" s="1">
        <v>44774</v>
      </c>
      <c r="B432" s="1">
        <v>44774</v>
      </c>
      <c r="C432">
        <v>2022</v>
      </c>
      <c r="D432">
        <v>8</v>
      </c>
      <c r="E432" s="2" t="s">
        <v>8446</v>
      </c>
      <c r="F432" s="2" t="s">
        <v>8447</v>
      </c>
      <c r="G432" s="2" t="s">
        <v>8335</v>
      </c>
      <c r="H432" s="2" t="s">
        <v>22</v>
      </c>
      <c r="I432" s="2" t="s">
        <v>8387</v>
      </c>
      <c r="J432" s="2" t="s">
        <v>59</v>
      </c>
      <c r="K432">
        <v>2.54</v>
      </c>
      <c r="L432">
        <v>254000</v>
      </c>
      <c r="M432" s="2" t="s">
        <v>8384</v>
      </c>
      <c r="N432" s="2" t="s">
        <v>8389</v>
      </c>
      <c r="O432" s="2" t="s">
        <v>2913</v>
      </c>
      <c r="P432" s="2" t="s">
        <v>639</v>
      </c>
      <c r="Q432" s="2" t="s">
        <v>8445</v>
      </c>
      <c r="R432" s="2" t="s">
        <v>30</v>
      </c>
    </row>
    <row r="433" spans="1:18">
      <c r="A433" s="1">
        <v>44774</v>
      </c>
      <c r="B433" s="1">
        <v>44774</v>
      </c>
      <c r="C433">
        <v>2022</v>
      </c>
      <c r="D433">
        <v>8</v>
      </c>
      <c r="E433" s="2" t="s">
        <v>8448</v>
      </c>
      <c r="F433" s="2" t="s">
        <v>8449</v>
      </c>
      <c r="G433" s="2" t="s">
        <v>8335</v>
      </c>
      <c r="H433" s="2" t="s">
        <v>22</v>
      </c>
      <c r="I433" s="2" t="s">
        <v>8387</v>
      </c>
      <c r="J433" s="2" t="s">
        <v>24</v>
      </c>
      <c r="K433">
        <v>0.34</v>
      </c>
      <c r="L433">
        <v>34000</v>
      </c>
      <c r="M433" s="2" t="s">
        <v>8399</v>
      </c>
      <c r="N433" s="2" t="s">
        <v>8403</v>
      </c>
      <c r="O433" s="2" t="s">
        <v>3373</v>
      </c>
      <c r="P433" s="2" t="s">
        <v>639</v>
      </c>
      <c r="Q433" s="2" t="s">
        <v>8445</v>
      </c>
      <c r="R433" s="2" t="s">
        <v>30</v>
      </c>
    </row>
    <row r="434" spans="1:18">
      <c r="A434" s="1">
        <v>44774</v>
      </c>
      <c r="B434" s="1">
        <v>44774</v>
      </c>
      <c r="C434">
        <v>2022</v>
      </c>
      <c r="D434">
        <v>8</v>
      </c>
      <c r="E434" s="2" t="s">
        <v>8450</v>
      </c>
      <c r="F434" s="2" t="s">
        <v>8451</v>
      </c>
      <c r="G434" s="2" t="s">
        <v>8335</v>
      </c>
      <c r="H434" s="2" t="s">
        <v>22</v>
      </c>
      <c r="I434" s="2" t="s">
        <v>8417</v>
      </c>
      <c r="J434" s="2" t="s">
        <v>24</v>
      </c>
      <c r="K434">
        <v>47.49</v>
      </c>
      <c r="L434">
        <v>4749000</v>
      </c>
      <c r="M434" s="2" t="s">
        <v>8422</v>
      </c>
      <c r="N434" s="2" t="s">
        <v>8426</v>
      </c>
      <c r="O434" s="2" t="s">
        <v>8786</v>
      </c>
      <c r="P434" s="2" t="s">
        <v>639</v>
      </c>
      <c r="Q434" s="2" t="s">
        <v>8445</v>
      </c>
      <c r="R434" s="2" t="s">
        <v>30</v>
      </c>
    </row>
    <row r="435" spans="1:18">
      <c r="A435" s="1">
        <v>44774</v>
      </c>
      <c r="B435" s="1">
        <v>44774</v>
      </c>
      <c r="C435">
        <v>2022</v>
      </c>
      <c r="D435">
        <v>8</v>
      </c>
      <c r="E435" s="2" t="s">
        <v>8453</v>
      </c>
      <c r="F435" s="2" t="s">
        <v>8454</v>
      </c>
      <c r="G435" s="2" t="s">
        <v>8335</v>
      </c>
      <c r="H435" s="2" t="s">
        <v>22</v>
      </c>
      <c r="I435" s="2" t="s">
        <v>8336</v>
      </c>
      <c r="J435" s="2" t="s">
        <v>24</v>
      </c>
      <c r="K435">
        <v>779.91</v>
      </c>
      <c r="L435">
        <v>77991000</v>
      </c>
      <c r="M435" s="2" t="s">
        <v>8348</v>
      </c>
      <c r="N435" s="2" t="s">
        <v>8352</v>
      </c>
      <c r="O435" s="2" t="s">
        <v>8787</v>
      </c>
      <c r="P435" s="2" t="s">
        <v>639</v>
      </c>
      <c r="Q435" s="2" t="s">
        <v>8445</v>
      </c>
      <c r="R435" s="2" t="s">
        <v>30</v>
      </c>
    </row>
    <row r="436" spans="1:18">
      <c r="A436" s="1">
        <v>44774</v>
      </c>
      <c r="B436" s="1">
        <v>44774</v>
      </c>
      <c r="C436">
        <v>2022</v>
      </c>
      <c r="D436">
        <v>8</v>
      </c>
      <c r="E436" s="2" t="s">
        <v>8456</v>
      </c>
      <c r="F436" s="2" t="s">
        <v>8457</v>
      </c>
      <c r="G436" s="2" t="s">
        <v>8335</v>
      </c>
      <c r="H436" s="2" t="s">
        <v>22</v>
      </c>
      <c r="I436" s="2" t="s">
        <v>8336</v>
      </c>
      <c r="J436" s="2" t="s">
        <v>24</v>
      </c>
      <c r="K436">
        <v>9350.26</v>
      </c>
      <c r="L436">
        <v>935026000</v>
      </c>
      <c r="M436" s="2" t="s">
        <v>8355</v>
      </c>
      <c r="N436" s="2" t="s">
        <v>8359</v>
      </c>
      <c r="O436" s="2" t="s">
        <v>8788</v>
      </c>
      <c r="P436" s="2" t="s">
        <v>639</v>
      </c>
      <c r="Q436" s="2" t="s">
        <v>8445</v>
      </c>
      <c r="R436" s="2" t="s">
        <v>30</v>
      </c>
    </row>
    <row r="437" spans="1:18">
      <c r="A437" s="1">
        <v>44774</v>
      </c>
      <c r="B437" s="1">
        <v>44774</v>
      </c>
      <c r="C437">
        <v>2022</v>
      </c>
      <c r="D437">
        <v>8</v>
      </c>
      <c r="E437" s="2" t="s">
        <v>8459</v>
      </c>
      <c r="F437" s="2" t="s">
        <v>8460</v>
      </c>
      <c r="G437" s="2" t="s">
        <v>8335</v>
      </c>
      <c r="H437" s="2" t="s">
        <v>22</v>
      </c>
      <c r="I437" s="2" t="s">
        <v>8336</v>
      </c>
      <c r="J437" s="2" t="s">
        <v>59</v>
      </c>
      <c r="K437">
        <v>10130.17</v>
      </c>
      <c r="L437">
        <v>1013017000</v>
      </c>
      <c r="M437" s="2" t="s">
        <v>8331</v>
      </c>
      <c r="N437" s="2" t="s">
        <v>8341</v>
      </c>
      <c r="O437" s="2" t="s">
        <v>8789</v>
      </c>
      <c r="P437" s="2" t="s">
        <v>639</v>
      </c>
      <c r="Q437" s="2" t="s">
        <v>8445</v>
      </c>
      <c r="R437" s="2" t="s">
        <v>30</v>
      </c>
    </row>
    <row r="438" spans="1:18">
      <c r="A438" s="1">
        <v>44774</v>
      </c>
      <c r="B438" s="1">
        <v>44774</v>
      </c>
      <c r="C438">
        <v>2022</v>
      </c>
      <c r="D438">
        <v>8</v>
      </c>
      <c r="E438" s="2" t="s">
        <v>8462</v>
      </c>
      <c r="F438" s="2" t="s">
        <v>8463</v>
      </c>
      <c r="G438" s="2" t="s">
        <v>8335</v>
      </c>
      <c r="H438" s="2" t="s">
        <v>22</v>
      </c>
      <c r="I438" s="2" t="s">
        <v>8409</v>
      </c>
      <c r="J438" s="2" t="s">
        <v>24</v>
      </c>
      <c r="K438">
        <v>11.71</v>
      </c>
      <c r="L438">
        <v>1171000</v>
      </c>
      <c r="M438" s="2" t="s">
        <v>8406</v>
      </c>
      <c r="N438" s="2" t="s">
        <v>8411</v>
      </c>
      <c r="O438" s="2" t="s">
        <v>8790</v>
      </c>
      <c r="P438" s="2" t="s">
        <v>639</v>
      </c>
      <c r="Q438" s="2" t="s">
        <v>8445</v>
      </c>
      <c r="R438" s="2" t="s">
        <v>30</v>
      </c>
    </row>
    <row r="439" spans="1:18">
      <c r="A439" s="1">
        <v>44774</v>
      </c>
      <c r="B439" s="1">
        <v>44774</v>
      </c>
      <c r="C439">
        <v>2022</v>
      </c>
      <c r="D439">
        <v>8</v>
      </c>
      <c r="E439" s="2" t="s">
        <v>8464</v>
      </c>
      <c r="F439" s="2" t="s">
        <v>8465</v>
      </c>
      <c r="G439" s="2" t="s">
        <v>8335</v>
      </c>
      <c r="H439" s="2" t="s">
        <v>22</v>
      </c>
      <c r="I439" s="2" t="s">
        <v>8417</v>
      </c>
      <c r="J439" s="2" t="s">
        <v>24</v>
      </c>
      <c r="K439">
        <v>70.58</v>
      </c>
      <c r="L439">
        <v>7058000</v>
      </c>
      <c r="M439" s="2" t="s">
        <v>8414</v>
      </c>
      <c r="N439" s="2" t="s">
        <v>8419</v>
      </c>
      <c r="O439" s="2" t="s">
        <v>8791</v>
      </c>
      <c r="P439" s="2" t="s">
        <v>639</v>
      </c>
      <c r="Q439" s="2" t="s">
        <v>8445</v>
      </c>
      <c r="R439" s="2" t="s">
        <v>30</v>
      </c>
    </row>
    <row r="440" spans="1:18">
      <c r="A440" s="1">
        <v>44774</v>
      </c>
      <c r="B440" s="1">
        <v>44774</v>
      </c>
      <c r="C440">
        <v>2022</v>
      </c>
      <c r="D440">
        <v>8</v>
      </c>
      <c r="E440" s="2" t="s">
        <v>8467</v>
      </c>
      <c r="F440" s="2" t="s">
        <v>8468</v>
      </c>
      <c r="G440" s="2" t="s">
        <v>8335</v>
      </c>
      <c r="H440" s="2" t="s">
        <v>22</v>
      </c>
      <c r="I440" s="2" t="s">
        <v>8365</v>
      </c>
      <c r="J440" s="2" t="s">
        <v>24</v>
      </c>
      <c r="K440">
        <v>2730.25</v>
      </c>
      <c r="L440">
        <v>273025000</v>
      </c>
      <c r="M440" s="2" t="s">
        <v>8377</v>
      </c>
      <c r="N440" s="2" t="s">
        <v>8381</v>
      </c>
      <c r="O440" s="2" t="s">
        <v>8792</v>
      </c>
      <c r="P440" s="2" t="s">
        <v>639</v>
      </c>
      <c r="Q440" s="2" t="s">
        <v>8445</v>
      </c>
      <c r="R440" s="2" t="s">
        <v>30</v>
      </c>
    </row>
    <row r="441" spans="1:18">
      <c r="A441" s="1">
        <v>44774</v>
      </c>
      <c r="B441" s="1">
        <v>44774</v>
      </c>
      <c r="C441">
        <v>2022</v>
      </c>
      <c r="D441">
        <v>8</v>
      </c>
      <c r="E441" s="2" t="s">
        <v>8470</v>
      </c>
      <c r="F441" s="2" t="s">
        <v>8471</v>
      </c>
      <c r="G441" s="2" t="s">
        <v>8335</v>
      </c>
      <c r="H441" s="2" t="s">
        <v>22</v>
      </c>
      <c r="I441" s="2" t="s">
        <v>8365</v>
      </c>
      <c r="J441" s="2" t="s">
        <v>59</v>
      </c>
      <c r="K441">
        <v>15679</v>
      </c>
      <c r="L441">
        <v>1567900000</v>
      </c>
      <c r="M441" s="2" t="s">
        <v>8362</v>
      </c>
      <c r="N441" s="2" t="s">
        <v>8367</v>
      </c>
      <c r="O441" s="2" t="s">
        <v>8793</v>
      </c>
      <c r="P441" s="2" t="s">
        <v>639</v>
      </c>
      <c r="Q441" s="2" t="s">
        <v>8445</v>
      </c>
      <c r="R441" s="2" t="s">
        <v>30</v>
      </c>
    </row>
    <row r="442" spans="1:18">
      <c r="A442" s="1">
        <v>44774</v>
      </c>
      <c r="B442" s="1">
        <v>44774</v>
      </c>
      <c r="C442">
        <v>2022</v>
      </c>
      <c r="D442">
        <v>8</v>
      </c>
      <c r="E442" s="2" t="s">
        <v>8473</v>
      </c>
      <c r="F442" s="2" t="s">
        <v>8474</v>
      </c>
      <c r="G442" s="2" t="s">
        <v>8335</v>
      </c>
      <c r="H442" s="2" t="s">
        <v>22</v>
      </c>
      <c r="I442" s="2" t="s">
        <v>8365</v>
      </c>
      <c r="J442" s="2" t="s">
        <v>24</v>
      </c>
      <c r="K442">
        <v>12948.75</v>
      </c>
      <c r="L442">
        <v>1294875000</v>
      </c>
      <c r="M442" s="2" t="s">
        <v>8370</v>
      </c>
      <c r="N442" s="2" t="s">
        <v>8374</v>
      </c>
      <c r="O442" s="2" t="s">
        <v>8794</v>
      </c>
      <c r="P442" s="2" t="s">
        <v>639</v>
      </c>
      <c r="Q442" s="2" t="s">
        <v>8445</v>
      </c>
      <c r="R442" s="2" t="s">
        <v>30</v>
      </c>
    </row>
    <row r="443" spans="1:18">
      <c r="A443" s="1">
        <v>44774</v>
      </c>
      <c r="B443" s="1">
        <v>44774</v>
      </c>
      <c r="C443">
        <v>2022</v>
      </c>
      <c r="D443">
        <v>8</v>
      </c>
      <c r="E443" s="2" t="s">
        <v>7890</v>
      </c>
      <c r="F443" s="2" t="s">
        <v>7891</v>
      </c>
      <c r="G443" s="2" t="s">
        <v>8335</v>
      </c>
      <c r="H443" s="2" t="s">
        <v>22</v>
      </c>
      <c r="I443" s="2" t="s">
        <v>8417</v>
      </c>
      <c r="J443" s="2" t="s">
        <v>24</v>
      </c>
      <c r="K443">
        <v>2092.54</v>
      </c>
      <c r="L443">
        <v>209254000</v>
      </c>
      <c r="M443" s="2" t="s">
        <v>7889</v>
      </c>
      <c r="N443" s="2" t="s">
        <v>7911</v>
      </c>
      <c r="O443" s="2" t="s">
        <v>8795</v>
      </c>
      <c r="P443" s="2" t="s">
        <v>639</v>
      </c>
      <c r="Q443" s="2" t="s">
        <v>8445</v>
      </c>
      <c r="R443" s="2" t="s">
        <v>30</v>
      </c>
    </row>
    <row r="444" spans="1:18">
      <c r="A444" s="1">
        <v>44805</v>
      </c>
      <c r="B444" s="1">
        <v>44805</v>
      </c>
      <c r="C444">
        <v>2022</v>
      </c>
      <c r="D444">
        <v>9</v>
      </c>
      <c r="E444" s="2" t="s">
        <v>8443</v>
      </c>
      <c r="F444" s="2" t="s">
        <v>8444</v>
      </c>
      <c r="G444" s="2" t="s">
        <v>8335</v>
      </c>
      <c r="H444" s="2" t="s">
        <v>22</v>
      </c>
      <c r="I444" s="2" t="s">
        <v>8387</v>
      </c>
      <c r="J444" s="2" t="s">
        <v>24</v>
      </c>
      <c r="K444">
        <v>2.2000000000000002</v>
      </c>
      <c r="L444">
        <v>220000</v>
      </c>
      <c r="M444" s="2" t="s">
        <v>8392</v>
      </c>
      <c r="N444" s="2" t="s">
        <v>8396</v>
      </c>
      <c r="O444" s="2" t="s">
        <v>477</v>
      </c>
      <c r="P444" s="2" t="s">
        <v>639</v>
      </c>
      <c r="Q444" s="2" t="s">
        <v>8445</v>
      </c>
      <c r="R444" s="2" t="s">
        <v>30</v>
      </c>
    </row>
    <row r="445" spans="1:18">
      <c r="A445" s="1">
        <v>44805</v>
      </c>
      <c r="B445" s="1">
        <v>44805</v>
      </c>
      <c r="C445">
        <v>2022</v>
      </c>
      <c r="D445">
        <v>9</v>
      </c>
      <c r="E445" s="2" t="s">
        <v>8446</v>
      </c>
      <c r="F445" s="2" t="s">
        <v>8447</v>
      </c>
      <c r="G445" s="2" t="s">
        <v>8335</v>
      </c>
      <c r="H445" s="2" t="s">
        <v>22</v>
      </c>
      <c r="I445" s="2" t="s">
        <v>8387</v>
      </c>
      <c r="J445" s="2" t="s">
        <v>59</v>
      </c>
      <c r="K445">
        <v>2.5499999999999998</v>
      </c>
      <c r="L445">
        <v>255000</v>
      </c>
      <c r="M445" s="2" t="s">
        <v>8384</v>
      </c>
      <c r="N445" s="2" t="s">
        <v>8389</v>
      </c>
      <c r="O445" s="2" t="s">
        <v>5898</v>
      </c>
      <c r="P445" s="2" t="s">
        <v>639</v>
      </c>
      <c r="Q445" s="2" t="s">
        <v>8445</v>
      </c>
      <c r="R445" s="2" t="s">
        <v>30</v>
      </c>
    </row>
    <row r="446" spans="1:18">
      <c r="A446" s="1">
        <v>44805</v>
      </c>
      <c r="B446" s="1">
        <v>44805</v>
      </c>
      <c r="C446">
        <v>2022</v>
      </c>
      <c r="D446">
        <v>9</v>
      </c>
      <c r="E446" s="2" t="s">
        <v>8448</v>
      </c>
      <c r="F446" s="2" t="s">
        <v>8449</v>
      </c>
      <c r="G446" s="2" t="s">
        <v>8335</v>
      </c>
      <c r="H446" s="2" t="s">
        <v>22</v>
      </c>
      <c r="I446" s="2" t="s">
        <v>8387</v>
      </c>
      <c r="J446" s="2" t="s">
        <v>24</v>
      </c>
      <c r="K446">
        <v>0.35</v>
      </c>
      <c r="L446">
        <v>35000</v>
      </c>
      <c r="M446" s="2" t="s">
        <v>8399</v>
      </c>
      <c r="N446" s="2" t="s">
        <v>8403</v>
      </c>
      <c r="O446" s="2" t="s">
        <v>4029</v>
      </c>
      <c r="P446" s="2" t="s">
        <v>639</v>
      </c>
      <c r="Q446" s="2" t="s">
        <v>8445</v>
      </c>
      <c r="R446" s="2" t="s">
        <v>30</v>
      </c>
    </row>
    <row r="447" spans="1:18">
      <c r="A447" s="1">
        <v>44805</v>
      </c>
      <c r="B447" s="1">
        <v>44805</v>
      </c>
      <c r="C447">
        <v>2022</v>
      </c>
      <c r="D447">
        <v>9</v>
      </c>
      <c r="E447" s="2" t="s">
        <v>8450</v>
      </c>
      <c r="F447" s="2" t="s">
        <v>8451</v>
      </c>
      <c r="G447" s="2" t="s">
        <v>8335</v>
      </c>
      <c r="H447" s="2" t="s">
        <v>22</v>
      </c>
      <c r="I447" s="2" t="s">
        <v>8417</v>
      </c>
      <c r="J447" s="2" t="s">
        <v>24</v>
      </c>
      <c r="K447">
        <v>48.64</v>
      </c>
      <c r="L447">
        <v>4864000</v>
      </c>
      <c r="M447" s="2" t="s">
        <v>8422</v>
      </c>
      <c r="N447" s="2" t="s">
        <v>8426</v>
      </c>
      <c r="O447" s="2" t="s">
        <v>8796</v>
      </c>
      <c r="P447" s="2" t="s">
        <v>639</v>
      </c>
      <c r="Q447" s="2" t="s">
        <v>8445</v>
      </c>
      <c r="R447" s="2" t="s">
        <v>30</v>
      </c>
    </row>
    <row r="448" spans="1:18">
      <c r="A448" s="1">
        <v>44805</v>
      </c>
      <c r="B448" s="1">
        <v>44805</v>
      </c>
      <c r="C448">
        <v>2022</v>
      </c>
      <c r="D448">
        <v>9</v>
      </c>
      <c r="E448" s="2" t="s">
        <v>8453</v>
      </c>
      <c r="F448" s="2" t="s">
        <v>8454</v>
      </c>
      <c r="G448" s="2" t="s">
        <v>8335</v>
      </c>
      <c r="H448" s="2" t="s">
        <v>22</v>
      </c>
      <c r="I448" s="2" t="s">
        <v>8336</v>
      </c>
      <c r="J448" s="2" t="s">
        <v>24</v>
      </c>
      <c r="K448">
        <v>777.02</v>
      </c>
      <c r="L448">
        <v>77702000</v>
      </c>
      <c r="M448" s="2" t="s">
        <v>8348</v>
      </c>
      <c r="N448" s="2" t="s">
        <v>8352</v>
      </c>
      <c r="O448" s="2" t="s">
        <v>8797</v>
      </c>
      <c r="P448" s="2" t="s">
        <v>639</v>
      </c>
      <c r="Q448" s="2" t="s">
        <v>8445</v>
      </c>
      <c r="R448" s="2" t="s">
        <v>30</v>
      </c>
    </row>
    <row r="449" spans="1:18">
      <c r="A449" s="1">
        <v>44805</v>
      </c>
      <c r="B449" s="1">
        <v>44805</v>
      </c>
      <c r="C449">
        <v>2022</v>
      </c>
      <c r="D449">
        <v>9</v>
      </c>
      <c r="E449" s="2" t="s">
        <v>8456</v>
      </c>
      <c r="F449" s="2" t="s">
        <v>8457</v>
      </c>
      <c r="G449" s="2" t="s">
        <v>8335</v>
      </c>
      <c r="H449" s="2" t="s">
        <v>22</v>
      </c>
      <c r="I449" s="2" t="s">
        <v>8336</v>
      </c>
      <c r="J449" s="2" t="s">
        <v>24</v>
      </c>
      <c r="K449">
        <v>9385.3799999999992</v>
      </c>
      <c r="L449">
        <v>938538000</v>
      </c>
      <c r="M449" s="2" t="s">
        <v>8355</v>
      </c>
      <c r="N449" s="2" t="s">
        <v>8359</v>
      </c>
      <c r="O449" s="2" t="s">
        <v>8798</v>
      </c>
      <c r="P449" s="2" t="s">
        <v>639</v>
      </c>
      <c r="Q449" s="2" t="s">
        <v>8445</v>
      </c>
      <c r="R449" s="2" t="s">
        <v>30</v>
      </c>
    </row>
    <row r="450" spans="1:18">
      <c r="A450" s="1">
        <v>44805</v>
      </c>
      <c r="B450" s="1">
        <v>44805</v>
      </c>
      <c r="C450">
        <v>2022</v>
      </c>
      <c r="D450">
        <v>9</v>
      </c>
      <c r="E450" s="2" t="s">
        <v>8459</v>
      </c>
      <c r="F450" s="2" t="s">
        <v>8460</v>
      </c>
      <c r="G450" s="2" t="s">
        <v>8335</v>
      </c>
      <c r="H450" s="2" t="s">
        <v>22</v>
      </c>
      <c r="I450" s="2" t="s">
        <v>8336</v>
      </c>
      <c r="J450" s="2" t="s">
        <v>59</v>
      </c>
      <c r="K450">
        <v>10162.4</v>
      </c>
      <c r="L450">
        <v>1016240000</v>
      </c>
      <c r="M450" s="2" t="s">
        <v>8331</v>
      </c>
      <c r="N450" s="2" t="s">
        <v>8341</v>
      </c>
      <c r="O450" s="2" t="s">
        <v>8799</v>
      </c>
      <c r="P450" s="2" t="s">
        <v>639</v>
      </c>
      <c r="Q450" s="2" t="s">
        <v>8445</v>
      </c>
      <c r="R450" s="2" t="s">
        <v>30</v>
      </c>
    </row>
    <row r="451" spans="1:18">
      <c r="A451" s="1">
        <v>44805</v>
      </c>
      <c r="B451" s="1">
        <v>44805</v>
      </c>
      <c r="C451">
        <v>2022</v>
      </c>
      <c r="D451">
        <v>9</v>
      </c>
      <c r="E451" s="2" t="s">
        <v>8462</v>
      </c>
      <c r="F451" s="2" t="s">
        <v>8463</v>
      </c>
      <c r="G451" s="2" t="s">
        <v>8335</v>
      </c>
      <c r="H451" s="2" t="s">
        <v>22</v>
      </c>
      <c r="I451" s="2" t="s">
        <v>8409</v>
      </c>
      <c r="J451" s="2" t="s">
        <v>24</v>
      </c>
      <c r="K451">
        <v>12.43</v>
      </c>
      <c r="L451">
        <v>1243000</v>
      </c>
      <c r="M451" s="2" t="s">
        <v>8406</v>
      </c>
      <c r="N451" s="2" t="s">
        <v>8411</v>
      </c>
      <c r="O451" s="2" t="s">
        <v>8800</v>
      </c>
      <c r="P451" s="2" t="s">
        <v>639</v>
      </c>
      <c r="Q451" s="2" t="s">
        <v>8445</v>
      </c>
      <c r="R451" s="2" t="s">
        <v>30</v>
      </c>
    </row>
    <row r="452" spans="1:18">
      <c r="A452" s="1">
        <v>44805</v>
      </c>
      <c r="B452" s="1">
        <v>44805</v>
      </c>
      <c r="C452">
        <v>2022</v>
      </c>
      <c r="D452">
        <v>9</v>
      </c>
      <c r="E452" s="2" t="s">
        <v>8464</v>
      </c>
      <c r="F452" s="2" t="s">
        <v>8465</v>
      </c>
      <c r="G452" s="2" t="s">
        <v>8335</v>
      </c>
      <c r="H452" s="2" t="s">
        <v>22</v>
      </c>
      <c r="I452" s="2" t="s">
        <v>8417</v>
      </c>
      <c r="J452" s="2" t="s">
        <v>24</v>
      </c>
      <c r="K452">
        <v>70.349999999999994</v>
      </c>
      <c r="L452">
        <v>7035000</v>
      </c>
      <c r="M452" s="2" t="s">
        <v>8414</v>
      </c>
      <c r="N452" s="2" t="s">
        <v>8419</v>
      </c>
      <c r="O452" s="2" t="s">
        <v>8801</v>
      </c>
      <c r="P452" s="2" t="s">
        <v>639</v>
      </c>
      <c r="Q452" s="2" t="s">
        <v>8445</v>
      </c>
      <c r="R452" s="2" t="s">
        <v>30</v>
      </c>
    </row>
    <row r="453" spans="1:18">
      <c r="A453" s="1">
        <v>44805</v>
      </c>
      <c r="B453" s="1">
        <v>44805</v>
      </c>
      <c r="C453">
        <v>2022</v>
      </c>
      <c r="D453">
        <v>9</v>
      </c>
      <c r="E453" s="2" t="s">
        <v>8467</v>
      </c>
      <c r="F453" s="2" t="s">
        <v>8468</v>
      </c>
      <c r="G453" s="2" t="s">
        <v>8335</v>
      </c>
      <c r="H453" s="2" t="s">
        <v>22</v>
      </c>
      <c r="I453" s="2" t="s">
        <v>8365</v>
      </c>
      <c r="J453" s="2" t="s">
        <v>24</v>
      </c>
      <c r="K453">
        <v>2753.84</v>
      </c>
      <c r="L453">
        <v>275384000</v>
      </c>
      <c r="M453" s="2" t="s">
        <v>8377</v>
      </c>
      <c r="N453" s="2" t="s">
        <v>8381</v>
      </c>
      <c r="O453" s="2" t="s">
        <v>8802</v>
      </c>
      <c r="P453" s="2" t="s">
        <v>639</v>
      </c>
      <c r="Q453" s="2" t="s">
        <v>8445</v>
      </c>
      <c r="R453" s="2" t="s">
        <v>30</v>
      </c>
    </row>
    <row r="454" spans="1:18">
      <c r="A454" s="1">
        <v>44805</v>
      </c>
      <c r="B454" s="1">
        <v>44805</v>
      </c>
      <c r="C454">
        <v>2022</v>
      </c>
      <c r="D454">
        <v>9</v>
      </c>
      <c r="E454" s="2" t="s">
        <v>8470</v>
      </c>
      <c r="F454" s="2" t="s">
        <v>8471</v>
      </c>
      <c r="G454" s="2" t="s">
        <v>8335</v>
      </c>
      <c r="H454" s="2" t="s">
        <v>22</v>
      </c>
      <c r="I454" s="2" t="s">
        <v>8365</v>
      </c>
      <c r="J454" s="2" t="s">
        <v>59</v>
      </c>
      <c r="K454">
        <v>15860.18</v>
      </c>
      <c r="L454">
        <v>1586018000</v>
      </c>
      <c r="M454" s="2" t="s">
        <v>8362</v>
      </c>
      <c r="N454" s="2" t="s">
        <v>8367</v>
      </c>
      <c r="O454" s="2" t="s">
        <v>8803</v>
      </c>
      <c r="P454" s="2" t="s">
        <v>639</v>
      </c>
      <c r="Q454" s="2" t="s">
        <v>8445</v>
      </c>
      <c r="R454" s="2" t="s">
        <v>30</v>
      </c>
    </row>
    <row r="455" spans="1:18">
      <c r="A455" s="1">
        <v>44805</v>
      </c>
      <c r="B455" s="1">
        <v>44805</v>
      </c>
      <c r="C455">
        <v>2022</v>
      </c>
      <c r="D455">
        <v>9</v>
      </c>
      <c r="E455" s="2" t="s">
        <v>8473</v>
      </c>
      <c r="F455" s="2" t="s">
        <v>8474</v>
      </c>
      <c r="G455" s="2" t="s">
        <v>8335</v>
      </c>
      <c r="H455" s="2" t="s">
        <v>22</v>
      </c>
      <c r="I455" s="2" t="s">
        <v>8365</v>
      </c>
      <c r="J455" s="2" t="s">
        <v>24</v>
      </c>
      <c r="K455">
        <v>13106.33</v>
      </c>
      <c r="L455">
        <v>1310633000</v>
      </c>
      <c r="M455" s="2" t="s">
        <v>8370</v>
      </c>
      <c r="N455" s="2" t="s">
        <v>8374</v>
      </c>
      <c r="O455" s="2" t="s">
        <v>8804</v>
      </c>
      <c r="P455" s="2" t="s">
        <v>639</v>
      </c>
      <c r="Q455" s="2" t="s">
        <v>8445</v>
      </c>
      <c r="R455" s="2" t="s">
        <v>30</v>
      </c>
    </row>
    <row r="456" spans="1:18">
      <c r="A456" s="1">
        <v>44805</v>
      </c>
      <c r="B456" s="1">
        <v>44805</v>
      </c>
      <c r="C456">
        <v>2022</v>
      </c>
      <c r="D456">
        <v>9</v>
      </c>
      <c r="E456" s="2" t="s">
        <v>7890</v>
      </c>
      <c r="F456" s="2" t="s">
        <v>7891</v>
      </c>
      <c r="G456" s="2" t="s">
        <v>8335</v>
      </c>
      <c r="H456" s="2" t="s">
        <v>22</v>
      </c>
      <c r="I456" s="2" t="s">
        <v>8417</v>
      </c>
      <c r="J456" s="2" t="s">
        <v>24</v>
      </c>
      <c r="K456">
        <v>2164.3000000000002</v>
      </c>
      <c r="L456">
        <v>216430000</v>
      </c>
      <c r="M456" s="2" t="s">
        <v>7889</v>
      </c>
      <c r="N456" s="2" t="s">
        <v>7911</v>
      </c>
      <c r="O456" s="2" t="s">
        <v>8805</v>
      </c>
      <c r="P456" s="2" t="s">
        <v>639</v>
      </c>
      <c r="Q456" s="2" t="s">
        <v>8445</v>
      </c>
      <c r="R456" s="2" t="s">
        <v>30</v>
      </c>
    </row>
    <row r="457" spans="1:18">
      <c r="A457" s="1">
        <v>44835</v>
      </c>
      <c r="B457" s="1">
        <v>44835</v>
      </c>
      <c r="C457">
        <v>2022</v>
      </c>
      <c r="D457">
        <v>10</v>
      </c>
      <c r="E457" s="2" t="s">
        <v>8443</v>
      </c>
      <c r="F457" s="2" t="s">
        <v>8444</v>
      </c>
      <c r="G457" s="2" t="s">
        <v>8335</v>
      </c>
      <c r="H457" s="2" t="s">
        <v>22</v>
      </c>
      <c r="I457" s="2" t="s">
        <v>8387</v>
      </c>
      <c r="J457" s="2" t="s">
        <v>24</v>
      </c>
      <c r="K457">
        <v>2.2000000000000002</v>
      </c>
      <c r="L457">
        <v>220000</v>
      </c>
      <c r="M457" s="2" t="s">
        <v>8392</v>
      </c>
      <c r="N457" s="2" t="s">
        <v>8396</v>
      </c>
      <c r="O457" s="2" t="s">
        <v>477</v>
      </c>
      <c r="P457" s="2" t="s">
        <v>639</v>
      </c>
      <c r="Q457" s="2" t="s">
        <v>8445</v>
      </c>
      <c r="R457" s="2" t="s">
        <v>30</v>
      </c>
    </row>
    <row r="458" spans="1:18">
      <c r="A458" s="1">
        <v>44835</v>
      </c>
      <c r="B458" s="1">
        <v>44835</v>
      </c>
      <c r="C458">
        <v>2022</v>
      </c>
      <c r="D458">
        <v>10</v>
      </c>
      <c r="E458" s="2" t="s">
        <v>8446</v>
      </c>
      <c r="F458" s="2" t="s">
        <v>8447</v>
      </c>
      <c r="G458" s="2" t="s">
        <v>8335</v>
      </c>
      <c r="H458" s="2" t="s">
        <v>22</v>
      </c>
      <c r="I458" s="2" t="s">
        <v>8387</v>
      </c>
      <c r="J458" s="2" t="s">
        <v>59</v>
      </c>
      <c r="K458">
        <v>2.5499999999999998</v>
      </c>
      <c r="L458">
        <v>255000</v>
      </c>
      <c r="M458" s="2" t="s">
        <v>8384</v>
      </c>
      <c r="N458" s="2" t="s">
        <v>8389</v>
      </c>
      <c r="O458" s="2" t="s">
        <v>5898</v>
      </c>
      <c r="P458" s="2" t="s">
        <v>639</v>
      </c>
      <c r="Q458" s="2" t="s">
        <v>8445</v>
      </c>
      <c r="R458" s="2" t="s">
        <v>30</v>
      </c>
    </row>
    <row r="459" spans="1:18">
      <c r="A459" s="1">
        <v>44835</v>
      </c>
      <c r="B459" s="1">
        <v>44835</v>
      </c>
      <c r="C459">
        <v>2022</v>
      </c>
      <c r="D459">
        <v>10</v>
      </c>
      <c r="E459" s="2" t="s">
        <v>8448</v>
      </c>
      <c r="F459" s="2" t="s">
        <v>8449</v>
      </c>
      <c r="G459" s="2" t="s">
        <v>8335</v>
      </c>
      <c r="H459" s="2" t="s">
        <v>22</v>
      </c>
      <c r="I459" s="2" t="s">
        <v>8387</v>
      </c>
      <c r="J459" s="2" t="s">
        <v>24</v>
      </c>
      <c r="K459">
        <v>0.35</v>
      </c>
      <c r="L459">
        <v>35000</v>
      </c>
      <c r="M459" s="2" t="s">
        <v>8399</v>
      </c>
      <c r="N459" s="2" t="s">
        <v>8403</v>
      </c>
      <c r="O459" s="2" t="s">
        <v>4029</v>
      </c>
      <c r="P459" s="2" t="s">
        <v>639</v>
      </c>
      <c r="Q459" s="2" t="s">
        <v>8445</v>
      </c>
      <c r="R459" s="2" t="s">
        <v>30</v>
      </c>
    </row>
    <row r="460" spans="1:18">
      <c r="A460" s="1">
        <v>44835</v>
      </c>
      <c r="B460" s="1">
        <v>44835</v>
      </c>
      <c r="C460">
        <v>2022</v>
      </c>
      <c r="D460">
        <v>10</v>
      </c>
      <c r="E460" s="2" t="s">
        <v>8450</v>
      </c>
      <c r="F460" s="2" t="s">
        <v>8451</v>
      </c>
      <c r="G460" s="2" t="s">
        <v>8335</v>
      </c>
      <c r="H460" s="2" t="s">
        <v>22</v>
      </c>
      <c r="I460" s="2" t="s">
        <v>8417</v>
      </c>
      <c r="J460" s="2" t="s">
        <v>24</v>
      </c>
      <c r="K460">
        <v>47.19</v>
      </c>
      <c r="L460">
        <v>4719000</v>
      </c>
      <c r="M460" s="2" t="s">
        <v>8422</v>
      </c>
      <c r="N460" s="2" t="s">
        <v>8426</v>
      </c>
      <c r="O460" s="2" t="s">
        <v>8806</v>
      </c>
      <c r="P460" s="2" t="s">
        <v>639</v>
      </c>
      <c r="Q460" s="2" t="s">
        <v>8445</v>
      </c>
      <c r="R460" s="2" t="s">
        <v>30</v>
      </c>
    </row>
    <row r="461" spans="1:18">
      <c r="A461" s="1">
        <v>44835</v>
      </c>
      <c r="B461" s="1">
        <v>44835</v>
      </c>
      <c r="C461">
        <v>2022</v>
      </c>
      <c r="D461">
        <v>10</v>
      </c>
      <c r="E461" s="2" t="s">
        <v>8453</v>
      </c>
      <c r="F461" s="2" t="s">
        <v>8454</v>
      </c>
      <c r="G461" s="2" t="s">
        <v>8335</v>
      </c>
      <c r="H461" s="2" t="s">
        <v>22</v>
      </c>
      <c r="I461" s="2" t="s">
        <v>8336</v>
      </c>
      <c r="J461" s="2" t="s">
        <v>24</v>
      </c>
      <c r="K461">
        <v>793.68</v>
      </c>
      <c r="L461">
        <v>79368000</v>
      </c>
      <c r="M461" s="2" t="s">
        <v>8348</v>
      </c>
      <c r="N461" s="2" t="s">
        <v>8352</v>
      </c>
      <c r="O461" s="2" t="s">
        <v>8807</v>
      </c>
      <c r="P461" s="2" t="s">
        <v>639</v>
      </c>
      <c r="Q461" s="2" t="s">
        <v>8445</v>
      </c>
      <c r="R461" s="2" t="s">
        <v>30</v>
      </c>
    </row>
    <row r="462" spans="1:18">
      <c r="A462" s="1">
        <v>44835</v>
      </c>
      <c r="B462" s="1">
        <v>44835</v>
      </c>
      <c r="C462">
        <v>2022</v>
      </c>
      <c r="D462">
        <v>10</v>
      </c>
      <c r="E462" s="2" t="s">
        <v>8456</v>
      </c>
      <c r="F462" s="2" t="s">
        <v>8457</v>
      </c>
      <c r="G462" s="2" t="s">
        <v>8335</v>
      </c>
      <c r="H462" s="2" t="s">
        <v>22</v>
      </c>
      <c r="I462" s="2" t="s">
        <v>8336</v>
      </c>
      <c r="J462" s="2" t="s">
        <v>24</v>
      </c>
      <c r="K462">
        <v>9442.32</v>
      </c>
      <c r="L462">
        <v>944232000</v>
      </c>
      <c r="M462" s="2" t="s">
        <v>8355</v>
      </c>
      <c r="N462" s="2" t="s">
        <v>8359</v>
      </c>
      <c r="O462" s="2" t="s">
        <v>8808</v>
      </c>
      <c r="P462" s="2" t="s">
        <v>639</v>
      </c>
      <c r="Q462" s="2" t="s">
        <v>8445</v>
      </c>
      <c r="R462" s="2" t="s">
        <v>30</v>
      </c>
    </row>
    <row r="463" spans="1:18">
      <c r="A463" s="1">
        <v>44835</v>
      </c>
      <c r="B463" s="1">
        <v>44835</v>
      </c>
      <c r="C463">
        <v>2022</v>
      </c>
      <c r="D463">
        <v>10</v>
      </c>
      <c r="E463" s="2" t="s">
        <v>8459</v>
      </c>
      <c r="F463" s="2" t="s">
        <v>8460</v>
      </c>
      <c r="G463" s="2" t="s">
        <v>8335</v>
      </c>
      <c r="H463" s="2" t="s">
        <v>22</v>
      </c>
      <c r="I463" s="2" t="s">
        <v>8336</v>
      </c>
      <c r="J463" s="2" t="s">
        <v>59</v>
      </c>
      <c r="K463">
        <v>10235.99</v>
      </c>
      <c r="L463">
        <v>1023599000</v>
      </c>
      <c r="M463" s="2" t="s">
        <v>8331</v>
      </c>
      <c r="N463" s="2" t="s">
        <v>8341</v>
      </c>
      <c r="O463" s="2" t="s">
        <v>8809</v>
      </c>
      <c r="P463" s="2" t="s">
        <v>639</v>
      </c>
      <c r="Q463" s="2" t="s">
        <v>8445</v>
      </c>
      <c r="R463" s="2" t="s">
        <v>30</v>
      </c>
    </row>
    <row r="464" spans="1:18">
      <c r="A464" s="1">
        <v>44835</v>
      </c>
      <c r="B464" s="1">
        <v>44835</v>
      </c>
      <c r="C464">
        <v>2022</v>
      </c>
      <c r="D464">
        <v>10</v>
      </c>
      <c r="E464" s="2" t="s">
        <v>8462</v>
      </c>
      <c r="F464" s="2" t="s">
        <v>8463</v>
      </c>
      <c r="G464" s="2" t="s">
        <v>8335</v>
      </c>
      <c r="H464" s="2" t="s">
        <v>22</v>
      </c>
      <c r="I464" s="2" t="s">
        <v>8409</v>
      </c>
      <c r="J464" s="2" t="s">
        <v>24</v>
      </c>
      <c r="K464">
        <v>12.91</v>
      </c>
      <c r="L464">
        <v>1291000</v>
      </c>
      <c r="M464" s="2" t="s">
        <v>8406</v>
      </c>
      <c r="N464" s="2" t="s">
        <v>8411</v>
      </c>
      <c r="O464" s="2" t="s">
        <v>8810</v>
      </c>
      <c r="P464" s="2" t="s">
        <v>639</v>
      </c>
      <c r="Q464" s="2" t="s">
        <v>8445</v>
      </c>
      <c r="R464" s="2" t="s">
        <v>30</v>
      </c>
    </row>
    <row r="465" spans="1:18">
      <c r="A465" s="1">
        <v>44835</v>
      </c>
      <c r="B465" s="1">
        <v>44835</v>
      </c>
      <c r="C465">
        <v>2022</v>
      </c>
      <c r="D465">
        <v>10</v>
      </c>
      <c r="E465" s="2" t="s">
        <v>8464</v>
      </c>
      <c r="F465" s="2" t="s">
        <v>8465</v>
      </c>
      <c r="G465" s="2" t="s">
        <v>8335</v>
      </c>
      <c r="H465" s="2" t="s">
        <v>22</v>
      </c>
      <c r="I465" s="2" t="s">
        <v>8417</v>
      </c>
      <c r="J465" s="2" t="s">
        <v>24</v>
      </c>
      <c r="K465">
        <v>72.11</v>
      </c>
      <c r="L465">
        <v>7211000</v>
      </c>
      <c r="M465" s="2" t="s">
        <v>8414</v>
      </c>
      <c r="N465" s="2" t="s">
        <v>8419</v>
      </c>
      <c r="O465" s="2" t="s">
        <v>8811</v>
      </c>
      <c r="P465" s="2" t="s">
        <v>639</v>
      </c>
      <c r="Q465" s="2" t="s">
        <v>8445</v>
      </c>
      <c r="R465" s="2" t="s">
        <v>30</v>
      </c>
    </row>
    <row r="466" spans="1:18">
      <c r="A466" s="1">
        <v>44835</v>
      </c>
      <c r="B466" s="1">
        <v>44835</v>
      </c>
      <c r="C466">
        <v>2022</v>
      </c>
      <c r="D466">
        <v>10</v>
      </c>
      <c r="E466" s="2" t="s">
        <v>8467</v>
      </c>
      <c r="F466" s="2" t="s">
        <v>8468</v>
      </c>
      <c r="G466" s="2" t="s">
        <v>8335</v>
      </c>
      <c r="H466" s="2" t="s">
        <v>22</v>
      </c>
      <c r="I466" s="2" t="s">
        <v>8365</v>
      </c>
      <c r="J466" s="2" t="s">
        <v>24</v>
      </c>
      <c r="K466">
        <v>2789.67</v>
      </c>
      <c r="L466">
        <v>278967000</v>
      </c>
      <c r="M466" s="2" t="s">
        <v>8377</v>
      </c>
      <c r="N466" s="2" t="s">
        <v>8381</v>
      </c>
      <c r="O466" s="2" t="s">
        <v>8812</v>
      </c>
      <c r="P466" s="2" t="s">
        <v>639</v>
      </c>
      <c r="Q466" s="2" t="s">
        <v>8445</v>
      </c>
      <c r="R466" s="2" t="s">
        <v>30</v>
      </c>
    </row>
    <row r="467" spans="1:18">
      <c r="A467" s="1">
        <v>44835</v>
      </c>
      <c r="B467" s="1">
        <v>44835</v>
      </c>
      <c r="C467">
        <v>2022</v>
      </c>
      <c r="D467">
        <v>10</v>
      </c>
      <c r="E467" s="2" t="s">
        <v>8470</v>
      </c>
      <c r="F467" s="2" t="s">
        <v>8471</v>
      </c>
      <c r="G467" s="2" t="s">
        <v>8335</v>
      </c>
      <c r="H467" s="2" t="s">
        <v>22</v>
      </c>
      <c r="I467" s="2" t="s">
        <v>8365</v>
      </c>
      <c r="J467" s="2" t="s">
        <v>59</v>
      </c>
      <c r="K467">
        <v>15985.59</v>
      </c>
      <c r="L467">
        <v>1598559000</v>
      </c>
      <c r="M467" s="2" t="s">
        <v>8362</v>
      </c>
      <c r="N467" s="2" t="s">
        <v>8367</v>
      </c>
      <c r="O467" s="2" t="s">
        <v>8813</v>
      </c>
      <c r="P467" s="2" t="s">
        <v>639</v>
      </c>
      <c r="Q467" s="2" t="s">
        <v>8445</v>
      </c>
      <c r="R467" s="2" t="s">
        <v>30</v>
      </c>
    </row>
    <row r="468" spans="1:18">
      <c r="A468" s="1">
        <v>44835</v>
      </c>
      <c r="B468" s="1">
        <v>44835</v>
      </c>
      <c r="C468">
        <v>2022</v>
      </c>
      <c r="D468">
        <v>10</v>
      </c>
      <c r="E468" s="2" t="s">
        <v>8473</v>
      </c>
      <c r="F468" s="2" t="s">
        <v>8474</v>
      </c>
      <c r="G468" s="2" t="s">
        <v>8335</v>
      </c>
      <c r="H468" s="2" t="s">
        <v>22</v>
      </c>
      <c r="I468" s="2" t="s">
        <v>8365</v>
      </c>
      <c r="J468" s="2" t="s">
        <v>24</v>
      </c>
      <c r="K468">
        <v>13195.92</v>
      </c>
      <c r="L468">
        <v>1319592000</v>
      </c>
      <c r="M468" s="2" t="s">
        <v>8370</v>
      </c>
      <c r="N468" s="2" t="s">
        <v>8374</v>
      </c>
      <c r="O468" s="2" t="s">
        <v>8814</v>
      </c>
      <c r="P468" s="2" t="s">
        <v>639</v>
      </c>
      <c r="Q468" s="2" t="s">
        <v>8445</v>
      </c>
      <c r="R468" s="2" t="s">
        <v>30</v>
      </c>
    </row>
    <row r="469" spans="1:18">
      <c r="A469" s="1">
        <v>44835</v>
      </c>
      <c r="B469" s="1">
        <v>44835</v>
      </c>
      <c r="C469">
        <v>2022</v>
      </c>
      <c r="D469">
        <v>10</v>
      </c>
      <c r="E469" s="2" t="s">
        <v>7890</v>
      </c>
      <c r="F469" s="2" t="s">
        <v>7891</v>
      </c>
      <c r="G469" s="2" t="s">
        <v>8335</v>
      </c>
      <c r="H469" s="2" t="s">
        <v>22</v>
      </c>
      <c r="I469" s="2" t="s">
        <v>8417</v>
      </c>
      <c r="J469" s="2" t="s">
        <v>24</v>
      </c>
      <c r="K469">
        <v>2253.23</v>
      </c>
      <c r="L469">
        <v>225323000</v>
      </c>
      <c r="M469" s="2" t="s">
        <v>7889</v>
      </c>
      <c r="N469" s="2" t="s">
        <v>7911</v>
      </c>
      <c r="O469" s="2" t="s">
        <v>8815</v>
      </c>
      <c r="P469" s="2" t="s">
        <v>639</v>
      </c>
      <c r="Q469" s="2" t="s">
        <v>8445</v>
      </c>
      <c r="R469" s="2" t="s">
        <v>30</v>
      </c>
    </row>
    <row r="470" spans="1:18">
      <c r="A470" s="1">
        <v>44866</v>
      </c>
      <c r="B470" s="1">
        <v>44866</v>
      </c>
      <c r="C470">
        <v>2022</v>
      </c>
      <c r="D470">
        <v>11</v>
      </c>
      <c r="E470" s="2" t="s">
        <v>8443</v>
      </c>
      <c r="F470" s="2" t="s">
        <v>8444</v>
      </c>
      <c r="G470" s="2" t="s">
        <v>8335</v>
      </c>
      <c r="H470" s="2" t="s">
        <v>22</v>
      </c>
      <c r="I470" s="2" t="s">
        <v>8387</v>
      </c>
      <c r="J470" s="2" t="s">
        <v>24</v>
      </c>
      <c r="K470">
        <v>2.2000000000000002</v>
      </c>
      <c r="L470">
        <v>220000</v>
      </c>
      <c r="M470" s="2" t="s">
        <v>8392</v>
      </c>
      <c r="N470" s="2" t="s">
        <v>8396</v>
      </c>
      <c r="O470" s="2" t="s">
        <v>477</v>
      </c>
      <c r="P470" s="2" t="s">
        <v>639</v>
      </c>
      <c r="Q470" s="2" t="s">
        <v>8445</v>
      </c>
      <c r="R470" s="2" t="s">
        <v>30</v>
      </c>
    </row>
    <row r="471" spans="1:18">
      <c r="A471" s="1">
        <v>44866</v>
      </c>
      <c r="B471" s="1">
        <v>44866</v>
      </c>
      <c r="C471">
        <v>2022</v>
      </c>
      <c r="D471">
        <v>11</v>
      </c>
      <c r="E471" s="2" t="s">
        <v>8446</v>
      </c>
      <c r="F471" s="2" t="s">
        <v>8447</v>
      </c>
      <c r="G471" s="2" t="s">
        <v>8335</v>
      </c>
      <c r="H471" s="2" t="s">
        <v>22</v>
      </c>
      <c r="I471" s="2" t="s">
        <v>8387</v>
      </c>
      <c r="J471" s="2" t="s">
        <v>59</v>
      </c>
      <c r="K471">
        <v>2.5499999999999998</v>
      </c>
      <c r="L471">
        <v>255000</v>
      </c>
      <c r="M471" s="2" t="s">
        <v>8384</v>
      </c>
      <c r="N471" s="2" t="s">
        <v>8389</v>
      </c>
      <c r="O471" s="2" t="s">
        <v>5898</v>
      </c>
      <c r="P471" s="2" t="s">
        <v>639</v>
      </c>
      <c r="Q471" s="2" t="s">
        <v>8445</v>
      </c>
      <c r="R471" s="2" t="s">
        <v>30</v>
      </c>
    </row>
    <row r="472" spans="1:18">
      <c r="A472" s="1">
        <v>44866</v>
      </c>
      <c r="B472" s="1">
        <v>44866</v>
      </c>
      <c r="C472">
        <v>2022</v>
      </c>
      <c r="D472">
        <v>11</v>
      </c>
      <c r="E472" s="2" t="s">
        <v>8448</v>
      </c>
      <c r="F472" s="2" t="s">
        <v>8449</v>
      </c>
      <c r="G472" s="2" t="s">
        <v>8335</v>
      </c>
      <c r="H472" s="2" t="s">
        <v>22</v>
      </c>
      <c r="I472" s="2" t="s">
        <v>8387</v>
      </c>
      <c r="J472" s="2" t="s">
        <v>24</v>
      </c>
      <c r="K472">
        <v>0.36</v>
      </c>
      <c r="L472">
        <v>36000</v>
      </c>
      <c r="M472" s="2" t="s">
        <v>8399</v>
      </c>
      <c r="N472" s="2" t="s">
        <v>8403</v>
      </c>
      <c r="O472" s="2" t="s">
        <v>3657</v>
      </c>
      <c r="P472" s="2" t="s">
        <v>639</v>
      </c>
      <c r="Q472" s="2" t="s">
        <v>8445</v>
      </c>
      <c r="R472" s="2" t="s">
        <v>30</v>
      </c>
    </row>
    <row r="473" spans="1:18">
      <c r="A473" s="1">
        <v>44866</v>
      </c>
      <c r="B473" s="1">
        <v>44866</v>
      </c>
      <c r="C473">
        <v>2022</v>
      </c>
      <c r="D473">
        <v>11</v>
      </c>
      <c r="E473" s="2" t="s">
        <v>8450</v>
      </c>
      <c r="F473" s="2" t="s">
        <v>8451</v>
      </c>
      <c r="G473" s="2" t="s">
        <v>8335</v>
      </c>
      <c r="H473" s="2" t="s">
        <v>22</v>
      </c>
      <c r="I473" s="2" t="s">
        <v>8417</v>
      </c>
      <c r="J473" s="2" t="s">
        <v>24</v>
      </c>
      <c r="K473">
        <v>48.25</v>
      </c>
      <c r="L473">
        <v>4825000</v>
      </c>
      <c r="M473" s="2" t="s">
        <v>8422</v>
      </c>
      <c r="N473" s="2" t="s">
        <v>8426</v>
      </c>
      <c r="O473" s="2" t="s">
        <v>8816</v>
      </c>
      <c r="P473" s="2" t="s">
        <v>639</v>
      </c>
      <c r="Q473" s="2" t="s">
        <v>8445</v>
      </c>
      <c r="R473" s="2" t="s">
        <v>30</v>
      </c>
    </row>
    <row r="474" spans="1:18">
      <c r="A474" s="1">
        <v>44866</v>
      </c>
      <c r="B474" s="1">
        <v>44866</v>
      </c>
      <c r="C474">
        <v>2022</v>
      </c>
      <c r="D474">
        <v>11</v>
      </c>
      <c r="E474" s="2" t="s">
        <v>8453</v>
      </c>
      <c r="F474" s="2" t="s">
        <v>8454</v>
      </c>
      <c r="G474" s="2" t="s">
        <v>8335</v>
      </c>
      <c r="H474" s="2" t="s">
        <v>22</v>
      </c>
      <c r="I474" s="2" t="s">
        <v>8336</v>
      </c>
      <c r="J474" s="2" t="s">
        <v>24</v>
      </c>
      <c r="K474">
        <v>806.06</v>
      </c>
      <c r="L474">
        <v>80606000</v>
      </c>
      <c r="M474" s="2" t="s">
        <v>8348</v>
      </c>
      <c r="N474" s="2" t="s">
        <v>8352</v>
      </c>
      <c r="O474" s="2" t="s">
        <v>8817</v>
      </c>
      <c r="P474" s="2" t="s">
        <v>639</v>
      </c>
      <c r="Q474" s="2" t="s">
        <v>8445</v>
      </c>
      <c r="R474" s="2" t="s">
        <v>30</v>
      </c>
    </row>
    <row r="475" spans="1:18">
      <c r="A475" s="1">
        <v>44866</v>
      </c>
      <c r="B475" s="1">
        <v>44866</v>
      </c>
      <c r="C475">
        <v>2022</v>
      </c>
      <c r="D475">
        <v>11</v>
      </c>
      <c r="E475" s="2" t="s">
        <v>8456</v>
      </c>
      <c r="F475" s="2" t="s">
        <v>8457</v>
      </c>
      <c r="G475" s="2" t="s">
        <v>8335</v>
      </c>
      <c r="H475" s="2" t="s">
        <v>22</v>
      </c>
      <c r="I475" s="2" t="s">
        <v>8336</v>
      </c>
      <c r="J475" s="2" t="s">
        <v>24</v>
      </c>
      <c r="K475">
        <v>9477.2900000000009</v>
      </c>
      <c r="L475">
        <v>947729000</v>
      </c>
      <c r="M475" s="2" t="s">
        <v>8355</v>
      </c>
      <c r="N475" s="2" t="s">
        <v>8359</v>
      </c>
      <c r="O475" s="2" t="s">
        <v>8818</v>
      </c>
      <c r="P475" s="2" t="s">
        <v>639</v>
      </c>
      <c r="Q475" s="2" t="s">
        <v>8445</v>
      </c>
      <c r="R475" s="2" t="s">
        <v>30</v>
      </c>
    </row>
    <row r="476" spans="1:18">
      <c r="A476" s="1">
        <v>44866</v>
      </c>
      <c r="B476" s="1">
        <v>44866</v>
      </c>
      <c r="C476">
        <v>2022</v>
      </c>
      <c r="D476">
        <v>11</v>
      </c>
      <c r="E476" s="2" t="s">
        <v>8459</v>
      </c>
      <c r="F476" s="2" t="s">
        <v>8460</v>
      </c>
      <c r="G476" s="2" t="s">
        <v>8335</v>
      </c>
      <c r="H476" s="2" t="s">
        <v>22</v>
      </c>
      <c r="I476" s="2" t="s">
        <v>8336</v>
      </c>
      <c r="J476" s="2" t="s">
        <v>59</v>
      </c>
      <c r="K476">
        <v>10283.35</v>
      </c>
      <c r="L476">
        <v>1028335000</v>
      </c>
      <c r="M476" s="2" t="s">
        <v>8331</v>
      </c>
      <c r="N476" s="2" t="s">
        <v>8341</v>
      </c>
      <c r="O476" s="2" t="s">
        <v>8819</v>
      </c>
      <c r="P476" s="2" t="s">
        <v>639</v>
      </c>
      <c r="Q476" s="2" t="s">
        <v>8445</v>
      </c>
      <c r="R476" s="2" t="s">
        <v>30</v>
      </c>
    </row>
    <row r="477" spans="1:18">
      <c r="A477" s="1">
        <v>44866</v>
      </c>
      <c r="B477" s="1">
        <v>44866</v>
      </c>
      <c r="C477">
        <v>2022</v>
      </c>
      <c r="D477">
        <v>11</v>
      </c>
      <c r="E477" s="2" t="s">
        <v>8462</v>
      </c>
      <c r="F477" s="2" t="s">
        <v>8463</v>
      </c>
      <c r="G477" s="2" t="s">
        <v>8335</v>
      </c>
      <c r="H477" s="2" t="s">
        <v>22</v>
      </c>
      <c r="I477" s="2" t="s">
        <v>8409</v>
      </c>
      <c r="J477" s="2" t="s">
        <v>24</v>
      </c>
      <c r="K477">
        <v>13.34</v>
      </c>
      <c r="L477">
        <v>1334000</v>
      </c>
      <c r="M477" s="2" t="s">
        <v>8406</v>
      </c>
      <c r="N477" s="2" t="s">
        <v>8411</v>
      </c>
      <c r="O477" s="2" t="s">
        <v>8820</v>
      </c>
      <c r="P477" s="2" t="s">
        <v>639</v>
      </c>
      <c r="Q477" s="2" t="s">
        <v>8445</v>
      </c>
      <c r="R477" s="2" t="s">
        <v>30</v>
      </c>
    </row>
    <row r="478" spans="1:18">
      <c r="A478" s="1">
        <v>44866</v>
      </c>
      <c r="B478" s="1">
        <v>44866</v>
      </c>
      <c r="C478">
        <v>2022</v>
      </c>
      <c r="D478">
        <v>11</v>
      </c>
      <c r="E478" s="2" t="s">
        <v>8464</v>
      </c>
      <c r="F478" s="2" t="s">
        <v>8465</v>
      </c>
      <c r="G478" s="2" t="s">
        <v>8335</v>
      </c>
      <c r="H478" s="2" t="s">
        <v>22</v>
      </c>
      <c r="I478" s="2" t="s">
        <v>8417</v>
      </c>
      <c r="J478" s="2" t="s">
        <v>24</v>
      </c>
      <c r="K478">
        <v>73.52</v>
      </c>
      <c r="L478">
        <v>7352000</v>
      </c>
      <c r="M478" s="2" t="s">
        <v>8414</v>
      </c>
      <c r="N478" s="2" t="s">
        <v>8419</v>
      </c>
      <c r="O478" s="2" t="s">
        <v>8821</v>
      </c>
      <c r="P478" s="2" t="s">
        <v>639</v>
      </c>
      <c r="Q478" s="2" t="s">
        <v>8445</v>
      </c>
      <c r="R478" s="2" t="s">
        <v>30</v>
      </c>
    </row>
    <row r="479" spans="1:18">
      <c r="A479" s="1">
        <v>44866</v>
      </c>
      <c r="B479" s="1">
        <v>44866</v>
      </c>
      <c r="C479">
        <v>2022</v>
      </c>
      <c r="D479">
        <v>11</v>
      </c>
      <c r="E479" s="2" t="s">
        <v>8467</v>
      </c>
      <c r="F479" s="2" t="s">
        <v>8468</v>
      </c>
      <c r="G479" s="2" t="s">
        <v>8335</v>
      </c>
      <c r="H479" s="2" t="s">
        <v>22</v>
      </c>
      <c r="I479" s="2" t="s">
        <v>8365</v>
      </c>
      <c r="J479" s="2" t="s">
        <v>24</v>
      </c>
      <c r="K479">
        <v>2828.48</v>
      </c>
      <c r="L479">
        <v>282848000</v>
      </c>
      <c r="M479" s="2" t="s">
        <v>8377</v>
      </c>
      <c r="N479" s="2" t="s">
        <v>8381</v>
      </c>
      <c r="O479" s="2" t="s">
        <v>8822</v>
      </c>
      <c r="P479" s="2" t="s">
        <v>639</v>
      </c>
      <c r="Q479" s="2" t="s">
        <v>8445</v>
      </c>
      <c r="R479" s="2" t="s">
        <v>30</v>
      </c>
    </row>
    <row r="480" spans="1:18">
      <c r="A480" s="1">
        <v>44866</v>
      </c>
      <c r="B480" s="1">
        <v>44866</v>
      </c>
      <c r="C480">
        <v>2022</v>
      </c>
      <c r="D480">
        <v>11</v>
      </c>
      <c r="E480" s="2" t="s">
        <v>8470</v>
      </c>
      <c r="F480" s="2" t="s">
        <v>8471</v>
      </c>
      <c r="G480" s="2" t="s">
        <v>8335</v>
      </c>
      <c r="H480" s="2" t="s">
        <v>22</v>
      </c>
      <c r="I480" s="2" t="s">
        <v>8365</v>
      </c>
      <c r="J480" s="2" t="s">
        <v>59</v>
      </c>
      <c r="K480">
        <v>16098.32</v>
      </c>
      <c r="L480">
        <v>1609832000</v>
      </c>
      <c r="M480" s="2" t="s">
        <v>8362</v>
      </c>
      <c r="N480" s="2" t="s">
        <v>8367</v>
      </c>
      <c r="O480" s="2" t="s">
        <v>8823</v>
      </c>
      <c r="P480" s="2" t="s">
        <v>639</v>
      </c>
      <c r="Q480" s="2" t="s">
        <v>8445</v>
      </c>
      <c r="R480" s="2" t="s">
        <v>30</v>
      </c>
    </row>
    <row r="481" spans="1:18">
      <c r="A481" s="1">
        <v>44866</v>
      </c>
      <c r="B481" s="1">
        <v>44866</v>
      </c>
      <c r="C481">
        <v>2022</v>
      </c>
      <c r="D481">
        <v>11</v>
      </c>
      <c r="E481" s="2" t="s">
        <v>8473</v>
      </c>
      <c r="F481" s="2" t="s">
        <v>8474</v>
      </c>
      <c r="G481" s="2" t="s">
        <v>8335</v>
      </c>
      <c r="H481" s="2" t="s">
        <v>22</v>
      </c>
      <c r="I481" s="2" t="s">
        <v>8365</v>
      </c>
      <c r="J481" s="2" t="s">
        <v>24</v>
      </c>
      <c r="K481">
        <v>13269.83</v>
      </c>
      <c r="L481">
        <v>1326983000</v>
      </c>
      <c r="M481" s="2" t="s">
        <v>8370</v>
      </c>
      <c r="N481" s="2" t="s">
        <v>8374</v>
      </c>
      <c r="O481" s="2" t="s">
        <v>8824</v>
      </c>
      <c r="P481" s="2" t="s">
        <v>639</v>
      </c>
      <c r="Q481" s="2" t="s">
        <v>8445</v>
      </c>
      <c r="R481" s="2" t="s">
        <v>30</v>
      </c>
    </row>
    <row r="482" spans="1:18">
      <c r="A482" s="1">
        <v>44866</v>
      </c>
      <c r="B482" s="1">
        <v>44866</v>
      </c>
      <c r="C482">
        <v>2022</v>
      </c>
      <c r="D482">
        <v>11</v>
      </c>
      <c r="E482" s="2" t="s">
        <v>7890</v>
      </c>
      <c r="F482" s="2" t="s">
        <v>7891</v>
      </c>
      <c r="G482" s="2" t="s">
        <v>8335</v>
      </c>
      <c r="H482" s="2" t="s">
        <v>22</v>
      </c>
      <c r="I482" s="2" t="s">
        <v>8417</v>
      </c>
      <c r="J482" s="2" t="s">
        <v>24</v>
      </c>
      <c r="K482">
        <v>2302.87</v>
      </c>
      <c r="L482">
        <v>230287000</v>
      </c>
      <c r="M482" s="2" t="s">
        <v>7889</v>
      </c>
      <c r="N482" s="2" t="s">
        <v>7911</v>
      </c>
      <c r="O482" s="2" t="s">
        <v>8825</v>
      </c>
      <c r="P482" s="2" t="s">
        <v>639</v>
      </c>
      <c r="Q482" s="2" t="s">
        <v>8445</v>
      </c>
      <c r="R482" s="2" t="s">
        <v>30</v>
      </c>
    </row>
    <row r="483" spans="1:18">
      <c r="A483" s="1">
        <v>44896</v>
      </c>
      <c r="B483" s="1">
        <v>44896</v>
      </c>
      <c r="C483">
        <v>2022</v>
      </c>
      <c r="D483">
        <v>12</v>
      </c>
      <c r="E483" s="2" t="s">
        <v>8443</v>
      </c>
      <c r="F483" s="2" t="s">
        <v>8444</v>
      </c>
      <c r="G483" s="2" t="s">
        <v>8335</v>
      </c>
      <c r="H483" s="2" t="s">
        <v>22</v>
      </c>
      <c r="I483" s="2" t="s">
        <v>8387</v>
      </c>
      <c r="J483" s="2" t="s">
        <v>24</v>
      </c>
      <c r="K483">
        <v>2.2000000000000002</v>
      </c>
      <c r="L483">
        <v>220000</v>
      </c>
      <c r="M483" s="2" t="s">
        <v>8392</v>
      </c>
      <c r="N483" s="2" t="s">
        <v>8396</v>
      </c>
      <c r="O483" s="2" t="s">
        <v>477</v>
      </c>
      <c r="P483" s="2" t="s">
        <v>639</v>
      </c>
      <c r="Q483" s="2" t="s">
        <v>8445</v>
      </c>
      <c r="R483" s="2" t="s">
        <v>30</v>
      </c>
    </row>
    <row r="484" spans="1:18">
      <c r="A484" s="1">
        <v>44896</v>
      </c>
      <c r="B484" s="1">
        <v>44896</v>
      </c>
      <c r="C484">
        <v>2022</v>
      </c>
      <c r="D484">
        <v>12</v>
      </c>
      <c r="E484" s="2" t="s">
        <v>8446</v>
      </c>
      <c r="F484" s="2" t="s">
        <v>8447</v>
      </c>
      <c r="G484" s="2" t="s">
        <v>8335</v>
      </c>
      <c r="H484" s="2" t="s">
        <v>22</v>
      </c>
      <c r="I484" s="2" t="s">
        <v>8387</v>
      </c>
      <c r="J484" s="2" t="s">
        <v>59</v>
      </c>
      <c r="K484">
        <v>2.57</v>
      </c>
      <c r="L484">
        <v>257000</v>
      </c>
      <c r="M484" s="2" t="s">
        <v>8384</v>
      </c>
      <c r="N484" s="2" t="s">
        <v>8389</v>
      </c>
      <c r="O484" s="2" t="s">
        <v>8826</v>
      </c>
      <c r="P484" s="2" t="s">
        <v>639</v>
      </c>
      <c r="Q484" s="2" t="s">
        <v>8445</v>
      </c>
      <c r="R484" s="2" t="s">
        <v>30</v>
      </c>
    </row>
    <row r="485" spans="1:18">
      <c r="A485" s="1">
        <v>44896</v>
      </c>
      <c r="B485" s="1">
        <v>44896</v>
      </c>
      <c r="C485">
        <v>2022</v>
      </c>
      <c r="D485">
        <v>12</v>
      </c>
      <c r="E485" s="2" t="s">
        <v>8448</v>
      </c>
      <c r="F485" s="2" t="s">
        <v>8449</v>
      </c>
      <c r="G485" s="2" t="s">
        <v>8335</v>
      </c>
      <c r="H485" s="2" t="s">
        <v>22</v>
      </c>
      <c r="I485" s="2" t="s">
        <v>8387</v>
      </c>
      <c r="J485" s="2" t="s">
        <v>24</v>
      </c>
      <c r="K485">
        <v>0.37</v>
      </c>
      <c r="L485">
        <v>37000</v>
      </c>
      <c r="M485" s="2" t="s">
        <v>8399</v>
      </c>
      <c r="N485" s="2" t="s">
        <v>8403</v>
      </c>
      <c r="O485" s="2" t="s">
        <v>668</v>
      </c>
      <c r="P485" s="2" t="s">
        <v>639</v>
      </c>
      <c r="Q485" s="2" t="s">
        <v>8445</v>
      </c>
      <c r="R485" s="2" t="s">
        <v>30</v>
      </c>
    </row>
    <row r="486" spans="1:18">
      <c r="A486" s="1">
        <v>44896</v>
      </c>
      <c r="B486" s="1">
        <v>44896</v>
      </c>
      <c r="C486">
        <v>2022</v>
      </c>
      <c r="D486">
        <v>12</v>
      </c>
      <c r="E486" s="2" t="s">
        <v>8450</v>
      </c>
      <c r="F486" s="2" t="s">
        <v>8451</v>
      </c>
      <c r="G486" s="2" t="s">
        <v>8335</v>
      </c>
      <c r="H486" s="2" t="s">
        <v>22</v>
      </c>
      <c r="I486" s="2" t="s">
        <v>8417</v>
      </c>
      <c r="J486" s="2" t="s">
        <v>24</v>
      </c>
      <c r="K486">
        <v>49.59</v>
      </c>
      <c r="L486">
        <v>4959000</v>
      </c>
      <c r="M486" s="2" t="s">
        <v>8422</v>
      </c>
      <c r="N486" s="2" t="s">
        <v>8426</v>
      </c>
      <c r="O486" s="2" t="s">
        <v>8827</v>
      </c>
      <c r="P486" s="2" t="s">
        <v>639</v>
      </c>
      <c r="Q486" s="2" t="s">
        <v>8445</v>
      </c>
      <c r="R486" s="2" t="s">
        <v>30</v>
      </c>
    </row>
    <row r="487" spans="1:18">
      <c r="A487" s="1">
        <v>44896</v>
      </c>
      <c r="B487" s="1">
        <v>44896</v>
      </c>
      <c r="C487">
        <v>2022</v>
      </c>
      <c r="D487">
        <v>12</v>
      </c>
      <c r="E487" s="2" t="s">
        <v>8453</v>
      </c>
      <c r="F487" s="2" t="s">
        <v>8454</v>
      </c>
      <c r="G487" s="2" t="s">
        <v>8335</v>
      </c>
      <c r="H487" s="2" t="s">
        <v>22</v>
      </c>
      <c r="I487" s="2" t="s">
        <v>8336</v>
      </c>
      <c r="J487" s="2" t="s">
        <v>24</v>
      </c>
      <c r="K487">
        <v>811.87</v>
      </c>
      <c r="L487">
        <v>81187000</v>
      </c>
      <c r="M487" s="2" t="s">
        <v>8348</v>
      </c>
      <c r="N487" s="2" t="s">
        <v>8352</v>
      </c>
      <c r="O487" s="2" t="s">
        <v>8828</v>
      </c>
      <c r="P487" s="2" t="s">
        <v>639</v>
      </c>
      <c r="Q487" s="2" t="s">
        <v>8445</v>
      </c>
      <c r="R487" s="2" t="s">
        <v>30</v>
      </c>
    </row>
    <row r="488" spans="1:18">
      <c r="A488" s="1">
        <v>44896</v>
      </c>
      <c r="B488" s="1">
        <v>44896</v>
      </c>
      <c r="C488">
        <v>2022</v>
      </c>
      <c r="D488">
        <v>12</v>
      </c>
      <c r="E488" s="2" t="s">
        <v>8456</v>
      </c>
      <c r="F488" s="2" t="s">
        <v>8457</v>
      </c>
      <c r="G488" s="2" t="s">
        <v>8335</v>
      </c>
      <c r="H488" s="2" t="s">
        <v>22</v>
      </c>
      <c r="I488" s="2" t="s">
        <v>8336</v>
      </c>
      <c r="J488" s="2" t="s">
        <v>24</v>
      </c>
      <c r="K488">
        <v>9394.66</v>
      </c>
      <c r="L488">
        <v>939466000</v>
      </c>
      <c r="M488" s="2" t="s">
        <v>8355</v>
      </c>
      <c r="N488" s="2" t="s">
        <v>8359</v>
      </c>
      <c r="O488" s="2" t="s">
        <v>8829</v>
      </c>
      <c r="P488" s="2" t="s">
        <v>639</v>
      </c>
      <c r="Q488" s="2" t="s">
        <v>8445</v>
      </c>
      <c r="R488" s="2" t="s">
        <v>30</v>
      </c>
    </row>
    <row r="489" spans="1:18">
      <c r="A489" s="1">
        <v>44896</v>
      </c>
      <c r="B489" s="1">
        <v>44896</v>
      </c>
      <c r="C489">
        <v>2022</v>
      </c>
      <c r="D489">
        <v>12</v>
      </c>
      <c r="E489" s="2" t="s">
        <v>8459</v>
      </c>
      <c r="F489" s="2" t="s">
        <v>8460</v>
      </c>
      <c r="G489" s="2" t="s">
        <v>8335</v>
      </c>
      <c r="H489" s="2" t="s">
        <v>22</v>
      </c>
      <c r="I489" s="2" t="s">
        <v>8336</v>
      </c>
      <c r="J489" s="2" t="s">
        <v>59</v>
      </c>
      <c r="K489">
        <v>10206.530000000001</v>
      </c>
      <c r="L489">
        <v>1020653000</v>
      </c>
      <c r="M489" s="2" t="s">
        <v>8331</v>
      </c>
      <c r="N489" s="2" t="s">
        <v>8341</v>
      </c>
      <c r="O489" s="2" t="s">
        <v>8830</v>
      </c>
      <c r="P489" s="2" t="s">
        <v>639</v>
      </c>
      <c r="Q489" s="2" t="s">
        <v>8445</v>
      </c>
      <c r="R489" s="2" t="s">
        <v>30</v>
      </c>
    </row>
    <row r="490" spans="1:18">
      <c r="A490" s="1">
        <v>44896</v>
      </c>
      <c r="B490" s="1">
        <v>44896</v>
      </c>
      <c r="C490">
        <v>2022</v>
      </c>
      <c r="D490">
        <v>12</v>
      </c>
      <c r="E490" s="2" t="s">
        <v>8462</v>
      </c>
      <c r="F490" s="2" t="s">
        <v>8463</v>
      </c>
      <c r="G490" s="2" t="s">
        <v>8335</v>
      </c>
      <c r="H490" s="2" t="s">
        <v>22</v>
      </c>
      <c r="I490" s="2" t="s">
        <v>8409</v>
      </c>
      <c r="J490" s="2" t="s">
        <v>24</v>
      </c>
      <c r="K490">
        <v>14.19</v>
      </c>
      <c r="L490">
        <v>1419000</v>
      </c>
      <c r="M490" s="2" t="s">
        <v>8406</v>
      </c>
      <c r="N490" s="2" t="s">
        <v>8411</v>
      </c>
      <c r="O490" s="2" t="s">
        <v>8831</v>
      </c>
      <c r="P490" s="2" t="s">
        <v>639</v>
      </c>
      <c r="Q490" s="2" t="s">
        <v>8445</v>
      </c>
      <c r="R490" s="2" t="s">
        <v>30</v>
      </c>
    </row>
    <row r="491" spans="1:18">
      <c r="A491" s="1">
        <v>44896</v>
      </c>
      <c r="B491" s="1">
        <v>44896</v>
      </c>
      <c r="C491">
        <v>2022</v>
      </c>
      <c r="D491">
        <v>12</v>
      </c>
      <c r="E491" s="2" t="s">
        <v>8464</v>
      </c>
      <c r="F491" s="2" t="s">
        <v>8465</v>
      </c>
      <c r="G491" s="2" t="s">
        <v>8335</v>
      </c>
      <c r="H491" s="2" t="s">
        <v>22</v>
      </c>
      <c r="I491" s="2" t="s">
        <v>8417</v>
      </c>
      <c r="J491" s="2" t="s">
        <v>24</v>
      </c>
      <c r="K491">
        <v>75.5</v>
      </c>
      <c r="L491">
        <v>7550000</v>
      </c>
      <c r="M491" s="2" t="s">
        <v>8414</v>
      </c>
      <c r="N491" s="2" t="s">
        <v>8419</v>
      </c>
      <c r="O491" s="2" t="s">
        <v>8832</v>
      </c>
      <c r="P491" s="2" t="s">
        <v>639</v>
      </c>
      <c r="Q491" s="2" t="s">
        <v>8445</v>
      </c>
      <c r="R491" s="2" t="s">
        <v>30</v>
      </c>
    </row>
    <row r="492" spans="1:18">
      <c r="A492" s="1">
        <v>44896</v>
      </c>
      <c r="B492" s="1">
        <v>44896</v>
      </c>
      <c r="C492">
        <v>2022</v>
      </c>
      <c r="D492">
        <v>12</v>
      </c>
      <c r="E492" s="2" t="s">
        <v>8467</v>
      </c>
      <c r="F492" s="2" t="s">
        <v>8468</v>
      </c>
      <c r="G492" s="2" t="s">
        <v>8335</v>
      </c>
      <c r="H492" s="2" t="s">
        <v>22</v>
      </c>
      <c r="I492" s="2" t="s">
        <v>8365</v>
      </c>
      <c r="J492" s="2" t="s">
        <v>24</v>
      </c>
      <c r="K492">
        <v>2888.05</v>
      </c>
      <c r="L492">
        <v>288805000</v>
      </c>
      <c r="M492" s="2" t="s">
        <v>8377</v>
      </c>
      <c r="N492" s="2" t="s">
        <v>8381</v>
      </c>
      <c r="O492" s="2" t="s">
        <v>8833</v>
      </c>
      <c r="P492" s="2" t="s">
        <v>639</v>
      </c>
      <c r="Q492" s="2" t="s">
        <v>8445</v>
      </c>
      <c r="R492" s="2" t="s">
        <v>30</v>
      </c>
    </row>
    <row r="493" spans="1:18">
      <c r="A493" s="1">
        <v>44896</v>
      </c>
      <c r="B493" s="1">
        <v>44896</v>
      </c>
      <c r="C493">
        <v>2022</v>
      </c>
      <c r="D493">
        <v>12</v>
      </c>
      <c r="E493" s="2" t="s">
        <v>8470</v>
      </c>
      <c r="F493" s="2" t="s">
        <v>8471</v>
      </c>
      <c r="G493" s="2" t="s">
        <v>8335</v>
      </c>
      <c r="H493" s="2" t="s">
        <v>22</v>
      </c>
      <c r="I493" s="2" t="s">
        <v>8365</v>
      </c>
      <c r="J493" s="2" t="s">
        <v>59</v>
      </c>
      <c r="K493">
        <v>16234.69</v>
      </c>
      <c r="L493">
        <v>1623469000</v>
      </c>
      <c r="M493" s="2" t="s">
        <v>8362</v>
      </c>
      <c r="N493" s="2" t="s">
        <v>8367</v>
      </c>
      <c r="O493" s="2" t="s">
        <v>8834</v>
      </c>
      <c r="P493" s="2" t="s">
        <v>639</v>
      </c>
      <c r="Q493" s="2" t="s">
        <v>8445</v>
      </c>
      <c r="R493" s="2" t="s">
        <v>30</v>
      </c>
    </row>
    <row r="494" spans="1:18">
      <c r="A494" s="1">
        <v>44896</v>
      </c>
      <c r="B494" s="1">
        <v>44896</v>
      </c>
      <c r="C494">
        <v>2022</v>
      </c>
      <c r="D494">
        <v>12</v>
      </c>
      <c r="E494" s="2" t="s">
        <v>8473</v>
      </c>
      <c r="F494" s="2" t="s">
        <v>8474</v>
      </c>
      <c r="G494" s="2" t="s">
        <v>8335</v>
      </c>
      <c r="H494" s="2" t="s">
        <v>22</v>
      </c>
      <c r="I494" s="2" t="s">
        <v>8365</v>
      </c>
      <c r="J494" s="2" t="s">
        <v>24</v>
      </c>
      <c r="K494">
        <v>13346.64</v>
      </c>
      <c r="L494">
        <v>1334664000</v>
      </c>
      <c r="M494" s="2" t="s">
        <v>8370</v>
      </c>
      <c r="N494" s="2" t="s">
        <v>8374</v>
      </c>
      <c r="O494" s="2" t="s">
        <v>8835</v>
      </c>
      <c r="P494" s="2" t="s">
        <v>639</v>
      </c>
      <c r="Q494" s="2" t="s">
        <v>8445</v>
      </c>
      <c r="R494" s="2" t="s">
        <v>30</v>
      </c>
    </row>
    <row r="495" spans="1:18">
      <c r="A495" s="1">
        <v>44896</v>
      </c>
      <c r="B495" s="1">
        <v>44896</v>
      </c>
      <c r="C495">
        <v>2022</v>
      </c>
      <c r="D495">
        <v>12</v>
      </c>
      <c r="E495" s="2" t="s">
        <v>7890</v>
      </c>
      <c r="F495" s="2" t="s">
        <v>7891</v>
      </c>
      <c r="G495" s="2" t="s">
        <v>8335</v>
      </c>
      <c r="H495" s="2" t="s">
        <v>22</v>
      </c>
      <c r="I495" s="2" t="s">
        <v>8417</v>
      </c>
      <c r="J495" s="2" t="s">
        <v>24</v>
      </c>
      <c r="K495">
        <v>2361.8200000000002</v>
      </c>
      <c r="L495">
        <v>236182000</v>
      </c>
      <c r="M495" s="2" t="s">
        <v>7889</v>
      </c>
      <c r="N495" s="2" t="s">
        <v>7911</v>
      </c>
      <c r="O495" s="2" t="s">
        <v>8836</v>
      </c>
      <c r="P495" s="2" t="s">
        <v>639</v>
      </c>
      <c r="Q495" s="2" t="s">
        <v>8445</v>
      </c>
      <c r="R495" s="2" t="s">
        <v>30</v>
      </c>
    </row>
    <row r="496" spans="1:18">
      <c r="A496" s="1">
        <v>44927</v>
      </c>
      <c r="B496" s="1">
        <v>44927</v>
      </c>
      <c r="C496">
        <v>2023</v>
      </c>
      <c r="D496">
        <v>1</v>
      </c>
      <c r="E496" s="2" t="s">
        <v>8443</v>
      </c>
      <c r="F496" s="2" t="s">
        <v>8444</v>
      </c>
      <c r="G496" s="2" t="s">
        <v>8335</v>
      </c>
      <c r="H496" s="2" t="s">
        <v>22</v>
      </c>
      <c r="I496" s="2" t="s">
        <v>8387</v>
      </c>
      <c r="J496" s="2" t="s">
        <v>24</v>
      </c>
      <c r="K496">
        <v>2.21</v>
      </c>
      <c r="L496">
        <v>221000</v>
      </c>
      <c r="M496" s="2" t="s">
        <v>8392</v>
      </c>
      <c r="N496" s="2" t="s">
        <v>8396</v>
      </c>
      <c r="O496" s="2" t="s">
        <v>3142</v>
      </c>
      <c r="P496" s="2" t="s">
        <v>639</v>
      </c>
      <c r="Q496" s="2" t="s">
        <v>8445</v>
      </c>
      <c r="R496" s="2" t="s">
        <v>30</v>
      </c>
    </row>
    <row r="497" spans="1:18">
      <c r="A497" s="1">
        <v>44927</v>
      </c>
      <c r="B497" s="1">
        <v>44927</v>
      </c>
      <c r="C497">
        <v>2023</v>
      </c>
      <c r="D497">
        <v>1</v>
      </c>
      <c r="E497" s="2" t="s">
        <v>8446</v>
      </c>
      <c r="F497" s="2" t="s">
        <v>8447</v>
      </c>
      <c r="G497" s="2" t="s">
        <v>8335</v>
      </c>
      <c r="H497" s="2" t="s">
        <v>22</v>
      </c>
      <c r="I497" s="2" t="s">
        <v>8387</v>
      </c>
      <c r="J497" s="2" t="s">
        <v>59</v>
      </c>
      <c r="K497">
        <v>2.58</v>
      </c>
      <c r="L497">
        <v>258000</v>
      </c>
      <c r="M497" s="2" t="s">
        <v>8384</v>
      </c>
      <c r="N497" s="2" t="s">
        <v>8389</v>
      </c>
      <c r="O497" s="2" t="s">
        <v>8837</v>
      </c>
      <c r="P497" s="2" t="s">
        <v>639</v>
      </c>
      <c r="Q497" s="2" t="s">
        <v>8445</v>
      </c>
      <c r="R497" s="2" t="s">
        <v>30</v>
      </c>
    </row>
    <row r="498" spans="1:18">
      <c r="A498" s="1">
        <v>44927</v>
      </c>
      <c r="B498" s="1">
        <v>44927</v>
      </c>
      <c r="C498">
        <v>2023</v>
      </c>
      <c r="D498">
        <v>1</v>
      </c>
      <c r="E498" s="2" t="s">
        <v>8448</v>
      </c>
      <c r="F498" s="2" t="s">
        <v>8449</v>
      </c>
      <c r="G498" s="2" t="s">
        <v>8335</v>
      </c>
      <c r="H498" s="2" t="s">
        <v>22</v>
      </c>
      <c r="I498" s="2" t="s">
        <v>8387</v>
      </c>
      <c r="J498" s="2" t="s">
        <v>24</v>
      </c>
      <c r="K498">
        <v>0.37</v>
      </c>
      <c r="L498">
        <v>37000</v>
      </c>
      <c r="M498" s="2" t="s">
        <v>8399</v>
      </c>
      <c r="N498" s="2" t="s">
        <v>8403</v>
      </c>
      <c r="O498" s="2" t="s">
        <v>668</v>
      </c>
      <c r="P498" s="2" t="s">
        <v>639</v>
      </c>
      <c r="Q498" s="2" t="s">
        <v>8445</v>
      </c>
      <c r="R498" s="2" t="s">
        <v>30</v>
      </c>
    </row>
    <row r="499" spans="1:18">
      <c r="A499" s="1">
        <v>44927</v>
      </c>
      <c r="B499" s="1">
        <v>44927</v>
      </c>
      <c r="C499">
        <v>2023</v>
      </c>
      <c r="D499">
        <v>1</v>
      </c>
      <c r="E499" s="2" t="s">
        <v>8450</v>
      </c>
      <c r="F499" s="2" t="s">
        <v>8451</v>
      </c>
      <c r="G499" s="2" t="s">
        <v>8335</v>
      </c>
      <c r="H499" s="2" t="s">
        <v>22</v>
      </c>
      <c r="I499" s="2" t="s">
        <v>8417</v>
      </c>
      <c r="J499" s="2" t="s">
        <v>24</v>
      </c>
      <c r="K499">
        <v>50.57</v>
      </c>
      <c r="L499">
        <v>5057000</v>
      </c>
      <c r="M499" s="2" t="s">
        <v>8422</v>
      </c>
      <c r="N499" s="2" t="s">
        <v>8426</v>
      </c>
      <c r="O499" s="2" t="s">
        <v>8838</v>
      </c>
      <c r="P499" s="2" t="s">
        <v>639</v>
      </c>
      <c r="Q499" s="2" t="s">
        <v>8445</v>
      </c>
      <c r="R499" s="2" t="s">
        <v>30</v>
      </c>
    </row>
    <row r="500" spans="1:18">
      <c r="A500" s="1">
        <v>44927</v>
      </c>
      <c r="B500" s="1">
        <v>44927</v>
      </c>
      <c r="C500">
        <v>2023</v>
      </c>
      <c r="D500">
        <v>1</v>
      </c>
      <c r="E500" s="2" t="s">
        <v>8453</v>
      </c>
      <c r="F500" s="2" t="s">
        <v>8454</v>
      </c>
      <c r="G500" s="2" t="s">
        <v>8335</v>
      </c>
      <c r="H500" s="2" t="s">
        <v>22</v>
      </c>
      <c r="I500" s="2" t="s">
        <v>8336</v>
      </c>
      <c r="J500" s="2" t="s">
        <v>24</v>
      </c>
      <c r="K500">
        <v>824.52</v>
      </c>
      <c r="L500">
        <v>82452000</v>
      </c>
      <c r="M500" s="2" t="s">
        <v>8348</v>
      </c>
      <c r="N500" s="2" t="s">
        <v>8352</v>
      </c>
      <c r="O500" s="2" t="s">
        <v>8839</v>
      </c>
      <c r="P500" s="2" t="s">
        <v>639</v>
      </c>
      <c r="Q500" s="2" t="s">
        <v>8445</v>
      </c>
      <c r="R500" s="2" t="s">
        <v>30</v>
      </c>
    </row>
    <row r="501" spans="1:18">
      <c r="A501" s="1">
        <v>44927</v>
      </c>
      <c r="B501" s="1">
        <v>44927</v>
      </c>
      <c r="C501">
        <v>2023</v>
      </c>
      <c r="D501">
        <v>1</v>
      </c>
      <c r="E501" s="2" t="s">
        <v>8456</v>
      </c>
      <c r="F501" s="2" t="s">
        <v>8457</v>
      </c>
      <c r="G501" s="2" t="s">
        <v>8335</v>
      </c>
      <c r="H501" s="2" t="s">
        <v>22</v>
      </c>
      <c r="I501" s="2" t="s">
        <v>8336</v>
      </c>
      <c r="J501" s="2" t="s">
        <v>24</v>
      </c>
      <c r="K501">
        <v>9455.81</v>
      </c>
      <c r="L501">
        <v>945581000</v>
      </c>
      <c r="M501" s="2" t="s">
        <v>8355</v>
      </c>
      <c r="N501" s="2" t="s">
        <v>8359</v>
      </c>
      <c r="O501" s="2" t="s">
        <v>8840</v>
      </c>
      <c r="P501" s="2" t="s">
        <v>639</v>
      </c>
      <c r="Q501" s="2" t="s">
        <v>8445</v>
      </c>
      <c r="R501" s="2" t="s">
        <v>30</v>
      </c>
    </row>
    <row r="502" spans="1:18">
      <c r="A502" s="1">
        <v>44927</v>
      </c>
      <c r="B502" s="1">
        <v>44927</v>
      </c>
      <c r="C502">
        <v>2023</v>
      </c>
      <c r="D502">
        <v>1</v>
      </c>
      <c r="E502" s="2" t="s">
        <v>8459</v>
      </c>
      <c r="F502" s="2" t="s">
        <v>8460</v>
      </c>
      <c r="G502" s="2" t="s">
        <v>8335</v>
      </c>
      <c r="H502" s="2" t="s">
        <v>22</v>
      </c>
      <c r="I502" s="2" t="s">
        <v>8336</v>
      </c>
      <c r="J502" s="2" t="s">
        <v>59</v>
      </c>
      <c r="K502">
        <v>10280.33</v>
      </c>
      <c r="L502">
        <v>1028033000</v>
      </c>
      <c r="M502" s="2" t="s">
        <v>8331</v>
      </c>
      <c r="N502" s="2" t="s">
        <v>8341</v>
      </c>
      <c r="O502" s="2" t="s">
        <v>8841</v>
      </c>
      <c r="P502" s="2" t="s">
        <v>639</v>
      </c>
      <c r="Q502" s="2" t="s">
        <v>8445</v>
      </c>
      <c r="R502" s="2" t="s">
        <v>30</v>
      </c>
    </row>
    <row r="503" spans="1:18">
      <c r="A503" s="1">
        <v>44927</v>
      </c>
      <c r="B503" s="1">
        <v>44927</v>
      </c>
      <c r="C503">
        <v>2023</v>
      </c>
      <c r="D503">
        <v>1</v>
      </c>
      <c r="E503" s="2" t="s">
        <v>8462</v>
      </c>
      <c r="F503" s="2" t="s">
        <v>8463</v>
      </c>
      <c r="G503" s="2" t="s">
        <v>8335</v>
      </c>
      <c r="H503" s="2" t="s">
        <v>22</v>
      </c>
      <c r="I503" s="2" t="s">
        <v>8409</v>
      </c>
      <c r="J503" s="2" t="s">
        <v>24</v>
      </c>
      <c r="K503">
        <v>14.75</v>
      </c>
      <c r="L503">
        <v>1475000</v>
      </c>
      <c r="M503" s="2" t="s">
        <v>8406</v>
      </c>
      <c r="N503" s="2" t="s">
        <v>8411</v>
      </c>
      <c r="O503" s="2" t="s">
        <v>8842</v>
      </c>
      <c r="P503" s="2" t="s">
        <v>639</v>
      </c>
      <c r="Q503" s="2" t="s">
        <v>8445</v>
      </c>
      <c r="R503" s="2" t="s">
        <v>30</v>
      </c>
    </row>
    <row r="504" spans="1:18">
      <c r="A504" s="1">
        <v>44927</v>
      </c>
      <c r="B504" s="1">
        <v>44927</v>
      </c>
      <c r="C504">
        <v>2023</v>
      </c>
      <c r="D504">
        <v>1</v>
      </c>
      <c r="E504" s="2" t="s">
        <v>8464</v>
      </c>
      <c r="F504" s="2" t="s">
        <v>8465</v>
      </c>
      <c r="G504" s="2" t="s">
        <v>8335</v>
      </c>
      <c r="H504" s="2" t="s">
        <v>22</v>
      </c>
      <c r="I504" s="2" t="s">
        <v>8417</v>
      </c>
      <c r="J504" s="2" t="s">
        <v>24</v>
      </c>
      <c r="K504">
        <v>76.569999999999993</v>
      </c>
      <c r="L504">
        <v>7657000</v>
      </c>
      <c r="M504" s="2" t="s">
        <v>8414</v>
      </c>
      <c r="N504" s="2" t="s">
        <v>8419</v>
      </c>
      <c r="O504" s="2" t="s">
        <v>8843</v>
      </c>
      <c r="P504" s="2" t="s">
        <v>639</v>
      </c>
      <c r="Q504" s="2" t="s">
        <v>8445</v>
      </c>
      <c r="R504" s="2" t="s">
        <v>30</v>
      </c>
    </row>
    <row r="505" spans="1:18">
      <c r="A505" s="1">
        <v>44927</v>
      </c>
      <c r="B505" s="1">
        <v>44927</v>
      </c>
      <c r="C505">
        <v>2023</v>
      </c>
      <c r="D505">
        <v>1</v>
      </c>
      <c r="E505" s="2" t="s">
        <v>8467</v>
      </c>
      <c r="F505" s="2" t="s">
        <v>8468</v>
      </c>
      <c r="G505" s="2" t="s">
        <v>8335</v>
      </c>
      <c r="H505" s="2" t="s">
        <v>22</v>
      </c>
      <c r="I505" s="2" t="s">
        <v>8365</v>
      </c>
      <c r="J505" s="2" t="s">
        <v>24</v>
      </c>
      <c r="K505">
        <v>2784.95</v>
      </c>
      <c r="L505">
        <v>278495000</v>
      </c>
      <c r="M505" s="2" t="s">
        <v>8377</v>
      </c>
      <c r="N505" s="2" t="s">
        <v>8381</v>
      </c>
      <c r="O505" s="2" t="s">
        <v>8844</v>
      </c>
      <c r="P505" s="2" t="s">
        <v>639</v>
      </c>
      <c r="Q505" s="2" t="s">
        <v>8445</v>
      </c>
      <c r="R505" s="2" t="s">
        <v>30</v>
      </c>
    </row>
    <row r="506" spans="1:18">
      <c r="A506" s="1">
        <v>44927</v>
      </c>
      <c r="B506" s="1">
        <v>44927</v>
      </c>
      <c r="C506">
        <v>2023</v>
      </c>
      <c r="D506">
        <v>1</v>
      </c>
      <c r="E506" s="2" t="s">
        <v>8470</v>
      </c>
      <c r="F506" s="2" t="s">
        <v>8471</v>
      </c>
      <c r="G506" s="2" t="s">
        <v>8335</v>
      </c>
      <c r="H506" s="2" t="s">
        <v>22</v>
      </c>
      <c r="I506" s="2" t="s">
        <v>8365</v>
      </c>
      <c r="J506" s="2" t="s">
        <v>59</v>
      </c>
      <c r="K506">
        <v>16029.29</v>
      </c>
      <c r="L506">
        <v>1602929000</v>
      </c>
      <c r="M506" s="2" t="s">
        <v>8362</v>
      </c>
      <c r="N506" s="2" t="s">
        <v>8367</v>
      </c>
      <c r="O506" s="2" t="s">
        <v>8845</v>
      </c>
      <c r="P506" s="2" t="s">
        <v>639</v>
      </c>
      <c r="Q506" s="2" t="s">
        <v>8445</v>
      </c>
      <c r="R506" s="2" t="s">
        <v>30</v>
      </c>
    </row>
    <row r="507" spans="1:18">
      <c r="A507" s="1">
        <v>44927</v>
      </c>
      <c r="B507" s="1">
        <v>44927</v>
      </c>
      <c r="C507">
        <v>2023</v>
      </c>
      <c r="D507">
        <v>1</v>
      </c>
      <c r="E507" s="2" t="s">
        <v>8473</v>
      </c>
      <c r="F507" s="2" t="s">
        <v>8474</v>
      </c>
      <c r="G507" s="2" t="s">
        <v>8335</v>
      </c>
      <c r="H507" s="2" t="s">
        <v>22</v>
      </c>
      <c r="I507" s="2" t="s">
        <v>8365</v>
      </c>
      <c r="J507" s="2" t="s">
        <v>24</v>
      </c>
      <c r="K507">
        <v>13244.34</v>
      </c>
      <c r="L507">
        <v>1324434000</v>
      </c>
      <c r="M507" s="2" t="s">
        <v>8370</v>
      </c>
      <c r="N507" s="2" t="s">
        <v>8374</v>
      </c>
      <c r="O507" s="2" t="s">
        <v>8846</v>
      </c>
      <c r="P507" s="2" t="s">
        <v>639</v>
      </c>
      <c r="Q507" s="2" t="s">
        <v>8445</v>
      </c>
      <c r="R507" s="2" t="s">
        <v>30</v>
      </c>
    </row>
    <row r="508" spans="1:18">
      <c r="A508" s="1">
        <v>44927</v>
      </c>
      <c r="B508" s="1">
        <v>44927</v>
      </c>
      <c r="C508">
        <v>2023</v>
      </c>
      <c r="D508">
        <v>1</v>
      </c>
      <c r="E508" s="2" t="s">
        <v>7890</v>
      </c>
      <c r="F508" s="2" t="s">
        <v>7891</v>
      </c>
      <c r="G508" s="2" t="s">
        <v>8335</v>
      </c>
      <c r="H508" s="2" t="s">
        <v>22</v>
      </c>
      <c r="I508" s="2" t="s">
        <v>8417</v>
      </c>
      <c r="J508" s="2" t="s">
        <v>24</v>
      </c>
      <c r="K508">
        <v>2442.34</v>
      </c>
      <c r="L508">
        <v>244234000</v>
      </c>
      <c r="M508" s="2" t="s">
        <v>7889</v>
      </c>
      <c r="N508" s="2" t="s">
        <v>7911</v>
      </c>
      <c r="O508" s="2" t="s">
        <v>8847</v>
      </c>
      <c r="P508" s="2" t="s">
        <v>639</v>
      </c>
      <c r="Q508" s="2" t="s">
        <v>8445</v>
      </c>
      <c r="R508" s="2" t="s">
        <v>30</v>
      </c>
    </row>
    <row r="509" spans="1:18">
      <c r="A509" s="1">
        <v>44958</v>
      </c>
      <c r="B509" s="1">
        <v>44958</v>
      </c>
      <c r="C509">
        <v>2023</v>
      </c>
      <c r="D509">
        <v>2</v>
      </c>
      <c r="E509" s="2" t="s">
        <v>8443</v>
      </c>
      <c r="F509" s="2" t="s">
        <v>8444</v>
      </c>
      <c r="G509" s="2" t="s">
        <v>8335</v>
      </c>
      <c r="H509" s="2" t="s">
        <v>22</v>
      </c>
      <c r="I509" s="2" t="s">
        <v>8387</v>
      </c>
      <c r="J509" s="2" t="s">
        <v>24</v>
      </c>
      <c r="K509">
        <v>2.21</v>
      </c>
      <c r="L509">
        <v>221000</v>
      </c>
      <c r="M509" s="2" t="s">
        <v>8392</v>
      </c>
      <c r="N509" s="2" t="s">
        <v>8396</v>
      </c>
      <c r="O509" s="2" t="s">
        <v>3142</v>
      </c>
      <c r="P509" s="2" t="s">
        <v>639</v>
      </c>
      <c r="Q509" s="2" t="s">
        <v>8445</v>
      </c>
      <c r="R509" s="2" t="s">
        <v>30</v>
      </c>
    </row>
    <row r="510" spans="1:18">
      <c r="A510" s="1">
        <v>44958</v>
      </c>
      <c r="B510" s="1">
        <v>44958</v>
      </c>
      <c r="C510">
        <v>2023</v>
      </c>
      <c r="D510">
        <v>2</v>
      </c>
      <c r="E510" s="2" t="s">
        <v>8446</v>
      </c>
      <c r="F510" s="2" t="s">
        <v>8447</v>
      </c>
      <c r="G510" s="2" t="s">
        <v>8335</v>
      </c>
      <c r="H510" s="2" t="s">
        <v>22</v>
      </c>
      <c r="I510" s="2" t="s">
        <v>8387</v>
      </c>
      <c r="J510" s="2" t="s">
        <v>59</v>
      </c>
      <c r="K510">
        <v>2.57</v>
      </c>
      <c r="L510">
        <v>257000</v>
      </c>
      <c r="M510" s="2" t="s">
        <v>8384</v>
      </c>
      <c r="N510" s="2" t="s">
        <v>8389</v>
      </c>
      <c r="O510" s="2" t="s">
        <v>8826</v>
      </c>
      <c r="P510" s="2" t="s">
        <v>639</v>
      </c>
      <c r="Q510" s="2" t="s">
        <v>8445</v>
      </c>
      <c r="R510" s="2" t="s">
        <v>30</v>
      </c>
    </row>
    <row r="511" spans="1:18">
      <c r="A511" s="1">
        <v>44958</v>
      </c>
      <c r="B511" s="1">
        <v>44958</v>
      </c>
      <c r="C511">
        <v>2023</v>
      </c>
      <c r="D511">
        <v>2</v>
      </c>
      <c r="E511" s="2" t="s">
        <v>8448</v>
      </c>
      <c r="F511" s="2" t="s">
        <v>8449</v>
      </c>
      <c r="G511" s="2" t="s">
        <v>8335</v>
      </c>
      <c r="H511" s="2" t="s">
        <v>22</v>
      </c>
      <c r="I511" s="2" t="s">
        <v>8387</v>
      </c>
      <c r="J511" s="2" t="s">
        <v>24</v>
      </c>
      <c r="K511">
        <v>0.36</v>
      </c>
      <c r="L511">
        <v>36000</v>
      </c>
      <c r="M511" s="2" t="s">
        <v>8399</v>
      </c>
      <c r="N511" s="2" t="s">
        <v>8403</v>
      </c>
      <c r="O511" s="2" t="s">
        <v>3657</v>
      </c>
      <c r="P511" s="2" t="s">
        <v>639</v>
      </c>
      <c r="Q511" s="2" t="s">
        <v>8445</v>
      </c>
      <c r="R511" s="2" t="s">
        <v>30</v>
      </c>
    </row>
    <row r="512" spans="1:18">
      <c r="A512" s="1">
        <v>44958</v>
      </c>
      <c r="B512" s="1">
        <v>44958</v>
      </c>
      <c r="C512">
        <v>2023</v>
      </c>
      <c r="D512">
        <v>2</v>
      </c>
      <c r="E512" s="2" t="s">
        <v>8450</v>
      </c>
      <c r="F512" s="2" t="s">
        <v>8451</v>
      </c>
      <c r="G512" s="2" t="s">
        <v>8335</v>
      </c>
      <c r="H512" s="2" t="s">
        <v>22</v>
      </c>
      <c r="I512" s="2" t="s">
        <v>8417</v>
      </c>
      <c r="J512" s="2" t="s">
        <v>24</v>
      </c>
      <c r="K512">
        <v>52.22</v>
      </c>
      <c r="L512">
        <v>5222000</v>
      </c>
      <c r="M512" s="2" t="s">
        <v>8422</v>
      </c>
      <c r="N512" s="2" t="s">
        <v>8426</v>
      </c>
      <c r="O512" s="2" t="s">
        <v>8848</v>
      </c>
      <c r="P512" s="2" t="s">
        <v>639</v>
      </c>
      <c r="Q512" s="2" t="s">
        <v>8445</v>
      </c>
      <c r="R512" s="2" t="s">
        <v>30</v>
      </c>
    </row>
    <row r="513" spans="1:18">
      <c r="A513" s="1">
        <v>44958</v>
      </c>
      <c r="B513" s="1">
        <v>44958</v>
      </c>
      <c r="C513">
        <v>2023</v>
      </c>
      <c r="D513">
        <v>2</v>
      </c>
      <c r="E513" s="2" t="s">
        <v>8453</v>
      </c>
      <c r="F513" s="2" t="s">
        <v>8454</v>
      </c>
      <c r="G513" s="2" t="s">
        <v>8335</v>
      </c>
      <c r="H513" s="2" t="s">
        <v>22</v>
      </c>
      <c r="I513" s="2" t="s">
        <v>8336</v>
      </c>
      <c r="J513" s="2" t="s">
        <v>24</v>
      </c>
      <c r="K513">
        <v>833.66</v>
      </c>
      <c r="L513">
        <v>83366000</v>
      </c>
      <c r="M513" s="2" t="s">
        <v>8348</v>
      </c>
      <c r="N513" s="2" t="s">
        <v>8352</v>
      </c>
      <c r="O513" s="2" t="s">
        <v>8849</v>
      </c>
      <c r="P513" s="2" t="s">
        <v>639</v>
      </c>
      <c r="Q513" s="2" t="s">
        <v>8445</v>
      </c>
      <c r="R513" s="2" t="s">
        <v>30</v>
      </c>
    </row>
    <row r="514" spans="1:18">
      <c r="A514" s="1">
        <v>44958</v>
      </c>
      <c r="B514" s="1">
        <v>44958</v>
      </c>
      <c r="C514">
        <v>2023</v>
      </c>
      <c r="D514">
        <v>2</v>
      </c>
      <c r="E514" s="2" t="s">
        <v>8456</v>
      </c>
      <c r="F514" s="2" t="s">
        <v>8457</v>
      </c>
      <c r="G514" s="2" t="s">
        <v>8335</v>
      </c>
      <c r="H514" s="2" t="s">
        <v>22</v>
      </c>
      <c r="I514" s="2" t="s">
        <v>8336</v>
      </c>
      <c r="J514" s="2" t="s">
        <v>24</v>
      </c>
      <c r="K514">
        <v>9541.2199999999993</v>
      </c>
      <c r="L514">
        <v>954122000</v>
      </c>
      <c r="M514" s="2" t="s">
        <v>8355</v>
      </c>
      <c r="N514" s="2" t="s">
        <v>8359</v>
      </c>
      <c r="O514" s="2" t="s">
        <v>8850</v>
      </c>
      <c r="P514" s="2" t="s">
        <v>639</v>
      </c>
      <c r="Q514" s="2" t="s">
        <v>8445</v>
      </c>
      <c r="R514" s="2" t="s">
        <v>30</v>
      </c>
    </row>
    <row r="515" spans="1:18">
      <c r="A515" s="1">
        <v>44958</v>
      </c>
      <c r="B515" s="1">
        <v>44958</v>
      </c>
      <c r="C515">
        <v>2023</v>
      </c>
      <c r="D515">
        <v>2</v>
      </c>
      <c r="E515" s="2" t="s">
        <v>8459</v>
      </c>
      <c r="F515" s="2" t="s">
        <v>8460</v>
      </c>
      <c r="G515" s="2" t="s">
        <v>8335</v>
      </c>
      <c r="H515" s="2" t="s">
        <v>22</v>
      </c>
      <c r="I515" s="2" t="s">
        <v>8336</v>
      </c>
      <c r="J515" s="2" t="s">
        <v>59</v>
      </c>
      <c r="K515">
        <v>10374.870000000001</v>
      </c>
      <c r="L515">
        <v>1037487000</v>
      </c>
      <c r="M515" s="2" t="s">
        <v>8331</v>
      </c>
      <c r="N515" s="2" t="s">
        <v>8341</v>
      </c>
      <c r="O515" s="2" t="s">
        <v>8851</v>
      </c>
      <c r="P515" s="2" t="s">
        <v>639</v>
      </c>
      <c r="Q515" s="2" t="s">
        <v>8445</v>
      </c>
      <c r="R515" s="2" t="s">
        <v>30</v>
      </c>
    </row>
    <row r="516" spans="1:18">
      <c r="A516" s="1">
        <v>44958</v>
      </c>
      <c r="B516" s="1">
        <v>44958</v>
      </c>
      <c r="C516">
        <v>2023</v>
      </c>
      <c r="D516">
        <v>2</v>
      </c>
      <c r="E516" s="2" t="s">
        <v>8462</v>
      </c>
      <c r="F516" s="2" t="s">
        <v>8463</v>
      </c>
      <c r="G516" s="2" t="s">
        <v>8335</v>
      </c>
      <c r="H516" s="2" t="s">
        <v>22</v>
      </c>
      <c r="I516" s="2" t="s">
        <v>8409</v>
      </c>
      <c r="J516" s="2" t="s">
        <v>24</v>
      </c>
      <c r="K516">
        <v>15.59</v>
      </c>
      <c r="L516">
        <v>1559000</v>
      </c>
      <c r="M516" s="2" t="s">
        <v>8406</v>
      </c>
      <c r="N516" s="2" t="s">
        <v>8411</v>
      </c>
      <c r="O516" s="2" t="s">
        <v>8852</v>
      </c>
      <c r="P516" s="2" t="s">
        <v>639</v>
      </c>
      <c r="Q516" s="2" t="s">
        <v>8445</v>
      </c>
      <c r="R516" s="2" t="s">
        <v>30</v>
      </c>
    </row>
    <row r="517" spans="1:18">
      <c r="A517" s="1">
        <v>44958</v>
      </c>
      <c r="B517" s="1">
        <v>44958</v>
      </c>
      <c r="C517">
        <v>2023</v>
      </c>
      <c r="D517">
        <v>2</v>
      </c>
      <c r="E517" s="2" t="s">
        <v>8464</v>
      </c>
      <c r="F517" s="2" t="s">
        <v>8465</v>
      </c>
      <c r="G517" s="2" t="s">
        <v>8335</v>
      </c>
      <c r="H517" s="2" t="s">
        <v>22</v>
      </c>
      <c r="I517" s="2" t="s">
        <v>8417</v>
      </c>
      <c r="J517" s="2" t="s">
        <v>24</v>
      </c>
      <c r="K517">
        <v>77.58</v>
      </c>
      <c r="L517">
        <v>7758000</v>
      </c>
      <c r="M517" s="2" t="s">
        <v>8414</v>
      </c>
      <c r="N517" s="2" t="s">
        <v>8419</v>
      </c>
      <c r="O517" s="2" t="s">
        <v>8853</v>
      </c>
      <c r="P517" s="2" t="s">
        <v>639</v>
      </c>
      <c r="Q517" s="2" t="s">
        <v>8445</v>
      </c>
      <c r="R517" s="2" t="s">
        <v>30</v>
      </c>
    </row>
    <row r="518" spans="1:18">
      <c r="A518" s="1">
        <v>44958</v>
      </c>
      <c r="B518" s="1">
        <v>44958</v>
      </c>
      <c r="C518">
        <v>2023</v>
      </c>
      <c r="D518">
        <v>2</v>
      </c>
      <c r="E518" s="2" t="s">
        <v>8467</v>
      </c>
      <c r="F518" s="2" t="s">
        <v>8468</v>
      </c>
      <c r="G518" s="2" t="s">
        <v>8335</v>
      </c>
      <c r="H518" s="2" t="s">
        <v>22</v>
      </c>
      <c r="I518" s="2" t="s">
        <v>8365</v>
      </c>
      <c r="J518" s="2" t="s">
        <v>24</v>
      </c>
      <c r="K518">
        <v>2774.55</v>
      </c>
      <c r="L518">
        <v>277455000</v>
      </c>
      <c r="M518" s="2" t="s">
        <v>8377</v>
      </c>
      <c r="N518" s="2" t="s">
        <v>8381</v>
      </c>
      <c r="O518" s="2" t="s">
        <v>8854</v>
      </c>
      <c r="P518" s="2" t="s">
        <v>639</v>
      </c>
      <c r="Q518" s="2" t="s">
        <v>8445</v>
      </c>
      <c r="R518" s="2" t="s">
        <v>30</v>
      </c>
    </row>
    <row r="519" spans="1:18">
      <c r="A519" s="1">
        <v>44958</v>
      </c>
      <c r="B519" s="1">
        <v>44958</v>
      </c>
      <c r="C519">
        <v>2023</v>
      </c>
      <c r="D519">
        <v>2</v>
      </c>
      <c r="E519" s="2" t="s">
        <v>8470</v>
      </c>
      <c r="F519" s="2" t="s">
        <v>8471</v>
      </c>
      <c r="G519" s="2" t="s">
        <v>8335</v>
      </c>
      <c r="H519" s="2" t="s">
        <v>22</v>
      </c>
      <c r="I519" s="2" t="s">
        <v>8365</v>
      </c>
      <c r="J519" s="2" t="s">
        <v>59</v>
      </c>
      <c r="K519">
        <v>16109.65</v>
      </c>
      <c r="L519">
        <v>1610965000</v>
      </c>
      <c r="M519" s="2" t="s">
        <v>8362</v>
      </c>
      <c r="N519" s="2" t="s">
        <v>8367</v>
      </c>
      <c r="O519" s="2" t="s">
        <v>8855</v>
      </c>
      <c r="P519" s="2" t="s">
        <v>639</v>
      </c>
      <c r="Q519" s="2" t="s">
        <v>8445</v>
      </c>
      <c r="R519" s="2" t="s">
        <v>30</v>
      </c>
    </row>
    <row r="520" spans="1:18">
      <c r="A520" s="1">
        <v>44958</v>
      </c>
      <c r="B520" s="1">
        <v>44958</v>
      </c>
      <c r="C520">
        <v>2023</v>
      </c>
      <c r="D520">
        <v>2</v>
      </c>
      <c r="E520" s="2" t="s">
        <v>8473</v>
      </c>
      <c r="F520" s="2" t="s">
        <v>8474</v>
      </c>
      <c r="G520" s="2" t="s">
        <v>8335</v>
      </c>
      <c r="H520" s="2" t="s">
        <v>22</v>
      </c>
      <c r="I520" s="2" t="s">
        <v>8365</v>
      </c>
      <c r="J520" s="2" t="s">
        <v>24</v>
      </c>
      <c r="K520">
        <v>13335.1</v>
      </c>
      <c r="L520">
        <v>1333510000</v>
      </c>
      <c r="M520" s="2" t="s">
        <v>8370</v>
      </c>
      <c r="N520" s="2" t="s">
        <v>8374</v>
      </c>
      <c r="O520" s="2" t="s">
        <v>8856</v>
      </c>
      <c r="P520" s="2" t="s">
        <v>639</v>
      </c>
      <c r="Q520" s="2" t="s">
        <v>8445</v>
      </c>
      <c r="R520" s="2" t="s">
        <v>30</v>
      </c>
    </row>
    <row r="521" spans="1:18">
      <c r="A521" s="1">
        <v>44958</v>
      </c>
      <c r="B521" s="1">
        <v>44958</v>
      </c>
      <c r="C521">
        <v>2023</v>
      </c>
      <c r="D521">
        <v>2</v>
      </c>
      <c r="E521" s="2" t="s">
        <v>7890</v>
      </c>
      <c r="F521" s="2" t="s">
        <v>7891</v>
      </c>
      <c r="G521" s="2" t="s">
        <v>8335</v>
      </c>
      <c r="H521" s="2" t="s">
        <v>22</v>
      </c>
      <c r="I521" s="2" t="s">
        <v>8417</v>
      </c>
      <c r="J521" s="2" t="s">
        <v>24</v>
      </c>
      <c r="K521">
        <v>2500.89</v>
      </c>
      <c r="L521">
        <v>250089000</v>
      </c>
      <c r="M521" s="2" t="s">
        <v>7889</v>
      </c>
      <c r="N521" s="2" t="s">
        <v>7911</v>
      </c>
      <c r="O521" s="2" t="s">
        <v>8857</v>
      </c>
      <c r="P521" s="2" t="s">
        <v>639</v>
      </c>
      <c r="Q521" s="2" t="s">
        <v>8445</v>
      </c>
      <c r="R521" s="2" t="s">
        <v>30</v>
      </c>
    </row>
    <row r="522" spans="1:18">
      <c r="A522" s="1">
        <v>44986</v>
      </c>
      <c r="B522" s="1">
        <v>44986</v>
      </c>
      <c r="C522">
        <v>2023</v>
      </c>
      <c r="D522">
        <v>3</v>
      </c>
      <c r="E522" s="2" t="s">
        <v>8443</v>
      </c>
      <c r="F522" s="2" t="s">
        <v>8444</v>
      </c>
      <c r="G522" s="2" t="s">
        <v>8335</v>
      </c>
      <c r="H522" s="2" t="s">
        <v>22</v>
      </c>
      <c r="I522" s="2" t="s">
        <v>8387</v>
      </c>
      <c r="J522" s="2" t="s">
        <v>24</v>
      </c>
      <c r="K522">
        <v>2.23</v>
      </c>
      <c r="L522">
        <v>223000</v>
      </c>
      <c r="M522" s="2" t="s">
        <v>8392</v>
      </c>
      <c r="N522" s="2" t="s">
        <v>8396</v>
      </c>
      <c r="O522" s="2" t="s">
        <v>1041</v>
      </c>
      <c r="P522" s="2" t="s">
        <v>639</v>
      </c>
      <c r="Q522" s="2" t="s">
        <v>8445</v>
      </c>
      <c r="R522" s="2" t="s">
        <v>30</v>
      </c>
    </row>
    <row r="523" spans="1:18">
      <c r="A523" s="1">
        <v>44986</v>
      </c>
      <c r="B523" s="1">
        <v>44986</v>
      </c>
      <c r="C523">
        <v>2023</v>
      </c>
      <c r="D523">
        <v>3</v>
      </c>
      <c r="E523" s="2" t="s">
        <v>8446</v>
      </c>
      <c r="F523" s="2" t="s">
        <v>8447</v>
      </c>
      <c r="G523" s="2" t="s">
        <v>8335</v>
      </c>
      <c r="H523" s="2" t="s">
        <v>22</v>
      </c>
      <c r="I523" s="2" t="s">
        <v>8387</v>
      </c>
      <c r="J523" s="2" t="s">
        <v>59</v>
      </c>
      <c r="K523">
        <v>2.59</v>
      </c>
      <c r="L523">
        <v>259000</v>
      </c>
      <c r="M523" s="2" t="s">
        <v>8384</v>
      </c>
      <c r="N523" s="2" t="s">
        <v>8389</v>
      </c>
      <c r="O523" s="2" t="s">
        <v>8858</v>
      </c>
      <c r="P523" s="2" t="s">
        <v>639</v>
      </c>
      <c r="Q523" s="2" t="s">
        <v>8445</v>
      </c>
      <c r="R523" s="2" t="s">
        <v>30</v>
      </c>
    </row>
    <row r="524" spans="1:18">
      <c r="A524" s="1">
        <v>44986</v>
      </c>
      <c r="B524" s="1">
        <v>44986</v>
      </c>
      <c r="C524">
        <v>2023</v>
      </c>
      <c r="D524">
        <v>3</v>
      </c>
      <c r="E524" s="2" t="s">
        <v>8448</v>
      </c>
      <c r="F524" s="2" t="s">
        <v>8449</v>
      </c>
      <c r="G524" s="2" t="s">
        <v>8335</v>
      </c>
      <c r="H524" s="2" t="s">
        <v>22</v>
      </c>
      <c r="I524" s="2" t="s">
        <v>8387</v>
      </c>
      <c r="J524" s="2" t="s">
        <v>24</v>
      </c>
      <c r="K524">
        <v>0.36</v>
      </c>
      <c r="L524">
        <v>36000</v>
      </c>
      <c r="M524" s="2" t="s">
        <v>8399</v>
      </c>
      <c r="N524" s="2" t="s">
        <v>8403</v>
      </c>
      <c r="O524" s="2" t="s">
        <v>3657</v>
      </c>
      <c r="P524" s="2" t="s">
        <v>639</v>
      </c>
      <c r="Q524" s="2" t="s">
        <v>8445</v>
      </c>
      <c r="R524" s="2" t="s">
        <v>30</v>
      </c>
    </row>
    <row r="525" spans="1:18">
      <c r="A525" s="1">
        <v>44986</v>
      </c>
      <c r="B525" s="1">
        <v>44986</v>
      </c>
      <c r="C525">
        <v>2023</v>
      </c>
      <c r="D525">
        <v>3</v>
      </c>
      <c r="E525" s="2" t="s">
        <v>8450</v>
      </c>
      <c r="F525" s="2" t="s">
        <v>8451</v>
      </c>
      <c r="G525" s="2" t="s">
        <v>8335</v>
      </c>
      <c r="H525" s="2" t="s">
        <v>22</v>
      </c>
      <c r="I525" s="2" t="s">
        <v>8417</v>
      </c>
      <c r="J525" s="2" t="s">
        <v>24</v>
      </c>
      <c r="K525">
        <v>53.82</v>
      </c>
      <c r="L525">
        <v>5382000</v>
      </c>
      <c r="M525" s="2" t="s">
        <v>8422</v>
      </c>
      <c r="N525" s="2" t="s">
        <v>8426</v>
      </c>
      <c r="O525" s="2" t="s">
        <v>8859</v>
      </c>
      <c r="P525" s="2" t="s">
        <v>639</v>
      </c>
      <c r="Q525" s="2" t="s">
        <v>8445</v>
      </c>
      <c r="R525" s="2" t="s">
        <v>30</v>
      </c>
    </row>
    <row r="526" spans="1:18">
      <c r="A526" s="1">
        <v>44986</v>
      </c>
      <c r="B526" s="1">
        <v>44986</v>
      </c>
      <c r="C526">
        <v>2023</v>
      </c>
      <c r="D526">
        <v>3</v>
      </c>
      <c r="E526" s="2" t="s">
        <v>8453</v>
      </c>
      <c r="F526" s="2" t="s">
        <v>8454</v>
      </c>
      <c r="G526" s="2" t="s">
        <v>8335</v>
      </c>
      <c r="H526" s="2" t="s">
        <v>22</v>
      </c>
      <c r="I526" s="2" t="s">
        <v>8336</v>
      </c>
      <c r="J526" s="2" t="s">
        <v>24</v>
      </c>
      <c r="K526">
        <v>853.03</v>
      </c>
      <c r="L526">
        <v>85303000</v>
      </c>
      <c r="M526" s="2" t="s">
        <v>8348</v>
      </c>
      <c r="N526" s="2" t="s">
        <v>8352</v>
      </c>
      <c r="O526" s="2" t="s">
        <v>8860</v>
      </c>
      <c r="P526" s="2" t="s">
        <v>639</v>
      </c>
      <c r="Q526" s="2" t="s">
        <v>8445</v>
      </c>
      <c r="R526" s="2" t="s">
        <v>30</v>
      </c>
    </row>
    <row r="527" spans="1:18">
      <c r="A527" s="1">
        <v>44986</v>
      </c>
      <c r="B527" s="1">
        <v>44986</v>
      </c>
      <c r="C527">
        <v>2023</v>
      </c>
      <c r="D527">
        <v>3</v>
      </c>
      <c r="E527" s="2" t="s">
        <v>8456</v>
      </c>
      <c r="F527" s="2" t="s">
        <v>8457</v>
      </c>
      <c r="G527" s="2" t="s">
        <v>8335</v>
      </c>
      <c r="H527" s="2" t="s">
        <v>22</v>
      </c>
      <c r="I527" s="2" t="s">
        <v>8336</v>
      </c>
      <c r="J527" s="2" t="s">
        <v>24</v>
      </c>
      <c r="K527">
        <v>9612.59</v>
      </c>
      <c r="L527">
        <v>961259000</v>
      </c>
      <c r="M527" s="2" t="s">
        <v>8355</v>
      </c>
      <c r="N527" s="2" t="s">
        <v>8359</v>
      </c>
      <c r="O527" s="2" t="s">
        <v>8861</v>
      </c>
      <c r="P527" s="2" t="s">
        <v>639</v>
      </c>
      <c r="Q527" s="2" t="s">
        <v>8445</v>
      </c>
      <c r="R527" s="2" t="s">
        <v>30</v>
      </c>
    </row>
    <row r="528" spans="1:18">
      <c r="A528" s="1">
        <v>44986</v>
      </c>
      <c r="B528" s="1">
        <v>44986</v>
      </c>
      <c r="C528">
        <v>2023</v>
      </c>
      <c r="D528">
        <v>3</v>
      </c>
      <c r="E528" s="2" t="s">
        <v>8459</v>
      </c>
      <c r="F528" s="2" t="s">
        <v>8460</v>
      </c>
      <c r="G528" s="2" t="s">
        <v>8335</v>
      </c>
      <c r="H528" s="2" t="s">
        <v>22</v>
      </c>
      <c r="I528" s="2" t="s">
        <v>8336</v>
      </c>
      <c r="J528" s="2" t="s">
        <v>59</v>
      </c>
      <c r="K528">
        <v>10465.620000000001</v>
      </c>
      <c r="L528">
        <v>1046562000</v>
      </c>
      <c r="M528" s="2" t="s">
        <v>8331</v>
      </c>
      <c r="N528" s="2" t="s">
        <v>8341</v>
      </c>
      <c r="O528" s="2" t="s">
        <v>8862</v>
      </c>
      <c r="P528" s="2" t="s">
        <v>639</v>
      </c>
      <c r="Q528" s="2" t="s">
        <v>8445</v>
      </c>
      <c r="R528" s="2" t="s">
        <v>30</v>
      </c>
    </row>
    <row r="529" spans="1:18">
      <c r="A529" s="1">
        <v>44986</v>
      </c>
      <c r="B529" s="1">
        <v>44986</v>
      </c>
      <c r="C529">
        <v>2023</v>
      </c>
      <c r="D529">
        <v>3</v>
      </c>
      <c r="E529" s="2" t="s">
        <v>8462</v>
      </c>
      <c r="F529" s="2" t="s">
        <v>8463</v>
      </c>
      <c r="G529" s="2" t="s">
        <v>8335</v>
      </c>
      <c r="H529" s="2" t="s">
        <v>22</v>
      </c>
      <c r="I529" s="2" t="s">
        <v>8409</v>
      </c>
      <c r="J529" s="2" t="s">
        <v>24</v>
      </c>
      <c r="K529">
        <v>16.11</v>
      </c>
      <c r="L529">
        <v>1611000</v>
      </c>
      <c r="M529" s="2" t="s">
        <v>8406</v>
      </c>
      <c r="N529" s="2" t="s">
        <v>8411</v>
      </c>
      <c r="O529" s="2" t="s">
        <v>8863</v>
      </c>
      <c r="P529" s="2" t="s">
        <v>639</v>
      </c>
      <c r="Q529" s="2" t="s">
        <v>8445</v>
      </c>
      <c r="R529" s="2" t="s">
        <v>30</v>
      </c>
    </row>
    <row r="530" spans="1:18">
      <c r="A530" s="1">
        <v>44986</v>
      </c>
      <c r="B530" s="1">
        <v>44986</v>
      </c>
      <c r="C530">
        <v>2023</v>
      </c>
      <c r="D530">
        <v>3</v>
      </c>
      <c r="E530" s="2" t="s">
        <v>8464</v>
      </c>
      <c r="F530" s="2" t="s">
        <v>8465</v>
      </c>
      <c r="G530" s="2" t="s">
        <v>8335</v>
      </c>
      <c r="H530" s="2" t="s">
        <v>22</v>
      </c>
      <c r="I530" s="2" t="s">
        <v>8417</v>
      </c>
      <c r="J530" s="2" t="s">
        <v>24</v>
      </c>
      <c r="K530">
        <v>77.900000000000006</v>
      </c>
      <c r="L530">
        <v>7790000</v>
      </c>
      <c r="M530" s="2" t="s">
        <v>8414</v>
      </c>
      <c r="N530" s="2" t="s">
        <v>8419</v>
      </c>
      <c r="O530" s="2" t="s">
        <v>8864</v>
      </c>
      <c r="P530" s="2" t="s">
        <v>639</v>
      </c>
      <c r="Q530" s="2" t="s">
        <v>8445</v>
      </c>
      <c r="R530" s="2" t="s">
        <v>30</v>
      </c>
    </row>
    <row r="531" spans="1:18">
      <c r="A531" s="1">
        <v>44986</v>
      </c>
      <c r="B531" s="1">
        <v>44986</v>
      </c>
      <c r="C531">
        <v>2023</v>
      </c>
      <c r="D531">
        <v>3</v>
      </c>
      <c r="E531" s="2" t="s">
        <v>8467</v>
      </c>
      <c r="F531" s="2" t="s">
        <v>8468</v>
      </c>
      <c r="G531" s="2" t="s">
        <v>8335</v>
      </c>
      <c r="H531" s="2" t="s">
        <v>22</v>
      </c>
      <c r="I531" s="2" t="s">
        <v>8365</v>
      </c>
      <c r="J531" s="2" t="s">
        <v>24</v>
      </c>
      <c r="K531">
        <v>2800.57</v>
      </c>
      <c r="L531">
        <v>280057000</v>
      </c>
      <c r="M531" s="2" t="s">
        <v>8377</v>
      </c>
      <c r="N531" s="2" t="s">
        <v>8381</v>
      </c>
      <c r="O531" s="2" t="s">
        <v>8865</v>
      </c>
      <c r="P531" s="2" t="s">
        <v>639</v>
      </c>
      <c r="Q531" s="2" t="s">
        <v>8445</v>
      </c>
      <c r="R531" s="2" t="s">
        <v>30</v>
      </c>
    </row>
    <row r="532" spans="1:18">
      <c r="A532" s="1">
        <v>44986</v>
      </c>
      <c r="B532" s="1">
        <v>44986</v>
      </c>
      <c r="C532">
        <v>2023</v>
      </c>
      <c r="D532">
        <v>3</v>
      </c>
      <c r="E532" s="2" t="s">
        <v>8470</v>
      </c>
      <c r="F532" s="2" t="s">
        <v>8471</v>
      </c>
      <c r="G532" s="2" t="s">
        <v>8335</v>
      </c>
      <c r="H532" s="2" t="s">
        <v>22</v>
      </c>
      <c r="I532" s="2" t="s">
        <v>8365</v>
      </c>
      <c r="J532" s="2" t="s">
        <v>59</v>
      </c>
      <c r="K532">
        <v>16185.22</v>
      </c>
      <c r="L532">
        <v>1618522000</v>
      </c>
      <c r="M532" s="2" t="s">
        <v>8362</v>
      </c>
      <c r="N532" s="2" t="s">
        <v>8367</v>
      </c>
      <c r="O532" s="2" t="s">
        <v>8866</v>
      </c>
      <c r="P532" s="2" t="s">
        <v>639</v>
      </c>
      <c r="Q532" s="2" t="s">
        <v>8445</v>
      </c>
      <c r="R532" s="2" t="s">
        <v>30</v>
      </c>
    </row>
    <row r="533" spans="1:18">
      <c r="A533" s="1">
        <v>44986</v>
      </c>
      <c r="B533" s="1">
        <v>44986</v>
      </c>
      <c r="C533">
        <v>2023</v>
      </c>
      <c r="D533">
        <v>3</v>
      </c>
      <c r="E533" s="2" t="s">
        <v>8473</v>
      </c>
      <c r="F533" s="2" t="s">
        <v>8474</v>
      </c>
      <c r="G533" s="2" t="s">
        <v>8335</v>
      </c>
      <c r="H533" s="2" t="s">
        <v>22</v>
      </c>
      <c r="I533" s="2" t="s">
        <v>8365</v>
      </c>
      <c r="J533" s="2" t="s">
        <v>24</v>
      </c>
      <c r="K533">
        <v>13384.65</v>
      </c>
      <c r="L533">
        <v>1338465000</v>
      </c>
      <c r="M533" s="2" t="s">
        <v>8370</v>
      </c>
      <c r="N533" s="2" t="s">
        <v>8374</v>
      </c>
      <c r="O533" s="2" t="s">
        <v>8867</v>
      </c>
      <c r="P533" s="2" t="s">
        <v>639</v>
      </c>
      <c r="Q533" s="2" t="s">
        <v>8445</v>
      </c>
      <c r="R533" s="2" t="s">
        <v>30</v>
      </c>
    </row>
    <row r="534" spans="1:18">
      <c r="A534" s="1">
        <v>44986</v>
      </c>
      <c r="B534" s="1">
        <v>44986</v>
      </c>
      <c r="C534">
        <v>2023</v>
      </c>
      <c r="D534">
        <v>3</v>
      </c>
      <c r="E534" s="2" t="s">
        <v>7890</v>
      </c>
      <c r="F534" s="2" t="s">
        <v>7891</v>
      </c>
      <c r="G534" s="2" t="s">
        <v>8335</v>
      </c>
      <c r="H534" s="2" t="s">
        <v>22</v>
      </c>
      <c r="I534" s="2" t="s">
        <v>8417</v>
      </c>
      <c r="J534" s="2" t="s">
        <v>24</v>
      </c>
      <c r="K534">
        <v>2563.77</v>
      </c>
      <c r="L534">
        <v>256377000</v>
      </c>
      <c r="M534" s="2" t="s">
        <v>7889</v>
      </c>
      <c r="N534" s="2" t="s">
        <v>7911</v>
      </c>
      <c r="O534" s="2" t="s">
        <v>8868</v>
      </c>
      <c r="P534" s="2" t="s">
        <v>639</v>
      </c>
      <c r="Q534" s="2" t="s">
        <v>8445</v>
      </c>
      <c r="R534" s="2" t="s">
        <v>30</v>
      </c>
    </row>
    <row r="535" spans="1:18">
      <c r="A535" s="1">
        <v>45017</v>
      </c>
      <c r="B535" s="1">
        <v>45017</v>
      </c>
      <c r="C535">
        <v>2023</v>
      </c>
      <c r="D535">
        <v>4</v>
      </c>
      <c r="E535" s="2" t="s">
        <v>8443</v>
      </c>
      <c r="F535" s="2" t="s">
        <v>8444</v>
      </c>
      <c r="G535" s="2" t="s">
        <v>8335</v>
      </c>
      <c r="H535" s="2" t="s">
        <v>22</v>
      </c>
      <c r="I535" s="2" t="s">
        <v>8387</v>
      </c>
      <c r="J535" s="2" t="s">
        <v>24</v>
      </c>
      <c r="K535">
        <v>2.19</v>
      </c>
      <c r="L535">
        <v>219000</v>
      </c>
      <c r="M535" s="2" t="s">
        <v>8392</v>
      </c>
      <c r="N535" s="2" t="s">
        <v>8396</v>
      </c>
      <c r="O535" s="2" t="s">
        <v>3049</v>
      </c>
      <c r="P535" s="2" t="s">
        <v>639</v>
      </c>
      <c r="Q535" s="2" t="s">
        <v>8445</v>
      </c>
      <c r="R535" s="2" t="s">
        <v>30</v>
      </c>
    </row>
    <row r="536" spans="1:18">
      <c r="A536" s="1">
        <v>45017</v>
      </c>
      <c r="B536" s="1">
        <v>45017</v>
      </c>
      <c r="C536">
        <v>2023</v>
      </c>
      <c r="D536">
        <v>4</v>
      </c>
      <c r="E536" s="2" t="s">
        <v>8446</v>
      </c>
      <c r="F536" s="2" t="s">
        <v>8447</v>
      </c>
      <c r="G536" s="2" t="s">
        <v>8335</v>
      </c>
      <c r="H536" s="2" t="s">
        <v>22</v>
      </c>
      <c r="I536" s="2" t="s">
        <v>8387</v>
      </c>
      <c r="J536" s="2" t="s">
        <v>59</v>
      </c>
      <c r="K536">
        <v>2.5499999999999998</v>
      </c>
      <c r="L536">
        <v>255000</v>
      </c>
      <c r="M536" s="2" t="s">
        <v>8384</v>
      </c>
      <c r="N536" s="2" t="s">
        <v>8389</v>
      </c>
      <c r="O536" s="2" t="s">
        <v>5898</v>
      </c>
      <c r="P536" s="2" t="s">
        <v>639</v>
      </c>
      <c r="Q536" s="2" t="s">
        <v>8445</v>
      </c>
      <c r="R536" s="2" t="s">
        <v>30</v>
      </c>
    </row>
    <row r="537" spans="1:18">
      <c r="A537" s="1">
        <v>45017</v>
      </c>
      <c r="B537" s="1">
        <v>45017</v>
      </c>
      <c r="C537">
        <v>2023</v>
      </c>
      <c r="D537">
        <v>4</v>
      </c>
      <c r="E537" s="2" t="s">
        <v>8448</v>
      </c>
      <c r="F537" s="2" t="s">
        <v>8449</v>
      </c>
      <c r="G537" s="2" t="s">
        <v>8335</v>
      </c>
      <c r="H537" s="2" t="s">
        <v>22</v>
      </c>
      <c r="I537" s="2" t="s">
        <v>8387</v>
      </c>
      <c r="J537" s="2" t="s">
        <v>24</v>
      </c>
      <c r="K537">
        <v>0.36</v>
      </c>
      <c r="L537">
        <v>36000</v>
      </c>
      <c r="M537" s="2" t="s">
        <v>8399</v>
      </c>
      <c r="N537" s="2" t="s">
        <v>8403</v>
      </c>
      <c r="O537" s="2" t="s">
        <v>3657</v>
      </c>
      <c r="P537" s="2" t="s">
        <v>639</v>
      </c>
      <c r="Q537" s="2" t="s">
        <v>8445</v>
      </c>
      <c r="R537" s="2" t="s">
        <v>30</v>
      </c>
    </row>
    <row r="538" spans="1:18">
      <c r="A538" s="1">
        <v>45017</v>
      </c>
      <c r="B538" s="1">
        <v>45017</v>
      </c>
      <c r="C538">
        <v>2023</v>
      </c>
      <c r="D538">
        <v>4</v>
      </c>
      <c r="E538" s="2" t="s">
        <v>8450</v>
      </c>
      <c r="F538" s="2" t="s">
        <v>8451</v>
      </c>
      <c r="G538" s="2" t="s">
        <v>8335</v>
      </c>
      <c r="H538" s="2" t="s">
        <v>22</v>
      </c>
      <c r="I538" s="2" t="s">
        <v>8417</v>
      </c>
      <c r="J538" s="2" t="s">
        <v>24</v>
      </c>
      <c r="K538">
        <v>54.36</v>
      </c>
      <c r="L538">
        <v>5436000</v>
      </c>
      <c r="M538" s="2" t="s">
        <v>8422</v>
      </c>
      <c r="N538" s="2" t="s">
        <v>8426</v>
      </c>
      <c r="O538" s="2" t="s">
        <v>8869</v>
      </c>
      <c r="P538" s="2" t="s">
        <v>639</v>
      </c>
      <c r="Q538" s="2" t="s">
        <v>8445</v>
      </c>
      <c r="R538" s="2" t="s">
        <v>30</v>
      </c>
    </row>
    <row r="539" spans="1:18">
      <c r="A539" s="1">
        <v>45017</v>
      </c>
      <c r="B539" s="1">
        <v>45017</v>
      </c>
      <c r="C539">
        <v>2023</v>
      </c>
      <c r="D539">
        <v>4</v>
      </c>
      <c r="E539" s="2" t="s">
        <v>8453</v>
      </c>
      <c r="F539" s="2" t="s">
        <v>8454</v>
      </c>
      <c r="G539" s="2" t="s">
        <v>8335</v>
      </c>
      <c r="H539" s="2" t="s">
        <v>22</v>
      </c>
      <c r="I539" s="2" t="s">
        <v>8336</v>
      </c>
      <c r="J539" s="2" t="s">
        <v>24</v>
      </c>
      <c r="K539">
        <v>865.13</v>
      </c>
      <c r="L539">
        <v>86513000</v>
      </c>
      <c r="M539" s="2" t="s">
        <v>8348</v>
      </c>
      <c r="N539" s="2" t="s">
        <v>8352</v>
      </c>
      <c r="O539" s="2" t="s">
        <v>8870</v>
      </c>
      <c r="P539" s="2" t="s">
        <v>639</v>
      </c>
      <c r="Q539" s="2" t="s">
        <v>8445</v>
      </c>
      <c r="R539" s="2" t="s">
        <v>30</v>
      </c>
    </row>
    <row r="540" spans="1:18">
      <c r="A540" s="1">
        <v>45017</v>
      </c>
      <c r="B540" s="1">
        <v>45017</v>
      </c>
      <c r="C540">
        <v>2023</v>
      </c>
      <c r="D540">
        <v>4</v>
      </c>
      <c r="E540" s="2" t="s">
        <v>8456</v>
      </c>
      <c r="F540" s="2" t="s">
        <v>8457</v>
      </c>
      <c r="G540" s="2" t="s">
        <v>8335</v>
      </c>
      <c r="H540" s="2" t="s">
        <v>22</v>
      </c>
      <c r="I540" s="2" t="s">
        <v>8336</v>
      </c>
      <c r="J540" s="2" t="s">
        <v>24</v>
      </c>
      <c r="K540">
        <v>9670.1200000000008</v>
      </c>
      <c r="L540">
        <v>967012000</v>
      </c>
      <c r="M540" s="2" t="s">
        <v>8355</v>
      </c>
      <c r="N540" s="2" t="s">
        <v>8359</v>
      </c>
      <c r="O540" s="2" t="s">
        <v>8871</v>
      </c>
      <c r="P540" s="2" t="s">
        <v>639</v>
      </c>
      <c r="Q540" s="2" t="s">
        <v>8445</v>
      </c>
      <c r="R540" s="2" t="s">
        <v>30</v>
      </c>
    </row>
    <row r="541" spans="1:18">
      <c r="A541" s="1">
        <v>45017</v>
      </c>
      <c r="B541" s="1">
        <v>45017</v>
      </c>
      <c r="C541">
        <v>2023</v>
      </c>
      <c r="D541">
        <v>4</v>
      </c>
      <c r="E541" s="2" t="s">
        <v>8459</v>
      </c>
      <c r="F541" s="2" t="s">
        <v>8460</v>
      </c>
      <c r="G541" s="2" t="s">
        <v>8335</v>
      </c>
      <c r="H541" s="2" t="s">
        <v>22</v>
      </c>
      <c r="I541" s="2" t="s">
        <v>8336</v>
      </c>
      <c r="J541" s="2" t="s">
        <v>59</v>
      </c>
      <c r="K541">
        <v>10535.25</v>
      </c>
      <c r="L541">
        <v>1053525000</v>
      </c>
      <c r="M541" s="2" t="s">
        <v>8331</v>
      </c>
      <c r="N541" s="2" t="s">
        <v>8341</v>
      </c>
      <c r="O541" s="2" t="s">
        <v>8872</v>
      </c>
      <c r="P541" s="2" t="s">
        <v>639</v>
      </c>
      <c r="Q541" s="2" t="s">
        <v>8445</v>
      </c>
      <c r="R541" s="2" t="s">
        <v>30</v>
      </c>
    </row>
    <row r="542" spans="1:18">
      <c r="A542" s="1">
        <v>45017</v>
      </c>
      <c r="B542" s="1">
        <v>45017</v>
      </c>
      <c r="C542">
        <v>2023</v>
      </c>
      <c r="D542">
        <v>4</v>
      </c>
      <c r="E542" s="2" t="s">
        <v>8462</v>
      </c>
      <c r="F542" s="2" t="s">
        <v>8463</v>
      </c>
      <c r="G542" s="2" t="s">
        <v>8335</v>
      </c>
      <c r="H542" s="2" t="s">
        <v>22</v>
      </c>
      <c r="I542" s="2" t="s">
        <v>8409</v>
      </c>
      <c r="J542" s="2" t="s">
        <v>24</v>
      </c>
      <c r="K542">
        <v>14.28</v>
      </c>
      <c r="L542">
        <v>1428000</v>
      </c>
      <c r="M542" s="2" t="s">
        <v>8406</v>
      </c>
      <c r="N542" s="2" t="s">
        <v>8411</v>
      </c>
      <c r="O542" s="2" t="s">
        <v>8873</v>
      </c>
      <c r="P542" s="2" t="s">
        <v>639</v>
      </c>
      <c r="Q542" s="2" t="s">
        <v>8445</v>
      </c>
      <c r="R542" s="2" t="s">
        <v>30</v>
      </c>
    </row>
    <row r="543" spans="1:18">
      <c r="A543" s="1">
        <v>45017</v>
      </c>
      <c r="B543" s="1">
        <v>45017</v>
      </c>
      <c r="C543">
        <v>2023</v>
      </c>
      <c r="D543">
        <v>4</v>
      </c>
      <c r="E543" s="2" t="s">
        <v>8464</v>
      </c>
      <c r="F543" s="2" t="s">
        <v>8465</v>
      </c>
      <c r="G543" s="2" t="s">
        <v>8335</v>
      </c>
      <c r="H543" s="2" t="s">
        <v>22</v>
      </c>
      <c r="I543" s="2" t="s">
        <v>8417</v>
      </c>
      <c r="J543" s="2" t="s">
        <v>24</v>
      </c>
      <c r="K543">
        <v>78.37</v>
      </c>
      <c r="L543">
        <v>7837000</v>
      </c>
      <c r="M543" s="2" t="s">
        <v>8414</v>
      </c>
      <c r="N543" s="2" t="s">
        <v>8419</v>
      </c>
      <c r="O543" s="2" t="s">
        <v>8874</v>
      </c>
      <c r="P543" s="2" t="s">
        <v>639</v>
      </c>
      <c r="Q543" s="2" t="s">
        <v>8445</v>
      </c>
      <c r="R543" s="2" t="s">
        <v>30</v>
      </c>
    </row>
    <row r="544" spans="1:18">
      <c r="A544" s="1">
        <v>45017</v>
      </c>
      <c r="B544" s="1">
        <v>45017</v>
      </c>
      <c r="C544">
        <v>2023</v>
      </c>
      <c r="D544">
        <v>4</v>
      </c>
      <c r="E544" s="2" t="s">
        <v>8467</v>
      </c>
      <c r="F544" s="2" t="s">
        <v>8468</v>
      </c>
      <c r="G544" s="2" t="s">
        <v>8335</v>
      </c>
      <c r="H544" s="2" t="s">
        <v>22</v>
      </c>
      <c r="I544" s="2" t="s">
        <v>8365</v>
      </c>
      <c r="J544" s="2" t="s">
        <v>24</v>
      </c>
      <c r="K544">
        <v>3247.17</v>
      </c>
      <c r="L544">
        <v>324717000</v>
      </c>
      <c r="M544" s="2" t="s">
        <v>8377</v>
      </c>
      <c r="N544" s="2" t="s">
        <v>8381</v>
      </c>
      <c r="O544" s="2" t="s">
        <v>8875</v>
      </c>
      <c r="P544" s="2" t="s">
        <v>639</v>
      </c>
      <c r="Q544" s="2" t="s">
        <v>8445</v>
      </c>
      <c r="R544" s="2" t="s">
        <v>30</v>
      </c>
    </row>
    <row r="545" spans="1:18">
      <c r="A545" s="1">
        <v>45017</v>
      </c>
      <c r="B545" s="1">
        <v>45017</v>
      </c>
      <c r="C545">
        <v>2023</v>
      </c>
      <c r="D545">
        <v>4</v>
      </c>
      <c r="E545" s="2" t="s">
        <v>8470</v>
      </c>
      <c r="F545" s="2" t="s">
        <v>8471</v>
      </c>
      <c r="G545" s="2" t="s">
        <v>8335</v>
      </c>
      <c r="H545" s="2" t="s">
        <v>22</v>
      </c>
      <c r="I545" s="2" t="s">
        <v>8365</v>
      </c>
      <c r="J545" s="2" t="s">
        <v>59</v>
      </c>
      <c r="K545">
        <v>16585.84</v>
      </c>
      <c r="L545">
        <v>1658584000</v>
      </c>
      <c r="M545" s="2" t="s">
        <v>8362</v>
      </c>
      <c r="N545" s="2" t="s">
        <v>8367</v>
      </c>
      <c r="O545" s="2" t="s">
        <v>8876</v>
      </c>
      <c r="P545" s="2" t="s">
        <v>639</v>
      </c>
      <c r="Q545" s="2" t="s">
        <v>8445</v>
      </c>
      <c r="R545" s="2" t="s">
        <v>30</v>
      </c>
    </row>
    <row r="546" spans="1:18">
      <c r="A546" s="1">
        <v>45017</v>
      </c>
      <c r="B546" s="1">
        <v>45017</v>
      </c>
      <c r="C546">
        <v>2023</v>
      </c>
      <c r="D546">
        <v>4</v>
      </c>
      <c r="E546" s="2" t="s">
        <v>8473</v>
      </c>
      <c r="F546" s="2" t="s">
        <v>8474</v>
      </c>
      <c r="G546" s="2" t="s">
        <v>8335</v>
      </c>
      <c r="H546" s="2" t="s">
        <v>22</v>
      </c>
      <c r="I546" s="2" t="s">
        <v>8365</v>
      </c>
      <c r="J546" s="2" t="s">
        <v>24</v>
      </c>
      <c r="K546">
        <v>13338.66</v>
      </c>
      <c r="L546">
        <v>1333866000</v>
      </c>
      <c r="M546" s="2" t="s">
        <v>8370</v>
      </c>
      <c r="N546" s="2" t="s">
        <v>8374</v>
      </c>
      <c r="O546" s="2" t="s">
        <v>8877</v>
      </c>
      <c r="P546" s="2" t="s">
        <v>639</v>
      </c>
      <c r="Q546" s="2" t="s">
        <v>8445</v>
      </c>
      <c r="R546" s="2" t="s">
        <v>30</v>
      </c>
    </row>
    <row r="547" spans="1:18">
      <c r="A547" s="1">
        <v>45017</v>
      </c>
      <c r="B547" s="1">
        <v>45017</v>
      </c>
      <c r="C547">
        <v>2023</v>
      </c>
      <c r="D547">
        <v>4</v>
      </c>
      <c r="E547" s="2" t="s">
        <v>7890</v>
      </c>
      <c r="F547" s="2" t="s">
        <v>7891</v>
      </c>
      <c r="G547" s="2" t="s">
        <v>8335</v>
      </c>
      <c r="H547" s="2" t="s">
        <v>22</v>
      </c>
      <c r="I547" s="2" t="s">
        <v>8417</v>
      </c>
      <c r="J547" s="2" t="s">
        <v>24</v>
      </c>
      <c r="K547">
        <v>2609.08</v>
      </c>
      <c r="L547">
        <v>260908000</v>
      </c>
      <c r="M547" s="2" t="s">
        <v>7889</v>
      </c>
      <c r="N547" s="2" t="s">
        <v>7911</v>
      </c>
      <c r="O547" s="2" t="s">
        <v>8878</v>
      </c>
      <c r="P547" s="2" t="s">
        <v>639</v>
      </c>
      <c r="Q547" s="2" t="s">
        <v>8445</v>
      </c>
      <c r="R547" s="2" t="s">
        <v>30</v>
      </c>
    </row>
    <row r="548" spans="1:18">
      <c r="A548" s="1">
        <v>45047</v>
      </c>
      <c r="B548" s="1">
        <v>45047</v>
      </c>
      <c r="C548">
        <v>2023</v>
      </c>
      <c r="D548">
        <v>5</v>
      </c>
      <c r="E548" s="2" t="s">
        <v>8443</v>
      </c>
      <c r="F548" s="2" t="s">
        <v>8444</v>
      </c>
      <c r="G548" s="2" t="s">
        <v>8335</v>
      </c>
      <c r="H548" s="2" t="s">
        <v>22</v>
      </c>
      <c r="I548" s="2" t="s">
        <v>8387</v>
      </c>
      <c r="J548" s="2" t="s">
        <v>24</v>
      </c>
      <c r="K548">
        <v>2.2000000000000002</v>
      </c>
      <c r="L548">
        <v>220000</v>
      </c>
      <c r="M548" s="2" t="s">
        <v>8392</v>
      </c>
      <c r="N548" s="2" t="s">
        <v>8396</v>
      </c>
      <c r="O548" s="2" t="s">
        <v>477</v>
      </c>
      <c r="P548" s="2" t="s">
        <v>175</v>
      </c>
      <c r="Q548" s="2" t="s">
        <v>8445</v>
      </c>
      <c r="R548" s="2" t="s">
        <v>30</v>
      </c>
    </row>
    <row r="549" spans="1:18">
      <c r="A549" s="1">
        <v>45047</v>
      </c>
      <c r="B549" s="1">
        <v>45047</v>
      </c>
      <c r="C549">
        <v>2023</v>
      </c>
      <c r="D549">
        <v>5</v>
      </c>
      <c r="E549" s="2" t="s">
        <v>8446</v>
      </c>
      <c r="F549" s="2" t="s">
        <v>8447</v>
      </c>
      <c r="G549" s="2" t="s">
        <v>8335</v>
      </c>
      <c r="H549" s="2" t="s">
        <v>22</v>
      </c>
      <c r="I549" s="2" t="s">
        <v>8387</v>
      </c>
      <c r="J549" s="2" t="s">
        <v>59</v>
      </c>
      <c r="K549">
        <v>2.56</v>
      </c>
      <c r="L549">
        <v>256000</v>
      </c>
      <c r="M549" s="2" t="s">
        <v>8384</v>
      </c>
      <c r="N549" s="2" t="s">
        <v>8389</v>
      </c>
      <c r="O549" s="2" t="s">
        <v>2717</v>
      </c>
      <c r="P549" s="2" t="s">
        <v>175</v>
      </c>
      <c r="Q549" s="2" t="s">
        <v>8445</v>
      </c>
      <c r="R549" s="2" t="s">
        <v>30</v>
      </c>
    </row>
    <row r="550" spans="1:18">
      <c r="A550" s="1">
        <v>45047</v>
      </c>
      <c r="B550" s="1">
        <v>45047</v>
      </c>
      <c r="C550">
        <v>2023</v>
      </c>
      <c r="D550">
        <v>5</v>
      </c>
      <c r="E550" s="2" t="s">
        <v>8448</v>
      </c>
      <c r="F550" s="2" t="s">
        <v>8449</v>
      </c>
      <c r="G550" s="2" t="s">
        <v>8335</v>
      </c>
      <c r="H550" s="2" t="s">
        <v>22</v>
      </c>
      <c r="I550" s="2" t="s">
        <v>8387</v>
      </c>
      <c r="J550" s="2" t="s">
        <v>24</v>
      </c>
      <c r="K550">
        <v>0.36</v>
      </c>
      <c r="L550">
        <v>36000</v>
      </c>
      <c r="M550" s="2" t="s">
        <v>8399</v>
      </c>
      <c r="N550" s="2" t="s">
        <v>8403</v>
      </c>
      <c r="O550" s="2" t="s">
        <v>3657</v>
      </c>
      <c r="P550" s="2" t="s">
        <v>175</v>
      </c>
      <c r="Q550" s="2" t="s">
        <v>8445</v>
      </c>
      <c r="R550" s="2" t="s">
        <v>30</v>
      </c>
    </row>
    <row r="551" spans="1:18">
      <c r="A551" s="1">
        <v>45047</v>
      </c>
      <c r="B551" s="1">
        <v>45047</v>
      </c>
      <c r="C551">
        <v>2023</v>
      </c>
      <c r="D551">
        <v>5</v>
      </c>
      <c r="E551" s="2" t="s">
        <v>8450</v>
      </c>
      <c r="F551" s="2" t="s">
        <v>8451</v>
      </c>
      <c r="G551" s="2" t="s">
        <v>8335</v>
      </c>
      <c r="H551" s="2" t="s">
        <v>22</v>
      </c>
      <c r="I551" s="2" t="s">
        <v>8417</v>
      </c>
      <c r="J551" s="2" t="s">
        <v>24</v>
      </c>
      <c r="K551">
        <v>55.45</v>
      </c>
      <c r="L551">
        <v>5545000</v>
      </c>
      <c r="M551" s="2" t="s">
        <v>8422</v>
      </c>
      <c r="N551" s="2" t="s">
        <v>8426</v>
      </c>
      <c r="O551" s="2" t="s">
        <v>8879</v>
      </c>
      <c r="P551" s="2" t="s">
        <v>175</v>
      </c>
      <c r="Q551" s="2" t="s">
        <v>8445</v>
      </c>
      <c r="R551" s="2" t="s">
        <v>30</v>
      </c>
    </row>
    <row r="552" spans="1:18">
      <c r="A552" s="1">
        <v>45047</v>
      </c>
      <c r="B552" s="1">
        <v>45047</v>
      </c>
      <c r="C552">
        <v>2023</v>
      </c>
      <c r="D552">
        <v>5</v>
      </c>
      <c r="E552" s="2" t="s">
        <v>8453</v>
      </c>
      <c r="F552" s="2" t="s">
        <v>8454</v>
      </c>
      <c r="G552" s="2" t="s">
        <v>8335</v>
      </c>
      <c r="H552" s="2" t="s">
        <v>22</v>
      </c>
      <c r="I552" s="2" t="s">
        <v>8336</v>
      </c>
      <c r="J552" s="2" t="s">
        <v>24</v>
      </c>
      <c r="K552">
        <v>877.47</v>
      </c>
      <c r="L552">
        <v>87747000</v>
      </c>
      <c r="M552" s="2" t="s">
        <v>8348</v>
      </c>
      <c r="N552" s="2" t="s">
        <v>8352</v>
      </c>
      <c r="O552" s="2" t="s">
        <v>8880</v>
      </c>
      <c r="P552" s="2" t="s">
        <v>175</v>
      </c>
      <c r="Q552" s="2" t="s">
        <v>8445</v>
      </c>
      <c r="R552" s="2" t="s">
        <v>30</v>
      </c>
    </row>
    <row r="553" spans="1:18">
      <c r="A553" s="1">
        <v>45047</v>
      </c>
      <c r="B553" s="1">
        <v>45047</v>
      </c>
      <c r="C553">
        <v>2023</v>
      </c>
      <c r="D553">
        <v>5</v>
      </c>
      <c r="E553" s="2" t="s">
        <v>8456</v>
      </c>
      <c r="F553" s="2" t="s">
        <v>8457</v>
      </c>
      <c r="G553" s="2" t="s">
        <v>8335</v>
      </c>
      <c r="H553" s="2" t="s">
        <v>22</v>
      </c>
      <c r="I553" s="2" t="s">
        <v>8336</v>
      </c>
      <c r="J553" s="2" t="s">
        <v>24</v>
      </c>
      <c r="K553">
        <v>9739.26</v>
      </c>
      <c r="L553">
        <v>973926000</v>
      </c>
      <c r="M553" s="2" t="s">
        <v>8355</v>
      </c>
      <c r="N553" s="2" t="s">
        <v>8359</v>
      </c>
      <c r="O553" s="2" t="s">
        <v>8881</v>
      </c>
      <c r="P553" s="2" t="s">
        <v>175</v>
      </c>
      <c r="Q553" s="2" t="s">
        <v>8445</v>
      </c>
      <c r="R553" s="2" t="s">
        <v>30</v>
      </c>
    </row>
    <row r="554" spans="1:18">
      <c r="A554" s="1">
        <v>45047</v>
      </c>
      <c r="B554" s="1">
        <v>45047</v>
      </c>
      <c r="C554">
        <v>2023</v>
      </c>
      <c r="D554">
        <v>5</v>
      </c>
      <c r="E554" s="2" t="s">
        <v>8459</v>
      </c>
      <c r="F554" s="2" t="s">
        <v>8460</v>
      </c>
      <c r="G554" s="2" t="s">
        <v>8335</v>
      </c>
      <c r="H554" s="2" t="s">
        <v>22</v>
      </c>
      <c r="I554" s="2" t="s">
        <v>8336</v>
      </c>
      <c r="J554" s="2" t="s">
        <v>59</v>
      </c>
      <c r="K554">
        <v>10616.74</v>
      </c>
      <c r="L554">
        <v>1061674000</v>
      </c>
      <c r="M554" s="2" t="s">
        <v>8331</v>
      </c>
      <c r="N554" s="2" t="s">
        <v>8341</v>
      </c>
      <c r="O554" s="2" t="s">
        <v>8882</v>
      </c>
      <c r="P554" s="2" t="s">
        <v>175</v>
      </c>
      <c r="Q554" s="2" t="s">
        <v>8445</v>
      </c>
      <c r="R554" s="2" t="s">
        <v>30</v>
      </c>
    </row>
    <row r="555" spans="1:18">
      <c r="A555" s="1">
        <v>45047</v>
      </c>
      <c r="B555" s="1">
        <v>45047</v>
      </c>
      <c r="C555">
        <v>2023</v>
      </c>
      <c r="D555">
        <v>5</v>
      </c>
      <c r="E555" s="2" t="s">
        <v>8462</v>
      </c>
      <c r="F555" s="2" t="s">
        <v>8463</v>
      </c>
      <c r="G555" s="2" t="s">
        <v>8335</v>
      </c>
      <c r="H555" s="2" t="s">
        <v>22</v>
      </c>
      <c r="I555" s="2" t="s">
        <v>8409</v>
      </c>
      <c r="J555" s="2" t="s">
        <v>24</v>
      </c>
      <c r="K555">
        <v>14.66</v>
      </c>
      <c r="L555">
        <v>1466000</v>
      </c>
      <c r="M555" s="2" t="s">
        <v>8406</v>
      </c>
      <c r="N555" s="2" t="s">
        <v>8411</v>
      </c>
      <c r="O555" s="2" t="s">
        <v>8883</v>
      </c>
      <c r="P555" s="2" t="s">
        <v>175</v>
      </c>
      <c r="Q555" s="2" t="s">
        <v>8445</v>
      </c>
      <c r="R555" s="2" t="s">
        <v>30</v>
      </c>
    </row>
    <row r="556" spans="1:18">
      <c r="A556" s="1">
        <v>45047</v>
      </c>
      <c r="B556" s="1">
        <v>45047</v>
      </c>
      <c r="C556">
        <v>2023</v>
      </c>
      <c r="D556">
        <v>5</v>
      </c>
      <c r="E556" s="2" t="s">
        <v>8464</v>
      </c>
      <c r="F556" s="2" t="s">
        <v>8465</v>
      </c>
      <c r="G556" s="2" t="s">
        <v>8335</v>
      </c>
      <c r="H556" s="2" t="s">
        <v>22</v>
      </c>
      <c r="I556" s="2" t="s">
        <v>8417</v>
      </c>
      <c r="J556" s="2" t="s">
        <v>24</v>
      </c>
      <c r="K556">
        <v>79.61</v>
      </c>
      <c r="L556">
        <v>7961000</v>
      </c>
      <c r="M556" s="2" t="s">
        <v>8414</v>
      </c>
      <c r="N556" s="2" t="s">
        <v>8419</v>
      </c>
      <c r="O556" s="2" t="s">
        <v>8884</v>
      </c>
      <c r="P556" s="2" t="s">
        <v>175</v>
      </c>
      <c r="Q556" s="2" t="s">
        <v>8445</v>
      </c>
      <c r="R556" s="2" t="s">
        <v>30</v>
      </c>
    </row>
    <row r="557" spans="1:18">
      <c r="A557" s="1">
        <v>45047</v>
      </c>
      <c r="B557" s="1">
        <v>45047</v>
      </c>
      <c r="C557">
        <v>2023</v>
      </c>
      <c r="D557">
        <v>5</v>
      </c>
      <c r="E557" s="2" t="s">
        <v>8467</v>
      </c>
      <c r="F557" s="2" t="s">
        <v>8468</v>
      </c>
      <c r="G557" s="2" t="s">
        <v>8335</v>
      </c>
      <c r="H557" s="2" t="s">
        <v>22</v>
      </c>
      <c r="I557" s="2" t="s">
        <v>8365</v>
      </c>
      <c r="J557" s="2" t="s">
        <v>24</v>
      </c>
      <c r="K557">
        <v>3264.98</v>
      </c>
      <c r="L557">
        <v>326498000</v>
      </c>
      <c r="M557" s="2" t="s">
        <v>8377</v>
      </c>
      <c r="N557" s="2" t="s">
        <v>8381</v>
      </c>
      <c r="O557" s="2" t="s">
        <v>8885</v>
      </c>
      <c r="P557" s="2" t="s">
        <v>175</v>
      </c>
      <c r="Q557" s="2" t="s">
        <v>8445</v>
      </c>
      <c r="R557" s="2" t="s">
        <v>30</v>
      </c>
    </row>
    <row r="558" spans="1:18">
      <c r="A558" s="1">
        <v>45047</v>
      </c>
      <c r="B558" s="1">
        <v>45047</v>
      </c>
      <c r="C558">
        <v>2023</v>
      </c>
      <c r="D558">
        <v>5</v>
      </c>
      <c r="E558" s="2" t="s">
        <v>8470</v>
      </c>
      <c r="F558" s="2" t="s">
        <v>8471</v>
      </c>
      <c r="G558" s="2" t="s">
        <v>8335</v>
      </c>
      <c r="H558" s="2" t="s">
        <v>22</v>
      </c>
      <c r="I558" s="2" t="s">
        <v>8365</v>
      </c>
      <c r="J558" s="2" t="s">
        <v>59</v>
      </c>
      <c r="K558">
        <v>16638.55</v>
      </c>
      <c r="L558">
        <v>1663855000</v>
      </c>
      <c r="M558" s="2" t="s">
        <v>8362</v>
      </c>
      <c r="N558" s="2" t="s">
        <v>8367</v>
      </c>
      <c r="O558" s="2" t="s">
        <v>8886</v>
      </c>
      <c r="P558" s="2" t="s">
        <v>175</v>
      </c>
      <c r="Q558" s="2" t="s">
        <v>8445</v>
      </c>
      <c r="R558" s="2" t="s">
        <v>30</v>
      </c>
    </row>
    <row r="559" spans="1:18">
      <c r="A559" s="1">
        <v>45047</v>
      </c>
      <c r="B559" s="1">
        <v>45047</v>
      </c>
      <c r="C559">
        <v>2023</v>
      </c>
      <c r="D559">
        <v>5</v>
      </c>
      <c r="E559" s="2" t="s">
        <v>8473</v>
      </c>
      <c r="F559" s="2" t="s">
        <v>8474</v>
      </c>
      <c r="G559" s="2" t="s">
        <v>8335</v>
      </c>
      <c r="H559" s="2" t="s">
        <v>22</v>
      </c>
      <c r="I559" s="2" t="s">
        <v>8365</v>
      </c>
      <c r="J559" s="2" t="s">
        <v>24</v>
      </c>
      <c r="K559">
        <v>13373.56</v>
      </c>
      <c r="L559">
        <v>1337356000</v>
      </c>
      <c r="M559" s="2" t="s">
        <v>8370</v>
      </c>
      <c r="N559" s="2" t="s">
        <v>8374</v>
      </c>
      <c r="O559" s="2" t="s">
        <v>8887</v>
      </c>
      <c r="P559" s="2" t="s">
        <v>175</v>
      </c>
      <c r="Q559" s="2" t="s">
        <v>8445</v>
      </c>
      <c r="R559" s="2" t="s">
        <v>30</v>
      </c>
    </row>
    <row r="560" spans="1:18">
      <c r="A560" s="1">
        <v>45047</v>
      </c>
      <c r="B560" s="1">
        <v>45047</v>
      </c>
      <c r="C560">
        <v>2023</v>
      </c>
      <c r="D560">
        <v>5</v>
      </c>
      <c r="E560" s="2" t="s">
        <v>7890</v>
      </c>
      <c r="F560" s="2" t="s">
        <v>7891</v>
      </c>
      <c r="G560" s="2" t="s">
        <v>8335</v>
      </c>
      <c r="H560" s="2" t="s">
        <v>22</v>
      </c>
      <c r="I560" s="2" t="s">
        <v>8417</v>
      </c>
      <c r="J560" s="2" t="s">
        <v>24</v>
      </c>
      <c r="K560">
        <v>2667.57</v>
      </c>
      <c r="L560">
        <v>266757000</v>
      </c>
      <c r="M560" s="2" t="s">
        <v>7889</v>
      </c>
      <c r="N560" s="2" t="s">
        <v>7911</v>
      </c>
      <c r="O560" s="2" t="s">
        <v>8888</v>
      </c>
      <c r="P560" s="2" t="s">
        <v>175</v>
      </c>
      <c r="Q560" s="2" t="s">
        <v>8445</v>
      </c>
      <c r="R560" s="2" t="s">
        <v>30</v>
      </c>
    </row>
    <row r="561" spans="1:18">
      <c r="A561" s="1">
        <v>45078</v>
      </c>
      <c r="B561" s="1">
        <v>45078</v>
      </c>
      <c r="C561">
        <v>2023</v>
      </c>
      <c r="D561">
        <v>6</v>
      </c>
      <c r="E561" s="2" t="s">
        <v>8443</v>
      </c>
      <c r="F561" s="2" t="s">
        <v>8444</v>
      </c>
      <c r="G561" s="2" t="s">
        <v>8335</v>
      </c>
      <c r="H561" s="2" t="s">
        <v>22</v>
      </c>
      <c r="I561" s="2" t="s">
        <v>8387</v>
      </c>
      <c r="J561" s="2" t="s">
        <v>24</v>
      </c>
      <c r="K561">
        <v>2.23</v>
      </c>
      <c r="L561">
        <v>223000</v>
      </c>
      <c r="M561" s="2" t="s">
        <v>8392</v>
      </c>
      <c r="N561" s="2" t="s">
        <v>8396</v>
      </c>
      <c r="O561" s="2" t="s">
        <v>1041</v>
      </c>
      <c r="P561" s="2" t="s">
        <v>175</v>
      </c>
      <c r="Q561" s="2" t="s">
        <v>8445</v>
      </c>
      <c r="R561" s="2" t="s">
        <v>30</v>
      </c>
    </row>
    <row r="562" spans="1:18">
      <c r="A562" s="1">
        <v>45078</v>
      </c>
      <c r="B562" s="1">
        <v>45078</v>
      </c>
      <c r="C562">
        <v>2023</v>
      </c>
      <c r="D562">
        <v>6</v>
      </c>
      <c r="E562" s="2" t="s">
        <v>8446</v>
      </c>
      <c r="F562" s="2" t="s">
        <v>8447</v>
      </c>
      <c r="G562" s="2" t="s">
        <v>8335</v>
      </c>
      <c r="H562" s="2" t="s">
        <v>22</v>
      </c>
      <c r="I562" s="2" t="s">
        <v>8387</v>
      </c>
      <c r="J562" s="2" t="s">
        <v>59</v>
      </c>
      <c r="K562">
        <v>2.59</v>
      </c>
      <c r="L562">
        <v>259000</v>
      </c>
      <c r="M562" s="2" t="s">
        <v>8384</v>
      </c>
      <c r="N562" s="2" t="s">
        <v>8389</v>
      </c>
      <c r="O562" s="2" t="s">
        <v>8858</v>
      </c>
      <c r="P562" s="2" t="s">
        <v>175</v>
      </c>
      <c r="Q562" s="2" t="s">
        <v>8445</v>
      </c>
      <c r="R562" s="2" t="s">
        <v>30</v>
      </c>
    </row>
    <row r="563" spans="1:18">
      <c r="A563" s="1">
        <v>45078</v>
      </c>
      <c r="B563" s="1">
        <v>45078</v>
      </c>
      <c r="C563">
        <v>2023</v>
      </c>
      <c r="D563">
        <v>6</v>
      </c>
      <c r="E563" s="2" t="s">
        <v>8448</v>
      </c>
      <c r="F563" s="2" t="s">
        <v>8449</v>
      </c>
      <c r="G563" s="2" t="s">
        <v>8335</v>
      </c>
      <c r="H563" s="2" t="s">
        <v>22</v>
      </c>
      <c r="I563" s="2" t="s">
        <v>8387</v>
      </c>
      <c r="J563" s="2" t="s">
        <v>24</v>
      </c>
      <c r="K563">
        <v>0.36</v>
      </c>
      <c r="L563">
        <v>36000</v>
      </c>
      <c r="M563" s="2" t="s">
        <v>8399</v>
      </c>
      <c r="N563" s="2" t="s">
        <v>8403</v>
      </c>
      <c r="O563" s="2" t="s">
        <v>3657</v>
      </c>
      <c r="P563" s="2" t="s">
        <v>175</v>
      </c>
      <c r="Q563" s="2" t="s">
        <v>8445</v>
      </c>
      <c r="R563" s="2" t="s">
        <v>30</v>
      </c>
    </row>
    <row r="564" spans="1:18">
      <c r="A564" s="1">
        <v>45078</v>
      </c>
      <c r="B564" s="1">
        <v>45078</v>
      </c>
      <c r="C564">
        <v>2023</v>
      </c>
      <c r="D564">
        <v>6</v>
      </c>
      <c r="E564" s="2" t="s">
        <v>8450</v>
      </c>
      <c r="F564" s="2" t="s">
        <v>8451</v>
      </c>
      <c r="G564" s="2" t="s">
        <v>8335</v>
      </c>
      <c r="H564" s="2" t="s">
        <v>22</v>
      </c>
      <c r="I564" s="2" t="s">
        <v>8417</v>
      </c>
      <c r="J564" s="2" t="s">
        <v>24</v>
      </c>
      <c r="K564">
        <v>56.88</v>
      </c>
      <c r="L564">
        <v>5688000</v>
      </c>
      <c r="M564" s="2" t="s">
        <v>8422</v>
      </c>
      <c r="N564" s="2" t="s">
        <v>8426</v>
      </c>
      <c r="O564" s="2" t="s">
        <v>8889</v>
      </c>
      <c r="P564" s="2" t="s">
        <v>175</v>
      </c>
      <c r="Q564" s="2" t="s">
        <v>8445</v>
      </c>
      <c r="R564" s="2" t="s">
        <v>30</v>
      </c>
    </row>
    <row r="565" spans="1:18">
      <c r="A565" s="1">
        <v>45078</v>
      </c>
      <c r="B565" s="1">
        <v>45078</v>
      </c>
      <c r="C565">
        <v>2023</v>
      </c>
      <c r="D565">
        <v>6</v>
      </c>
      <c r="E565" s="2" t="s">
        <v>8453</v>
      </c>
      <c r="F565" s="2" t="s">
        <v>8454</v>
      </c>
      <c r="G565" s="2" t="s">
        <v>8335</v>
      </c>
      <c r="H565" s="2" t="s">
        <v>22</v>
      </c>
      <c r="I565" s="2" t="s">
        <v>8336</v>
      </c>
      <c r="J565" s="2" t="s">
        <v>24</v>
      </c>
      <c r="K565">
        <v>886.82</v>
      </c>
      <c r="L565">
        <v>88682000</v>
      </c>
      <c r="M565" s="2" t="s">
        <v>8348</v>
      </c>
      <c r="N565" s="2" t="s">
        <v>8352</v>
      </c>
      <c r="O565" s="2" t="s">
        <v>8890</v>
      </c>
      <c r="P565" s="2" t="s">
        <v>175</v>
      </c>
      <c r="Q565" s="2" t="s">
        <v>8445</v>
      </c>
      <c r="R565" s="2" t="s">
        <v>30</v>
      </c>
    </row>
    <row r="566" spans="1:18">
      <c r="A566" s="1">
        <v>45078</v>
      </c>
      <c r="B566" s="1">
        <v>45078</v>
      </c>
      <c r="C566">
        <v>2023</v>
      </c>
      <c r="D566">
        <v>6</v>
      </c>
      <c r="E566" s="2" t="s">
        <v>8456</v>
      </c>
      <c r="F566" s="2" t="s">
        <v>8457</v>
      </c>
      <c r="G566" s="2" t="s">
        <v>8335</v>
      </c>
      <c r="H566" s="2" t="s">
        <v>22</v>
      </c>
      <c r="I566" s="2" t="s">
        <v>8336</v>
      </c>
      <c r="J566" s="2" t="s">
        <v>24</v>
      </c>
      <c r="K566">
        <v>9758.33</v>
      </c>
      <c r="L566">
        <v>975833000</v>
      </c>
      <c r="M566" s="2" t="s">
        <v>8355</v>
      </c>
      <c r="N566" s="2" t="s">
        <v>8359</v>
      </c>
      <c r="O566" s="2" t="s">
        <v>8891</v>
      </c>
      <c r="P566" s="2" t="s">
        <v>175</v>
      </c>
      <c r="Q566" s="2" t="s">
        <v>8445</v>
      </c>
      <c r="R566" s="2" t="s">
        <v>30</v>
      </c>
    </row>
    <row r="567" spans="1:18">
      <c r="A567" s="1">
        <v>45078</v>
      </c>
      <c r="B567" s="1">
        <v>45078</v>
      </c>
      <c r="C567">
        <v>2023</v>
      </c>
      <c r="D567">
        <v>6</v>
      </c>
      <c r="E567" s="2" t="s">
        <v>8459</v>
      </c>
      <c r="F567" s="2" t="s">
        <v>8460</v>
      </c>
      <c r="G567" s="2" t="s">
        <v>8335</v>
      </c>
      <c r="H567" s="2" t="s">
        <v>22</v>
      </c>
      <c r="I567" s="2" t="s">
        <v>8336</v>
      </c>
      <c r="J567" s="2" t="s">
        <v>59</v>
      </c>
      <c r="K567">
        <v>10645.15</v>
      </c>
      <c r="L567">
        <v>1064515000</v>
      </c>
      <c r="M567" s="2" t="s">
        <v>8331</v>
      </c>
      <c r="N567" s="2" t="s">
        <v>8341</v>
      </c>
      <c r="O567" s="2" t="s">
        <v>8892</v>
      </c>
      <c r="P567" s="2" t="s">
        <v>175</v>
      </c>
      <c r="Q567" s="2" t="s">
        <v>8445</v>
      </c>
      <c r="R567" s="2" t="s">
        <v>30</v>
      </c>
    </row>
    <row r="568" spans="1:18">
      <c r="A568" s="1">
        <v>45078</v>
      </c>
      <c r="B568" s="1">
        <v>45078</v>
      </c>
      <c r="C568">
        <v>2023</v>
      </c>
      <c r="D568">
        <v>6</v>
      </c>
      <c r="E568" s="2" t="s">
        <v>8462</v>
      </c>
      <c r="F568" s="2" t="s">
        <v>8463</v>
      </c>
      <c r="G568" s="2" t="s">
        <v>8335</v>
      </c>
      <c r="H568" s="2" t="s">
        <v>22</v>
      </c>
      <c r="I568" s="2" t="s">
        <v>8409</v>
      </c>
      <c r="J568" s="2" t="s">
        <v>24</v>
      </c>
      <c r="K568">
        <v>14.96</v>
      </c>
      <c r="L568">
        <v>1496000</v>
      </c>
      <c r="M568" s="2" t="s">
        <v>8406</v>
      </c>
      <c r="N568" s="2" t="s">
        <v>8411</v>
      </c>
      <c r="O568" s="2" t="s">
        <v>8893</v>
      </c>
      <c r="P568" s="2" t="s">
        <v>175</v>
      </c>
      <c r="Q568" s="2" t="s">
        <v>8445</v>
      </c>
      <c r="R568" s="2" t="s">
        <v>30</v>
      </c>
    </row>
    <row r="569" spans="1:18">
      <c r="A569" s="1">
        <v>45078</v>
      </c>
      <c r="B569" s="1">
        <v>45078</v>
      </c>
      <c r="C569">
        <v>2023</v>
      </c>
      <c r="D569">
        <v>6</v>
      </c>
      <c r="E569" s="2" t="s">
        <v>8464</v>
      </c>
      <c r="F569" s="2" t="s">
        <v>8465</v>
      </c>
      <c r="G569" s="2" t="s">
        <v>8335</v>
      </c>
      <c r="H569" s="2" t="s">
        <v>22</v>
      </c>
      <c r="I569" s="2" t="s">
        <v>8417</v>
      </c>
      <c r="J569" s="2" t="s">
        <v>24</v>
      </c>
      <c r="K569">
        <v>80.94</v>
      </c>
      <c r="L569">
        <v>8094000</v>
      </c>
      <c r="M569" s="2" t="s">
        <v>8414</v>
      </c>
      <c r="N569" s="2" t="s">
        <v>8419</v>
      </c>
      <c r="O569" s="2" t="s">
        <v>8894</v>
      </c>
      <c r="P569" s="2" t="s">
        <v>175</v>
      </c>
      <c r="Q569" s="2" t="s">
        <v>8445</v>
      </c>
      <c r="R569" s="2" t="s">
        <v>30</v>
      </c>
    </row>
    <row r="570" spans="1:18">
      <c r="A570" s="1">
        <v>45078</v>
      </c>
      <c r="B570" s="1">
        <v>45078</v>
      </c>
      <c r="C570">
        <v>2023</v>
      </c>
      <c r="D570">
        <v>6</v>
      </c>
      <c r="E570" s="2" t="s">
        <v>8467</v>
      </c>
      <c r="F570" s="2" t="s">
        <v>8468</v>
      </c>
      <c r="G570" s="2" t="s">
        <v>8335</v>
      </c>
      <c r="H570" s="2" t="s">
        <v>22</v>
      </c>
      <c r="I570" s="2" t="s">
        <v>8365</v>
      </c>
      <c r="J570" s="2" t="s">
        <v>24</v>
      </c>
      <c r="K570">
        <v>3299.84</v>
      </c>
      <c r="L570">
        <v>329984000</v>
      </c>
      <c r="M570" s="2" t="s">
        <v>8377</v>
      </c>
      <c r="N570" s="2" t="s">
        <v>8381</v>
      </c>
      <c r="O570" s="2" t="s">
        <v>8895</v>
      </c>
      <c r="P570" s="2" t="s">
        <v>175</v>
      </c>
      <c r="Q570" s="2" t="s">
        <v>8445</v>
      </c>
      <c r="R570" s="2" t="s">
        <v>30</v>
      </c>
    </row>
    <row r="571" spans="1:18">
      <c r="A571" s="1">
        <v>45078</v>
      </c>
      <c r="B571" s="1">
        <v>45078</v>
      </c>
      <c r="C571">
        <v>2023</v>
      </c>
      <c r="D571">
        <v>6</v>
      </c>
      <c r="E571" s="2" t="s">
        <v>8470</v>
      </c>
      <c r="F571" s="2" t="s">
        <v>8471</v>
      </c>
      <c r="G571" s="2" t="s">
        <v>8335</v>
      </c>
      <c r="H571" s="2" t="s">
        <v>22</v>
      </c>
      <c r="I571" s="2" t="s">
        <v>8365</v>
      </c>
      <c r="J571" s="2" t="s">
        <v>59</v>
      </c>
      <c r="K571">
        <v>16709.14</v>
      </c>
      <c r="L571">
        <v>1670914000</v>
      </c>
      <c r="M571" s="2" t="s">
        <v>8362</v>
      </c>
      <c r="N571" s="2" t="s">
        <v>8367</v>
      </c>
      <c r="O571" s="2" t="s">
        <v>8896</v>
      </c>
      <c r="P571" s="2" t="s">
        <v>175</v>
      </c>
      <c r="Q571" s="2" t="s">
        <v>8445</v>
      </c>
      <c r="R571" s="2" t="s">
        <v>30</v>
      </c>
    </row>
    <row r="572" spans="1:18">
      <c r="A572" s="1">
        <v>45078</v>
      </c>
      <c r="B572" s="1">
        <v>45078</v>
      </c>
      <c r="C572">
        <v>2023</v>
      </c>
      <c r="D572">
        <v>6</v>
      </c>
      <c r="E572" s="2" t="s">
        <v>8473</v>
      </c>
      <c r="F572" s="2" t="s">
        <v>8474</v>
      </c>
      <c r="G572" s="2" t="s">
        <v>8335</v>
      </c>
      <c r="H572" s="2" t="s">
        <v>22</v>
      </c>
      <c r="I572" s="2" t="s">
        <v>8365</v>
      </c>
      <c r="J572" s="2" t="s">
        <v>24</v>
      </c>
      <c r="K572">
        <v>13409.3</v>
      </c>
      <c r="L572">
        <v>1340930000</v>
      </c>
      <c r="M572" s="2" t="s">
        <v>8370</v>
      </c>
      <c r="N572" s="2" t="s">
        <v>8374</v>
      </c>
      <c r="O572" s="2" t="s">
        <v>8897</v>
      </c>
      <c r="P572" s="2" t="s">
        <v>175</v>
      </c>
      <c r="Q572" s="2" t="s">
        <v>8445</v>
      </c>
      <c r="R572" s="2" t="s">
        <v>30</v>
      </c>
    </row>
    <row r="573" spans="1:18">
      <c r="A573" s="1">
        <v>45078</v>
      </c>
      <c r="B573" s="1">
        <v>45078</v>
      </c>
      <c r="C573">
        <v>2023</v>
      </c>
      <c r="D573">
        <v>6</v>
      </c>
      <c r="E573" s="2" t="s">
        <v>7890</v>
      </c>
      <c r="F573" s="2" t="s">
        <v>7891</v>
      </c>
      <c r="G573" s="2" t="s">
        <v>8335</v>
      </c>
      <c r="H573" s="2" t="s">
        <v>22</v>
      </c>
      <c r="I573" s="2" t="s">
        <v>8417</v>
      </c>
      <c r="J573" s="2" t="s">
        <v>24</v>
      </c>
      <c r="K573">
        <v>2720.15</v>
      </c>
      <c r="L573">
        <v>272015000</v>
      </c>
      <c r="M573" s="2" t="s">
        <v>7889</v>
      </c>
      <c r="N573" s="2" t="s">
        <v>7911</v>
      </c>
      <c r="O573" s="2" t="s">
        <v>8898</v>
      </c>
      <c r="P573" s="2" t="s">
        <v>175</v>
      </c>
      <c r="Q573" s="2" t="s">
        <v>8445</v>
      </c>
      <c r="R573" s="2" t="s">
        <v>30</v>
      </c>
    </row>
    <row r="574" spans="1:18">
      <c r="A574" s="1">
        <v>45108</v>
      </c>
      <c r="B574" s="1">
        <v>45108</v>
      </c>
      <c r="C574">
        <v>2023</v>
      </c>
      <c r="D574">
        <v>7</v>
      </c>
      <c r="E574" s="2" t="s">
        <v>8443</v>
      </c>
      <c r="F574" s="2" t="s">
        <v>8444</v>
      </c>
      <c r="G574" s="2" t="s">
        <v>8335</v>
      </c>
      <c r="H574" s="2" t="s">
        <v>22</v>
      </c>
      <c r="I574" s="2" t="s">
        <v>8387</v>
      </c>
      <c r="J574" s="2" t="s">
        <v>24</v>
      </c>
      <c r="K574">
        <v>2.21</v>
      </c>
      <c r="L574">
        <v>221000</v>
      </c>
      <c r="M574" s="2" t="s">
        <v>8392</v>
      </c>
      <c r="N574" s="2" t="s">
        <v>8396</v>
      </c>
      <c r="O574" s="2" t="s">
        <v>3142</v>
      </c>
      <c r="P574" s="2" t="s">
        <v>175</v>
      </c>
      <c r="Q574" s="2" t="s">
        <v>8445</v>
      </c>
      <c r="R574" s="2" t="s">
        <v>30</v>
      </c>
    </row>
    <row r="575" spans="1:18">
      <c r="A575" s="1">
        <v>45108</v>
      </c>
      <c r="B575" s="1">
        <v>45108</v>
      </c>
      <c r="C575">
        <v>2023</v>
      </c>
      <c r="D575">
        <v>7</v>
      </c>
      <c r="E575" s="2" t="s">
        <v>8446</v>
      </c>
      <c r="F575" s="2" t="s">
        <v>8447</v>
      </c>
      <c r="G575" s="2" t="s">
        <v>8335</v>
      </c>
      <c r="H575" s="2" t="s">
        <v>22</v>
      </c>
      <c r="I575" s="2" t="s">
        <v>8387</v>
      </c>
      <c r="J575" s="2" t="s">
        <v>59</v>
      </c>
      <c r="K575">
        <v>2.57</v>
      </c>
      <c r="L575">
        <v>257000</v>
      </c>
      <c r="M575" s="2" t="s">
        <v>8384</v>
      </c>
      <c r="N575" s="2" t="s">
        <v>8389</v>
      </c>
      <c r="O575" s="2" t="s">
        <v>8826</v>
      </c>
      <c r="P575" s="2" t="s">
        <v>175</v>
      </c>
      <c r="Q575" s="2" t="s">
        <v>8445</v>
      </c>
      <c r="R575" s="2" t="s">
        <v>30</v>
      </c>
    </row>
    <row r="576" spans="1:18">
      <c r="A576" s="1">
        <v>45108</v>
      </c>
      <c r="B576" s="1">
        <v>45108</v>
      </c>
      <c r="C576">
        <v>2023</v>
      </c>
      <c r="D576">
        <v>7</v>
      </c>
      <c r="E576" s="2" t="s">
        <v>8448</v>
      </c>
      <c r="F576" s="2" t="s">
        <v>8449</v>
      </c>
      <c r="G576" s="2" t="s">
        <v>8335</v>
      </c>
      <c r="H576" s="2" t="s">
        <v>22</v>
      </c>
      <c r="I576" s="2" t="s">
        <v>8387</v>
      </c>
      <c r="J576" s="2" t="s">
        <v>24</v>
      </c>
      <c r="K576">
        <v>0.36</v>
      </c>
      <c r="L576">
        <v>36000</v>
      </c>
      <c r="M576" s="2" t="s">
        <v>8399</v>
      </c>
      <c r="N576" s="2" t="s">
        <v>8403</v>
      </c>
      <c r="O576" s="2" t="s">
        <v>3657</v>
      </c>
      <c r="P576" s="2" t="s">
        <v>175</v>
      </c>
      <c r="Q576" s="2" t="s">
        <v>8445</v>
      </c>
      <c r="R576" s="2" t="s">
        <v>30</v>
      </c>
    </row>
    <row r="577" spans="1:18">
      <c r="A577" s="1">
        <v>45108</v>
      </c>
      <c r="B577" s="1">
        <v>45108</v>
      </c>
      <c r="C577">
        <v>2023</v>
      </c>
      <c r="D577">
        <v>7</v>
      </c>
      <c r="E577" s="2" t="s">
        <v>8450</v>
      </c>
      <c r="F577" s="2" t="s">
        <v>8451</v>
      </c>
      <c r="G577" s="2" t="s">
        <v>8335</v>
      </c>
      <c r="H577" s="2" t="s">
        <v>22</v>
      </c>
      <c r="I577" s="2" t="s">
        <v>8417</v>
      </c>
      <c r="J577" s="2" t="s">
        <v>24</v>
      </c>
      <c r="K577">
        <v>58.06</v>
      </c>
      <c r="L577">
        <v>5806000</v>
      </c>
      <c r="M577" s="2" t="s">
        <v>8422</v>
      </c>
      <c r="N577" s="2" t="s">
        <v>8426</v>
      </c>
      <c r="O577" s="2" t="s">
        <v>8899</v>
      </c>
      <c r="P577" s="2" t="s">
        <v>175</v>
      </c>
      <c r="Q577" s="2" t="s">
        <v>8445</v>
      </c>
      <c r="R577" s="2" t="s">
        <v>30</v>
      </c>
    </row>
    <row r="578" spans="1:18">
      <c r="A578" s="1">
        <v>45108</v>
      </c>
      <c r="B578" s="1">
        <v>45108</v>
      </c>
      <c r="C578">
        <v>2023</v>
      </c>
      <c r="D578">
        <v>7</v>
      </c>
      <c r="E578" s="2" t="s">
        <v>8453</v>
      </c>
      <c r="F578" s="2" t="s">
        <v>8454</v>
      </c>
      <c r="G578" s="2" t="s">
        <v>8335</v>
      </c>
      <c r="H578" s="2" t="s">
        <v>22</v>
      </c>
      <c r="I578" s="2" t="s">
        <v>8336</v>
      </c>
      <c r="J578" s="2" t="s">
        <v>24</v>
      </c>
      <c r="K578">
        <v>898.73</v>
      </c>
      <c r="L578">
        <v>89873000</v>
      </c>
      <c r="M578" s="2" t="s">
        <v>8348</v>
      </c>
      <c r="N578" s="2" t="s">
        <v>8352</v>
      </c>
      <c r="O578" s="2" t="s">
        <v>8900</v>
      </c>
      <c r="P578" s="2" t="s">
        <v>175</v>
      </c>
      <c r="Q578" s="2" t="s">
        <v>8445</v>
      </c>
      <c r="R578" s="2" t="s">
        <v>30</v>
      </c>
    </row>
    <row r="579" spans="1:18">
      <c r="A579" s="1">
        <v>45108</v>
      </c>
      <c r="B579" s="1">
        <v>45108</v>
      </c>
      <c r="C579">
        <v>2023</v>
      </c>
      <c r="D579">
        <v>7</v>
      </c>
      <c r="E579" s="2" t="s">
        <v>8456</v>
      </c>
      <c r="F579" s="2" t="s">
        <v>8457</v>
      </c>
      <c r="G579" s="2" t="s">
        <v>8335</v>
      </c>
      <c r="H579" s="2" t="s">
        <v>22</v>
      </c>
      <c r="I579" s="2" t="s">
        <v>8336</v>
      </c>
      <c r="J579" s="2" t="s">
        <v>24</v>
      </c>
      <c r="K579">
        <v>9707.41</v>
      </c>
      <c r="L579">
        <v>970741000</v>
      </c>
      <c r="M579" s="2" t="s">
        <v>8355</v>
      </c>
      <c r="N579" s="2" t="s">
        <v>8359</v>
      </c>
      <c r="O579" s="2" t="s">
        <v>8901</v>
      </c>
      <c r="P579" s="2" t="s">
        <v>175</v>
      </c>
      <c r="Q579" s="2" t="s">
        <v>8445</v>
      </c>
      <c r="R579" s="2" t="s">
        <v>30</v>
      </c>
    </row>
    <row r="580" spans="1:18">
      <c r="A580" s="1">
        <v>45108</v>
      </c>
      <c r="B580" s="1">
        <v>45108</v>
      </c>
      <c r="C580">
        <v>2023</v>
      </c>
      <c r="D580">
        <v>7</v>
      </c>
      <c r="E580" s="2" t="s">
        <v>8459</v>
      </c>
      <c r="F580" s="2" t="s">
        <v>8460</v>
      </c>
      <c r="G580" s="2" t="s">
        <v>8335</v>
      </c>
      <c r="H580" s="2" t="s">
        <v>22</v>
      </c>
      <c r="I580" s="2" t="s">
        <v>8336</v>
      </c>
      <c r="J580" s="2" t="s">
        <v>59</v>
      </c>
      <c r="K580">
        <v>10606.14</v>
      </c>
      <c r="L580">
        <v>1060614000</v>
      </c>
      <c r="M580" s="2" t="s">
        <v>8331</v>
      </c>
      <c r="N580" s="2" t="s">
        <v>8341</v>
      </c>
      <c r="O580" s="2" t="s">
        <v>8902</v>
      </c>
      <c r="P580" s="2" t="s">
        <v>175</v>
      </c>
      <c r="Q580" s="2" t="s">
        <v>8445</v>
      </c>
      <c r="R580" s="2" t="s">
        <v>30</v>
      </c>
    </row>
    <row r="581" spans="1:18">
      <c r="A581" s="1">
        <v>45108</v>
      </c>
      <c r="B581" s="1">
        <v>45108</v>
      </c>
      <c r="C581">
        <v>2023</v>
      </c>
      <c r="D581">
        <v>7</v>
      </c>
      <c r="E581" s="2" t="s">
        <v>8462</v>
      </c>
      <c r="F581" s="2" t="s">
        <v>8463</v>
      </c>
      <c r="G581" s="2" t="s">
        <v>8335</v>
      </c>
      <c r="H581" s="2" t="s">
        <v>22</v>
      </c>
      <c r="I581" s="2" t="s">
        <v>8409</v>
      </c>
      <c r="J581" s="2" t="s">
        <v>24</v>
      </c>
      <c r="K581">
        <v>15.37</v>
      </c>
      <c r="L581">
        <v>1537000</v>
      </c>
      <c r="M581" s="2" t="s">
        <v>8406</v>
      </c>
      <c r="N581" s="2" t="s">
        <v>8411</v>
      </c>
      <c r="O581" s="2" t="s">
        <v>8903</v>
      </c>
      <c r="P581" s="2" t="s">
        <v>175</v>
      </c>
      <c r="Q581" s="2" t="s">
        <v>8445</v>
      </c>
      <c r="R581" s="2" t="s">
        <v>30</v>
      </c>
    </row>
    <row r="582" spans="1:18">
      <c r="A582" s="1">
        <v>45108</v>
      </c>
      <c r="B582" s="1">
        <v>45108</v>
      </c>
      <c r="C582">
        <v>2023</v>
      </c>
      <c r="D582">
        <v>7</v>
      </c>
      <c r="E582" s="2" t="s">
        <v>8464</v>
      </c>
      <c r="F582" s="2" t="s">
        <v>8465</v>
      </c>
      <c r="G582" s="2" t="s">
        <v>8335</v>
      </c>
      <c r="H582" s="2" t="s">
        <v>22</v>
      </c>
      <c r="I582" s="2" t="s">
        <v>8417</v>
      </c>
      <c r="J582" s="2" t="s">
        <v>24</v>
      </c>
      <c r="K582">
        <v>81.23</v>
      </c>
      <c r="L582">
        <v>8123000</v>
      </c>
      <c r="M582" s="2" t="s">
        <v>8414</v>
      </c>
      <c r="N582" s="2" t="s">
        <v>8419</v>
      </c>
      <c r="O582" s="2" t="s">
        <v>8904</v>
      </c>
      <c r="P582" s="2" t="s">
        <v>175</v>
      </c>
      <c r="Q582" s="2" t="s">
        <v>8445</v>
      </c>
      <c r="R582" s="2" t="s">
        <v>30</v>
      </c>
    </row>
    <row r="583" spans="1:18">
      <c r="A583" s="1">
        <v>45108</v>
      </c>
      <c r="B583" s="1">
        <v>45108</v>
      </c>
      <c r="C583">
        <v>2023</v>
      </c>
      <c r="D583">
        <v>7</v>
      </c>
      <c r="E583" s="2" t="s">
        <v>8467</v>
      </c>
      <c r="F583" s="2" t="s">
        <v>8468</v>
      </c>
      <c r="G583" s="2" t="s">
        <v>8335</v>
      </c>
      <c r="H583" s="2" t="s">
        <v>22</v>
      </c>
      <c r="I583" s="2" t="s">
        <v>8365</v>
      </c>
      <c r="J583" s="2" t="s">
        <v>24</v>
      </c>
      <c r="K583">
        <v>2968.51</v>
      </c>
      <c r="L583">
        <v>296851000</v>
      </c>
      <c r="M583" s="2" t="s">
        <v>8377</v>
      </c>
      <c r="N583" s="2" t="s">
        <v>8381</v>
      </c>
      <c r="O583" s="2" t="s">
        <v>8905</v>
      </c>
      <c r="P583" s="2" t="s">
        <v>175</v>
      </c>
      <c r="Q583" s="2" t="s">
        <v>8445</v>
      </c>
      <c r="R583" s="2" t="s">
        <v>30</v>
      </c>
    </row>
    <row r="584" spans="1:18">
      <c r="A584" s="1">
        <v>45108</v>
      </c>
      <c r="B584" s="1">
        <v>45108</v>
      </c>
      <c r="C584">
        <v>2023</v>
      </c>
      <c r="D584">
        <v>7</v>
      </c>
      <c r="E584" s="2" t="s">
        <v>8470</v>
      </c>
      <c r="F584" s="2" t="s">
        <v>8471</v>
      </c>
      <c r="G584" s="2" t="s">
        <v>8335</v>
      </c>
      <c r="H584" s="2" t="s">
        <v>22</v>
      </c>
      <c r="I584" s="2" t="s">
        <v>8365</v>
      </c>
      <c r="J584" s="2" t="s">
        <v>59</v>
      </c>
      <c r="K584">
        <v>16646.89</v>
      </c>
      <c r="L584">
        <v>1664689000</v>
      </c>
      <c r="M584" s="2" t="s">
        <v>8362</v>
      </c>
      <c r="N584" s="2" t="s">
        <v>8367</v>
      </c>
      <c r="O584" s="2" t="s">
        <v>8906</v>
      </c>
      <c r="P584" s="2" t="s">
        <v>175</v>
      </c>
      <c r="Q584" s="2" t="s">
        <v>8445</v>
      </c>
      <c r="R584" s="2" t="s">
        <v>30</v>
      </c>
    </row>
    <row r="585" spans="1:18">
      <c r="A585" s="1">
        <v>45108</v>
      </c>
      <c r="B585" s="1">
        <v>45108</v>
      </c>
      <c r="C585">
        <v>2023</v>
      </c>
      <c r="D585">
        <v>7</v>
      </c>
      <c r="E585" s="2" t="s">
        <v>8473</v>
      </c>
      <c r="F585" s="2" t="s">
        <v>8474</v>
      </c>
      <c r="G585" s="2" t="s">
        <v>8335</v>
      </c>
      <c r="H585" s="2" t="s">
        <v>22</v>
      </c>
      <c r="I585" s="2" t="s">
        <v>8365</v>
      </c>
      <c r="J585" s="2" t="s">
        <v>24</v>
      </c>
      <c r="K585">
        <v>13678.38</v>
      </c>
      <c r="L585">
        <v>1367838000</v>
      </c>
      <c r="M585" s="2" t="s">
        <v>8370</v>
      </c>
      <c r="N585" s="2" t="s">
        <v>8374</v>
      </c>
      <c r="O585" s="2" t="s">
        <v>8907</v>
      </c>
      <c r="P585" s="2" t="s">
        <v>175</v>
      </c>
      <c r="Q585" s="2" t="s">
        <v>8445</v>
      </c>
      <c r="R585" s="2" t="s">
        <v>30</v>
      </c>
    </row>
    <row r="586" spans="1:18">
      <c r="A586" s="1">
        <v>45108</v>
      </c>
      <c r="B586" s="1">
        <v>45108</v>
      </c>
      <c r="C586">
        <v>2023</v>
      </c>
      <c r="D586">
        <v>7</v>
      </c>
      <c r="E586" s="2" t="s">
        <v>7890</v>
      </c>
      <c r="F586" s="2" t="s">
        <v>7891</v>
      </c>
      <c r="G586" s="2" t="s">
        <v>8335</v>
      </c>
      <c r="H586" s="2" t="s">
        <v>22</v>
      </c>
      <c r="I586" s="2" t="s">
        <v>8417</v>
      </c>
      <c r="J586" s="2" t="s">
        <v>24</v>
      </c>
      <c r="K586">
        <v>2807.25</v>
      </c>
      <c r="L586">
        <v>280725000</v>
      </c>
      <c r="M586" s="2" t="s">
        <v>7889</v>
      </c>
      <c r="N586" s="2" t="s">
        <v>7911</v>
      </c>
      <c r="O586" s="2" t="s">
        <v>8908</v>
      </c>
      <c r="P586" s="2" t="s">
        <v>175</v>
      </c>
      <c r="Q586" s="2" t="s">
        <v>8445</v>
      </c>
      <c r="R586" s="2" t="s">
        <v>30</v>
      </c>
    </row>
    <row r="587" spans="1:18">
      <c r="A587" s="1">
        <v>45139</v>
      </c>
      <c r="B587" s="1">
        <v>45139</v>
      </c>
      <c r="C587">
        <v>2023</v>
      </c>
      <c r="D587">
        <v>8</v>
      </c>
      <c r="E587" s="2" t="s">
        <v>8443</v>
      </c>
      <c r="F587" s="2" t="s">
        <v>8444</v>
      </c>
      <c r="G587" s="2" t="s">
        <v>8335</v>
      </c>
      <c r="H587" s="2" t="s">
        <v>22</v>
      </c>
      <c r="I587" s="2" t="s">
        <v>8387</v>
      </c>
      <c r="J587" s="2" t="s">
        <v>24</v>
      </c>
      <c r="K587">
        <v>2.23</v>
      </c>
      <c r="L587">
        <v>223000</v>
      </c>
      <c r="M587" s="2" t="s">
        <v>8392</v>
      </c>
      <c r="N587" s="2" t="s">
        <v>8396</v>
      </c>
      <c r="O587" s="2" t="s">
        <v>1041</v>
      </c>
      <c r="P587" s="2" t="s">
        <v>175</v>
      </c>
      <c r="Q587" s="2" t="s">
        <v>8445</v>
      </c>
      <c r="R587" s="2" t="s">
        <v>30</v>
      </c>
    </row>
    <row r="588" spans="1:18">
      <c r="A588" s="1">
        <v>45139</v>
      </c>
      <c r="B588" s="1">
        <v>45139</v>
      </c>
      <c r="C588">
        <v>2023</v>
      </c>
      <c r="D588">
        <v>8</v>
      </c>
      <c r="E588" s="2" t="s">
        <v>8446</v>
      </c>
      <c r="F588" s="2" t="s">
        <v>8447</v>
      </c>
      <c r="G588" s="2" t="s">
        <v>8335</v>
      </c>
      <c r="H588" s="2" t="s">
        <v>22</v>
      </c>
      <c r="I588" s="2" t="s">
        <v>8387</v>
      </c>
      <c r="J588" s="2" t="s">
        <v>59</v>
      </c>
      <c r="K588">
        <v>2.58</v>
      </c>
      <c r="L588">
        <v>258000</v>
      </c>
      <c r="M588" s="2" t="s">
        <v>8384</v>
      </c>
      <c r="N588" s="2" t="s">
        <v>8389</v>
      </c>
      <c r="O588" s="2" t="s">
        <v>8837</v>
      </c>
      <c r="P588" s="2" t="s">
        <v>175</v>
      </c>
      <c r="Q588" s="2" t="s">
        <v>8445</v>
      </c>
      <c r="R588" s="2" t="s">
        <v>30</v>
      </c>
    </row>
    <row r="589" spans="1:18">
      <c r="A589" s="1">
        <v>45139</v>
      </c>
      <c r="B589" s="1">
        <v>45139</v>
      </c>
      <c r="C589">
        <v>2023</v>
      </c>
      <c r="D589">
        <v>8</v>
      </c>
      <c r="E589" s="2" t="s">
        <v>8448</v>
      </c>
      <c r="F589" s="2" t="s">
        <v>8449</v>
      </c>
      <c r="G589" s="2" t="s">
        <v>8335</v>
      </c>
      <c r="H589" s="2" t="s">
        <v>22</v>
      </c>
      <c r="I589" s="2" t="s">
        <v>8387</v>
      </c>
      <c r="J589" s="2" t="s">
        <v>24</v>
      </c>
      <c r="K589">
        <v>0.35</v>
      </c>
      <c r="L589">
        <v>35000</v>
      </c>
      <c r="M589" s="2" t="s">
        <v>8399</v>
      </c>
      <c r="N589" s="2" t="s">
        <v>8403</v>
      </c>
      <c r="O589" s="2" t="s">
        <v>4029</v>
      </c>
      <c r="P589" s="2" t="s">
        <v>175</v>
      </c>
      <c r="Q589" s="2" t="s">
        <v>8445</v>
      </c>
      <c r="R589" s="2" t="s">
        <v>30</v>
      </c>
    </row>
    <row r="590" spans="1:18">
      <c r="A590" s="1">
        <v>45139</v>
      </c>
      <c r="B590" s="1">
        <v>45139</v>
      </c>
      <c r="C590">
        <v>2023</v>
      </c>
      <c r="D590">
        <v>8</v>
      </c>
      <c r="E590" s="2" t="s">
        <v>8450</v>
      </c>
      <c r="F590" s="2" t="s">
        <v>8451</v>
      </c>
      <c r="G590" s="2" t="s">
        <v>8335</v>
      </c>
      <c r="H590" s="2" t="s">
        <v>22</v>
      </c>
      <c r="I590" s="2" t="s">
        <v>8417</v>
      </c>
      <c r="J590" s="2" t="s">
        <v>24</v>
      </c>
      <c r="K590">
        <v>58.99</v>
      </c>
      <c r="L590">
        <v>5899000</v>
      </c>
      <c r="M590" s="2" t="s">
        <v>8422</v>
      </c>
      <c r="N590" s="2" t="s">
        <v>8426</v>
      </c>
      <c r="O590" s="2" t="s">
        <v>8909</v>
      </c>
      <c r="P590" s="2" t="s">
        <v>175</v>
      </c>
      <c r="Q590" s="2" t="s">
        <v>8445</v>
      </c>
      <c r="R590" s="2" t="s">
        <v>30</v>
      </c>
    </row>
    <row r="591" spans="1:18">
      <c r="A591" s="1">
        <v>45139</v>
      </c>
      <c r="B591" s="1">
        <v>45139</v>
      </c>
      <c r="C591">
        <v>2023</v>
      </c>
      <c r="D591">
        <v>8</v>
      </c>
      <c r="E591" s="2" t="s">
        <v>8453</v>
      </c>
      <c r="F591" s="2" t="s">
        <v>8454</v>
      </c>
      <c r="G591" s="2" t="s">
        <v>8335</v>
      </c>
      <c r="H591" s="2" t="s">
        <v>22</v>
      </c>
      <c r="I591" s="2" t="s">
        <v>8336</v>
      </c>
      <c r="J591" s="2" t="s">
        <v>24</v>
      </c>
      <c r="K591">
        <v>912.78</v>
      </c>
      <c r="L591">
        <v>91278000</v>
      </c>
      <c r="M591" s="2" t="s">
        <v>8348</v>
      </c>
      <c r="N591" s="2" t="s">
        <v>8352</v>
      </c>
      <c r="O591" s="2" t="s">
        <v>8910</v>
      </c>
      <c r="P591" s="2" t="s">
        <v>175</v>
      </c>
      <c r="Q591" s="2" t="s">
        <v>8445</v>
      </c>
      <c r="R591" s="2" t="s">
        <v>30</v>
      </c>
    </row>
    <row r="592" spans="1:18">
      <c r="A592" s="1">
        <v>45139</v>
      </c>
      <c r="B592" s="1">
        <v>45139</v>
      </c>
      <c r="C592">
        <v>2023</v>
      </c>
      <c r="D592">
        <v>8</v>
      </c>
      <c r="E592" s="2" t="s">
        <v>8456</v>
      </c>
      <c r="F592" s="2" t="s">
        <v>8457</v>
      </c>
      <c r="G592" s="2" t="s">
        <v>8335</v>
      </c>
      <c r="H592" s="2" t="s">
        <v>22</v>
      </c>
      <c r="I592" s="2" t="s">
        <v>8336</v>
      </c>
      <c r="J592" s="2" t="s">
        <v>24</v>
      </c>
      <c r="K592">
        <v>9780.57</v>
      </c>
      <c r="L592">
        <v>978057000</v>
      </c>
      <c r="M592" s="2" t="s">
        <v>8355</v>
      </c>
      <c r="N592" s="2" t="s">
        <v>8359</v>
      </c>
      <c r="O592" s="2" t="s">
        <v>8911</v>
      </c>
      <c r="P592" s="2" t="s">
        <v>175</v>
      </c>
      <c r="Q592" s="2" t="s">
        <v>8445</v>
      </c>
      <c r="R592" s="2" t="s">
        <v>30</v>
      </c>
    </row>
    <row r="593" spans="1:18">
      <c r="A593" s="1">
        <v>45139</v>
      </c>
      <c r="B593" s="1">
        <v>45139</v>
      </c>
      <c r="C593">
        <v>2023</v>
      </c>
      <c r="D593">
        <v>8</v>
      </c>
      <c r="E593" s="2" t="s">
        <v>8459</v>
      </c>
      <c r="F593" s="2" t="s">
        <v>8460</v>
      </c>
      <c r="G593" s="2" t="s">
        <v>8335</v>
      </c>
      <c r="H593" s="2" t="s">
        <v>22</v>
      </c>
      <c r="I593" s="2" t="s">
        <v>8336</v>
      </c>
      <c r="J593" s="2" t="s">
        <v>59</v>
      </c>
      <c r="K593">
        <v>10693.35</v>
      </c>
      <c r="L593">
        <v>1069335000</v>
      </c>
      <c r="M593" s="2" t="s">
        <v>8331</v>
      </c>
      <c r="N593" s="2" t="s">
        <v>8341</v>
      </c>
      <c r="O593" s="2" t="s">
        <v>8912</v>
      </c>
      <c r="P593" s="2" t="s">
        <v>175</v>
      </c>
      <c r="Q593" s="2" t="s">
        <v>8445</v>
      </c>
      <c r="R593" s="2" t="s">
        <v>30</v>
      </c>
    </row>
    <row r="594" spans="1:18">
      <c r="A594" s="1">
        <v>45139</v>
      </c>
      <c r="B594" s="1">
        <v>45139</v>
      </c>
      <c r="C594">
        <v>2023</v>
      </c>
      <c r="D594">
        <v>8</v>
      </c>
      <c r="E594" s="2" t="s">
        <v>8462</v>
      </c>
      <c r="F594" s="2" t="s">
        <v>8463</v>
      </c>
      <c r="G594" s="2" t="s">
        <v>8335</v>
      </c>
      <c r="H594" s="2" t="s">
        <v>22</v>
      </c>
      <c r="I594" s="2" t="s">
        <v>8409</v>
      </c>
      <c r="J594" s="2" t="s">
        <v>24</v>
      </c>
      <c r="K594">
        <v>15.29</v>
      </c>
      <c r="L594">
        <v>1529000</v>
      </c>
      <c r="M594" s="2" t="s">
        <v>8406</v>
      </c>
      <c r="N594" s="2" t="s">
        <v>8411</v>
      </c>
      <c r="O594" s="2" t="s">
        <v>1224</v>
      </c>
      <c r="P594" s="2" t="s">
        <v>175</v>
      </c>
      <c r="Q594" s="2" t="s">
        <v>8445</v>
      </c>
      <c r="R594" s="2" t="s">
        <v>30</v>
      </c>
    </row>
    <row r="595" spans="1:18">
      <c r="A595" s="1">
        <v>45139</v>
      </c>
      <c r="B595" s="1">
        <v>45139</v>
      </c>
      <c r="C595">
        <v>2023</v>
      </c>
      <c r="D595">
        <v>8</v>
      </c>
      <c r="E595" s="2" t="s">
        <v>8464</v>
      </c>
      <c r="F595" s="2" t="s">
        <v>8465</v>
      </c>
      <c r="G595" s="2" t="s">
        <v>8335</v>
      </c>
      <c r="H595" s="2" t="s">
        <v>22</v>
      </c>
      <c r="I595" s="2" t="s">
        <v>8417</v>
      </c>
      <c r="J595" s="2" t="s">
        <v>24</v>
      </c>
      <c r="K595">
        <v>82.47</v>
      </c>
      <c r="L595">
        <v>8247000</v>
      </c>
      <c r="M595" s="2" t="s">
        <v>8414</v>
      </c>
      <c r="N595" s="2" t="s">
        <v>8419</v>
      </c>
      <c r="O595" s="2" t="s">
        <v>8913</v>
      </c>
      <c r="P595" s="2" t="s">
        <v>175</v>
      </c>
      <c r="Q595" s="2" t="s">
        <v>8445</v>
      </c>
      <c r="R595" s="2" t="s">
        <v>30</v>
      </c>
    </row>
    <row r="596" spans="1:18">
      <c r="A596" s="1">
        <v>45139</v>
      </c>
      <c r="B596" s="1">
        <v>45139</v>
      </c>
      <c r="C596">
        <v>2023</v>
      </c>
      <c r="D596">
        <v>8</v>
      </c>
      <c r="E596" s="2" t="s">
        <v>8467</v>
      </c>
      <c r="F596" s="2" t="s">
        <v>8468</v>
      </c>
      <c r="G596" s="2" t="s">
        <v>8335</v>
      </c>
      <c r="H596" s="2" t="s">
        <v>22</v>
      </c>
      <c r="I596" s="2" t="s">
        <v>8365</v>
      </c>
      <c r="J596" s="2" t="s">
        <v>24</v>
      </c>
      <c r="K596">
        <v>3141.84</v>
      </c>
      <c r="L596">
        <v>314184000</v>
      </c>
      <c r="M596" s="2" t="s">
        <v>8377</v>
      </c>
      <c r="N596" s="2" t="s">
        <v>8381</v>
      </c>
      <c r="O596" s="2" t="s">
        <v>8914</v>
      </c>
      <c r="P596" s="2" t="s">
        <v>175</v>
      </c>
      <c r="Q596" s="2" t="s">
        <v>8445</v>
      </c>
      <c r="R596" s="2" t="s">
        <v>30</v>
      </c>
    </row>
    <row r="597" spans="1:18">
      <c r="A597" s="1">
        <v>45139</v>
      </c>
      <c r="B597" s="1">
        <v>45139</v>
      </c>
      <c r="C597">
        <v>2023</v>
      </c>
      <c r="D597">
        <v>8</v>
      </c>
      <c r="E597" s="2" t="s">
        <v>8470</v>
      </c>
      <c r="F597" s="2" t="s">
        <v>8471</v>
      </c>
      <c r="G597" s="2" t="s">
        <v>8335</v>
      </c>
      <c r="H597" s="2" t="s">
        <v>22</v>
      </c>
      <c r="I597" s="2" t="s">
        <v>8365</v>
      </c>
      <c r="J597" s="2" t="s">
        <v>59</v>
      </c>
      <c r="K597">
        <v>16625.740000000002</v>
      </c>
      <c r="L597">
        <v>1662574000</v>
      </c>
      <c r="M597" s="2" t="s">
        <v>8362</v>
      </c>
      <c r="N597" s="2" t="s">
        <v>8367</v>
      </c>
      <c r="O597" s="2" t="s">
        <v>8915</v>
      </c>
      <c r="P597" s="2" t="s">
        <v>175</v>
      </c>
      <c r="Q597" s="2" t="s">
        <v>8445</v>
      </c>
      <c r="R597" s="2" t="s">
        <v>30</v>
      </c>
    </row>
    <row r="598" spans="1:18">
      <c r="A598" s="1">
        <v>45139</v>
      </c>
      <c r="B598" s="1">
        <v>45139</v>
      </c>
      <c r="C598">
        <v>2023</v>
      </c>
      <c r="D598">
        <v>8</v>
      </c>
      <c r="E598" s="2" t="s">
        <v>8473</v>
      </c>
      <c r="F598" s="2" t="s">
        <v>8474</v>
      </c>
      <c r="G598" s="2" t="s">
        <v>8335</v>
      </c>
      <c r="H598" s="2" t="s">
        <v>22</v>
      </c>
      <c r="I598" s="2" t="s">
        <v>8365</v>
      </c>
      <c r="J598" s="2" t="s">
        <v>24</v>
      </c>
      <c r="K598">
        <v>13483.91</v>
      </c>
      <c r="L598">
        <v>1348391000</v>
      </c>
      <c r="M598" s="2" t="s">
        <v>8370</v>
      </c>
      <c r="N598" s="2" t="s">
        <v>8374</v>
      </c>
      <c r="O598" s="2" t="s">
        <v>8916</v>
      </c>
      <c r="P598" s="2" t="s">
        <v>175</v>
      </c>
      <c r="Q598" s="2" t="s">
        <v>8445</v>
      </c>
      <c r="R598" s="2" t="s">
        <v>30</v>
      </c>
    </row>
    <row r="599" spans="1:18">
      <c r="A599" s="1">
        <v>45139</v>
      </c>
      <c r="B599" s="1">
        <v>45139</v>
      </c>
      <c r="C599">
        <v>2023</v>
      </c>
      <c r="D599">
        <v>8</v>
      </c>
      <c r="E599" s="2" t="s">
        <v>7890</v>
      </c>
      <c r="F599" s="2" t="s">
        <v>7891</v>
      </c>
      <c r="G599" s="2" t="s">
        <v>8335</v>
      </c>
      <c r="H599" s="2" t="s">
        <v>22</v>
      </c>
      <c r="I599" s="2" t="s">
        <v>8417</v>
      </c>
      <c r="J599" s="2" t="s">
        <v>24</v>
      </c>
      <c r="K599">
        <v>2881.64</v>
      </c>
      <c r="L599">
        <v>288164000</v>
      </c>
      <c r="M599" s="2" t="s">
        <v>7889</v>
      </c>
      <c r="N599" s="2" t="s">
        <v>7911</v>
      </c>
      <c r="O599" s="2" t="s">
        <v>8917</v>
      </c>
      <c r="P599" s="2" t="s">
        <v>175</v>
      </c>
      <c r="Q599" s="2" t="s">
        <v>8445</v>
      </c>
      <c r="R599" s="2" t="s">
        <v>30</v>
      </c>
    </row>
    <row r="600" spans="1:18">
      <c r="A600" s="1">
        <v>45170</v>
      </c>
      <c r="B600" s="1">
        <v>45170</v>
      </c>
      <c r="C600">
        <v>2023</v>
      </c>
      <c r="D600">
        <v>9</v>
      </c>
      <c r="E600" s="2" t="s">
        <v>8443</v>
      </c>
      <c r="F600" s="2" t="s">
        <v>8444</v>
      </c>
      <c r="G600" s="2" t="s">
        <v>8335</v>
      </c>
      <c r="H600" s="2" t="s">
        <v>22</v>
      </c>
      <c r="I600" s="2" t="s">
        <v>8387</v>
      </c>
      <c r="J600" s="2" t="s">
        <v>24</v>
      </c>
      <c r="K600">
        <v>2.23</v>
      </c>
      <c r="L600">
        <v>223000</v>
      </c>
      <c r="M600" s="2" t="s">
        <v>8392</v>
      </c>
      <c r="N600" s="2" t="s">
        <v>8396</v>
      </c>
      <c r="O600" s="2" t="s">
        <v>1041</v>
      </c>
      <c r="P600" s="2" t="s">
        <v>175</v>
      </c>
      <c r="Q600" s="2" t="s">
        <v>8445</v>
      </c>
      <c r="R600" s="2" t="s">
        <v>30</v>
      </c>
    </row>
    <row r="601" spans="1:18">
      <c r="A601" s="1">
        <v>45170</v>
      </c>
      <c r="B601" s="1">
        <v>45170</v>
      </c>
      <c r="C601">
        <v>2023</v>
      </c>
      <c r="D601">
        <v>9</v>
      </c>
      <c r="E601" s="2" t="s">
        <v>8446</v>
      </c>
      <c r="F601" s="2" t="s">
        <v>8447</v>
      </c>
      <c r="G601" s="2" t="s">
        <v>8335</v>
      </c>
      <c r="H601" s="2" t="s">
        <v>22</v>
      </c>
      <c r="I601" s="2" t="s">
        <v>8387</v>
      </c>
      <c r="J601" s="2" t="s">
        <v>59</v>
      </c>
      <c r="K601">
        <v>2.58</v>
      </c>
      <c r="L601">
        <v>258000</v>
      </c>
      <c r="M601" s="2" t="s">
        <v>8384</v>
      </c>
      <c r="N601" s="2" t="s">
        <v>8389</v>
      </c>
      <c r="O601" s="2" t="s">
        <v>8837</v>
      </c>
      <c r="P601" s="2" t="s">
        <v>175</v>
      </c>
      <c r="Q601" s="2" t="s">
        <v>8445</v>
      </c>
      <c r="R601" s="2" t="s">
        <v>30</v>
      </c>
    </row>
    <row r="602" spans="1:18">
      <c r="A602" s="1">
        <v>45170</v>
      </c>
      <c r="B602" s="1">
        <v>45170</v>
      </c>
      <c r="C602">
        <v>2023</v>
      </c>
      <c r="D602">
        <v>9</v>
      </c>
      <c r="E602" s="2" t="s">
        <v>8448</v>
      </c>
      <c r="F602" s="2" t="s">
        <v>8449</v>
      </c>
      <c r="G602" s="2" t="s">
        <v>8335</v>
      </c>
      <c r="H602" s="2" t="s">
        <v>22</v>
      </c>
      <c r="I602" s="2" t="s">
        <v>8387</v>
      </c>
      <c r="J602" s="2" t="s">
        <v>24</v>
      </c>
      <c r="K602">
        <v>0.35</v>
      </c>
      <c r="L602">
        <v>35000</v>
      </c>
      <c r="M602" s="2" t="s">
        <v>8399</v>
      </c>
      <c r="N602" s="2" t="s">
        <v>8403</v>
      </c>
      <c r="O602" s="2" t="s">
        <v>4029</v>
      </c>
      <c r="P602" s="2" t="s">
        <v>175</v>
      </c>
      <c r="Q602" s="2" t="s">
        <v>8445</v>
      </c>
      <c r="R602" s="2" t="s">
        <v>30</v>
      </c>
    </row>
    <row r="603" spans="1:18">
      <c r="A603" s="1">
        <v>45170</v>
      </c>
      <c r="B603" s="1">
        <v>45170</v>
      </c>
      <c r="C603">
        <v>2023</v>
      </c>
      <c r="D603">
        <v>9</v>
      </c>
      <c r="E603" s="2" t="s">
        <v>8450</v>
      </c>
      <c r="F603" s="2" t="s">
        <v>8451</v>
      </c>
      <c r="G603" s="2" t="s">
        <v>8335</v>
      </c>
      <c r="H603" s="2" t="s">
        <v>22</v>
      </c>
      <c r="I603" s="2" t="s">
        <v>8417</v>
      </c>
      <c r="J603" s="2" t="s">
        <v>24</v>
      </c>
      <c r="K603">
        <v>59.82</v>
      </c>
      <c r="L603">
        <v>5982000</v>
      </c>
      <c r="M603" s="2" t="s">
        <v>8422</v>
      </c>
      <c r="N603" s="2" t="s">
        <v>8426</v>
      </c>
      <c r="O603" s="2" t="s">
        <v>8918</v>
      </c>
      <c r="P603" s="2" t="s">
        <v>175</v>
      </c>
      <c r="Q603" s="2" t="s">
        <v>8445</v>
      </c>
      <c r="R603" s="2" t="s">
        <v>30</v>
      </c>
    </row>
    <row r="604" spans="1:18">
      <c r="A604" s="1">
        <v>45170</v>
      </c>
      <c r="B604" s="1">
        <v>45170</v>
      </c>
      <c r="C604">
        <v>2023</v>
      </c>
      <c r="D604">
        <v>9</v>
      </c>
      <c r="E604" s="2" t="s">
        <v>8453</v>
      </c>
      <c r="F604" s="2" t="s">
        <v>8454</v>
      </c>
      <c r="G604" s="2" t="s">
        <v>8335</v>
      </c>
      <c r="H604" s="2" t="s">
        <v>22</v>
      </c>
      <c r="I604" s="2" t="s">
        <v>8336</v>
      </c>
      <c r="J604" s="2" t="s">
        <v>24</v>
      </c>
      <c r="K604">
        <v>930.17</v>
      </c>
      <c r="L604">
        <v>93017000</v>
      </c>
      <c r="M604" s="2" t="s">
        <v>8348</v>
      </c>
      <c r="N604" s="2" t="s">
        <v>8352</v>
      </c>
      <c r="O604" s="2" t="s">
        <v>8919</v>
      </c>
      <c r="P604" s="2" t="s">
        <v>175</v>
      </c>
      <c r="Q604" s="2" t="s">
        <v>8445</v>
      </c>
      <c r="R604" s="2" t="s">
        <v>30</v>
      </c>
    </row>
    <row r="605" spans="1:18">
      <c r="A605" s="1">
        <v>45170</v>
      </c>
      <c r="B605" s="1">
        <v>45170</v>
      </c>
      <c r="C605">
        <v>2023</v>
      </c>
      <c r="D605">
        <v>9</v>
      </c>
      <c r="E605" s="2" t="s">
        <v>8456</v>
      </c>
      <c r="F605" s="2" t="s">
        <v>8457</v>
      </c>
      <c r="G605" s="2" t="s">
        <v>8335</v>
      </c>
      <c r="H605" s="2" t="s">
        <v>22</v>
      </c>
      <c r="I605" s="2" t="s">
        <v>8336</v>
      </c>
      <c r="J605" s="2" t="s">
        <v>24</v>
      </c>
      <c r="K605">
        <v>9782.86</v>
      </c>
      <c r="L605">
        <v>978286000</v>
      </c>
      <c r="M605" s="2" t="s">
        <v>8355</v>
      </c>
      <c r="N605" s="2" t="s">
        <v>8359</v>
      </c>
      <c r="O605" s="2" t="s">
        <v>8920</v>
      </c>
      <c r="P605" s="2" t="s">
        <v>175</v>
      </c>
      <c r="Q605" s="2" t="s">
        <v>8445</v>
      </c>
      <c r="R605" s="2" t="s">
        <v>30</v>
      </c>
    </row>
    <row r="606" spans="1:18">
      <c r="A606" s="1">
        <v>45170</v>
      </c>
      <c r="B606" s="1">
        <v>45170</v>
      </c>
      <c r="C606">
        <v>2023</v>
      </c>
      <c r="D606">
        <v>9</v>
      </c>
      <c r="E606" s="2" t="s">
        <v>8459</v>
      </c>
      <c r="F606" s="2" t="s">
        <v>8460</v>
      </c>
      <c r="G606" s="2" t="s">
        <v>8335</v>
      </c>
      <c r="H606" s="2" t="s">
        <v>22</v>
      </c>
      <c r="I606" s="2" t="s">
        <v>8336</v>
      </c>
      <c r="J606" s="2" t="s">
        <v>59</v>
      </c>
      <c r="K606">
        <v>10713.04</v>
      </c>
      <c r="L606">
        <v>1071304000</v>
      </c>
      <c r="M606" s="2" t="s">
        <v>8331</v>
      </c>
      <c r="N606" s="2" t="s">
        <v>8341</v>
      </c>
      <c r="O606" s="2" t="s">
        <v>8921</v>
      </c>
      <c r="P606" s="2" t="s">
        <v>175</v>
      </c>
      <c r="Q606" s="2" t="s">
        <v>8445</v>
      </c>
      <c r="R606" s="2" t="s">
        <v>30</v>
      </c>
    </row>
    <row r="607" spans="1:18">
      <c r="A607" s="1">
        <v>45170</v>
      </c>
      <c r="B607" s="1">
        <v>45170</v>
      </c>
      <c r="C607">
        <v>2023</v>
      </c>
      <c r="D607">
        <v>9</v>
      </c>
      <c r="E607" s="2" t="s">
        <v>8462</v>
      </c>
      <c r="F607" s="2" t="s">
        <v>8463</v>
      </c>
      <c r="G607" s="2" t="s">
        <v>8335</v>
      </c>
      <c r="H607" s="2" t="s">
        <v>22</v>
      </c>
      <c r="I607" s="2" t="s">
        <v>8409</v>
      </c>
      <c r="J607" s="2" t="s">
        <v>24</v>
      </c>
      <c r="K607">
        <v>14.87</v>
      </c>
      <c r="L607">
        <v>1487000</v>
      </c>
      <c r="M607" s="2" t="s">
        <v>8406</v>
      </c>
      <c r="N607" s="2" t="s">
        <v>8411</v>
      </c>
      <c r="O607" s="2" t="s">
        <v>8922</v>
      </c>
      <c r="P607" s="2" t="s">
        <v>175</v>
      </c>
      <c r="Q607" s="2" t="s">
        <v>8445</v>
      </c>
      <c r="R607" s="2" t="s">
        <v>30</v>
      </c>
    </row>
    <row r="608" spans="1:18">
      <c r="A608" s="1">
        <v>45170</v>
      </c>
      <c r="B608" s="1">
        <v>45170</v>
      </c>
      <c r="C608">
        <v>2023</v>
      </c>
      <c r="D608">
        <v>9</v>
      </c>
      <c r="E608" s="2" t="s">
        <v>8464</v>
      </c>
      <c r="F608" s="2" t="s">
        <v>8465</v>
      </c>
      <c r="G608" s="2" t="s">
        <v>8335</v>
      </c>
      <c r="H608" s="2" t="s">
        <v>22</v>
      </c>
      <c r="I608" s="2" t="s">
        <v>8417</v>
      </c>
      <c r="J608" s="2" t="s">
        <v>24</v>
      </c>
      <c r="K608">
        <v>83.03</v>
      </c>
      <c r="L608">
        <v>8303000</v>
      </c>
      <c r="M608" s="2" t="s">
        <v>8414</v>
      </c>
      <c r="N608" s="2" t="s">
        <v>8419</v>
      </c>
      <c r="O608" s="2" t="s">
        <v>8923</v>
      </c>
      <c r="P608" s="2" t="s">
        <v>175</v>
      </c>
      <c r="Q608" s="2" t="s">
        <v>8445</v>
      </c>
      <c r="R608" s="2" t="s">
        <v>30</v>
      </c>
    </row>
    <row r="609" spans="1:18">
      <c r="A609" s="1">
        <v>45170</v>
      </c>
      <c r="B609" s="1">
        <v>45170</v>
      </c>
      <c r="C609">
        <v>2023</v>
      </c>
      <c r="D609">
        <v>9</v>
      </c>
      <c r="E609" s="2" t="s">
        <v>8467</v>
      </c>
      <c r="F609" s="2" t="s">
        <v>8468</v>
      </c>
      <c r="G609" s="2" t="s">
        <v>8335</v>
      </c>
      <c r="H609" s="2" t="s">
        <v>22</v>
      </c>
      <c r="I609" s="2" t="s">
        <v>8365</v>
      </c>
      <c r="J609" s="2" t="s">
        <v>24</v>
      </c>
      <c r="K609">
        <v>3130.05</v>
      </c>
      <c r="L609">
        <v>313005000</v>
      </c>
      <c r="M609" s="2" t="s">
        <v>8377</v>
      </c>
      <c r="N609" s="2" t="s">
        <v>8381</v>
      </c>
      <c r="O609" s="2" t="s">
        <v>8924</v>
      </c>
      <c r="P609" s="2" t="s">
        <v>175</v>
      </c>
      <c r="Q609" s="2" t="s">
        <v>8445</v>
      </c>
      <c r="R609" s="2" t="s">
        <v>30</v>
      </c>
    </row>
    <row r="610" spans="1:18">
      <c r="A610" s="1">
        <v>45170</v>
      </c>
      <c r="B610" s="1">
        <v>45170</v>
      </c>
      <c r="C610">
        <v>2023</v>
      </c>
      <c r="D610">
        <v>9</v>
      </c>
      <c r="E610" s="2" t="s">
        <v>8470</v>
      </c>
      <c r="F610" s="2" t="s">
        <v>8471</v>
      </c>
      <c r="G610" s="2" t="s">
        <v>8335</v>
      </c>
      <c r="H610" s="2" t="s">
        <v>22</v>
      </c>
      <c r="I610" s="2" t="s">
        <v>8365</v>
      </c>
      <c r="J610" s="2" t="s">
        <v>59</v>
      </c>
      <c r="K610">
        <v>16718.12</v>
      </c>
      <c r="L610">
        <v>1671812000</v>
      </c>
      <c r="M610" s="2" t="s">
        <v>8362</v>
      </c>
      <c r="N610" s="2" t="s">
        <v>8367</v>
      </c>
      <c r="O610" s="2" t="s">
        <v>8925</v>
      </c>
      <c r="P610" s="2" t="s">
        <v>175</v>
      </c>
      <c r="Q610" s="2" t="s">
        <v>8445</v>
      </c>
      <c r="R610" s="2" t="s">
        <v>30</v>
      </c>
    </row>
    <row r="611" spans="1:18">
      <c r="A611" s="1">
        <v>45170</v>
      </c>
      <c r="B611" s="1">
        <v>45170</v>
      </c>
      <c r="C611">
        <v>2023</v>
      </c>
      <c r="D611">
        <v>9</v>
      </c>
      <c r="E611" s="2" t="s">
        <v>8473</v>
      </c>
      <c r="F611" s="2" t="s">
        <v>8474</v>
      </c>
      <c r="G611" s="2" t="s">
        <v>8335</v>
      </c>
      <c r="H611" s="2" t="s">
        <v>22</v>
      </c>
      <c r="I611" s="2" t="s">
        <v>8365</v>
      </c>
      <c r="J611" s="2" t="s">
        <v>24</v>
      </c>
      <c r="K611">
        <v>13588.07</v>
      </c>
      <c r="L611">
        <v>1358807000</v>
      </c>
      <c r="M611" s="2" t="s">
        <v>8370</v>
      </c>
      <c r="N611" s="2" t="s">
        <v>8374</v>
      </c>
      <c r="O611" s="2" t="s">
        <v>8926</v>
      </c>
      <c r="P611" s="2" t="s">
        <v>175</v>
      </c>
      <c r="Q611" s="2" t="s">
        <v>8445</v>
      </c>
      <c r="R611" s="2" t="s">
        <v>30</v>
      </c>
    </row>
    <row r="612" spans="1:18">
      <c r="A612" s="1">
        <v>45170</v>
      </c>
      <c r="B612" s="1">
        <v>45170</v>
      </c>
      <c r="C612">
        <v>2023</v>
      </c>
      <c r="D612">
        <v>9</v>
      </c>
      <c r="E612" s="2" t="s">
        <v>7890</v>
      </c>
      <c r="F612" s="2" t="s">
        <v>7891</v>
      </c>
      <c r="G612" s="2" t="s">
        <v>8335</v>
      </c>
      <c r="H612" s="2" t="s">
        <v>22</v>
      </c>
      <c r="I612" s="2" t="s">
        <v>8417</v>
      </c>
      <c r="J612" s="2" t="s">
        <v>24</v>
      </c>
      <c r="K612">
        <v>2950.06</v>
      </c>
      <c r="L612">
        <v>295006000</v>
      </c>
      <c r="M612" s="2" t="s">
        <v>7889</v>
      </c>
      <c r="N612" s="2" t="s">
        <v>7911</v>
      </c>
      <c r="O612" s="2" t="s">
        <v>8927</v>
      </c>
      <c r="P612" s="2" t="s">
        <v>175</v>
      </c>
      <c r="Q612" s="2" t="s">
        <v>8445</v>
      </c>
      <c r="R612" s="2" t="s">
        <v>30</v>
      </c>
    </row>
    <row r="613" spans="1:18">
      <c r="A613" s="1">
        <v>45200</v>
      </c>
      <c r="B613" s="1">
        <v>45200</v>
      </c>
      <c r="C613">
        <v>2023</v>
      </c>
      <c r="D613">
        <v>10</v>
      </c>
      <c r="E613" s="2" t="s">
        <v>8443</v>
      </c>
      <c r="F613" s="2" t="s">
        <v>8444</v>
      </c>
      <c r="G613" s="2" t="s">
        <v>8335</v>
      </c>
      <c r="H613" s="2" t="s">
        <v>22</v>
      </c>
      <c r="I613" s="2" t="s">
        <v>8387</v>
      </c>
      <c r="J613" s="2" t="s">
        <v>24</v>
      </c>
      <c r="K613">
        <v>2.23</v>
      </c>
      <c r="L613">
        <v>223000</v>
      </c>
      <c r="M613" s="2" t="s">
        <v>8392</v>
      </c>
      <c r="N613" s="2" t="s">
        <v>8396</v>
      </c>
      <c r="O613" s="2" t="s">
        <v>1041</v>
      </c>
      <c r="P613" s="2" t="s">
        <v>175</v>
      </c>
      <c r="Q613" s="2" t="s">
        <v>8445</v>
      </c>
      <c r="R613" s="2" t="s">
        <v>30</v>
      </c>
    </row>
    <row r="614" spans="1:18">
      <c r="A614" s="1">
        <v>45200</v>
      </c>
      <c r="B614" s="1">
        <v>45200</v>
      </c>
      <c r="C614">
        <v>2023</v>
      </c>
      <c r="D614">
        <v>10</v>
      </c>
      <c r="E614" s="2" t="s">
        <v>8446</v>
      </c>
      <c r="F614" s="2" t="s">
        <v>8447</v>
      </c>
      <c r="G614" s="2" t="s">
        <v>8335</v>
      </c>
      <c r="H614" s="2" t="s">
        <v>22</v>
      </c>
      <c r="I614" s="2" t="s">
        <v>8387</v>
      </c>
      <c r="J614" s="2" t="s">
        <v>59</v>
      </c>
      <c r="K614">
        <v>2.58</v>
      </c>
      <c r="L614">
        <v>258000</v>
      </c>
      <c r="M614" s="2" t="s">
        <v>8384</v>
      </c>
      <c r="N614" s="2" t="s">
        <v>8389</v>
      </c>
      <c r="O614" s="2" t="s">
        <v>8837</v>
      </c>
      <c r="P614" s="2" t="s">
        <v>175</v>
      </c>
      <c r="Q614" s="2" t="s">
        <v>8445</v>
      </c>
      <c r="R614" s="2" t="s">
        <v>30</v>
      </c>
    </row>
    <row r="615" spans="1:18">
      <c r="A615" s="1">
        <v>45200</v>
      </c>
      <c r="B615" s="1">
        <v>45200</v>
      </c>
      <c r="C615">
        <v>2023</v>
      </c>
      <c r="D615">
        <v>10</v>
      </c>
      <c r="E615" s="2" t="s">
        <v>8448</v>
      </c>
      <c r="F615" s="2" t="s">
        <v>8449</v>
      </c>
      <c r="G615" s="2" t="s">
        <v>8335</v>
      </c>
      <c r="H615" s="2" t="s">
        <v>22</v>
      </c>
      <c r="I615" s="2" t="s">
        <v>8387</v>
      </c>
      <c r="J615" s="2" t="s">
        <v>24</v>
      </c>
      <c r="K615">
        <v>0.35</v>
      </c>
      <c r="L615">
        <v>35000</v>
      </c>
      <c r="M615" s="2" t="s">
        <v>8399</v>
      </c>
      <c r="N615" s="2" t="s">
        <v>8403</v>
      </c>
      <c r="O615" s="2" t="s">
        <v>4029</v>
      </c>
      <c r="P615" s="2" t="s">
        <v>175</v>
      </c>
      <c r="Q615" s="2" t="s">
        <v>8445</v>
      </c>
      <c r="R615" s="2" t="s">
        <v>30</v>
      </c>
    </row>
    <row r="616" spans="1:18">
      <c r="A616" s="1">
        <v>45200</v>
      </c>
      <c r="B616" s="1">
        <v>45200</v>
      </c>
      <c r="C616">
        <v>2023</v>
      </c>
      <c r="D616">
        <v>10</v>
      </c>
      <c r="E616" s="2" t="s">
        <v>8450</v>
      </c>
      <c r="F616" s="2" t="s">
        <v>8451</v>
      </c>
      <c r="G616" s="2" t="s">
        <v>8335</v>
      </c>
      <c r="H616" s="2" t="s">
        <v>22</v>
      </c>
      <c r="I616" s="2" t="s">
        <v>8417</v>
      </c>
      <c r="J616" s="2" t="s">
        <v>24</v>
      </c>
      <c r="K616">
        <v>59.75</v>
      </c>
      <c r="L616">
        <v>5975000</v>
      </c>
      <c r="M616" s="2" t="s">
        <v>8422</v>
      </c>
      <c r="N616" s="2" t="s">
        <v>8426</v>
      </c>
      <c r="O616" s="2" t="s">
        <v>8928</v>
      </c>
      <c r="P616" s="2" t="s">
        <v>175</v>
      </c>
      <c r="Q616" s="2" t="s">
        <v>8445</v>
      </c>
      <c r="R616" s="2" t="s">
        <v>30</v>
      </c>
    </row>
    <row r="617" spans="1:18">
      <c r="A617" s="1">
        <v>45200</v>
      </c>
      <c r="B617" s="1">
        <v>45200</v>
      </c>
      <c r="C617">
        <v>2023</v>
      </c>
      <c r="D617">
        <v>10</v>
      </c>
      <c r="E617" s="2" t="s">
        <v>8453</v>
      </c>
      <c r="F617" s="2" t="s">
        <v>8454</v>
      </c>
      <c r="G617" s="2" t="s">
        <v>8335</v>
      </c>
      <c r="H617" s="2" t="s">
        <v>22</v>
      </c>
      <c r="I617" s="2" t="s">
        <v>8336</v>
      </c>
      <c r="J617" s="2" t="s">
        <v>24</v>
      </c>
      <c r="K617">
        <v>947.11</v>
      </c>
      <c r="L617">
        <v>94711000</v>
      </c>
      <c r="M617" s="2" t="s">
        <v>8348</v>
      </c>
      <c r="N617" s="2" t="s">
        <v>8352</v>
      </c>
      <c r="O617" s="2" t="s">
        <v>8929</v>
      </c>
      <c r="P617" s="2" t="s">
        <v>175</v>
      </c>
      <c r="Q617" s="2" t="s">
        <v>8445</v>
      </c>
      <c r="R617" s="2" t="s">
        <v>30</v>
      </c>
    </row>
    <row r="618" spans="1:18">
      <c r="A618" s="1">
        <v>45200</v>
      </c>
      <c r="B618" s="1">
        <v>45200</v>
      </c>
      <c r="C618">
        <v>2023</v>
      </c>
      <c r="D618">
        <v>10</v>
      </c>
      <c r="E618" s="2" t="s">
        <v>8456</v>
      </c>
      <c r="F618" s="2" t="s">
        <v>8457</v>
      </c>
      <c r="G618" s="2" t="s">
        <v>8335</v>
      </c>
      <c r="H618" s="2" t="s">
        <v>22</v>
      </c>
      <c r="I618" s="2" t="s">
        <v>8336</v>
      </c>
      <c r="J618" s="2" t="s">
        <v>24</v>
      </c>
      <c r="K618">
        <v>9801.7099999999991</v>
      </c>
      <c r="L618">
        <v>980171000</v>
      </c>
      <c r="M618" s="2" t="s">
        <v>8355</v>
      </c>
      <c r="N618" s="2" t="s">
        <v>8359</v>
      </c>
      <c r="O618" s="2" t="s">
        <v>8930</v>
      </c>
      <c r="P618" s="2" t="s">
        <v>175</v>
      </c>
      <c r="Q618" s="2" t="s">
        <v>8445</v>
      </c>
      <c r="R618" s="2" t="s">
        <v>30</v>
      </c>
    </row>
    <row r="619" spans="1:18">
      <c r="A619" s="1">
        <v>45200</v>
      </c>
      <c r="B619" s="1">
        <v>45200</v>
      </c>
      <c r="C619">
        <v>2023</v>
      </c>
      <c r="D619">
        <v>10</v>
      </c>
      <c r="E619" s="2" t="s">
        <v>8459</v>
      </c>
      <c r="F619" s="2" t="s">
        <v>8460</v>
      </c>
      <c r="G619" s="2" t="s">
        <v>8335</v>
      </c>
      <c r="H619" s="2" t="s">
        <v>22</v>
      </c>
      <c r="I619" s="2" t="s">
        <v>8336</v>
      </c>
      <c r="J619" s="2" t="s">
        <v>59</v>
      </c>
      <c r="K619">
        <v>10748.82</v>
      </c>
      <c r="L619">
        <v>1074882000</v>
      </c>
      <c r="M619" s="2" t="s">
        <v>8331</v>
      </c>
      <c r="N619" s="2" t="s">
        <v>8341</v>
      </c>
      <c r="O619" s="2" t="s">
        <v>8931</v>
      </c>
      <c r="P619" s="2" t="s">
        <v>175</v>
      </c>
      <c r="Q619" s="2" t="s">
        <v>8445</v>
      </c>
      <c r="R619" s="2" t="s">
        <v>30</v>
      </c>
    </row>
    <row r="620" spans="1:18">
      <c r="A620" s="1">
        <v>45200</v>
      </c>
      <c r="B620" s="1">
        <v>45200</v>
      </c>
      <c r="C620">
        <v>2023</v>
      </c>
      <c r="D620">
        <v>10</v>
      </c>
      <c r="E620" s="2" t="s">
        <v>8462</v>
      </c>
      <c r="F620" s="2" t="s">
        <v>8463</v>
      </c>
      <c r="G620" s="2" t="s">
        <v>8335</v>
      </c>
      <c r="H620" s="2" t="s">
        <v>22</v>
      </c>
      <c r="I620" s="2" t="s">
        <v>8409</v>
      </c>
      <c r="J620" s="2" t="s">
        <v>24</v>
      </c>
      <c r="K620">
        <v>15.3</v>
      </c>
      <c r="L620">
        <v>1530000</v>
      </c>
      <c r="M620" s="2" t="s">
        <v>8406</v>
      </c>
      <c r="N620" s="2" t="s">
        <v>8411</v>
      </c>
      <c r="O620" s="2" t="s">
        <v>8932</v>
      </c>
      <c r="P620" s="2" t="s">
        <v>175</v>
      </c>
      <c r="Q620" s="2" t="s">
        <v>8445</v>
      </c>
      <c r="R620" s="2" t="s">
        <v>30</v>
      </c>
    </row>
    <row r="621" spans="1:18">
      <c r="A621" s="1">
        <v>45200</v>
      </c>
      <c r="B621" s="1">
        <v>45200</v>
      </c>
      <c r="C621">
        <v>2023</v>
      </c>
      <c r="D621">
        <v>10</v>
      </c>
      <c r="E621" s="2" t="s">
        <v>8464</v>
      </c>
      <c r="F621" s="2" t="s">
        <v>8465</v>
      </c>
      <c r="G621" s="2" t="s">
        <v>8335</v>
      </c>
      <c r="H621" s="2" t="s">
        <v>22</v>
      </c>
      <c r="I621" s="2" t="s">
        <v>8417</v>
      </c>
      <c r="J621" s="2" t="s">
        <v>24</v>
      </c>
      <c r="K621">
        <v>83.48</v>
      </c>
      <c r="L621">
        <v>8348000</v>
      </c>
      <c r="M621" s="2" t="s">
        <v>8414</v>
      </c>
      <c r="N621" s="2" t="s">
        <v>8419</v>
      </c>
      <c r="O621" s="2" t="s">
        <v>8933</v>
      </c>
      <c r="P621" s="2" t="s">
        <v>175</v>
      </c>
      <c r="Q621" s="2" t="s">
        <v>8445</v>
      </c>
      <c r="R621" s="2" t="s">
        <v>30</v>
      </c>
    </row>
    <row r="622" spans="1:18">
      <c r="A622" s="1">
        <v>45200</v>
      </c>
      <c r="B622" s="1">
        <v>45200</v>
      </c>
      <c r="C622">
        <v>2023</v>
      </c>
      <c r="D622">
        <v>10</v>
      </c>
      <c r="E622" s="2" t="s">
        <v>8467</v>
      </c>
      <c r="F622" s="2" t="s">
        <v>8468</v>
      </c>
      <c r="G622" s="2" t="s">
        <v>8335</v>
      </c>
      <c r="H622" s="2" t="s">
        <v>22</v>
      </c>
      <c r="I622" s="2" t="s">
        <v>8365</v>
      </c>
      <c r="J622" s="2" t="s">
        <v>24</v>
      </c>
      <c r="K622">
        <v>3162.79</v>
      </c>
      <c r="L622">
        <v>316279000</v>
      </c>
      <c r="M622" s="2" t="s">
        <v>8377</v>
      </c>
      <c r="N622" s="2" t="s">
        <v>8381</v>
      </c>
      <c r="O622" s="2" t="s">
        <v>8934</v>
      </c>
      <c r="P622" s="2" t="s">
        <v>175</v>
      </c>
      <c r="Q622" s="2" t="s">
        <v>8445</v>
      </c>
      <c r="R622" s="2" t="s">
        <v>30</v>
      </c>
    </row>
    <row r="623" spans="1:18">
      <c r="A623" s="1">
        <v>45200</v>
      </c>
      <c r="B623" s="1">
        <v>45200</v>
      </c>
      <c r="C623">
        <v>2023</v>
      </c>
      <c r="D623">
        <v>10</v>
      </c>
      <c r="E623" s="2" t="s">
        <v>8470</v>
      </c>
      <c r="F623" s="2" t="s">
        <v>8471</v>
      </c>
      <c r="G623" s="2" t="s">
        <v>8335</v>
      </c>
      <c r="H623" s="2" t="s">
        <v>22</v>
      </c>
      <c r="I623" s="2" t="s">
        <v>8365</v>
      </c>
      <c r="J623" s="2" t="s">
        <v>59</v>
      </c>
      <c r="K623">
        <v>16830.82</v>
      </c>
      <c r="L623">
        <v>1683082000</v>
      </c>
      <c r="M623" s="2" t="s">
        <v>8362</v>
      </c>
      <c r="N623" s="2" t="s">
        <v>8367</v>
      </c>
      <c r="O623" s="2" t="s">
        <v>8935</v>
      </c>
      <c r="P623" s="2" t="s">
        <v>175</v>
      </c>
      <c r="Q623" s="2" t="s">
        <v>8445</v>
      </c>
      <c r="R623" s="2" t="s">
        <v>30</v>
      </c>
    </row>
    <row r="624" spans="1:18">
      <c r="A624" s="1">
        <v>45200</v>
      </c>
      <c r="B624" s="1">
        <v>45200</v>
      </c>
      <c r="C624">
        <v>2023</v>
      </c>
      <c r="D624">
        <v>10</v>
      </c>
      <c r="E624" s="2" t="s">
        <v>8473</v>
      </c>
      <c r="F624" s="2" t="s">
        <v>8474</v>
      </c>
      <c r="G624" s="2" t="s">
        <v>8335</v>
      </c>
      <c r="H624" s="2" t="s">
        <v>22</v>
      </c>
      <c r="I624" s="2" t="s">
        <v>8365</v>
      </c>
      <c r="J624" s="2" t="s">
        <v>24</v>
      </c>
      <c r="K624">
        <v>13668.03</v>
      </c>
      <c r="L624">
        <v>1366803000</v>
      </c>
      <c r="M624" s="2" t="s">
        <v>8370</v>
      </c>
      <c r="N624" s="2" t="s">
        <v>8374</v>
      </c>
      <c r="O624" s="2" t="s">
        <v>8936</v>
      </c>
      <c r="P624" s="2" t="s">
        <v>175</v>
      </c>
      <c r="Q624" s="2" t="s">
        <v>8445</v>
      </c>
      <c r="R624" s="2" t="s">
        <v>30</v>
      </c>
    </row>
    <row r="625" spans="1:18">
      <c r="A625" s="1">
        <v>45200</v>
      </c>
      <c r="B625" s="1">
        <v>45200</v>
      </c>
      <c r="C625">
        <v>2023</v>
      </c>
      <c r="D625">
        <v>10</v>
      </c>
      <c r="E625" s="2" t="s">
        <v>7890</v>
      </c>
      <c r="F625" s="2" t="s">
        <v>7891</v>
      </c>
      <c r="G625" s="2" t="s">
        <v>8335</v>
      </c>
      <c r="H625" s="2" t="s">
        <v>22</v>
      </c>
      <c r="I625" s="2" t="s">
        <v>8417</v>
      </c>
      <c r="J625" s="2" t="s">
        <v>24</v>
      </c>
      <c r="K625">
        <v>3017.2</v>
      </c>
      <c r="L625">
        <v>301720000</v>
      </c>
      <c r="M625" s="2" t="s">
        <v>7889</v>
      </c>
      <c r="N625" s="2" t="s">
        <v>7911</v>
      </c>
      <c r="O625" s="2" t="s">
        <v>8937</v>
      </c>
      <c r="P625" s="2" t="s">
        <v>175</v>
      </c>
      <c r="Q625" s="2" t="s">
        <v>8445</v>
      </c>
      <c r="R625" s="2" t="s">
        <v>30</v>
      </c>
    </row>
    <row r="626" spans="1:18">
      <c r="A626" s="1">
        <v>45231</v>
      </c>
      <c r="B626" s="1">
        <v>45231</v>
      </c>
      <c r="C626">
        <v>2023</v>
      </c>
      <c r="D626">
        <v>11</v>
      </c>
      <c r="E626" s="2" t="s">
        <v>8443</v>
      </c>
      <c r="F626" s="2" t="s">
        <v>8444</v>
      </c>
      <c r="G626" s="2" t="s">
        <v>8335</v>
      </c>
      <c r="H626" s="2" t="s">
        <v>22</v>
      </c>
      <c r="I626" s="2" t="s">
        <v>8387</v>
      </c>
      <c r="J626" s="2" t="s">
        <v>24</v>
      </c>
      <c r="K626">
        <v>2.2400000000000002</v>
      </c>
      <c r="L626">
        <v>224000</v>
      </c>
      <c r="M626" s="2" t="s">
        <v>8392</v>
      </c>
      <c r="N626" s="2" t="s">
        <v>8396</v>
      </c>
      <c r="O626" s="2" t="s">
        <v>1795</v>
      </c>
      <c r="P626" s="2" t="s">
        <v>175</v>
      </c>
      <c r="Q626" s="2" t="s">
        <v>8445</v>
      </c>
      <c r="R626" s="2" t="s">
        <v>30</v>
      </c>
    </row>
    <row r="627" spans="1:18">
      <c r="A627" s="1">
        <v>45231</v>
      </c>
      <c r="B627" s="1">
        <v>45231</v>
      </c>
      <c r="C627">
        <v>2023</v>
      </c>
      <c r="D627">
        <v>11</v>
      </c>
      <c r="E627" s="2" t="s">
        <v>8446</v>
      </c>
      <c r="F627" s="2" t="s">
        <v>8447</v>
      </c>
      <c r="G627" s="2" t="s">
        <v>8335</v>
      </c>
      <c r="H627" s="2" t="s">
        <v>22</v>
      </c>
      <c r="I627" s="2" t="s">
        <v>8387</v>
      </c>
      <c r="J627" s="2" t="s">
        <v>59</v>
      </c>
      <c r="K627">
        <v>2.58</v>
      </c>
      <c r="L627">
        <v>258000</v>
      </c>
      <c r="M627" s="2" t="s">
        <v>8384</v>
      </c>
      <c r="N627" s="2" t="s">
        <v>8389</v>
      </c>
      <c r="O627" s="2" t="s">
        <v>8837</v>
      </c>
      <c r="P627" s="2" t="s">
        <v>175</v>
      </c>
      <c r="Q627" s="2" t="s">
        <v>8445</v>
      </c>
      <c r="R627" s="2" t="s">
        <v>30</v>
      </c>
    </row>
    <row r="628" spans="1:18">
      <c r="A628" s="1">
        <v>45231</v>
      </c>
      <c r="B628" s="1">
        <v>45231</v>
      </c>
      <c r="C628">
        <v>2023</v>
      </c>
      <c r="D628">
        <v>11</v>
      </c>
      <c r="E628" s="2" t="s">
        <v>8448</v>
      </c>
      <c r="F628" s="2" t="s">
        <v>8449</v>
      </c>
      <c r="G628" s="2" t="s">
        <v>8335</v>
      </c>
      <c r="H628" s="2" t="s">
        <v>22</v>
      </c>
      <c r="I628" s="2" t="s">
        <v>8387</v>
      </c>
      <c r="J628" s="2" t="s">
        <v>24</v>
      </c>
      <c r="K628">
        <v>0.34</v>
      </c>
      <c r="L628">
        <v>34000</v>
      </c>
      <c r="M628" s="2" t="s">
        <v>8399</v>
      </c>
      <c r="N628" s="2" t="s">
        <v>8403</v>
      </c>
      <c r="O628" s="2" t="s">
        <v>3373</v>
      </c>
      <c r="P628" s="2" t="s">
        <v>175</v>
      </c>
      <c r="Q628" s="2" t="s">
        <v>8445</v>
      </c>
      <c r="R628" s="2" t="s">
        <v>30</v>
      </c>
    </row>
    <row r="629" spans="1:18">
      <c r="A629" s="1">
        <v>45231</v>
      </c>
      <c r="B629" s="1">
        <v>45231</v>
      </c>
      <c r="C629">
        <v>2023</v>
      </c>
      <c r="D629">
        <v>11</v>
      </c>
      <c r="E629" s="2" t="s">
        <v>8450</v>
      </c>
      <c r="F629" s="2" t="s">
        <v>8451</v>
      </c>
      <c r="G629" s="2" t="s">
        <v>8335</v>
      </c>
      <c r="H629" s="2" t="s">
        <v>22</v>
      </c>
      <c r="I629" s="2" t="s">
        <v>8417</v>
      </c>
      <c r="J629" s="2" t="s">
        <v>24</v>
      </c>
      <c r="K629">
        <v>58.74</v>
      </c>
      <c r="L629">
        <v>5874000</v>
      </c>
      <c r="M629" s="2" t="s">
        <v>8422</v>
      </c>
      <c r="N629" s="2" t="s">
        <v>8426</v>
      </c>
      <c r="O629" s="2" t="s">
        <v>8938</v>
      </c>
      <c r="P629" s="2" t="s">
        <v>175</v>
      </c>
      <c r="Q629" s="2" t="s">
        <v>8445</v>
      </c>
      <c r="R629" s="2" t="s">
        <v>30</v>
      </c>
    </row>
    <row r="630" spans="1:18">
      <c r="A630" s="1">
        <v>45231</v>
      </c>
      <c r="B630" s="1">
        <v>45231</v>
      </c>
      <c r="C630">
        <v>2023</v>
      </c>
      <c r="D630">
        <v>11</v>
      </c>
      <c r="E630" s="2" t="s">
        <v>8453</v>
      </c>
      <c r="F630" s="2" t="s">
        <v>8454</v>
      </c>
      <c r="G630" s="2" t="s">
        <v>8335</v>
      </c>
      <c r="H630" s="2" t="s">
        <v>22</v>
      </c>
      <c r="I630" s="2" t="s">
        <v>8336</v>
      </c>
      <c r="J630" s="2" t="s">
        <v>24</v>
      </c>
      <c r="K630">
        <v>960.01</v>
      </c>
      <c r="L630">
        <v>96001000</v>
      </c>
      <c r="M630" s="2" t="s">
        <v>8348</v>
      </c>
      <c r="N630" s="2" t="s">
        <v>8352</v>
      </c>
      <c r="O630" s="2" t="s">
        <v>8939</v>
      </c>
      <c r="P630" s="2" t="s">
        <v>175</v>
      </c>
      <c r="Q630" s="2" t="s">
        <v>8445</v>
      </c>
      <c r="R630" s="2" t="s">
        <v>30</v>
      </c>
    </row>
    <row r="631" spans="1:18">
      <c r="A631" s="1">
        <v>45231</v>
      </c>
      <c r="B631" s="1">
        <v>45231</v>
      </c>
      <c r="C631">
        <v>2023</v>
      </c>
      <c r="D631">
        <v>11</v>
      </c>
      <c r="E631" s="2" t="s">
        <v>8456</v>
      </c>
      <c r="F631" s="2" t="s">
        <v>8457</v>
      </c>
      <c r="G631" s="2" t="s">
        <v>8335</v>
      </c>
      <c r="H631" s="2" t="s">
        <v>22</v>
      </c>
      <c r="I631" s="2" t="s">
        <v>8336</v>
      </c>
      <c r="J631" s="2" t="s">
        <v>24</v>
      </c>
      <c r="K631">
        <v>9764.99</v>
      </c>
      <c r="L631">
        <v>976499000</v>
      </c>
      <c r="M631" s="2" t="s">
        <v>8355</v>
      </c>
      <c r="N631" s="2" t="s">
        <v>8359</v>
      </c>
      <c r="O631" s="2" t="s">
        <v>8940</v>
      </c>
      <c r="P631" s="2" t="s">
        <v>175</v>
      </c>
      <c r="Q631" s="2" t="s">
        <v>8445</v>
      </c>
      <c r="R631" s="2" t="s">
        <v>30</v>
      </c>
    </row>
    <row r="632" spans="1:18">
      <c r="A632" s="1">
        <v>45231</v>
      </c>
      <c r="B632" s="1">
        <v>45231</v>
      </c>
      <c r="C632">
        <v>2023</v>
      </c>
      <c r="D632">
        <v>11</v>
      </c>
      <c r="E632" s="2" t="s">
        <v>8459</v>
      </c>
      <c r="F632" s="2" t="s">
        <v>8460</v>
      </c>
      <c r="G632" s="2" t="s">
        <v>8335</v>
      </c>
      <c r="H632" s="2" t="s">
        <v>22</v>
      </c>
      <c r="I632" s="2" t="s">
        <v>8336</v>
      </c>
      <c r="J632" s="2" t="s">
        <v>59</v>
      </c>
      <c r="K632">
        <v>10725.71</v>
      </c>
      <c r="L632">
        <v>1072571000</v>
      </c>
      <c r="M632" s="2" t="s">
        <v>8331</v>
      </c>
      <c r="N632" s="2" t="s">
        <v>8341</v>
      </c>
      <c r="O632" s="2" t="s">
        <v>8941</v>
      </c>
      <c r="P632" s="2" t="s">
        <v>175</v>
      </c>
      <c r="Q632" s="2" t="s">
        <v>8445</v>
      </c>
      <c r="R632" s="2" t="s">
        <v>30</v>
      </c>
    </row>
    <row r="633" spans="1:18">
      <c r="A633" s="1">
        <v>45231</v>
      </c>
      <c r="B633" s="1">
        <v>45231</v>
      </c>
      <c r="C633">
        <v>2023</v>
      </c>
      <c r="D633">
        <v>11</v>
      </c>
      <c r="E633" s="2" t="s">
        <v>8462</v>
      </c>
      <c r="F633" s="2" t="s">
        <v>8463</v>
      </c>
      <c r="G633" s="2" t="s">
        <v>8335</v>
      </c>
      <c r="H633" s="2" t="s">
        <v>22</v>
      </c>
      <c r="I633" s="2" t="s">
        <v>8409</v>
      </c>
      <c r="J633" s="2" t="s">
        <v>24</v>
      </c>
      <c r="K633">
        <v>15.87</v>
      </c>
      <c r="L633">
        <v>1587000</v>
      </c>
      <c r="M633" s="2" t="s">
        <v>8406</v>
      </c>
      <c r="N633" s="2" t="s">
        <v>8411</v>
      </c>
      <c r="O633" s="2" t="s">
        <v>8942</v>
      </c>
      <c r="P633" s="2" t="s">
        <v>175</v>
      </c>
      <c r="Q633" s="2" t="s">
        <v>8445</v>
      </c>
      <c r="R633" s="2" t="s">
        <v>30</v>
      </c>
    </row>
    <row r="634" spans="1:18">
      <c r="A634" s="1">
        <v>45231</v>
      </c>
      <c r="B634" s="1">
        <v>45231</v>
      </c>
      <c r="C634">
        <v>2023</v>
      </c>
      <c r="D634">
        <v>11</v>
      </c>
      <c r="E634" s="2" t="s">
        <v>8464</v>
      </c>
      <c r="F634" s="2" t="s">
        <v>8465</v>
      </c>
      <c r="G634" s="2" t="s">
        <v>8335</v>
      </c>
      <c r="H634" s="2" t="s">
        <v>22</v>
      </c>
      <c r="I634" s="2" t="s">
        <v>8417</v>
      </c>
      <c r="J634" s="2" t="s">
        <v>24</v>
      </c>
      <c r="K634">
        <v>84.32</v>
      </c>
      <c r="L634">
        <v>8432000</v>
      </c>
      <c r="M634" s="2" t="s">
        <v>8414</v>
      </c>
      <c r="N634" s="2" t="s">
        <v>8419</v>
      </c>
      <c r="O634" s="2" t="s">
        <v>8943</v>
      </c>
      <c r="P634" s="2" t="s">
        <v>175</v>
      </c>
      <c r="Q634" s="2" t="s">
        <v>8445</v>
      </c>
      <c r="R634" s="2" t="s">
        <v>30</v>
      </c>
    </row>
    <row r="635" spans="1:18">
      <c r="A635" s="1">
        <v>45231</v>
      </c>
      <c r="B635" s="1">
        <v>45231</v>
      </c>
      <c r="C635">
        <v>2023</v>
      </c>
      <c r="D635">
        <v>11</v>
      </c>
      <c r="E635" s="2" t="s">
        <v>8467</v>
      </c>
      <c r="F635" s="2" t="s">
        <v>8468</v>
      </c>
      <c r="G635" s="2" t="s">
        <v>8335</v>
      </c>
      <c r="H635" s="2" t="s">
        <v>22</v>
      </c>
      <c r="I635" s="2" t="s">
        <v>8365</v>
      </c>
      <c r="J635" s="2" t="s">
        <v>24</v>
      </c>
      <c r="K635">
        <v>3186.1</v>
      </c>
      <c r="L635">
        <v>318610000</v>
      </c>
      <c r="M635" s="2" t="s">
        <v>8377</v>
      </c>
      <c r="N635" s="2" t="s">
        <v>8381</v>
      </c>
      <c r="O635" s="2" t="s">
        <v>8944</v>
      </c>
      <c r="P635" s="2" t="s">
        <v>175</v>
      </c>
      <c r="Q635" s="2" t="s">
        <v>8445</v>
      </c>
      <c r="R635" s="2" t="s">
        <v>30</v>
      </c>
    </row>
    <row r="636" spans="1:18">
      <c r="A636" s="1">
        <v>45231</v>
      </c>
      <c r="B636" s="1">
        <v>45231</v>
      </c>
      <c r="C636">
        <v>2023</v>
      </c>
      <c r="D636">
        <v>11</v>
      </c>
      <c r="E636" s="2" t="s">
        <v>8470</v>
      </c>
      <c r="F636" s="2" t="s">
        <v>8471</v>
      </c>
      <c r="G636" s="2" t="s">
        <v>8335</v>
      </c>
      <c r="H636" s="2" t="s">
        <v>22</v>
      </c>
      <c r="I636" s="2" t="s">
        <v>8365</v>
      </c>
      <c r="J636" s="2" t="s">
        <v>59</v>
      </c>
      <c r="K636">
        <v>16944.310000000001</v>
      </c>
      <c r="L636">
        <v>1694431000</v>
      </c>
      <c r="M636" s="2" t="s">
        <v>8362</v>
      </c>
      <c r="N636" s="2" t="s">
        <v>8367</v>
      </c>
      <c r="O636" s="2" t="s">
        <v>8945</v>
      </c>
      <c r="P636" s="2" t="s">
        <v>175</v>
      </c>
      <c r="Q636" s="2" t="s">
        <v>8445</v>
      </c>
      <c r="R636" s="2" t="s">
        <v>30</v>
      </c>
    </row>
    <row r="637" spans="1:18">
      <c r="A637" s="1">
        <v>45231</v>
      </c>
      <c r="B637" s="1">
        <v>45231</v>
      </c>
      <c r="C637">
        <v>2023</v>
      </c>
      <c r="D637">
        <v>11</v>
      </c>
      <c r="E637" s="2" t="s">
        <v>8473</v>
      </c>
      <c r="F637" s="2" t="s">
        <v>8474</v>
      </c>
      <c r="G637" s="2" t="s">
        <v>8335</v>
      </c>
      <c r="H637" s="2" t="s">
        <v>22</v>
      </c>
      <c r="I637" s="2" t="s">
        <v>8365</v>
      </c>
      <c r="J637" s="2" t="s">
        <v>24</v>
      </c>
      <c r="K637">
        <v>13758.21</v>
      </c>
      <c r="L637">
        <v>1375821000</v>
      </c>
      <c r="M637" s="2" t="s">
        <v>8370</v>
      </c>
      <c r="N637" s="2" t="s">
        <v>8374</v>
      </c>
      <c r="O637" s="2" t="s">
        <v>8946</v>
      </c>
      <c r="P637" s="2" t="s">
        <v>175</v>
      </c>
      <c r="Q637" s="2" t="s">
        <v>8445</v>
      </c>
      <c r="R637" s="2" t="s">
        <v>30</v>
      </c>
    </row>
    <row r="638" spans="1:18">
      <c r="A638" s="1">
        <v>45231</v>
      </c>
      <c r="B638" s="1">
        <v>45231</v>
      </c>
      <c r="C638">
        <v>2023</v>
      </c>
      <c r="D638">
        <v>11</v>
      </c>
      <c r="E638" s="2" t="s">
        <v>7890</v>
      </c>
      <c r="F638" s="2" t="s">
        <v>7891</v>
      </c>
      <c r="G638" s="2" t="s">
        <v>8335</v>
      </c>
      <c r="H638" s="2" t="s">
        <v>22</v>
      </c>
      <c r="I638" s="2" t="s">
        <v>8417</v>
      </c>
      <c r="J638" s="2" t="s">
        <v>24</v>
      </c>
      <c r="K638">
        <v>3087.39</v>
      </c>
      <c r="L638">
        <v>308739000</v>
      </c>
      <c r="M638" s="2" t="s">
        <v>7889</v>
      </c>
      <c r="N638" s="2" t="s">
        <v>7911</v>
      </c>
      <c r="O638" s="2" t="s">
        <v>8947</v>
      </c>
      <c r="P638" s="2" t="s">
        <v>175</v>
      </c>
      <c r="Q638" s="2" t="s">
        <v>8445</v>
      </c>
      <c r="R638" s="2" t="s">
        <v>30</v>
      </c>
    </row>
    <row r="639" spans="1:18">
      <c r="A639" s="1">
        <v>45261</v>
      </c>
      <c r="B639" s="1">
        <v>45261</v>
      </c>
      <c r="C639">
        <v>2023</v>
      </c>
      <c r="D639">
        <v>12</v>
      </c>
      <c r="E639" s="2" t="s">
        <v>8443</v>
      </c>
      <c r="F639" s="2" t="s">
        <v>8444</v>
      </c>
      <c r="G639" s="2" t="s">
        <v>8335</v>
      </c>
      <c r="H639" s="2" t="s">
        <v>22</v>
      </c>
      <c r="I639" s="2" t="s">
        <v>8387</v>
      </c>
      <c r="J639" s="2" t="s">
        <v>24</v>
      </c>
      <c r="K639">
        <v>2.2400000000000002</v>
      </c>
      <c r="L639">
        <v>224000</v>
      </c>
      <c r="M639" s="2" t="s">
        <v>8392</v>
      </c>
      <c r="N639" s="2" t="s">
        <v>8396</v>
      </c>
      <c r="O639" s="2" t="s">
        <v>1795</v>
      </c>
      <c r="P639" s="2" t="s">
        <v>175</v>
      </c>
      <c r="Q639" s="2" t="s">
        <v>8445</v>
      </c>
      <c r="R639" s="2" t="s">
        <v>30</v>
      </c>
    </row>
    <row r="640" spans="1:18">
      <c r="A640" s="1">
        <v>45261</v>
      </c>
      <c r="B640" s="1">
        <v>45261</v>
      </c>
      <c r="C640">
        <v>2023</v>
      </c>
      <c r="D640">
        <v>12</v>
      </c>
      <c r="E640" s="2" t="s">
        <v>8446</v>
      </c>
      <c r="F640" s="2" t="s">
        <v>8447</v>
      </c>
      <c r="G640" s="2" t="s">
        <v>8335</v>
      </c>
      <c r="H640" s="2" t="s">
        <v>22</v>
      </c>
      <c r="I640" s="2" t="s">
        <v>8387</v>
      </c>
      <c r="J640" s="2" t="s">
        <v>59</v>
      </c>
      <c r="K640">
        <v>2.58</v>
      </c>
      <c r="L640">
        <v>258000</v>
      </c>
      <c r="M640" s="2" t="s">
        <v>8384</v>
      </c>
      <c r="N640" s="2" t="s">
        <v>8389</v>
      </c>
      <c r="O640" s="2" t="s">
        <v>8837</v>
      </c>
      <c r="P640" s="2" t="s">
        <v>175</v>
      </c>
      <c r="Q640" s="2" t="s">
        <v>8445</v>
      </c>
      <c r="R640" s="2" t="s">
        <v>30</v>
      </c>
    </row>
    <row r="641" spans="1:18">
      <c r="A641" s="1">
        <v>45261</v>
      </c>
      <c r="B641" s="1">
        <v>45261</v>
      </c>
      <c r="C641">
        <v>2023</v>
      </c>
      <c r="D641">
        <v>12</v>
      </c>
      <c r="E641" s="2" t="s">
        <v>8448</v>
      </c>
      <c r="F641" s="2" t="s">
        <v>8449</v>
      </c>
      <c r="G641" s="2" t="s">
        <v>8335</v>
      </c>
      <c r="H641" s="2" t="s">
        <v>22</v>
      </c>
      <c r="I641" s="2" t="s">
        <v>8387</v>
      </c>
      <c r="J641" s="2" t="s">
        <v>24</v>
      </c>
      <c r="K641">
        <v>0.34</v>
      </c>
      <c r="L641">
        <v>34000</v>
      </c>
      <c r="M641" s="2" t="s">
        <v>8399</v>
      </c>
      <c r="N641" s="2" t="s">
        <v>8403</v>
      </c>
      <c r="O641" s="2" t="s">
        <v>3373</v>
      </c>
      <c r="P641" s="2" t="s">
        <v>175</v>
      </c>
      <c r="Q641" s="2" t="s">
        <v>8445</v>
      </c>
      <c r="R641" s="2" t="s">
        <v>30</v>
      </c>
    </row>
    <row r="642" spans="1:18">
      <c r="A642" s="1">
        <v>45261</v>
      </c>
      <c r="B642" s="1">
        <v>45261</v>
      </c>
      <c r="C642">
        <v>2023</v>
      </c>
      <c r="D642">
        <v>12</v>
      </c>
      <c r="E642" s="2" t="s">
        <v>8450</v>
      </c>
      <c r="F642" s="2" t="s">
        <v>8451</v>
      </c>
      <c r="G642" s="2" t="s">
        <v>8335</v>
      </c>
      <c r="H642" s="2" t="s">
        <v>22</v>
      </c>
      <c r="I642" s="2" t="s">
        <v>8417</v>
      </c>
      <c r="J642" s="2" t="s">
        <v>24</v>
      </c>
      <c r="K642">
        <v>59.57</v>
      </c>
      <c r="L642">
        <v>5957000</v>
      </c>
      <c r="M642" s="2" t="s">
        <v>8422</v>
      </c>
      <c r="N642" s="2" t="s">
        <v>8426</v>
      </c>
      <c r="O642" s="2" t="s">
        <v>8948</v>
      </c>
      <c r="P642" s="2" t="s">
        <v>175</v>
      </c>
      <c r="Q642" s="2" t="s">
        <v>8445</v>
      </c>
      <c r="R642" s="2" t="s">
        <v>30</v>
      </c>
    </row>
    <row r="643" spans="1:18">
      <c r="A643" s="1">
        <v>45261</v>
      </c>
      <c r="B643" s="1">
        <v>45261</v>
      </c>
      <c r="C643">
        <v>2023</v>
      </c>
      <c r="D643">
        <v>12</v>
      </c>
      <c r="E643" s="2" t="s">
        <v>8453</v>
      </c>
      <c r="F643" s="2" t="s">
        <v>8454</v>
      </c>
      <c r="G643" s="2" t="s">
        <v>8335</v>
      </c>
      <c r="H643" s="2" t="s">
        <v>22</v>
      </c>
      <c r="I643" s="2" t="s">
        <v>8336</v>
      </c>
      <c r="J643" s="2" t="s">
        <v>24</v>
      </c>
      <c r="K643">
        <v>979.05</v>
      </c>
      <c r="L643">
        <v>97905000</v>
      </c>
      <c r="M643" s="2" t="s">
        <v>8348</v>
      </c>
      <c r="N643" s="2" t="s">
        <v>8352</v>
      </c>
      <c r="O643" s="2" t="s">
        <v>8949</v>
      </c>
      <c r="P643" s="2" t="s">
        <v>175</v>
      </c>
      <c r="Q643" s="2" t="s">
        <v>8445</v>
      </c>
      <c r="R643" s="2" t="s">
        <v>30</v>
      </c>
    </row>
    <row r="644" spans="1:18">
      <c r="A644" s="1">
        <v>45261</v>
      </c>
      <c r="B644" s="1">
        <v>45261</v>
      </c>
      <c r="C644">
        <v>2023</v>
      </c>
      <c r="D644">
        <v>12</v>
      </c>
      <c r="E644" s="2" t="s">
        <v>8456</v>
      </c>
      <c r="F644" s="2" t="s">
        <v>8457</v>
      </c>
      <c r="G644" s="2" t="s">
        <v>8335</v>
      </c>
      <c r="H644" s="2" t="s">
        <v>22</v>
      </c>
      <c r="I644" s="2" t="s">
        <v>8336</v>
      </c>
      <c r="J644" s="2" t="s">
        <v>24</v>
      </c>
      <c r="K644">
        <v>9608.81</v>
      </c>
      <c r="L644">
        <v>960881000</v>
      </c>
      <c r="M644" s="2" t="s">
        <v>8355</v>
      </c>
      <c r="N644" s="2" t="s">
        <v>8359</v>
      </c>
      <c r="O644" s="2" t="s">
        <v>8950</v>
      </c>
      <c r="P644" s="2" t="s">
        <v>175</v>
      </c>
      <c r="Q644" s="2" t="s">
        <v>8445</v>
      </c>
      <c r="R644" s="2" t="s">
        <v>30</v>
      </c>
    </row>
    <row r="645" spans="1:18">
      <c r="A645" s="1">
        <v>45261</v>
      </c>
      <c r="B645" s="1">
        <v>45261</v>
      </c>
      <c r="C645">
        <v>2023</v>
      </c>
      <c r="D645">
        <v>12</v>
      </c>
      <c r="E645" s="2" t="s">
        <v>8459</v>
      </c>
      <c r="F645" s="2" t="s">
        <v>8460</v>
      </c>
      <c r="G645" s="2" t="s">
        <v>8335</v>
      </c>
      <c r="H645" s="2" t="s">
        <v>22</v>
      </c>
      <c r="I645" s="2" t="s">
        <v>8336</v>
      </c>
      <c r="J645" s="2" t="s">
        <v>59</v>
      </c>
      <c r="K645">
        <v>10587.85</v>
      </c>
      <c r="L645">
        <v>1058785000</v>
      </c>
      <c r="M645" s="2" t="s">
        <v>8331</v>
      </c>
      <c r="N645" s="2" t="s">
        <v>8341</v>
      </c>
      <c r="O645" s="2" t="s">
        <v>8951</v>
      </c>
      <c r="P645" s="2" t="s">
        <v>175</v>
      </c>
      <c r="Q645" s="2" t="s">
        <v>8445</v>
      </c>
      <c r="R645" s="2" t="s">
        <v>30</v>
      </c>
    </row>
    <row r="646" spans="1:18">
      <c r="A646" s="1">
        <v>45261</v>
      </c>
      <c r="B646" s="1">
        <v>45261</v>
      </c>
      <c r="C646">
        <v>2023</v>
      </c>
      <c r="D646">
        <v>12</v>
      </c>
      <c r="E646" s="2" t="s">
        <v>8462</v>
      </c>
      <c r="F646" s="2" t="s">
        <v>8463</v>
      </c>
      <c r="G646" s="2" t="s">
        <v>8335</v>
      </c>
      <c r="H646" s="2" t="s">
        <v>22</v>
      </c>
      <c r="I646" s="2" t="s">
        <v>8409</v>
      </c>
      <c r="J646" s="2" t="s">
        <v>24</v>
      </c>
      <c r="K646">
        <v>16.89</v>
      </c>
      <c r="L646">
        <v>1689000</v>
      </c>
      <c r="M646" s="2" t="s">
        <v>8406</v>
      </c>
      <c r="N646" s="2" t="s">
        <v>8411</v>
      </c>
      <c r="O646" s="2" t="s">
        <v>7357</v>
      </c>
      <c r="P646" s="2" t="s">
        <v>175</v>
      </c>
      <c r="Q646" s="2" t="s">
        <v>8445</v>
      </c>
      <c r="R646" s="2" t="s">
        <v>30</v>
      </c>
    </row>
    <row r="647" spans="1:18">
      <c r="A647" s="1">
        <v>45261</v>
      </c>
      <c r="B647" s="1">
        <v>45261</v>
      </c>
      <c r="C647">
        <v>2023</v>
      </c>
      <c r="D647">
        <v>12</v>
      </c>
      <c r="E647" s="2" t="s">
        <v>8464</v>
      </c>
      <c r="F647" s="2" t="s">
        <v>8465</v>
      </c>
      <c r="G647" s="2" t="s">
        <v>8335</v>
      </c>
      <c r="H647" s="2" t="s">
        <v>22</v>
      </c>
      <c r="I647" s="2" t="s">
        <v>8417</v>
      </c>
      <c r="J647" s="2" t="s">
        <v>24</v>
      </c>
      <c r="K647">
        <v>85.67</v>
      </c>
      <c r="L647">
        <v>8567000</v>
      </c>
      <c r="M647" s="2" t="s">
        <v>8414</v>
      </c>
      <c r="N647" s="2" t="s">
        <v>8419</v>
      </c>
      <c r="O647" s="2" t="s">
        <v>8952</v>
      </c>
      <c r="P647" s="2" t="s">
        <v>175</v>
      </c>
      <c r="Q647" s="2" t="s">
        <v>8445</v>
      </c>
      <c r="R647" s="2" t="s">
        <v>30</v>
      </c>
    </row>
    <row r="648" spans="1:18">
      <c r="A648" s="1">
        <v>45261</v>
      </c>
      <c r="B648" s="1">
        <v>45261</v>
      </c>
      <c r="C648">
        <v>2023</v>
      </c>
      <c r="D648">
        <v>12</v>
      </c>
      <c r="E648" s="2" t="s">
        <v>8467</v>
      </c>
      <c r="F648" s="2" t="s">
        <v>8468</v>
      </c>
      <c r="G648" s="2" t="s">
        <v>8335</v>
      </c>
      <c r="H648" s="2" t="s">
        <v>22</v>
      </c>
      <c r="I648" s="2" t="s">
        <v>8365</v>
      </c>
      <c r="J648" s="2" t="s">
        <v>24</v>
      </c>
      <c r="K648">
        <v>3251.33</v>
      </c>
      <c r="L648">
        <v>325133000</v>
      </c>
      <c r="M648" s="2" t="s">
        <v>8377</v>
      </c>
      <c r="N648" s="2" t="s">
        <v>8381</v>
      </c>
      <c r="O648" s="2" t="s">
        <v>8953</v>
      </c>
      <c r="P648" s="2" t="s">
        <v>175</v>
      </c>
      <c r="Q648" s="2" t="s">
        <v>8445</v>
      </c>
      <c r="R648" s="2" t="s">
        <v>30</v>
      </c>
    </row>
    <row r="649" spans="1:18">
      <c r="A649" s="1">
        <v>45261</v>
      </c>
      <c r="B649" s="1">
        <v>45261</v>
      </c>
      <c r="C649">
        <v>2023</v>
      </c>
      <c r="D649">
        <v>12</v>
      </c>
      <c r="E649" s="2" t="s">
        <v>8470</v>
      </c>
      <c r="F649" s="2" t="s">
        <v>8471</v>
      </c>
      <c r="G649" s="2" t="s">
        <v>8335</v>
      </c>
      <c r="H649" s="2" t="s">
        <v>22</v>
      </c>
      <c r="I649" s="2" t="s">
        <v>8365</v>
      </c>
      <c r="J649" s="2" t="s">
        <v>59</v>
      </c>
      <c r="K649">
        <v>17544.34</v>
      </c>
      <c r="L649">
        <v>1754434000</v>
      </c>
      <c r="M649" s="2" t="s">
        <v>8362</v>
      </c>
      <c r="N649" s="2" t="s">
        <v>8367</v>
      </c>
      <c r="O649" s="2" t="s">
        <v>8954</v>
      </c>
      <c r="P649" s="2" t="s">
        <v>175</v>
      </c>
      <c r="Q649" s="2" t="s">
        <v>8445</v>
      </c>
      <c r="R649" s="2" t="s">
        <v>30</v>
      </c>
    </row>
    <row r="650" spans="1:18">
      <c r="A650" s="1">
        <v>45261</v>
      </c>
      <c r="B650" s="1">
        <v>45261</v>
      </c>
      <c r="C650">
        <v>2023</v>
      </c>
      <c r="D650">
        <v>12</v>
      </c>
      <c r="E650" s="2" t="s">
        <v>8473</v>
      </c>
      <c r="F650" s="2" t="s">
        <v>8474</v>
      </c>
      <c r="G650" s="2" t="s">
        <v>8335</v>
      </c>
      <c r="H650" s="2" t="s">
        <v>22</v>
      </c>
      <c r="I650" s="2" t="s">
        <v>8365</v>
      </c>
      <c r="J650" s="2" t="s">
        <v>24</v>
      </c>
      <c r="K650">
        <v>14293.01</v>
      </c>
      <c r="L650">
        <v>1429301000</v>
      </c>
      <c r="M650" s="2" t="s">
        <v>8370</v>
      </c>
      <c r="N650" s="2" t="s">
        <v>8374</v>
      </c>
      <c r="O650" s="2" t="s">
        <v>8955</v>
      </c>
      <c r="P650" s="2" t="s">
        <v>175</v>
      </c>
      <c r="Q650" s="2" t="s">
        <v>8445</v>
      </c>
      <c r="R650" s="2" t="s">
        <v>30</v>
      </c>
    </row>
    <row r="651" spans="1:18">
      <c r="A651" s="1">
        <v>45261</v>
      </c>
      <c r="B651" s="1">
        <v>45261</v>
      </c>
      <c r="C651">
        <v>2023</v>
      </c>
      <c r="D651">
        <v>12</v>
      </c>
      <c r="E651" s="2" t="s">
        <v>7890</v>
      </c>
      <c r="F651" s="2" t="s">
        <v>7891</v>
      </c>
      <c r="G651" s="2" t="s">
        <v>8335</v>
      </c>
      <c r="H651" s="2" t="s">
        <v>22</v>
      </c>
      <c r="I651" s="2" t="s">
        <v>8417</v>
      </c>
      <c r="J651" s="2" t="s">
        <v>24</v>
      </c>
      <c r="K651">
        <v>3170.66</v>
      </c>
      <c r="L651">
        <v>317066000</v>
      </c>
      <c r="M651" s="2" t="s">
        <v>7889</v>
      </c>
      <c r="N651" s="2" t="s">
        <v>7911</v>
      </c>
      <c r="O651" s="2" t="s">
        <v>8956</v>
      </c>
      <c r="P651" s="2" t="s">
        <v>175</v>
      </c>
      <c r="Q651" s="2" t="s">
        <v>8445</v>
      </c>
      <c r="R651" s="2" t="s">
        <v>30</v>
      </c>
    </row>
    <row r="652" spans="1:18">
      <c r="A652" s="1">
        <v>45292</v>
      </c>
      <c r="B652" s="1">
        <v>45292</v>
      </c>
      <c r="C652">
        <v>2024</v>
      </c>
      <c r="D652">
        <v>1</v>
      </c>
      <c r="E652" s="2" t="s">
        <v>8443</v>
      </c>
      <c r="F652" s="2" t="s">
        <v>8444</v>
      </c>
      <c r="G652" s="2" t="s">
        <v>8335</v>
      </c>
      <c r="H652" s="2" t="s">
        <v>22</v>
      </c>
      <c r="I652" s="2" t="s">
        <v>8387</v>
      </c>
      <c r="J652" s="2" t="s">
        <v>24</v>
      </c>
      <c r="K652">
        <v>2.2400000000000002</v>
      </c>
      <c r="L652">
        <v>224000</v>
      </c>
      <c r="M652" s="2" t="s">
        <v>8392</v>
      </c>
      <c r="N652" s="2" t="s">
        <v>8396</v>
      </c>
      <c r="O652" s="2" t="s">
        <v>1795</v>
      </c>
      <c r="P652" s="2" t="s">
        <v>175</v>
      </c>
      <c r="Q652" s="2" t="s">
        <v>8445</v>
      </c>
      <c r="R652" s="2" t="s">
        <v>30</v>
      </c>
    </row>
    <row r="653" spans="1:18">
      <c r="A653" s="1">
        <v>45292</v>
      </c>
      <c r="B653" s="1">
        <v>45292</v>
      </c>
      <c r="C653">
        <v>2024</v>
      </c>
      <c r="D653">
        <v>1</v>
      </c>
      <c r="E653" s="2" t="s">
        <v>8446</v>
      </c>
      <c r="F653" s="2" t="s">
        <v>8447</v>
      </c>
      <c r="G653" s="2" t="s">
        <v>8335</v>
      </c>
      <c r="H653" s="2" t="s">
        <v>22</v>
      </c>
      <c r="I653" s="2" t="s">
        <v>8387</v>
      </c>
      <c r="J653" s="2" t="s">
        <v>59</v>
      </c>
      <c r="K653">
        <v>2.58</v>
      </c>
      <c r="L653">
        <v>258000</v>
      </c>
      <c r="M653" s="2" t="s">
        <v>8384</v>
      </c>
      <c r="N653" s="2" t="s">
        <v>8389</v>
      </c>
      <c r="O653" s="2" t="s">
        <v>8837</v>
      </c>
      <c r="P653" s="2" t="s">
        <v>175</v>
      </c>
      <c r="Q653" s="2" t="s">
        <v>8445</v>
      </c>
      <c r="R653" s="2" t="s">
        <v>30</v>
      </c>
    </row>
    <row r="654" spans="1:18">
      <c r="A654" s="1">
        <v>45292</v>
      </c>
      <c r="B654" s="1">
        <v>45292</v>
      </c>
      <c r="C654">
        <v>2024</v>
      </c>
      <c r="D654">
        <v>1</v>
      </c>
      <c r="E654" s="2" t="s">
        <v>8448</v>
      </c>
      <c r="F654" s="2" t="s">
        <v>8449</v>
      </c>
      <c r="G654" s="2" t="s">
        <v>8335</v>
      </c>
      <c r="H654" s="2" t="s">
        <v>22</v>
      </c>
      <c r="I654" s="2" t="s">
        <v>8387</v>
      </c>
      <c r="J654" s="2" t="s">
        <v>24</v>
      </c>
      <c r="K654">
        <v>0.34</v>
      </c>
      <c r="L654">
        <v>34000</v>
      </c>
      <c r="M654" s="2" t="s">
        <v>8399</v>
      </c>
      <c r="N654" s="2" t="s">
        <v>8403</v>
      </c>
      <c r="O654" s="2" t="s">
        <v>3373</v>
      </c>
      <c r="P654" s="2" t="s">
        <v>175</v>
      </c>
      <c r="Q654" s="2" t="s">
        <v>8445</v>
      </c>
      <c r="R654" s="2" t="s">
        <v>30</v>
      </c>
    </row>
    <row r="655" spans="1:18">
      <c r="A655" s="1">
        <v>45292</v>
      </c>
      <c r="B655" s="1">
        <v>45292</v>
      </c>
      <c r="C655">
        <v>2024</v>
      </c>
      <c r="D655">
        <v>1</v>
      </c>
      <c r="E655" s="2" t="s">
        <v>8450</v>
      </c>
      <c r="F655" s="2" t="s">
        <v>8451</v>
      </c>
      <c r="G655" s="2" t="s">
        <v>8335</v>
      </c>
      <c r="H655" s="2" t="s">
        <v>22</v>
      </c>
      <c r="I655" s="2" t="s">
        <v>8417</v>
      </c>
      <c r="J655" s="2" t="s">
        <v>24</v>
      </c>
      <c r="K655">
        <v>60.04</v>
      </c>
      <c r="L655">
        <v>6004000</v>
      </c>
      <c r="M655" s="2" t="s">
        <v>8422</v>
      </c>
      <c r="N655" s="2" t="s">
        <v>8426</v>
      </c>
      <c r="O655" s="2" t="s">
        <v>8957</v>
      </c>
      <c r="P655" s="2" t="s">
        <v>175</v>
      </c>
      <c r="Q655" s="2" t="s">
        <v>8445</v>
      </c>
      <c r="R655" s="2" t="s">
        <v>30</v>
      </c>
    </row>
    <row r="656" spans="1:18">
      <c r="A656" s="1">
        <v>45292</v>
      </c>
      <c r="B656" s="1">
        <v>45292</v>
      </c>
      <c r="C656">
        <v>2024</v>
      </c>
      <c r="D656">
        <v>1</v>
      </c>
      <c r="E656" s="2" t="s">
        <v>8453</v>
      </c>
      <c r="F656" s="2" t="s">
        <v>8454</v>
      </c>
      <c r="G656" s="2" t="s">
        <v>8335</v>
      </c>
      <c r="H656" s="2" t="s">
        <v>22</v>
      </c>
      <c r="I656" s="2" t="s">
        <v>8336</v>
      </c>
      <c r="J656" s="2" t="s">
        <v>24</v>
      </c>
      <c r="K656">
        <v>995</v>
      </c>
      <c r="L656">
        <v>99500000</v>
      </c>
      <c r="M656" s="2" t="s">
        <v>8348</v>
      </c>
      <c r="N656" s="2" t="s">
        <v>8352</v>
      </c>
      <c r="O656" s="2" t="s">
        <v>8958</v>
      </c>
      <c r="P656" s="2" t="s">
        <v>175</v>
      </c>
      <c r="Q656" s="2" t="s">
        <v>8445</v>
      </c>
      <c r="R656" s="2" t="s">
        <v>30</v>
      </c>
    </row>
    <row r="657" spans="1:18">
      <c r="A657" s="1">
        <v>45292</v>
      </c>
      <c r="B657" s="1">
        <v>45292</v>
      </c>
      <c r="C657">
        <v>2024</v>
      </c>
      <c r="D657">
        <v>1</v>
      </c>
      <c r="E657" s="2" t="s">
        <v>8456</v>
      </c>
      <c r="F657" s="2" t="s">
        <v>8457</v>
      </c>
      <c r="G657" s="2" t="s">
        <v>8335</v>
      </c>
      <c r="H657" s="2" t="s">
        <v>22</v>
      </c>
      <c r="I657" s="2" t="s">
        <v>8336</v>
      </c>
      <c r="J657" s="2" t="s">
        <v>24</v>
      </c>
      <c r="K657">
        <v>9575.66</v>
      </c>
      <c r="L657">
        <v>957566000</v>
      </c>
      <c r="M657" s="2" t="s">
        <v>8355</v>
      </c>
      <c r="N657" s="2" t="s">
        <v>8359</v>
      </c>
      <c r="O657" s="2" t="s">
        <v>8959</v>
      </c>
      <c r="P657" s="2" t="s">
        <v>175</v>
      </c>
      <c r="Q657" s="2" t="s">
        <v>8445</v>
      </c>
      <c r="R657" s="2" t="s">
        <v>30</v>
      </c>
    </row>
    <row r="658" spans="1:18">
      <c r="A658" s="1">
        <v>45292</v>
      </c>
      <c r="B658" s="1">
        <v>45292</v>
      </c>
      <c r="C658">
        <v>2024</v>
      </c>
      <c r="D658">
        <v>1</v>
      </c>
      <c r="E658" s="2" t="s">
        <v>8459</v>
      </c>
      <c r="F658" s="2" t="s">
        <v>8460</v>
      </c>
      <c r="G658" s="2" t="s">
        <v>8335</v>
      </c>
      <c r="H658" s="2" t="s">
        <v>22</v>
      </c>
      <c r="I658" s="2" t="s">
        <v>8336</v>
      </c>
      <c r="J658" s="2" t="s">
        <v>59</v>
      </c>
      <c r="K658">
        <v>10570.66</v>
      </c>
      <c r="L658">
        <v>1057066000</v>
      </c>
      <c r="M658" s="2" t="s">
        <v>8331</v>
      </c>
      <c r="N658" s="2" t="s">
        <v>8341</v>
      </c>
      <c r="O658" s="2" t="s">
        <v>8960</v>
      </c>
      <c r="P658" s="2" t="s">
        <v>175</v>
      </c>
      <c r="Q658" s="2" t="s">
        <v>8445</v>
      </c>
      <c r="R658" s="2" t="s">
        <v>30</v>
      </c>
    </row>
    <row r="659" spans="1:18">
      <c r="A659" s="1">
        <v>45292</v>
      </c>
      <c r="B659" s="1">
        <v>45292</v>
      </c>
      <c r="C659">
        <v>2024</v>
      </c>
      <c r="D659">
        <v>1</v>
      </c>
      <c r="E659" s="2" t="s">
        <v>8462</v>
      </c>
      <c r="F659" s="2" t="s">
        <v>8463</v>
      </c>
      <c r="G659" s="2" t="s">
        <v>8335</v>
      </c>
      <c r="H659" s="2" t="s">
        <v>22</v>
      </c>
      <c r="I659" s="2" t="s">
        <v>8409</v>
      </c>
      <c r="J659" s="2" t="s">
        <v>24</v>
      </c>
      <c r="K659">
        <v>17.600000000000001</v>
      </c>
      <c r="L659">
        <v>1760000</v>
      </c>
      <c r="M659" s="2" t="s">
        <v>8406</v>
      </c>
      <c r="N659" s="2" t="s">
        <v>8411</v>
      </c>
      <c r="O659" s="2" t="s">
        <v>8961</v>
      </c>
      <c r="P659" s="2" t="s">
        <v>175</v>
      </c>
      <c r="Q659" s="2" t="s">
        <v>8445</v>
      </c>
      <c r="R659" s="2" t="s">
        <v>30</v>
      </c>
    </row>
    <row r="660" spans="1:18">
      <c r="A660" s="1">
        <v>45292</v>
      </c>
      <c r="B660" s="1">
        <v>45292</v>
      </c>
      <c r="C660">
        <v>2024</v>
      </c>
      <c r="D660">
        <v>1</v>
      </c>
      <c r="E660" s="2" t="s">
        <v>8464</v>
      </c>
      <c r="F660" s="2" t="s">
        <v>8465</v>
      </c>
      <c r="G660" s="2" t="s">
        <v>8335</v>
      </c>
      <c r="H660" s="2" t="s">
        <v>22</v>
      </c>
      <c r="I660" s="2" t="s">
        <v>8417</v>
      </c>
      <c r="J660" s="2" t="s">
        <v>24</v>
      </c>
      <c r="K660">
        <v>85.93</v>
      </c>
      <c r="L660">
        <v>8593000</v>
      </c>
      <c r="M660" s="2" t="s">
        <v>8414</v>
      </c>
      <c r="N660" s="2" t="s">
        <v>8419</v>
      </c>
      <c r="O660" s="2" t="s">
        <v>8962</v>
      </c>
      <c r="P660" s="2" t="s">
        <v>175</v>
      </c>
      <c r="Q660" s="2" t="s">
        <v>8445</v>
      </c>
      <c r="R660" s="2" t="s">
        <v>30</v>
      </c>
    </row>
    <row r="661" spans="1:18">
      <c r="A661" s="1">
        <v>45292</v>
      </c>
      <c r="B661" s="1">
        <v>45292</v>
      </c>
      <c r="C661">
        <v>2024</v>
      </c>
      <c r="D661">
        <v>1</v>
      </c>
      <c r="E661" s="2" t="s">
        <v>8467</v>
      </c>
      <c r="F661" s="2" t="s">
        <v>8468</v>
      </c>
      <c r="G661" s="2" t="s">
        <v>8335</v>
      </c>
      <c r="H661" s="2" t="s">
        <v>22</v>
      </c>
      <c r="I661" s="2" t="s">
        <v>8365</v>
      </c>
      <c r="J661" s="2" t="s">
        <v>24</v>
      </c>
      <c r="K661">
        <v>3279.33</v>
      </c>
      <c r="L661">
        <v>327933000</v>
      </c>
      <c r="M661" s="2" t="s">
        <v>8377</v>
      </c>
      <c r="N661" s="2" t="s">
        <v>8381</v>
      </c>
      <c r="O661" s="2" t="s">
        <v>8963</v>
      </c>
      <c r="P661" s="2" t="s">
        <v>175</v>
      </c>
      <c r="Q661" s="2" t="s">
        <v>8445</v>
      </c>
      <c r="R661" s="2" t="s">
        <v>30</v>
      </c>
    </row>
    <row r="662" spans="1:18">
      <c r="A662" s="1">
        <v>45292</v>
      </c>
      <c r="B662" s="1">
        <v>45292</v>
      </c>
      <c r="C662">
        <v>2024</v>
      </c>
      <c r="D662">
        <v>1</v>
      </c>
      <c r="E662" s="2" t="s">
        <v>8470</v>
      </c>
      <c r="F662" s="2" t="s">
        <v>8471</v>
      </c>
      <c r="G662" s="2" t="s">
        <v>8335</v>
      </c>
      <c r="H662" s="2" t="s">
        <v>22</v>
      </c>
      <c r="I662" s="2" t="s">
        <v>8365</v>
      </c>
      <c r="J662" s="2" t="s">
        <v>59</v>
      </c>
      <c r="K662">
        <v>17676.259999999998</v>
      </c>
      <c r="L662">
        <v>1767626000</v>
      </c>
      <c r="M662" s="2" t="s">
        <v>8362</v>
      </c>
      <c r="N662" s="2" t="s">
        <v>8367</v>
      </c>
      <c r="O662" s="2" t="s">
        <v>8964</v>
      </c>
      <c r="P662" s="2" t="s">
        <v>175</v>
      </c>
      <c r="Q662" s="2" t="s">
        <v>8445</v>
      </c>
      <c r="R662" s="2" t="s">
        <v>30</v>
      </c>
    </row>
    <row r="663" spans="1:18">
      <c r="A663" s="1">
        <v>45292</v>
      </c>
      <c r="B663" s="1">
        <v>45292</v>
      </c>
      <c r="C663">
        <v>2024</v>
      </c>
      <c r="D663">
        <v>1</v>
      </c>
      <c r="E663" s="2" t="s">
        <v>8473</v>
      </c>
      <c r="F663" s="2" t="s">
        <v>8474</v>
      </c>
      <c r="G663" s="2" t="s">
        <v>8335</v>
      </c>
      <c r="H663" s="2" t="s">
        <v>22</v>
      </c>
      <c r="I663" s="2" t="s">
        <v>8365</v>
      </c>
      <c r="J663" s="2" t="s">
        <v>24</v>
      </c>
      <c r="K663">
        <v>14396.94</v>
      </c>
      <c r="L663">
        <v>1439694000</v>
      </c>
      <c r="M663" s="2" t="s">
        <v>8370</v>
      </c>
      <c r="N663" s="2" t="s">
        <v>8374</v>
      </c>
      <c r="O663" s="2" t="s">
        <v>8965</v>
      </c>
      <c r="P663" s="2" t="s">
        <v>175</v>
      </c>
      <c r="Q663" s="2" t="s">
        <v>8445</v>
      </c>
      <c r="R663" s="2" t="s">
        <v>30</v>
      </c>
    </row>
    <row r="664" spans="1:18">
      <c r="A664" s="1">
        <v>45292</v>
      </c>
      <c r="B664" s="1">
        <v>45292</v>
      </c>
      <c r="C664">
        <v>2024</v>
      </c>
      <c r="D664">
        <v>1</v>
      </c>
      <c r="E664" s="2" t="s">
        <v>7890</v>
      </c>
      <c r="F664" s="2" t="s">
        <v>7891</v>
      </c>
      <c r="G664" s="2" t="s">
        <v>8335</v>
      </c>
      <c r="H664" s="2" t="s">
        <v>22</v>
      </c>
      <c r="I664" s="2" t="s">
        <v>8417</v>
      </c>
      <c r="J664" s="2" t="s">
        <v>24</v>
      </c>
      <c r="K664">
        <v>3213.79</v>
      </c>
      <c r="L664">
        <v>321379000</v>
      </c>
      <c r="M664" s="2" t="s">
        <v>7889</v>
      </c>
      <c r="N664" s="2" t="s">
        <v>7911</v>
      </c>
      <c r="O664" s="2" t="s">
        <v>8966</v>
      </c>
      <c r="P664" s="2" t="s">
        <v>7912</v>
      </c>
      <c r="Q664" s="2" t="s">
        <v>8967</v>
      </c>
      <c r="R664" s="2" t="s">
        <v>8968</v>
      </c>
    </row>
    <row r="665" spans="1:18">
      <c r="A665" s="1">
        <v>45323</v>
      </c>
      <c r="B665" s="1">
        <v>45323</v>
      </c>
      <c r="C665">
        <v>2024</v>
      </c>
      <c r="D665">
        <v>2</v>
      </c>
      <c r="E665" s="2" t="s">
        <v>8443</v>
      </c>
      <c r="F665" s="2" t="s">
        <v>8444</v>
      </c>
      <c r="G665" s="2" t="s">
        <v>8335</v>
      </c>
      <c r="H665" s="2" t="s">
        <v>22</v>
      </c>
      <c r="I665" s="2" t="s">
        <v>8387</v>
      </c>
      <c r="J665" s="2" t="s">
        <v>24</v>
      </c>
      <c r="K665">
        <v>2.23</v>
      </c>
      <c r="L665">
        <v>223000</v>
      </c>
      <c r="M665" s="2" t="s">
        <v>8392</v>
      </c>
      <c r="N665" s="2" t="s">
        <v>8396</v>
      </c>
      <c r="O665" s="2" t="s">
        <v>1041</v>
      </c>
      <c r="P665" s="2" t="s">
        <v>175</v>
      </c>
      <c r="Q665" s="2" t="s">
        <v>8445</v>
      </c>
      <c r="R665" s="2" t="s">
        <v>30</v>
      </c>
    </row>
    <row r="666" spans="1:18">
      <c r="A666" s="1">
        <v>45323</v>
      </c>
      <c r="B666" s="1">
        <v>45323</v>
      </c>
      <c r="C666">
        <v>2024</v>
      </c>
      <c r="D666">
        <v>2</v>
      </c>
      <c r="E666" s="2" t="s">
        <v>8446</v>
      </c>
      <c r="F666" s="2" t="s">
        <v>8447</v>
      </c>
      <c r="G666" s="2" t="s">
        <v>8335</v>
      </c>
      <c r="H666" s="2" t="s">
        <v>22</v>
      </c>
      <c r="I666" s="2" t="s">
        <v>8387</v>
      </c>
      <c r="J666" s="2" t="s">
        <v>59</v>
      </c>
      <c r="K666">
        <v>2.57</v>
      </c>
      <c r="L666">
        <v>257000</v>
      </c>
      <c r="M666" s="2" t="s">
        <v>8384</v>
      </c>
      <c r="N666" s="2" t="s">
        <v>8389</v>
      </c>
      <c r="O666" s="2" t="s">
        <v>8826</v>
      </c>
      <c r="P666" s="2" t="s">
        <v>175</v>
      </c>
      <c r="Q666" s="2" t="s">
        <v>8445</v>
      </c>
      <c r="R666" s="2" t="s">
        <v>30</v>
      </c>
    </row>
    <row r="667" spans="1:18">
      <c r="A667" s="1">
        <v>45323</v>
      </c>
      <c r="B667" s="1">
        <v>45323</v>
      </c>
      <c r="C667">
        <v>2024</v>
      </c>
      <c r="D667">
        <v>2</v>
      </c>
      <c r="E667" s="2" t="s">
        <v>8448</v>
      </c>
      <c r="F667" s="2" t="s">
        <v>8449</v>
      </c>
      <c r="G667" s="2" t="s">
        <v>8335</v>
      </c>
      <c r="H667" s="2" t="s">
        <v>22</v>
      </c>
      <c r="I667" s="2" t="s">
        <v>8387</v>
      </c>
      <c r="J667" s="2" t="s">
        <v>24</v>
      </c>
      <c r="K667">
        <v>0.34</v>
      </c>
      <c r="L667">
        <v>34000</v>
      </c>
      <c r="M667" s="2" t="s">
        <v>8399</v>
      </c>
      <c r="N667" s="2" t="s">
        <v>8403</v>
      </c>
      <c r="O667" s="2" t="s">
        <v>3373</v>
      </c>
      <c r="P667" s="2" t="s">
        <v>175</v>
      </c>
      <c r="Q667" s="2" t="s">
        <v>8445</v>
      </c>
      <c r="R667" s="2" t="s">
        <v>30</v>
      </c>
    </row>
    <row r="668" spans="1:18">
      <c r="A668" s="1">
        <v>45323</v>
      </c>
      <c r="B668" s="1">
        <v>45323</v>
      </c>
      <c r="C668">
        <v>2024</v>
      </c>
      <c r="D668">
        <v>2</v>
      </c>
      <c r="E668" s="2" t="s">
        <v>8450</v>
      </c>
      <c r="F668" s="2" t="s">
        <v>8451</v>
      </c>
      <c r="G668" s="2" t="s">
        <v>8335</v>
      </c>
      <c r="H668" s="2" t="s">
        <v>22</v>
      </c>
      <c r="I668" s="2" t="s">
        <v>8417</v>
      </c>
      <c r="J668" s="2" t="s">
        <v>24</v>
      </c>
      <c r="K668">
        <v>61.5</v>
      </c>
      <c r="L668">
        <v>6150000</v>
      </c>
      <c r="M668" s="2" t="s">
        <v>8422</v>
      </c>
      <c r="N668" s="2" t="s">
        <v>8426</v>
      </c>
      <c r="O668" s="2" t="s">
        <v>8969</v>
      </c>
      <c r="P668" s="2" t="s">
        <v>175</v>
      </c>
      <c r="Q668" s="2" t="s">
        <v>8445</v>
      </c>
      <c r="R668" s="2" t="s">
        <v>30</v>
      </c>
    </row>
    <row r="669" spans="1:18">
      <c r="A669" s="1">
        <v>45323</v>
      </c>
      <c r="B669" s="1">
        <v>45323</v>
      </c>
      <c r="C669">
        <v>2024</v>
      </c>
      <c r="D669">
        <v>2</v>
      </c>
      <c r="E669" s="2" t="s">
        <v>8453</v>
      </c>
      <c r="F669" s="2" t="s">
        <v>8454</v>
      </c>
      <c r="G669" s="2" t="s">
        <v>8335</v>
      </c>
      <c r="H669" s="2" t="s">
        <v>22</v>
      </c>
      <c r="I669" s="2" t="s">
        <v>8336</v>
      </c>
      <c r="J669" s="2" t="s">
        <v>24</v>
      </c>
      <c r="K669">
        <v>1006</v>
      </c>
      <c r="L669">
        <v>100600000</v>
      </c>
      <c r="M669" s="2" t="s">
        <v>8348</v>
      </c>
      <c r="N669" s="2" t="s">
        <v>8352</v>
      </c>
      <c r="O669" s="2" t="s">
        <v>8970</v>
      </c>
      <c r="P669" s="2" t="s">
        <v>175</v>
      </c>
      <c r="Q669" s="2" t="s">
        <v>8445</v>
      </c>
      <c r="R669" s="2" t="s">
        <v>30</v>
      </c>
    </row>
    <row r="670" spans="1:18">
      <c r="A670" s="1">
        <v>45323</v>
      </c>
      <c r="B670" s="1">
        <v>45323</v>
      </c>
      <c r="C670">
        <v>2024</v>
      </c>
      <c r="D670">
        <v>2</v>
      </c>
      <c r="E670" s="2" t="s">
        <v>8456</v>
      </c>
      <c r="F670" s="2" t="s">
        <v>8457</v>
      </c>
      <c r="G670" s="2" t="s">
        <v>8335</v>
      </c>
      <c r="H670" s="2" t="s">
        <v>22</v>
      </c>
      <c r="I670" s="2" t="s">
        <v>8336</v>
      </c>
      <c r="J670" s="2" t="s">
        <v>24</v>
      </c>
      <c r="K670">
        <v>9606.7099999999991</v>
      </c>
      <c r="L670">
        <v>960671000</v>
      </c>
      <c r="M670" s="2" t="s">
        <v>8355</v>
      </c>
      <c r="N670" s="2" t="s">
        <v>8359</v>
      </c>
      <c r="O670" s="2" t="s">
        <v>8971</v>
      </c>
      <c r="P670" s="2" t="s">
        <v>175</v>
      </c>
      <c r="Q670" s="2" t="s">
        <v>8445</v>
      </c>
      <c r="R670" s="2" t="s">
        <v>30</v>
      </c>
    </row>
    <row r="671" spans="1:18">
      <c r="A671" s="1">
        <v>45323</v>
      </c>
      <c r="B671" s="1">
        <v>45323</v>
      </c>
      <c r="C671">
        <v>2024</v>
      </c>
      <c r="D671">
        <v>2</v>
      </c>
      <c r="E671" s="2" t="s">
        <v>8459</v>
      </c>
      <c r="F671" s="2" t="s">
        <v>8460</v>
      </c>
      <c r="G671" s="2" t="s">
        <v>8335</v>
      </c>
      <c r="H671" s="2" t="s">
        <v>22</v>
      </c>
      <c r="I671" s="2" t="s">
        <v>8336</v>
      </c>
      <c r="J671" s="2" t="s">
        <v>59</v>
      </c>
      <c r="K671">
        <v>10612.71</v>
      </c>
      <c r="L671">
        <v>1061271000</v>
      </c>
      <c r="M671" s="2" t="s">
        <v>8331</v>
      </c>
      <c r="N671" s="2" t="s">
        <v>8341</v>
      </c>
      <c r="O671" s="2" t="s">
        <v>8972</v>
      </c>
      <c r="P671" s="2" t="s">
        <v>175</v>
      </c>
      <c r="Q671" s="2" t="s">
        <v>8445</v>
      </c>
      <c r="R671" s="2" t="s">
        <v>30</v>
      </c>
    </row>
    <row r="672" spans="1:18">
      <c r="A672" s="1">
        <v>45323</v>
      </c>
      <c r="B672" s="1">
        <v>45323</v>
      </c>
      <c r="C672">
        <v>2024</v>
      </c>
      <c r="D672">
        <v>2</v>
      </c>
      <c r="E672" s="2" t="s">
        <v>8462</v>
      </c>
      <c r="F672" s="2" t="s">
        <v>8463</v>
      </c>
      <c r="G672" s="2" t="s">
        <v>8335</v>
      </c>
      <c r="H672" s="2" t="s">
        <v>22</v>
      </c>
      <c r="I672" s="2" t="s">
        <v>8409</v>
      </c>
      <c r="J672" s="2" t="s">
        <v>24</v>
      </c>
      <c r="K672">
        <v>17.010000000000002</v>
      </c>
      <c r="L672">
        <v>1701000</v>
      </c>
      <c r="M672" s="2" t="s">
        <v>8406</v>
      </c>
      <c r="N672" s="2" t="s">
        <v>8411</v>
      </c>
      <c r="O672" s="2" t="s">
        <v>8973</v>
      </c>
      <c r="P672" s="2" t="s">
        <v>175</v>
      </c>
      <c r="Q672" s="2" t="s">
        <v>8445</v>
      </c>
      <c r="R672" s="2" t="s">
        <v>30</v>
      </c>
    </row>
    <row r="673" spans="1:18">
      <c r="A673" s="1">
        <v>45323</v>
      </c>
      <c r="B673" s="1">
        <v>45323</v>
      </c>
      <c r="C673">
        <v>2024</v>
      </c>
      <c r="D673">
        <v>2</v>
      </c>
      <c r="E673" s="2" t="s">
        <v>8464</v>
      </c>
      <c r="F673" s="2" t="s">
        <v>8465</v>
      </c>
      <c r="G673" s="2" t="s">
        <v>8335</v>
      </c>
      <c r="H673" s="2" t="s">
        <v>22</v>
      </c>
      <c r="I673" s="2" t="s">
        <v>8417</v>
      </c>
      <c r="J673" s="2" t="s">
        <v>24</v>
      </c>
      <c r="K673">
        <v>87.73</v>
      </c>
      <c r="L673">
        <v>8773000</v>
      </c>
      <c r="M673" s="2" t="s">
        <v>8414</v>
      </c>
      <c r="N673" s="2" t="s">
        <v>8419</v>
      </c>
      <c r="O673" s="2" t="s">
        <v>8974</v>
      </c>
      <c r="P673" s="2" t="s">
        <v>175</v>
      </c>
      <c r="Q673" s="2" t="s">
        <v>8445</v>
      </c>
      <c r="R673" s="2" t="s">
        <v>30</v>
      </c>
    </row>
    <row r="674" spans="1:18">
      <c r="A674" s="1">
        <v>45323</v>
      </c>
      <c r="B674" s="1">
        <v>45323</v>
      </c>
      <c r="C674">
        <v>2024</v>
      </c>
      <c r="D674">
        <v>2</v>
      </c>
      <c r="E674" s="2" t="s">
        <v>8467</v>
      </c>
      <c r="F674" s="2" t="s">
        <v>8468</v>
      </c>
      <c r="G674" s="2" t="s">
        <v>8335</v>
      </c>
      <c r="H674" s="2" t="s">
        <v>22</v>
      </c>
      <c r="I674" s="2" t="s">
        <v>8365</v>
      </c>
      <c r="J674" s="2" t="s">
        <v>24</v>
      </c>
      <c r="K674">
        <v>3322.78</v>
      </c>
      <c r="L674">
        <v>332278000</v>
      </c>
      <c r="M674" s="2" t="s">
        <v>8377</v>
      </c>
      <c r="N674" s="2" t="s">
        <v>8381</v>
      </c>
      <c r="O674" s="2" t="s">
        <v>8975</v>
      </c>
      <c r="P674" s="2" t="s">
        <v>175</v>
      </c>
      <c r="Q674" s="2" t="s">
        <v>8445</v>
      </c>
      <c r="R674" s="2" t="s">
        <v>30</v>
      </c>
    </row>
    <row r="675" spans="1:18">
      <c r="A675" s="1">
        <v>45323</v>
      </c>
      <c r="B675" s="1">
        <v>45323</v>
      </c>
      <c r="C675">
        <v>2024</v>
      </c>
      <c r="D675">
        <v>2</v>
      </c>
      <c r="E675" s="2" t="s">
        <v>8470</v>
      </c>
      <c r="F675" s="2" t="s">
        <v>8471</v>
      </c>
      <c r="G675" s="2" t="s">
        <v>8335</v>
      </c>
      <c r="H675" s="2" t="s">
        <v>22</v>
      </c>
      <c r="I675" s="2" t="s">
        <v>8365</v>
      </c>
      <c r="J675" s="2" t="s">
        <v>59</v>
      </c>
      <c r="K675">
        <v>17118.53</v>
      </c>
      <c r="L675">
        <v>1711853000</v>
      </c>
      <c r="M675" s="2" t="s">
        <v>8362</v>
      </c>
      <c r="N675" s="2" t="s">
        <v>8367</v>
      </c>
      <c r="O675" s="2" t="s">
        <v>8976</v>
      </c>
      <c r="P675" s="2" t="s">
        <v>175</v>
      </c>
      <c r="Q675" s="2" t="s">
        <v>8445</v>
      </c>
      <c r="R675" s="2" t="s">
        <v>30</v>
      </c>
    </row>
    <row r="676" spans="1:18">
      <c r="A676" s="1">
        <v>45323</v>
      </c>
      <c r="B676" s="1">
        <v>45323</v>
      </c>
      <c r="C676">
        <v>2024</v>
      </c>
      <c r="D676">
        <v>2</v>
      </c>
      <c r="E676" s="2" t="s">
        <v>8473</v>
      </c>
      <c r="F676" s="2" t="s">
        <v>8474</v>
      </c>
      <c r="G676" s="2" t="s">
        <v>8335</v>
      </c>
      <c r="H676" s="2" t="s">
        <v>22</v>
      </c>
      <c r="I676" s="2" t="s">
        <v>8365</v>
      </c>
      <c r="J676" s="2" t="s">
        <v>24</v>
      </c>
      <c r="K676">
        <v>13795.76</v>
      </c>
      <c r="L676">
        <v>1379576000</v>
      </c>
      <c r="M676" s="2" t="s">
        <v>8370</v>
      </c>
      <c r="N676" s="2" t="s">
        <v>8374</v>
      </c>
      <c r="O676" s="2" t="s">
        <v>8977</v>
      </c>
      <c r="P676" s="2" t="s">
        <v>175</v>
      </c>
      <c r="Q676" s="2" t="s">
        <v>8445</v>
      </c>
      <c r="R676" s="2" t="s">
        <v>30</v>
      </c>
    </row>
    <row r="677" spans="1:18">
      <c r="A677" s="1">
        <v>45323</v>
      </c>
      <c r="B677" s="1">
        <v>45323</v>
      </c>
      <c r="C677">
        <v>2024</v>
      </c>
      <c r="D677">
        <v>2</v>
      </c>
      <c r="E677" s="2" t="s">
        <v>7890</v>
      </c>
      <c r="F677" s="2" t="s">
        <v>7891</v>
      </c>
      <c r="G677" s="2" t="s">
        <v>8335</v>
      </c>
      <c r="H677" s="2" t="s">
        <v>22</v>
      </c>
      <c r="I677" s="2" t="s">
        <v>8417</v>
      </c>
      <c r="J677" s="2" t="s">
        <v>24</v>
      </c>
      <c r="K677">
        <v>3371.8</v>
      </c>
      <c r="L677">
        <v>337180000</v>
      </c>
      <c r="M677" s="2" t="s">
        <v>7889</v>
      </c>
      <c r="N677" s="2" t="s">
        <v>7911</v>
      </c>
      <c r="O677" s="2" t="s">
        <v>8978</v>
      </c>
      <c r="P677" s="2" t="s">
        <v>7918</v>
      </c>
      <c r="Q677" s="2" t="s">
        <v>8967</v>
      </c>
      <c r="R677" s="2" t="s">
        <v>8979</v>
      </c>
    </row>
    <row r="678" spans="1:18">
      <c r="A678" s="1">
        <v>45352</v>
      </c>
      <c r="B678" s="1">
        <v>45352</v>
      </c>
      <c r="C678">
        <v>2024</v>
      </c>
      <c r="D678">
        <v>3</v>
      </c>
      <c r="E678" s="2" t="s">
        <v>8443</v>
      </c>
      <c r="F678" s="2" t="s">
        <v>8444</v>
      </c>
      <c r="G678" s="2" t="s">
        <v>8335</v>
      </c>
      <c r="H678" s="2" t="s">
        <v>22</v>
      </c>
      <c r="I678" s="2" t="s">
        <v>8387</v>
      </c>
      <c r="J678" s="2" t="s">
        <v>24</v>
      </c>
      <c r="K678">
        <v>2.23</v>
      </c>
      <c r="L678">
        <v>223000</v>
      </c>
      <c r="M678" s="2" t="s">
        <v>8392</v>
      </c>
      <c r="N678" s="2" t="s">
        <v>8396</v>
      </c>
      <c r="O678" s="2" t="s">
        <v>1041</v>
      </c>
      <c r="P678" s="2" t="s">
        <v>175</v>
      </c>
      <c r="Q678" s="2" t="s">
        <v>8445</v>
      </c>
      <c r="R678" s="2" t="s">
        <v>30</v>
      </c>
    </row>
    <row r="679" spans="1:18">
      <c r="A679" s="1">
        <v>45352</v>
      </c>
      <c r="B679" s="1">
        <v>45352</v>
      </c>
      <c r="C679">
        <v>2024</v>
      </c>
      <c r="D679">
        <v>3</v>
      </c>
      <c r="E679" s="2" t="s">
        <v>8446</v>
      </c>
      <c r="F679" s="2" t="s">
        <v>8447</v>
      </c>
      <c r="G679" s="2" t="s">
        <v>8335</v>
      </c>
      <c r="H679" s="2" t="s">
        <v>22</v>
      </c>
      <c r="I679" s="2" t="s">
        <v>8387</v>
      </c>
      <c r="J679" s="2" t="s">
        <v>59</v>
      </c>
      <c r="K679">
        <v>2.58</v>
      </c>
      <c r="L679">
        <v>258000</v>
      </c>
      <c r="M679" s="2" t="s">
        <v>8384</v>
      </c>
      <c r="N679" s="2" t="s">
        <v>8389</v>
      </c>
      <c r="O679" s="2" t="s">
        <v>8837</v>
      </c>
      <c r="P679" s="2" t="s">
        <v>175</v>
      </c>
      <c r="Q679" s="2" t="s">
        <v>8445</v>
      </c>
      <c r="R679" s="2" t="s">
        <v>30</v>
      </c>
    </row>
    <row r="680" spans="1:18">
      <c r="A680" s="1">
        <v>45352</v>
      </c>
      <c r="B680" s="1">
        <v>45352</v>
      </c>
      <c r="C680">
        <v>2024</v>
      </c>
      <c r="D680">
        <v>3</v>
      </c>
      <c r="E680" s="2" t="s">
        <v>8448</v>
      </c>
      <c r="F680" s="2" t="s">
        <v>8449</v>
      </c>
      <c r="G680" s="2" t="s">
        <v>8335</v>
      </c>
      <c r="H680" s="2" t="s">
        <v>22</v>
      </c>
      <c r="I680" s="2" t="s">
        <v>8387</v>
      </c>
      <c r="J680" s="2" t="s">
        <v>24</v>
      </c>
      <c r="K680">
        <v>0.35</v>
      </c>
      <c r="L680">
        <v>35000</v>
      </c>
      <c r="M680" s="2" t="s">
        <v>8399</v>
      </c>
      <c r="N680" s="2" t="s">
        <v>8403</v>
      </c>
      <c r="O680" s="2" t="s">
        <v>4029</v>
      </c>
      <c r="P680" s="2" t="s">
        <v>175</v>
      </c>
      <c r="Q680" s="2" t="s">
        <v>8445</v>
      </c>
      <c r="R680" s="2" t="s">
        <v>30</v>
      </c>
    </row>
    <row r="681" spans="1:18">
      <c r="A681" s="1">
        <v>45352</v>
      </c>
      <c r="B681" s="1">
        <v>45352</v>
      </c>
      <c r="C681">
        <v>2024</v>
      </c>
      <c r="D681">
        <v>3</v>
      </c>
      <c r="E681" s="2" t="s">
        <v>8450</v>
      </c>
      <c r="F681" s="2" t="s">
        <v>8451</v>
      </c>
      <c r="G681" s="2" t="s">
        <v>8335</v>
      </c>
      <c r="H681" s="2" t="s">
        <v>22</v>
      </c>
      <c r="I681" s="2" t="s">
        <v>8417</v>
      </c>
      <c r="J681" s="2" t="s">
        <v>24</v>
      </c>
      <c r="K681">
        <v>62.5</v>
      </c>
      <c r="L681">
        <v>6250000</v>
      </c>
      <c r="M681" s="2" t="s">
        <v>8422</v>
      </c>
      <c r="N681" s="2" t="s">
        <v>8426</v>
      </c>
      <c r="O681" s="2" t="s">
        <v>8980</v>
      </c>
      <c r="P681" s="2" t="s">
        <v>175</v>
      </c>
      <c r="Q681" s="2" t="s">
        <v>8445</v>
      </c>
      <c r="R681" s="2" t="s">
        <v>30</v>
      </c>
    </row>
    <row r="682" spans="1:18">
      <c r="A682" s="1">
        <v>45352</v>
      </c>
      <c r="B682" s="1">
        <v>45352</v>
      </c>
      <c r="C682">
        <v>2024</v>
      </c>
      <c r="D682">
        <v>3</v>
      </c>
      <c r="E682" s="2" t="s">
        <v>8453</v>
      </c>
      <c r="F682" s="2" t="s">
        <v>8454</v>
      </c>
      <c r="G682" s="2" t="s">
        <v>8335</v>
      </c>
      <c r="H682" s="2" t="s">
        <v>22</v>
      </c>
      <c r="I682" s="2" t="s">
        <v>8336</v>
      </c>
      <c r="J682" s="2" t="s">
        <v>24</v>
      </c>
      <c r="K682">
        <v>1018.03</v>
      </c>
      <c r="L682">
        <v>101803000</v>
      </c>
      <c r="M682" s="2" t="s">
        <v>8348</v>
      </c>
      <c r="N682" s="2" t="s">
        <v>8352</v>
      </c>
      <c r="O682" s="2" t="s">
        <v>8981</v>
      </c>
      <c r="P682" s="2" t="s">
        <v>175</v>
      </c>
      <c r="Q682" s="2" t="s">
        <v>8445</v>
      </c>
      <c r="R682" s="2" t="s">
        <v>30</v>
      </c>
    </row>
    <row r="683" spans="1:18">
      <c r="A683" s="1">
        <v>45352</v>
      </c>
      <c r="B683" s="1">
        <v>45352</v>
      </c>
      <c r="C683">
        <v>2024</v>
      </c>
      <c r="D683">
        <v>3</v>
      </c>
      <c r="E683" s="2" t="s">
        <v>8456</v>
      </c>
      <c r="F683" s="2" t="s">
        <v>8457</v>
      </c>
      <c r="G683" s="2" t="s">
        <v>8335</v>
      </c>
      <c r="H683" s="2" t="s">
        <v>22</v>
      </c>
      <c r="I683" s="2" t="s">
        <v>8336</v>
      </c>
      <c r="J683" s="2" t="s">
        <v>24</v>
      </c>
      <c r="K683">
        <v>9649.19</v>
      </c>
      <c r="L683">
        <v>964919000</v>
      </c>
      <c r="M683" s="2" t="s">
        <v>8355</v>
      </c>
      <c r="N683" s="2" t="s">
        <v>8359</v>
      </c>
      <c r="O683" s="2" t="s">
        <v>8982</v>
      </c>
      <c r="P683" s="2" t="s">
        <v>175</v>
      </c>
      <c r="Q683" s="2" t="s">
        <v>8445</v>
      </c>
      <c r="R683" s="2" t="s">
        <v>30</v>
      </c>
    </row>
    <row r="684" spans="1:18">
      <c r="A684" s="1">
        <v>45352</v>
      </c>
      <c r="B684" s="1">
        <v>45352</v>
      </c>
      <c r="C684">
        <v>2024</v>
      </c>
      <c r="D684">
        <v>3</v>
      </c>
      <c r="E684" s="2" t="s">
        <v>8459</v>
      </c>
      <c r="F684" s="2" t="s">
        <v>8460</v>
      </c>
      <c r="G684" s="2" t="s">
        <v>8335</v>
      </c>
      <c r="H684" s="2" t="s">
        <v>22</v>
      </c>
      <c r="I684" s="2" t="s">
        <v>8336</v>
      </c>
      <c r="J684" s="2" t="s">
        <v>59</v>
      </c>
      <c r="K684">
        <v>10667.22</v>
      </c>
      <c r="L684">
        <v>1066722000</v>
      </c>
      <c r="M684" s="2" t="s">
        <v>8331</v>
      </c>
      <c r="N684" s="2" t="s">
        <v>8341</v>
      </c>
      <c r="O684" s="2" t="s">
        <v>8983</v>
      </c>
      <c r="P684" s="2" t="s">
        <v>175</v>
      </c>
      <c r="Q684" s="2" t="s">
        <v>8445</v>
      </c>
      <c r="R684" s="2" t="s">
        <v>30</v>
      </c>
    </row>
    <row r="685" spans="1:18">
      <c r="A685" s="1">
        <v>45352</v>
      </c>
      <c r="B685" s="1">
        <v>45352</v>
      </c>
      <c r="C685">
        <v>2024</v>
      </c>
      <c r="D685">
        <v>3</v>
      </c>
      <c r="E685" s="2" t="s">
        <v>8462</v>
      </c>
      <c r="F685" s="2" t="s">
        <v>8463</v>
      </c>
      <c r="G685" s="2" t="s">
        <v>8335</v>
      </c>
      <c r="H685" s="2" t="s">
        <v>22</v>
      </c>
      <c r="I685" s="2" t="s">
        <v>8409</v>
      </c>
      <c r="J685" s="2" t="s">
        <v>24</v>
      </c>
      <c r="K685">
        <v>17.55</v>
      </c>
      <c r="L685">
        <v>1755000</v>
      </c>
      <c r="M685" s="2" t="s">
        <v>8406</v>
      </c>
      <c r="N685" s="2" t="s">
        <v>8411</v>
      </c>
      <c r="O685" s="2" t="s">
        <v>5472</v>
      </c>
      <c r="P685" s="2" t="s">
        <v>175</v>
      </c>
      <c r="Q685" s="2" t="s">
        <v>8445</v>
      </c>
      <c r="R685" s="2" t="s">
        <v>30</v>
      </c>
    </row>
    <row r="686" spans="1:18">
      <c r="A686" s="1">
        <v>45352</v>
      </c>
      <c r="B686" s="1">
        <v>45352</v>
      </c>
      <c r="C686">
        <v>2024</v>
      </c>
      <c r="D686">
        <v>3</v>
      </c>
      <c r="E686" s="2" t="s">
        <v>8464</v>
      </c>
      <c r="F686" s="2" t="s">
        <v>8465</v>
      </c>
      <c r="G686" s="2" t="s">
        <v>8335</v>
      </c>
      <c r="H686" s="2" t="s">
        <v>22</v>
      </c>
      <c r="I686" s="2" t="s">
        <v>8417</v>
      </c>
      <c r="J686" s="2" t="s">
        <v>24</v>
      </c>
      <c r="K686">
        <v>89.03</v>
      </c>
      <c r="L686">
        <v>8903000</v>
      </c>
      <c r="M686" s="2" t="s">
        <v>8414</v>
      </c>
      <c r="N686" s="2" t="s">
        <v>8419</v>
      </c>
      <c r="O686" s="2" t="s">
        <v>8984</v>
      </c>
      <c r="P686" s="2" t="s">
        <v>175</v>
      </c>
      <c r="Q686" s="2" t="s">
        <v>8445</v>
      </c>
      <c r="R686" s="2" t="s">
        <v>30</v>
      </c>
    </row>
    <row r="687" spans="1:18">
      <c r="A687" s="1">
        <v>45352</v>
      </c>
      <c r="B687" s="1">
        <v>45352</v>
      </c>
      <c r="C687">
        <v>2024</v>
      </c>
      <c r="D687">
        <v>3</v>
      </c>
      <c r="E687" s="2" t="s">
        <v>8467</v>
      </c>
      <c r="F687" s="2" t="s">
        <v>8468</v>
      </c>
      <c r="G687" s="2" t="s">
        <v>8335</v>
      </c>
      <c r="H687" s="2" t="s">
        <v>22</v>
      </c>
      <c r="I687" s="2" t="s">
        <v>8365</v>
      </c>
      <c r="J687" s="2" t="s">
        <v>24</v>
      </c>
      <c r="K687">
        <v>3361.82</v>
      </c>
      <c r="L687">
        <v>336182000</v>
      </c>
      <c r="M687" s="2" t="s">
        <v>8377</v>
      </c>
      <c r="N687" s="2" t="s">
        <v>8381</v>
      </c>
      <c r="O687" s="2" t="s">
        <v>8985</v>
      </c>
      <c r="P687" s="2" t="s">
        <v>175</v>
      </c>
      <c r="Q687" s="2" t="s">
        <v>8445</v>
      </c>
      <c r="R687" s="2" t="s">
        <v>30</v>
      </c>
    </row>
    <row r="688" spans="1:18">
      <c r="A688" s="1">
        <v>45352</v>
      </c>
      <c r="B688" s="1">
        <v>45352</v>
      </c>
      <c r="C688">
        <v>2024</v>
      </c>
      <c r="D688">
        <v>3</v>
      </c>
      <c r="E688" s="2" t="s">
        <v>8470</v>
      </c>
      <c r="F688" s="2" t="s">
        <v>8471</v>
      </c>
      <c r="G688" s="2" t="s">
        <v>8335</v>
      </c>
      <c r="H688" s="2" t="s">
        <v>22</v>
      </c>
      <c r="I688" s="2" t="s">
        <v>8365</v>
      </c>
      <c r="J688" s="2" t="s">
        <v>59</v>
      </c>
      <c r="K688">
        <v>16743.63</v>
      </c>
      <c r="L688">
        <v>1674363000</v>
      </c>
      <c r="M688" s="2" t="s">
        <v>8362</v>
      </c>
      <c r="N688" s="2" t="s">
        <v>8367</v>
      </c>
      <c r="O688" s="2" t="s">
        <v>8986</v>
      </c>
      <c r="P688" s="2" t="s">
        <v>175</v>
      </c>
      <c r="Q688" s="2" t="s">
        <v>8445</v>
      </c>
      <c r="R688" s="2" t="s">
        <v>30</v>
      </c>
    </row>
    <row r="689" spans="1:18">
      <c r="A689" s="1">
        <v>45352</v>
      </c>
      <c r="B689" s="1">
        <v>45352</v>
      </c>
      <c r="C689">
        <v>2024</v>
      </c>
      <c r="D689">
        <v>3</v>
      </c>
      <c r="E689" s="2" t="s">
        <v>8473</v>
      </c>
      <c r="F689" s="2" t="s">
        <v>8474</v>
      </c>
      <c r="G689" s="2" t="s">
        <v>8335</v>
      </c>
      <c r="H689" s="2" t="s">
        <v>22</v>
      </c>
      <c r="I689" s="2" t="s">
        <v>8365</v>
      </c>
      <c r="J689" s="2" t="s">
        <v>24</v>
      </c>
      <c r="K689">
        <v>13381.8</v>
      </c>
      <c r="L689">
        <v>1338180000</v>
      </c>
      <c r="M689" s="2" t="s">
        <v>8370</v>
      </c>
      <c r="N689" s="2" t="s">
        <v>8374</v>
      </c>
      <c r="O689" s="2" t="s">
        <v>8987</v>
      </c>
      <c r="P689" s="2" t="s">
        <v>175</v>
      </c>
      <c r="Q689" s="2" t="s">
        <v>8445</v>
      </c>
      <c r="R689" s="2" t="s">
        <v>30</v>
      </c>
    </row>
    <row r="690" spans="1:18">
      <c r="A690" s="1">
        <v>45352</v>
      </c>
      <c r="B690" s="1">
        <v>45352</v>
      </c>
      <c r="C690">
        <v>2024</v>
      </c>
      <c r="D690">
        <v>3</v>
      </c>
      <c r="E690" s="2" t="s">
        <v>7890</v>
      </c>
      <c r="F690" s="2" t="s">
        <v>7891</v>
      </c>
      <c r="G690" s="2" t="s">
        <v>8335</v>
      </c>
      <c r="H690" s="2" t="s">
        <v>22</v>
      </c>
      <c r="I690" s="2" t="s">
        <v>8417</v>
      </c>
      <c r="J690" s="2" t="s">
        <v>24</v>
      </c>
      <c r="K690">
        <v>3434.93</v>
      </c>
      <c r="L690">
        <v>343493000</v>
      </c>
      <c r="M690" s="2" t="s">
        <v>7889</v>
      </c>
      <c r="N690" s="2" t="s">
        <v>7911</v>
      </c>
      <c r="O690" s="2" t="s">
        <v>8988</v>
      </c>
      <c r="P690" s="2" t="s">
        <v>7921</v>
      </c>
      <c r="Q690" s="2" t="s">
        <v>8967</v>
      </c>
      <c r="R690" s="2" t="s">
        <v>8989</v>
      </c>
    </row>
    <row r="691" spans="1:18">
      <c r="A691" s="1">
        <v>45383</v>
      </c>
      <c r="B691" s="1">
        <v>45383</v>
      </c>
      <c r="C691">
        <v>2024</v>
      </c>
      <c r="D691">
        <v>4</v>
      </c>
      <c r="E691" s="2" t="s">
        <v>8443</v>
      </c>
      <c r="F691" s="2" t="s">
        <v>8444</v>
      </c>
      <c r="G691" s="2" t="s">
        <v>8335</v>
      </c>
      <c r="H691" s="2" t="s">
        <v>22</v>
      </c>
      <c r="I691" s="2" t="s">
        <v>8387</v>
      </c>
      <c r="J691" s="2" t="s">
        <v>24</v>
      </c>
      <c r="K691">
        <v>2.23</v>
      </c>
      <c r="L691">
        <v>223000</v>
      </c>
      <c r="M691" s="2" t="s">
        <v>8392</v>
      </c>
      <c r="N691" s="2" t="s">
        <v>8396</v>
      </c>
      <c r="O691" s="2" t="s">
        <v>1041</v>
      </c>
      <c r="P691" s="2" t="s">
        <v>175</v>
      </c>
      <c r="Q691" s="2" t="s">
        <v>8445</v>
      </c>
      <c r="R691" s="2" t="s">
        <v>30</v>
      </c>
    </row>
    <row r="692" spans="1:18">
      <c r="A692" s="1">
        <v>45383</v>
      </c>
      <c r="B692" s="1">
        <v>45383</v>
      </c>
      <c r="C692">
        <v>2024</v>
      </c>
      <c r="D692">
        <v>4</v>
      </c>
      <c r="E692" s="2" t="s">
        <v>8446</v>
      </c>
      <c r="F692" s="2" t="s">
        <v>8447</v>
      </c>
      <c r="G692" s="2" t="s">
        <v>8335</v>
      </c>
      <c r="H692" s="2" t="s">
        <v>22</v>
      </c>
      <c r="I692" s="2" t="s">
        <v>8387</v>
      </c>
      <c r="J692" s="2" t="s">
        <v>59</v>
      </c>
      <c r="K692">
        <v>2.57</v>
      </c>
      <c r="L692">
        <v>257000</v>
      </c>
      <c r="M692" s="2" t="s">
        <v>8384</v>
      </c>
      <c r="N692" s="2" t="s">
        <v>8389</v>
      </c>
      <c r="O692" s="2" t="s">
        <v>8826</v>
      </c>
      <c r="P692" s="2" t="s">
        <v>175</v>
      </c>
      <c r="Q692" s="2" t="s">
        <v>8445</v>
      </c>
      <c r="R692" s="2" t="s">
        <v>30</v>
      </c>
    </row>
    <row r="693" spans="1:18">
      <c r="A693" s="1">
        <v>45383</v>
      </c>
      <c r="B693" s="1">
        <v>45383</v>
      </c>
      <c r="C693">
        <v>2024</v>
      </c>
      <c r="D693">
        <v>4</v>
      </c>
      <c r="E693" s="2" t="s">
        <v>8448</v>
      </c>
      <c r="F693" s="2" t="s">
        <v>8449</v>
      </c>
      <c r="G693" s="2" t="s">
        <v>8335</v>
      </c>
      <c r="H693" s="2" t="s">
        <v>22</v>
      </c>
      <c r="I693" s="2" t="s">
        <v>8387</v>
      </c>
      <c r="J693" s="2" t="s">
        <v>24</v>
      </c>
      <c r="K693">
        <v>0.35</v>
      </c>
      <c r="L693">
        <v>35000</v>
      </c>
      <c r="M693" s="2" t="s">
        <v>8399</v>
      </c>
      <c r="N693" s="2" t="s">
        <v>8403</v>
      </c>
      <c r="O693" s="2" t="s">
        <v>4029</v>
      </c>
      <c r="P693" s="2" t="s">
        <v>175</v>
      </c>
      <c r="Q693" s="2" t="s">
        <v>8445</v>
      </c>
      <c r="R693" s="2" t="s">
        <v>30</v>
      </c>
    </row>
    <row r="694" spans="1:18">
      <c r="A694" s="1">
        <v>45383</v>
      </c>
      <c r="B694" s="1">
        <v>45383</v>
      </c>
      <c r="C694">
        <v>2024</v>
      </c>
      <c r="D694">
        <v>4</v>
      </c>
      <c r="E694" s="2" t="s">
        <v>8450</v>
      </c>
      <c r="F694" s="2" t="s">
        <v>8451</v>
      </c>
      <c r="G694" s="2" t="s">
        <v>8335</v>
      </c>
      <c r="H694" s="2" t="s">
        <v>22</v>
      </c>
      <c r="I694" s="2" t="s">
        <v>8417</v>
      </c>
      <c r="J694" s="2" t="s">
        <v>24</v>
      </c>
      <c r="K694">
        <v>60.73</v>
      </c>
      <c r="L694">
        <v>6073000</v>
      </c>
      <c r="M694" s="2" t="s">
        <v>8422</v>
      </c>
      <c r="N694" s="2" t="s">
        <v>8426</v>
      </c>
      <c r="O694" s="2" t="s">
        <v>8990</v>
      </c>
      <c r="P694" s="2" t="s">
        <v>175</v>
      </c>
      <c r="Q694" s="2" t="s">
        <v>8445</v>
      </c>
      <c r="R694" s="2" t="s">
        <v>30</v>
      </c>
    </row>
    <row r="695" spans="1:18">
      <c r="A695" s="1">
        <v>45383</v>
      </c>
      <c r="B695" s="1">
        <v>45383</v>
      </c>
      <c r="C695">
        <v>2024</v>
      </c>
      <c r="D695">
        <v>4</v>
      </c>
      <c r="E695" s="2" t="s">
        <v>8453</v>
      </c>
      <c r="F695" s="2" t="s">
        <v>8454</v>
      </c>
      <c r="G695" s="2" t="s">
        <v>8335</v>
      </c>
      <c r="H695" s="2" t="s">
        <v>22</v>
      </c>
      <c r="I695" s="2" t="s">
        <v>8336</v>
      </c>
      <c r="J695" s="2" t="s">
        <v>24</v>
      </c>
      <c r="K695">
        <v>1025.4000000000001</v>
      </c>
      <c r="L695">
        <v>102540000</v>
      </c>
      <c r="M695" s="2" t="s">
        <v>8348</v>
      </c>
      <c r="N695" s="2" t="s">
        <v>8352</v>
      </c>
      <c r="O695" s="2" t="s">
        <v>8991</v>
      </c>
      <c r="P695" s="2" t="s">
        <v>175</v>
      </c>
      <c r="Q695" s="2" t="s">
        <v>8445</v>
      </c>
      <c r="R695" s="2" t="s">
        <v>30</v>
      </c>
    </row>
    <row r="696" spans="1:18">
      <c r="A696" s="1">
        <v>45383</v>
      </c>
      <c r="B696" s="1">
        <v>45383</v>
      </c>
      <c r="C696">
        <v>2024</v>
      </c>
      <c r="D696">
        <v>4</v>
      </c>
      <c r="E696" s="2" t="s">
        <v>8456</v>
      </c>
      <c r="F696" s="2" t="s">
        <v>8457</v>
      </c>
      <c r="G696" s="2" t="s">
        <v>8335</v>
      </c>
      <c r="H696" s="2" t="s">
        <v>22</v>
      </c>
      <c r="I696" s="2" t="s">
        <v>8336</v>
      </c>
      <c r="J696" s="2" t="s">
        <v>24</v>
      </c>
      <c r="K696">
        <v>9509.4500000000007</v>
      </c>
      <c r="L696">
        <v>950945000</v>
      </c>
      <c r="M696" s="2" t="s">
        <v>8355</v>
      </c>
      <c r="N696" s="2" t="s">
        <v>8359</v>
      </c>
      <c r="O696" s="2" t="s">
        <v>8992</v>
      </c>
      <c r="P696" s="2" t="s">
        <v>175</v>
      </c>
      <c r="Q696" s="2" t="s">
        <v>8445</v>
      </c>
      <c r="R696" s="2" t="s">
        <v>30</v>
      </c>
    </row>
    <row r="697" spans="1:18">
      <c r="A697" s="1">
        <v>45383</v>
      </c>
      <c r="B697" s="1">
        <v>45383</v>
      </c>
      <c r="C697">
        <v>2024</v>
      </c>
      <c r="D697">
        <v>4</v>
      </c>
      <c r="E697" s="2" t="s">
        <v>8459</v>
      </c>
      <c r="F697" s="2" t="s">
        <v>8460</v>
      </c>
      <c r="G697" s="2" t="s">
        <v>8335</v>
      </c>
      <c r="H697" s="2" t="s">
        <v>22</v>
      </c>
      <c r="I697" s="2" t="s">
        <v>8336</v>
      </c>
      <c r="J697" s="2" t="s">
        <v>59</v>
      </c>
      <c r="K697">
        <v>10534.85</v>
      </c>
      <c r="L697">
        <v>1053485000</v>
      </c>
      <c r="M697" s="2" t="s">
        <v>8331</v>
      </c>
      <c r="N697" s="2" t="s">
        <v>8341</v>
      </c>
      <c r="O697" s="2" t="s">
        <v>8993</v>
      </c>
      <c r="P697" s="2" t="s">
        <v>175</v>
      </c>
      <c r="Q697" s="2" t="s">
        <v>8445</v>
      </c>
      <c r="R697" s="2" t="s">
        <v>30</v>
      </c>
    </row>
    <row r="698" spans="1:18">
      <c r="A698" s="1">
        <v>45383</v>
      </c>
      <c r="B698" s="1">
        <v>45383</v>
      </c>
      <c r="C698">
        <v>2024</v>
      </c>
      <c r="D698">
        <v>4</v>
      </c>
      <c r="E698" s="2" t="s">
        <v>8462</v>
      </c>
      <c r="F698" s="2" t="s">
        <v>8463</v>
      </c>
      <c r="G698" s="2" t="s">
        <v>8335</v>
      </c>
      <c r="H698" s="2" t="s">
        <v>22</v>
      </c>
      <c r="I698" s="2" t="s">
        <v>8409</v>
      </c>
      <c r="J698" s="2" t="s">
        <v>24</v>
      </c>
      <c r="K698">
        <v>17.440000000000001</v>
      </c>
      <c r="L698">
        <v>1744000</v>
      </c>
      <c r="M698" s="2" t="s">
        <v>8406</v>
      </c>
      <c r="N698" s="2" t="s">
        <v>8411</v>
      </c>
      <c r="O698" s="2" t="s">
        <v>8994</v>
      </c>
      <c r="P698" s="2" t="s">
        <v>175</v>
      </c>
      <c r="Q698" s="2" t="s">
        <v>8445</v>
      </c>
      <c r="R698" s="2" t="s">
        <v>30</v>
      </c>
    </row>
    <row r="699" spans="1:18">
      <c r="A699" s="1">
        <v>45383</v>
      </c>
      <c r="B699" s="1">
        <v>45383</v>
      </c>
      <c r="C699">
        <v>2024</v>
      </c>
      <c r="D699">
        <v>4</v>
      </c>
      <c r="E699" s="2" t="s">
        <v>8464</v>
      </c>
      <c r="F699" s="2" t="s">
        <v>8465</v>
      </c>
      <c r="G699" s="2" t="s">
        <v>8335</v>
      </c>
      <c r="H699" s="2" t="s">
        <v>22</v>
      </c>
      <c r="I699" s="2" t="s">
        <v>8417</v>
      </c>
      <c r="J699" s="2" t="s">
        <v>24</v>
      </c>
      <c r="K699">
        <v>88.39</v>
      </c>
      <c r="L699">
        <v>8839000</v>
      </c>
      <c r="M699" s="2" t="s">
        <v>8414</v>
      </c>
      <c r="N699" s="2" t="s">
        <v>8419</v>
      </c>
      <c r="O699" s="2" t="s">
        <v>8995</v>
      </c>
      <c r="P699" s="2" t="s">
        <v>175</v>
      </c>
      <c r="Q699" s="2" t="s">
        <v>8445</v>
      </c>
      <c r="R699" s="2" t="s">
        <v>30</v>
      </c>
    </row>
    <row r="700" spans="1:18">
      <c r="A700" s="1">
        <v>45383</v>
      </c>
      <c r="B700" s="1">
        <v>45383</v>
      </c>
      <c r="C700">
        <v>2024</v>
      </c>
      <c r="D700">
        <v>4</v>
      </c>
      <c r="E700" s="2" t="s">
        <v>8467</v>
      </c>
      <c r="F700" s="2" t="s">
        <v>8468</v>
      </c>
      <c r="G700" s="2" t="s">
        <v>8335</v>
      </c>
      <c r="H700" s="2" t="s">
        <v>22</v>
      </c>
      <c r="I700" s="2" t="s">
        <v>8365</v>
      </c>
      <c r="J700" s="2" t="s">
        <v>24</v>
      </c>
      <c r="K700">
        <v>3421.99</v>
      </c>
      <c r="L700">
        <v>342199000</v>
      </c>
      <c r="M700" s="2" t="s">
        <v>8377</v>
      </c>
      <c r="N700" s="2" t="s">
        <v>8381</v>
      </c>
      <c r="O700" s="2" t="s">
        <v>8996</v>
      </c>
      <c r="P700" s="2" t="s">
        <v>175</v>
      </c>
      <c r="Q700" s="2" t="s">
        <v>8445</v>
      </c>
      <c r="R700" s="2" t="s">
        <v>30</v>
      </c>
    </row>
    <row r="701" spans="1:18">
      <c r="A701" s="1">
        <v>45383</v>
      </c>
      <c r="B701" s="1">
        <v>45383</v>
      </c>
      <c r="C701">
        <v>2024</v>
      </c>
      <c r="D701">
        <v>4</v>
      </c>
      <c r="E701" s="2" t="s">
        <v>8470</v>
      </c>
      <c r="F701" s="2" t="s">
        <v>8471</v>
      </c>
      <c r="G701" s="2" t="s">
        <v>8335</v>
      </c>
      <c r="H701" s="2" t="s">
        <v>22</v>
      </c>
      <c r="I701" s="2" t="s">
        <v>8365</v>
      </c>
      <c r="J701" s="2" t="s">
        <v>59</v>
      </c>
      <c r="K701">
        <v>14716.82</v>
      </c>
      <c r="L701">
        <v>1471682000</v>
      </c>
      <c r="M701" s="2" t="s">
        <v>8362</v>
      </c>
      <c r="N701" s="2" t="s">
        <v>8367</v>
      </c>
      <c r="O701" s="2" t="s">
        <v>8997</v>
      </c>
      <c r="P701" s="2" t="s">
        <v>175</v>
      </c>
      <c r="Q701" s="2" t="s">
        <v>8445</v>
      </c>
      <c r="R701" s="2" t="s">
        <v>30</v>
      </c>
    </row>
    <row r="702" spans="1:18">
      <c r="A702" s="1">
        <v>45383</v>
      </c>
      <c r="B702" s="1">
        <v>45383</v>
      </c>
      <c r="C702">
        <v>2024</v>
      </c>
      <c r="D702">
        <v>4</v>
      </c>
      <c r="E702" s="2" t="s">
        <v>8473</v>
      </c>
      <c r="F702" s="2" t="s">
        <v>8474</v>
      </c>
      <c r="G702" s="2" t="s">
        <v>8335</v>
      </c>
      <c r="H702" s="2" t="s">
        <v>22</v>
      </c>
      <c r="I702" s="2" t="s">
        <v>8365</v>
      </c>
      <c r="J702" s="2" t="s">
        <v>24</v>
      </c>
      <c r="K702">
        <v>11294.83</v>
      </c>
      <c r="L702">
        <v>1129483000</v>
      </c>
      <c r="M702" s="2" t="s">
        <v>8370</v>
      </c>
      <c r="N702" s="2" t="s">
        <v>8374</v>
      </c>
      <c r="O702" s="2" t="s">
        <v>8998</v>
      </c>
      <c r="P702" s="2" t="s">
        <v>175</v>
      </c>
      <c r="Q702" s="2" t="s">
        <v>8445</v>
      </c>
      <c r="R702" s="2" t="s">
        <v>30</v>
      </c>
    </row>
    <row r="703" spans="1:18">
      <c r="A703" s="1">
        <v>45383</v>
      </c>
      <c r="B703" s="1">
        <v>45383</v>
      </c>
      <c r="C703">
        <v>2024</v>
      </c>
      <c r="D703">
        <v>4</v>
      </c>
      <c r="E703" s="2" t="s">
        <v>7890</v>
      </c>
      <c r="F703" s="2" t="s">
        <v>7891</v>
      </c>
      <c r="G703" s="2" t="s">
        <v>8335</v>
      </c>
      <c r="H703" s="2" t="s">
        <v>22</v>
      </c>
      <c r="I703" s="2" t="s">
        <v>8417</v>
      </c>
      <c r="J703" s="2" t="s">
        <v>24</v>
      </c>
      <c r="K703">
        <v>5597.2</v>
      </c>
      <c r="L703">
        <v>559720000</v>
      </c>
      <c r="M703" s="2" t="s">
        <v>7889</v>
      </c>
      <c r="N703" s="2" t="s">
        <v>7911</v>
      </c>
      <c r="O703" s="2" t="s">
        <v>8999</v>
      </c>
      <c r="P703" s="2" t="s">
        <v>7924</v>
      </c>
      <c r="Q703" s="2" t="s">
        <v>8967</v>
      </c>
      <c r="R703" s="2" t="s">
        <v>9000</v>
      </c>
    </row>
    <row r="704" spans="1:18">
      <c r="A704" s="1">
        <v>45413</v>
      </c>
      <c r="B704" s="1">
        <v>45413</v>
      </c>
      <c r="C704">
        <v>2024</v>
      </c>
      <c r="D704">
        <v>5</v>
      </c>
      <c r="E704" s="2" t="s">
        <v>8443</v>
      </c>
      <c r="F704" s="2" t="s">
        <v>8444</v>
      </c>
      <c r="G704" s="2" t="s">
        <v>8335</v>
      </c>
      <c r="H704" s="2" t="s">
        <v>22</v>
      </c>
      <c r="I704" s="2" t="s">
        <v>8387</v>
      </c>
      <c r="J704" s="2" t="s">
        <v>24</v>
      </c>
      <c r="K704">
        <v>2.2200000000000002</v>
      </c>
      <c r="L704">
        <v>222000</v>
      </c>
      <c r="M704" s="2" t="s">
        <v>8392</v>
      </c>
      <c r="N704" s="2" t="s">
        <v>8396</v>
      </c>
      <c r="O704" s="2" t="s">
        <v>9001</v>
      </c>
      <c r="P704" s="2" t="s">
        <v>175</v>
      </c>
      <c r="Q704" s="2" t="s">
        <v>8445</v>
      </c>
      <c r="R704" s="2" t="s">
        <v>30</v>
      </c>
    </row>
    <row r="705" spans="1:18">
      <c r="A705" s="1">
        <v>45413</v>
      </c>
      <c r="B705" s="1">
        <v>45413</v>
      </c>
      <c r="C705">
        <v>2024</v>
      </c>
      <c r="D705">
        <v>5</v>
      </c>
      <c r="E705" s="2" t="s">
        <v>8446</v>
      </c>
      <c r="F705" s="2" t="s">
        <v>8447</v>
      </c>
      <c r="G705" s="2" t="s">
        <v>8335</v>
      </c>
      <c r="H705" s="2" t="s">
        <v>22</v>
      </c>
      <c r="I705" s="2" t="s">
        <v>8387</v>
      </c>
      <c r="J705" s="2" t="s">
        <v>59</v>
      </c>
      <c r="K705">
        <v>2.57</v>
      </c>
      <c r="L705">
        <v>257000</v>
      </c>
      <c r="M705" s="2" t="s">
        <v>8384</v>
      </c>
      <c r="N705" s="2" t="s">
        <v>8389</v>
      </c>
      <c r="O705" s="2" t="s">
        <v>8826</v>
      </c>
      <c r="P705" s="2" t="s">
        <v>175</v>
      </c>
      <c r="Q705" s="2" t="s">
        <v>8445</v>
      </c>
      <c r="R705" s="2" t="s">
        <v>30</v>
      </c>
    </row>
    <row r="706" spans="1:18">
      <c r="A706" s="1">
        <v>45413</v>
      </c>
      <c r="B706" s="1">
        <v>45413</v>
      </c>
      <c r="C706">
        <v>2024</v>
      </c>
      <c r="D706">
        <v>5</v>
      </c>
      <c r="E706" s="2" t="s">
        <v>8448</v>
      </c>
      <c r="F706" s="2" t="s">
        <v>8449</v>
      </c>
      <c r="G706" s="2" t="s">
        <v>8335</v>
      </c>
      <c r="H706" s="2" t="s">
        <v>22</v>
      </c>
      <c r="I706" s="2" t="s">
        <v>8387</v>
      </c>
      <c r="J706" s="2" t="s">
        <v>24</v>
      </c>
      <c r="K706">
        <v>0.36</v>
      </c>
      <c r="L706">
        <v>36000</v>
      </c>
      <c r="M706" s="2" t="s">
        <v>8399</v>
      </c>
      <c r="N706" s="2" t="s">
        <v>8403</v>
      </c>
      <c r="O706" s="2" t="s">
        <v>3657</v>
      </c>
      <c r="P706" s="2" t="s">
        <v>175</v>
      </c>
      <c r="Q706" s="2" t="s">
        <v>8445</v>
      </c>
      <c r="R706" s="2" t="s">
        <v>30</v>
      </c>
    </row>
    <row r="707" spans="1:18">
      <c r="A707" s="1">
        <v>45413</v>
      </c>
      <c r="B707" s="1">
        <v>45413</v>
      </c>
      <c r="C707">
        <v>2024</v>
      </c>
      <c r="D707">
        <v>5</v>
      </c>
      <c r="E707" s="2" t="s">
        <v>8450</v>
      </c>
      <c r="F707" s="2" t="s">
        <v>8451</v>
      </c>
      <c r="G707" s="2" t="s">
        <v>8335</v>
      </c>
      <c r="H707" s="2" t="s">
        <v>22</v>
      </c>
      <c r="I707" s="2" t="s">
        <v>8417</v>
      </c>
      <c r="J707" s="2" t="s">
        <v>24</v>
      </c>
      <c r="K707">
        <v>61.21</v>
      </c>
      <c r="L707">
        <v>6121000</v>
      </c>
      <c r="M707" s="2" t="s">
        <v>8422</v>
      </c>
      <c r="N707" s="2" t="s">
        <v>8426</v>
      </c>
      <c r="O707" s="2" t="s">
        <v>9002</v>
      </c>
      <c r="P707" s="2" t="s">
        <v>175</v>
      </c>
      <c r="Q707" s="2" t="s">
        <v>8445</v>
      </c>
      <c r="R707" s="2" t="s">
        <v>30</v>
      </c>
    </row>
    <row r="708" spans="1:18">
      <c r="A708" s="1">
        <v>45413</v>
      </c>
      <c r="B708" s="1">
        <v>45413</v>
      </c>
      <c r="C708">
        <v>2024</v>
      </c>
      <c r="D708">
        <v>5</v>
      </c>
      <c r="E708" s="2" t="s">
        <v>8453</v>
      </c>
      <c r="F708" s="2" t="s">
        <v>8454</v>
      </c>
      <c r="G708" s="2" t="s">
        <v>8335</v>
      </c>
      <c r="H708" s="2" t="s">
        <v>22</v>
      </c>
      <c r="I708" s="2" t="s">
        <v>8336</v>
      </c>
      <c r="J708" s="2" t="s">
        <v>24</v>
      </c>
      <c r="K708">
        <v>1033</v>
      </c>
      <c r="L708">
        <v>103300000</v>
      </c>
      <c r="M708" s="2" t="s">
        <v>8348</v>
      </c>
      <c r="N708" s="2" t="s">
        <v>8352</v>
      </c>
      <c r="O708" s="2" t="s">
        <v>9003</v>
      </c>
      <c r="P708" s="2" t="s">
        <v>175</v>
      </c>
      <c r="Q708" s="2" t="s">
        <v>8445</v>
      </c>
      <c r="R708" s="2" t="s">
        <v>30</v>
      </c>
    </row>
    <row r="709" spans="1:18">
      <c r="A709" s="1">
        <v>45413</v>
      </c>
      <c r="B709" s="1">
        <v>45413</v>
      </c>
      <c r="C709">
        <v>2024</v>
      </c>
      <c r="D709">
        <v>5</v>
      </c>
      <c r="E709" s="2" t="s">
        <v>8456</v>
      </c>
      <c r="F709" s="2" t="s">
        <v>8457</v>
      </c>
      <c r="G709" s="2" t="s">
        <v>8335</v>
      </c>
      <c r="H709" s="2" t="s">
        <v>22</v>
      </c>
      <c r="I709" s="2" t="s">
        <v>8336</v>
      </c>
      <c r="J709" s="2" t="s">
        <v>24</v>
      </c>
      <c r="K709">
        <v>9565.98</v>
      </c>
      <c r="L709">
        <v>956598000</v>
      </c>
      <c r="M709" s="2" t="s">
        <v>8355</v>
      </c>
      <c r="N709" s="2" t="s">
        <v>8359</v>
      </c>
      <c r="O709" s="2" t="s">
        <v>9004</v>
      </c>
      <c r="P709" s="2" t="s">
        <v>175</v>
      </c>
      <c r="Q709" s="2" t="s">
        <v>8445</v>
      </c>
      <c r="R709" s="2" t="s">
        <v>30</v>
      </c>
    </row>
    <row r="710" spans="1:18">
      <c r="A710" s="1">
        <v>45413</v>
      </c>
      <c r="B710" s="1">
        <v>45413</v>
      </c>
      <c r="C710">
        <v>2024</v>
      </c>
      <c r="D710">
        <v>5</v>
      </c>
      <c r="E710" s="2" t="s">
        <v>8459</v>
      </c>
      <c r="F710" s="2" t="s">
        <v>8460</v>
      </c>
      <c r="G710" s="2" t="s">
        <v>8335</v>
      </c>
      <c r="H710" s="2" t="s">
        <v>22</v>
      </c>
      <c r="I710" s="2" t="s">
        <v>8336</v>
      </c>
      <c r="J710" s="2" t="s">
        <v>59</v>
      </c>
      <c r="K710">
        <v>10598.99</v>
      </c>
      <c r="L710">
        <v>1059899000</v>
      </c>
      <c r="M710" s="2" t="s">
        <v>8331</v>
      </c>
      <c r="N710" s="2" t="s">
        <v>8341</v>
      </c>
      <c r="O710" s="2" t="s">
        <v>9005</v>
      </c>
      <c r="P710" s="2" t="s">
        <v>175</v>
      </c>
      <c r="Q710" s="2" t="s">
        <v>8445</v>
      </c>
      <c r="R710" s="2" t="s">
        <v>30</v>
      </c>
    </row>
    <row r="711" spans="1:18">
      <c r="A711" s="1">
        <v>45413</v>
      </c>
      <c r="B711" s="1">
        <v>45413</v>
      </c>
      <c r="C711">
        <v>2024</v>
      </c>
      <c r="D711">
        <v>5</v>
      </c>
      <c r="E711" s="2" t="s">
        <v>8462</v>
      </c>
      <c r="F711" s="2" t="s">
        <v>8463</v>
      </c>
      <c r="G711" s="2" t="s">
        <v>8335</v>
      </c>
      <c r="H711" s="2" t="s">
        <v>22</v>
      </c>
      <c r="I711" s="2" t="s">
        <v>8409</v>
      </c>
      <c r="J711" s="2" t="s">
        <v>24</v>
      </c>
      <c r="K711">
        <v>15.69</v>
      </c>
      <c r="L711">
        <v>1569000</v>
      </c>
      <c r="M711" s="2" t="s">
        <v>8406</v>
      </c>
      <c r="N711" s="2" t="s">
        <v>8411</v>
      </c>
      <c r="O711" s="2" t="s">
        <v>9006</v>
      </c>
      <c r="P711" s="2" t="s">
        <v>175</v>
      </c>
      <c r="Q711" s="2" t="s">
        <v>8445</v>
      </c>
      <c r="R711" s="2" t="s">
        <v>30</v>
      </c>
    </row>
    <row r="712" spans="1:18">
      <c r="A712" s="1">
        <v>45413</v>
      </c>
      <c r="B712" s="1">
        <v>45413</v>
      </c>
      <c r="C712">
        <v>2024</v>
      </c>
      <c r="D712">
        <v>5</v>
      </c>
      <c r="E712" s="2" t="s">
        <v>8464</v>
      </c>
      <c r="F712" s="2" t="s">
        <v>8465</v>
      </c>
      <c r="G712" s="2" t="s">
        <v>8335</v>
      </c>
      <c r="H712" s="2" t="s">
        <v>22</v>
      </c>
      <c r="I712" s="2" t="s">
        <v>8417</v>
      </c>
      <c r="J712" s="2" t="s">
        <v>24</v>
      </c>
      <c r="K712">
        <v>88.04</v>
      </c>
      <c r="L712">
        <v>8804000</v>
      </c>
      <c r="M712" s="2" t="s">
        <v>8414</v>
      </c>
      <c r="N712" s="2" t="s">
        <v>8419</v>
      </c>
      <c r="O712" s="2" t="s">
        <v>9007</v>
      </c>
      <c r="P712" s="2" t="s">
        <v>175</v>
      </c>
      <c r="Q712" s="2" t="s">
        <v>8445</v>
      </c>
      <c r="R712" s="2" t="s">
        <v>30</v>
      </c>
    </row>
    <row r="713" spans="1:18">
      <c r="A713" s="1">
        <v>45413</v>
      </c>
      <c r="B713" s="1">
        <v>45413</v>
      </c>
      <c r="C713">
        <v>2024</v>
      </c>
      <c r="D713">
        <v>5</v>
      </c>
      <c r="E713" s="2" t="s">
        <v>8467</v>
      </c>
      <c r="F713" s="2" t="s">
        <v>8468</v>
      </c>
      <c r="G713" s="2" t="s">
        <v>8335</v>
      </c>
      <c r="H713" s="2" t="s">
        <v>22</v>
      </c>
      <c r="I713" s="2" t="s">
        <v>8365</v>
      </c>
      <c r="J713" s="2" t="s">
        <v>24</v>
      </c>
      <c r="K713">
        <v>3538.78</v>
      </c>
      <c r="L713">
        <v>353878000</v>
      </c>
      <c r="M713" s="2" t="s">
        <v>8377</v>
      </c>
      <c r="N713" s="2" t="s">
        <v>8381</v>
      </c>
      <c r="O713" s="2" t="s">
        <v>9008</v>
      </c>
      <c r="P713" s="2" t="s">
        <v>175</v>
      </c>
      <c r="Q713" s="2" t="s">
        <v>8445</v>
      </c>
      <c r="R713" s="2" t="s">
        <v>30</v>
      </c>
    </row>
    <row r="714" spans="1:18">
      <c r="A714" s="1">
        <v>45413</v>
      </c>
      <c r="B714" s="1">
        <v>45413</v>
      </c>
      <c r="C714">
        <v>2024</v>
      </c>
      <c r="D714">
        <v>5</v>
      </c>
      <c r="E714" s="2" t="s">
        <v>8470</v>
      </c>
      <c r="F714" s="2" t="s">
        <v>8471</v>
      </c>
      <c r="G714" s="2" t="s">
        <v>8335</v>
      </c>
      <c r="H714" s="2" t="s">
        <v>22</v>
      </c>
      <c r="I714" s="2" t="s">
        <v>8365</v>
      </c>
      <c r="J714" s="2" t="s">
        <v>59</v>
      </c>
      <c r="K714">
        <v>14840.92</v>
      </c>
      <c r="L714">
        <v>1484092000</v>
      </c>
      <c r="M714" s="2" t="s">
        <v>8362</v>
      </c>
      <c r="N714" s="2" t="s">
        <v>8367</v>
      </c>
      <c r="O714" s="2" t="s">
        <v>9009</v>
      </c>
      <c r="P714" s="2" t="s">
        <v>175</v>
      </c>
      <c r="Q714" s="2" t="s">
        <v>8445</v>
      </c>
      <c r="R714" s="2" t="s">
        <v>30</v>
      </c>
    </row>
    <row r="715" spans="1:18">
      <c r="A715" s="1">
        <v>45413</v>
      </c>
      <c r="B715" s="1">
        <v>45413</v>
      </c>
      <c r="C715">
        <v>2024</v>
      </c>
      <c r="D715">
        <v>5</v>
      </c>
      <c r="E715" s="2" t="s">
        <v>8473</v>
      </c>
      <c r="F715" s="2" t="s">
        <v>8474</v>
      </c>
      <c r="G715" s="2" t="s">
        <v>8335</v>
      </c>
      <c r="H715" s="2" t="s">
        <v>22</v>
      </c>
      <c r="I715" s="2" t="s">
        <v>8365</v>
      </c>
      <c r="J715" s="2" t="s">
        <v>24</v>
      </c>
      <c r="K715">
        <v>11302.14</v>
      </c>
      <c r="L715">
        <v>1130214000</v>
      </c>
      <c r="M715" s="2" t="s">
        <v>8370</v>
      </c>
      <c r="N715" s="2" t="s">
        <v>8374</v>
      </c>
      <c r="O715" s="2" t="s">
        <v>9010</v>
      </c>
      <c r="P715" s="2" t="s">
        <v>175</v>
      </c>
      <c r="Q715" s="2" t="s">
        <v>8445</v>
      </c>
      <c r="R715" s="2" t="s">
        <v>30</v>
      </c>
    </row>
    <row r="716" spans="1:18">
      <c r="A716" s="1">
        <v>45413</v>
      </c>
      <c r="B716" s="1">
        <v>45413</v>
      </c>
      <c r="C716">
        <v>2024</v>
      </c>
      <c r="D716">
        <v>5</v>
      </c>
      <c r="E716" s="2" t="s">
        <v>7890</v>
      </c>
      <c r="F716" s="2" t="s">
        <v>7891</v>
      </c>
      <c r="G716" s="2" t="s">
        <v>8335</v>
      </c>
      <c r="H716" s="2" t="s">
        <v>22</v>
      </c>
      <c r="I716" s="2" t="s">
        <v>8417</v>
      </c>
      <c r="J716" s="2" t="s">
        <v>24</v>
      </c>
      <c r="K716">
        <v>5690.84</v>
      </c>
      <c r="L716">
        <v>569084000</v>
      </c>
      <c r="M716" s="2" t="s">
        <v>7889</v>
      </c>
      <c r="N716" s="2" t="s">
        <v>7911</v>
      </c>
      <c r="O716" s="2" t="s">
        <v>9011</v>
      </c>
      <c r="P716" s="2" t="s">
        <v>7927</v>
      </c>
      <c r="Q716" s="2" t="s">
        <v>8967</v>
      </c>
      <c r="R716" s="2" t="s">
        <v>9012</v>
      </c>
    </row>
    <row r="717" spans="1:18">
      <c r="A717" s="1">
        <v>45444</v>
      </c>
      <c r="B717" s="1">
        <v>45444</v>
      </c>
      <c r="C717">
        <v>2024</v>
      </c>
      <c r="D717">
        <v>6</v>
      </c>
      <c r="E717" s="2" t="s">
        <v>8443</v>
      </c>
      <c r="F717" s="2" t="s">
        <v>8444</v>
      </c>
      <c r="G717" s="2" t="s">
        <v>8335</v>
      </c>
      <c r="H717" s="2" t="s">
        <v>22</v>
      </c>
      <c r="I717" s="2" t="s">
        <v>8387</v>
      </c>
      <c r="J717" s="2" t="s">
        <v>24</v>
      </c>
      <c r="K717">
        <v>2.21</v>
      </c>
      <c r="L717">
        <v>221000</v>
      </c>
      <c r="M717" s="2" t="s">
        <v>8392</v>
      </c>
      <c r="N717" s="2" t="s">
        <v>8396</v>
      </c>
      <c r="O717" s="2" t="s">
        <v>3142</v>
      </c>
      <c r="P717" s="2" t="s">
        <v>175</v>
      </c>
      <c r="Q717" s="2" t="s">
        <v>8445</v>
      </c>
      <c r="R717" s="2" t="s">
        <v>30</v>
      </c>
    </row>
    <row r="718" spans="1:18">
      <c r="A718" s="1">
        <v>45444</v>
      </c>
      <c r="B718" s="1">
        <v>45444</v>
      </c>
      <c r="C718">
        <v>2024</v>
      </c>
      <c r="D718">
        <v>6</v>
      </c>
      <c r="E718" s="2" t="s">
        <v>8446</v>
      </c>
      <c r="F718" s="2" t="s">
        <v>8447</v>
      </c>
      <c r="G718" s="2" t="s">
        <v>8335</v>
      </c>
      <c r="H718" s="2" t="s">
        <v>22</v>
      </c>
      <c r="I718" s="2" t="s">
        <v>8387</v>
      </c>
      <c r="J718" s="2" t="s">
        <v>59</v>
      </c>
      <c r="K718">
        <v>2.56</v>
      </c>
      <c r="L718">
        <v>256000</v>
      </c>
      <c r="M718" s="2" t="s">
        <v>8384</v>
      </c>
      <c r="N718" s="2" t="s">
        <v>8389</v>
      </c>
      <c r="O718" s="2" t="s">
        <v>2717</v>
      </c>
      <c r="P718" s="2" t="s">
        <v>175</v>
      </c>
      <c r="Q718" s="2" t="s">
        <v>8445</v>
      </c>
      <c r="R718" s="2" t="s">
        <v>30</v>
      </c>
    </row>
    <row r="719" spans="1:18">
      <c r="A719" s="1">
        <v>45444</v>
      </c>
      <c r="B719" s="1">
        <v>45444</v>
      </c>
      <c r="C719">
        <v>2024</v>
      </c>
      <c r="D719">
        <v>6</v>
      </c>
      <c r="E719" s="2" t="s">
        <v>8448</v>
      </c>
      <c r="F719" s="2" t="s">
        <v>8449</v>
      </c>
      <c r="G719" s="2" t="s">
        <v>8335</v>
      </c>
      <c r="H719" s="2" t="s">
        <v>22</v>
      </c>
      <c r="I719" s="2" t="s">
        <v>8387</v>
      </c>
      <c r="J719" s="2" t="s">
        <v>24</v>
      </c>
      <c r="K719">
        <v>0.35</v>
      </c>
      <c r="L719">
        <v>35000</v>
      </c>
      <c r="M719" s="2" t="s">
        <v>8399</v>
      </c>
      <c r="N719" s="2" t="s">
        <v>8403</v>
      </c>
      <c r="O719" s="2" t="s">
        <v>4029</v>
      </c>
      <c r="P719" s="2" t="s">
        <v>175</v>
      </c>
      <c r="Q719" s="2" t="s">
        <v>8445</v>
      </c>
      <c r="R719" s="2" t="s">
        <v>30</v>
      </c>
    </row>
    <row r="720" spans="1:18">
      <c r="A720" s="1">
        <v>45444</v>
      </c>
      <c r="B720" s="1">
        <v>45444</v>
      </c>
      <c r="C720">
        <v>2024</v>
      </c>
      <c r="D720">
        <v>6</v>
      </c>
      <c r="E720" s="2" t="s">
        <v>8450</v>
      </c>
      <c r="F720" s="2" t="s">
        <v>8451</v>
      </c>
      <c r="G720" s="2" t="s">
        <v>8335</v>
      </c>
      <c r="H720" s="2" t="s">
        <v>22</v>
      </c>
      <c r="I720" s="2" t="s">
        <v>8417</v>
      </c>
      <c r="J720" s="2" t="s">
        <v>24</v>
      </c>
      <c r="K720">
        <v>61.64</v>
      </c>
      <c r="L720">
        <v>6164000</v>
      </c>
      <c r="M720" s="2" t="s">
        <v>8422</v>
      </c>
      <c r="N720" s="2" t="s">
        <v>8426</v>
      </c>
      <c r="O720" s="2" t="s">
        <v>9013</v>
      </c>
      <c r="P720" s="2" t="s">
        <v>175</v>
      </c>
      <c r="Q720" s="2" t="s">
        <v>8445</v>
      </c>
      <c r="R720" s="2" t="s">
        <v>30</v>
      </c>
    </row>
    <row r="721" spans="1:18">
      <c r="A721" s="1">
        <v>45444</v>
      </c>
      <c r="B721" s="1">
        <v>45444</v>
      </c>
      <c r="C721">
        <v>2024</v>
      </c>
      <c r="D721">
        <v>6</v>
      </c>
      <c r="E721" s="2" t="s">
        <v>8453</v>
      </c>
      <c r="F721" s="2" t="s">
        <v>8454</v>
      </c>
      <c r="G721" s="2" t="s">
        <v>8335</v>
      </c>
      <c r="H721" s="2" t="s">
        <v>22</v>
      </c>
      <c r="I721" s="2" t="s">
        <v>8336</v>
      </c>
      <c r="J721" s="2" t="s">
        <v>24</v>
      </c>
      <c r="K721">
        <v>1038.1300000000001</v>
      </c>
      <c r="L721">
        <v>103813000</v>
      </c>
      <c r="M721" s="2" t="s">
        <v>8348</v>
      </c>
      <c r="N721" s="2" t="s">
        <v>8352</v>
      </c>
      <c r="O721" s="2" t="s">
        <v>9014</v>
      </c>
      <c r="P721" s="2" t="s">
        <v>175</v>
      </c>
      <c r="Q721" s="2" t="s">
        <v>8445</v>
      </c>
      <c r="R721" s="2" t="s">
        <v>30</v>
      </c>
    </row>
    <row r="722" spans="1:18">
      <c r="A722" s="1">
        <v>45444</v>
      </c>
      <c r="B722" s="1">
        <v>45444</v>
      </c>
      <c r="C722">
        <v>2024</v>
      </c>
      <c r="D722">
        <v>6</v>
      </c>
      <c r="E722" s="2" t="s">
        <v>8456</v>
      </c>
      <c r="F722" s="2" t="s">
        <v>8457</v>
      </c>
      <c r="G722" s="2" t="s">
        <v>8335</v>
      </c>
      <c r="H722" s="2" t="s">
        <v>22</v>
      </c>
      <c r="I722" s="2" t="s">
        <v>8336</v>
      </c>
      <c r="J722" s="2" t="s">
        <v>24</v>
      </c>
      <c r="K722">
        <v>9624.24</v>
      </c>
      <c r="L722">
        <v>962424000</v>
      </c>
      <c r="M722" s="2" t="s">
        <v>8355</v>
      </c>
      <c r="N722" s="2" t="s">
        <v>8359</v>
      </c>
      <c r="O722" s="2" t="s">
        <v>9015</v>
      </c>
      <c r="P722" s="2" t="s">
        <v>175</v>
      </c>
      <c r="Q722" s="2" t="s">
        <v>8445</v>
      </c>
      <c r="R722" s="2" t="s">
        <v>30</v>
      </c>
    </row>
    <row r="723" spans="1:18">
      <c r="A723" s="1">
        <v>45444</v>
      </c>
      <c r="B723" s="1">
        <v>45444</v>
      </c>
      <c r="C723">
        <v>2024</v>
      </c>
      <c r="D723">
        <v>6</v>
      </c>
      <c r="E723" s="2" t="s">
        <v>8459</v>
      </c>
      <c r="F723" s="2" t="s">
        <v>8460</v>
      </c>
      <c r="G723" s="2" t="s">
        <v>8335</v>
      </c>
      <c r="H723" s="2" t="s">
        <v>22</v>
      </c>
      <c r="I723" s="2" t="s">
        <v>8336</v>
      </c>
      <c r="J723" s="2" t="s">
        <v>59</v>
      </c>
      <c r="K723">
        <v>10662.37</v>
      </c>
      <c r="L723">
        <v>1066237000</v>
      </c>
      <c r="M723" s="2" t="s">
        <v>8331</v>
      </c>
      <c r="N723" s="2" t="s">
        <v>8341</v>
      </c>
      <c r="O723" s="2" t="s">
        <v>9016</v>
      </c>
      <c r="P723" s="2" t="s">
        <v>175</v>
      </c>
      <c r="Q723" s="2" t="s">
        <v>8445</v>
      </c>
      <c r="R723" s="2" t="s">
        <v>30</v>
      </c>
    </row>
    <row r="724" spans="1:18">
      <c r="A724" s="1">
        <v>45444</v>
      </c>
      <c r="B724" s="1">
        <v>45444</v>
      </c>
      <c r="C724">
        <v>2024</v>
      </c>
      <c r="D724">
        <v>6</v>
      </c>
      <c r="E724" s="2" t="s">
        <v>8462</v>
      </c>
      <c r="F724" s="2" t="s">
        <v>8463</v>
      </c>
      <c r="G724" s="2" t="s">
        <v>8335</v>
      </c>
      <c r="H724" s="2" t="s">
        <v>22</v>
      </c>
      <c r="I724" s="2" t="s">
        <v>8409</v>
      </c>
      <c r="J724" s="2" t="s">
        <v>24</v>
      </c>
      <c r="K724">
        <v>15.25</v>
      </c>
      <c r="L724">
        <v>1525000</v>
      </c>
      <c r="M724" s="2" t="s">
        <v>8406</v>
      </c>
      <c r="N724" s="2" t="s">
        <v>8411</v>
      </c>
      <c r="O724" s="2" t="s">
        <v>1627</v>
      </c>
      <c r="P724" s="2" t="s">
        <v>175</v>
      </c>
      <c r="Q724" s="2" t="s">
        <v>8445</v>
      </c>
      <c r="R724" s="2" t="s">
        <v>30</v>
      </c>
    </row>
    <row r="725" spans="1:18">
      <c r="A725" s="1">
        <v>45444</v>
      </c>
      <c r="B725" s="1">
        <v>45444</v>
      </c>
      <c r="C725">
        <v>2024</v>
      </c>
      <c r="D725">
        <v>6</v>
      </c>
      <c r="E725" s="2" t="s">
        <v>8464</v>
      </c>
      <c r="F725" s="2" t="s">
        <v>8465</v>
      </c>
      <c r="G725" s="2" t="s">
        <v>8335</v>
      </c>
      <c r="H725" s="2" t="s">
        <v>22</v>
      </c>
      <c r="I725" s="2" t="s">
        <v>8417</v>
      </c>
      <c r="J725" s="2" t="s">
        <v>24</v>
      </c>
      <c r="K725">
        <v>89.67</v>
      </c>
      <c r="L725">
        <v>8967000</v>
      </c>
      <c r="M725" s="2" t="s">
        <v>8414</v>
      </c>
      <c r="N725" s="2" t="s">
        <v>8419</v>
      </c>
      <c r="O725" s="2" t="s">
        <v>9017</v>
      </c>
      <c r="P725" s="2" t="s">
        <v>175</v>
      </c>
      <c r="Q725" s="2" t="s">
        <v>8445</v>
      </c>
      <c r="R725" s="2" t="s">
        <v>30</v>
      </c>
    </row>
    <row r="726" spans="1:18">
      <c r="A726" s="1">
        <v>45444</v>
      </c>
      <c r="B726" s="1">
        <v>45444</v>
      </c>
      <c r="C726">
        <v>2024</v>
      </c>
      <c r="D726">
        <v>6</v>
      </c>
      <c r="E726" s="2" t="s">
        <v>8467</v>
      </c>
      <c r="F726" s="2" t="s">
        <v>8468</v>
      </c>
      <c r="G726" s="2" t="s">
        <v>8335</v>
      </c>
      <c r="H726" s="2" t="s">
        <v>22</v>
      </c>
      <c r="I726" s="2" t="s">
        <v>8365</v>
      </c>
      <c r="J726" s="2" t="s">
        <v>24</v>
      </c>
      <c r="K726">
        <v>3675.69</v>
      </c>
      <c r="L726">
        <v>367569000</v>
      </c>
      <c r="M726" s="2" t="s">
        <v>8377</v>
      </c>
      <c r="N726" s="2" t="s">
        <v>8381</v>
      </c>
      <c r="O726" s="2" t="s">
        <v>9018</v>
      </c>
      <c r="P726" s="2" t="s">
        <v>175</v>
      </c>
      <c r="Q726" s="2" t="s">
        <v>8445</v>
      </c>
      <c r="R726" s="2" t="s">
        <v>30</v>
      </c>
    </row>
    <row r="727" spans="1:18">
      <c r="A727" s="1">
        <v>45444</v>
      </c>
      <c r="B727" s="1">
        <v>45444</v>
      </c>
      <c r="C727">
        <v>2024</v>
      </c>
      <c r="D727">
        <v>6</v>
      </c>
      <c r="E727" s="2" t="s">
        <v>8470</v>
      </c>
      <c r="F727" s="2" t="s">
        <v>8471</v>
      </c>
      <c r="G727" s="2" t="s">
        <v>8335</v>
      </c>
      <c r="H727" s="2" t="s">
        <v>22</v>
      </c>
      <c r="I727" s="2" t="s">
        <v>8365</v>
      </c>
      <c r="J727" s="2" t="s">
        <v>59</v>
      </c>
      <c r="K727">
        <v>15051.3</v>
      </c>
      <c r="L727">
        <v>1505130000</v>
      </c>
      <c r="M727" s="2" t="s">
        <v>8362</v>
      </c>
      <c r="N727" s="2" t="s">
        <v>8367</v>
      </c>
      <c r="O727" s="2" t="s">
        <v>9019</v>
      </c>
      <c r="P727" s="2" t="s">
        <v>175</v>
      </c>
      <c r="Q727" s="2" t="s">
        <v>8445</v>
      </c>
      <c r="R727" s="2" t="s">
        <v>30</v>
      </c>
    </row>
    <row r="728" spans="1:18">
      <c r="A728" s="1">
        <v>45444</v>
      </c>
      <c r="B728" s="1">
        <v>45444</v>
      </c>
      <c r="C728">
        <v>2024</v>
      </c>
      <c r="D728">
        <v>6</v>
      </c>
      <c r="E728" s="2" t="s">
        <v>8473</v>
      </c>
      <c r="F728" s="2" t="s">
        <v>8474</v>
      </c>
      <c r="G728" s="2" t="s">
        <v>8335</v>
      </c>
      <c r="H728" s="2" t="s">
        <v>22</v>
      </c>
      <c r="I728" s="2" t="s">
        <v>8365</v>
      </c>
      <c r="J728" s="2" t="s">
        <v>24</v>
      </c>
      <c r="K728">
        <v>11375.61</v>
      </c>
      <c r="L728">
        <v>1137561000</v>
      </c>
      <c r="M728" s="2" t="s">
        <v>8370</v>
      </c>
      <c r="N728" s="2" t="s">
        <v>8374</v>
      </c>
      <c r="O728" s="2" t="s">
        <v>9020</v>
      </c>
      <c r="P728" s="2" t="s">
        <v>175</v>
      </c>
      <c r="Q728" s="2" t="s">
        <v>8445</v>
      </c>
      <c r="R728" s="2" t="s">
        <v>30</v>
      </c>
    </row>
    <row r="729" spans="1:18">
      <c r="A729" s="1">
        <v>45444</v>
      </c>
      <c r="B729" s="1">
        <v>45444</v>
      </c>
      <c r="C729">
        <v>2024</v>
      </c>
      <c r="D729">
        <v>6</v>
      </c>
      <c r="E729" s="2" t="s">
        <v>7890</v>
      </c>
      <c r="F729" s="2" t="s">
        <v>7891</v>
      </c>
      <c r="G729" s="2" t="s">
        <v>8335</v>
      </c>
      <c r="H729" s="2" t="s">
        <v>22</v>
      </c>
      <c r="I729" s="2" t="s">
        <v>8417</v>
      </c>
      <c r="J729" s="2" t="s">
        <v>24</v>
      </c>
      <c r="K729">
        <v>5770.15</v>
      </c>
      <c r="L729">
        <v>577015000</v>
      </c>
      <c r="M729" s="2" t="s">
        <v>7889</v>
      </c>
      <c r="N729" s="2" t="s">
        <v>7911</v>
      </c>
      <c r="O729" s="2" t="s">
        <v>9021</v>
      </c>
      <c r="P729" s="2" t="s">
        <v>7930</v>
      </c>
      <c r="Q729" s="2" t="s">
        <v>8967</v>
      </c>
      <c r="R729" s="2" t="s">
        <v>9022</v>
      </c>
    </row>
    <row r="730" spans="1:18">
      <c r="A730" s="1">
        <v>45474</v>
      </c>
      <c r="B730" s="1">
        <v>45474</v>
      </c>
      <c r="C730">
        <v>2024</v>
      </c>
      <c r="D730">
        <v>7</v>
      </c>
      <c r="E730" s="2" t="s">
        <v>8443</v>
      </c>
      <c r="F730" s="2" t="s">
        <v>8444</v>
      </c>
      <c r="G730" s="2" t="s">
        <v>8335</v>
      </c>
      <c r="H730" s="2" t="s">
        <v>22</v>
      </c>
      <c r="I730" s="2" t="s">
        <v>8387</v>
      </c>
      <c r="J730" s="2" t="s">
        <v>24</v>
      </c>
      <c r="K730">
        <v>2.21</v>
      </c>
      <c r="L730">
        <v>221000</v>
      </c>
      <c r="M730" s="2" t="s">
        <v>8392</v>
      </c>
      <c r="N730" s="2" t="s">
        <v>8396</v>
      </c>
      <c r="O730" s="2" t="s">
        <v>3142</v>
      </c>
      <c r="P730" s="2" t="s">
        <v>175</v>
      </c>
      <c r="Q730" s="2" t="s">
        <v>8445</v>
      </c>
      <c r="R730" s="2" t="s">
        <v>30</v>
      </c>
    </row>
    <row r="731" spans="1:18">
      <c r="A731" s="1">
        <v>45474</v>
      </c>
      <c r="B731" s="1">
        <v>45474</v>
      </c>
      <c r="C731">
        <v>2024</v>
      </c>
      <c r="D731">
        <v>7</v>
      </c>
      <c r="E731" s="2" t="s">
        <v>8446</v>
      </c>
      <c r="F731" s="2" t="s">
        <v>8447</v>
      </c>
      <c r="G731" s="2" t="s">
        <v>8335</v>
      </c>
      <c r="H731" s="2" t="s">
        <v>22</v>
      </c>
      <c r="I731" s="2" t="s">
        <v>8387</v>
      </c>
      <c r="J731" s="2" t="s">
        <v>59</v>
      </c>
      <c r="K731">
        <v>2.5499999999999998</v>
      </c>
      <c r="L731">
        <v>255000</v>
      </c>
      <c r="M731" s="2" t="s">
        <v>8384</v>
      </c>
      <c r="N731" s="2" t="s">
        <v>8389</v>
      </c>
      <c r="O731" s="2" t="s">
        <v>5898</v>
      </c>
      <c r="P731" s="2" t="s">
        <v>175</v>
      </c>
      <c r="Q731" s="2" t="s">
        <v>8445</v>
      </c>
      <c r="R731" s="2" t="s">
        <v>30</v>
      </c>
    </row>
    <row r="732" spans="1:18">
      <c r="A732" s="1">
        <v>45474</v>
      </c>
      <c r="B732" s="1">
        <v>45474</v>
      </c>
      <c r="C732">
        <v>2024</v>
      </c>
      <c r="D732">
        <v>7</v>
      </c>
      <c r="E732" s="2" t="s">
        <v>8448</v>
      </c>
      <c r="F732" s="2" t="s">
        <v>8449</v>
      </c>
      <c r="G732" s="2" t="s">
        <v>8335</v>
      </c>
      <c r="H732" s="2" t="s">
        <v>22</v>
      </c>
      <c r="I732" s="2" t="s">
        <v>8387</v>
      </c>
      <c r="J732" s="2" t="s">
        <v>24</v>
      </c>
      <c r="K732">
        <v>0.34</v>
      </c>
      <c r="L732">
        <v>34000</v>
      </c>
      <c r="M732" s="2" t="s">
        <v>8399</v>
      </c>
      <c r="N732" s="2" t="s">
        <v>8403</v>
      </c>
      <c r="O732" s="2" t="s">
        <v>3373</v>
      </c>
      <c r="P732" s="2" t="s">
        <v>175</v>
      </c>
      <c r="Q732" s="2" t="s">
        <v>8445</v>
      </c>
      <c r="R732" s="2" t="s">
        <v>30</v>
      </c>
    </row>
    <row r="733" spans="1:18">
      <c r="A733" s="1">
        <v>45474</v>
      </c>
      <c r="B733" s="1">
        <v>45474</v>
      </c>
      <c r="C733">
        <v>2024</v>
      </c>
      <c r="D733">
        <v>7</v>
      </c>
      <c r="E733" s="2" t="s">
        <v>8450</v>
      </c>
      <c r="F733" s="2" t="s">
        <v>8451</v>
      </c>
      <c r="G733" s="2" t="s">
        <v>8335</v>
      </c>
      <c r="H733" s="2" t="s">
        <v>22</v>
      </c>
      <c r="I733" s="2" t="s">
        <v>8417</v>
      </c>
      <c r="J733" s="2" t="s">
        <v>24</v>
      </c>
      <c r="K733">
        <v>61.87</v>
      </c>
      <c r="L733">
        <v>6187000</v>
      </c>
      <c r="M733" s="2" t="s">
        <v>8422</v>
      </c>
      <c r="N733" s="2" t="s">
        <v>8426</v>
      </c>
      <c r="O733" s="2" t="s">
        <v>9023</v>
      </c>
      <c r="P733" s="2" t="s">
        <v>175</v>
      </c>
      <c r="Q733" s="2" t="s">
        <v>8445</v>
      </c>
      <c r="R733" s="2" t="s">
        <v>30</v>
      </c>
    </row>
    <row r="734" spans="1:18">
      <c r="A734" s="1">
        <v>45474</v>
      </c>
      <c r="B734" s="1">
        <v>45474</v>
      </c>
      <c r="C734">
        <v>2024</v>
      </c>
      <c r="D734">
        <v>7</v>
      </c>
      <c r="E734" s="2" t="s">
        <v>8453</v>
      </c>
      <c r="F734" s="2" t="s">
        <v>8454</v>
      </c>
      <c r="G734" s="2" t="s">
        <v>8335</v>
      </c>
      <c r="H734" s="2" t="s">
        <v>22</v>
      </c>
      <c r="I734" s="2" t="s">
        <v>8336</v>
      </c>
      <c r="J734" s="2" t="s">
        <v>24</v>
      </c>
      <c r="K734">
        <v>1045.68</v>
      </c>
      <c r="L734">
        <v>104568000</v>
      </c>
      <c r="M734" s="2" t="s">
        <v>8348</v>
      </c>
      <c r="N734" s="2" t="s">
        <v>8352</v>
      </c>
      <c r="O734" s="2" t="s">
        <v>9024</v>
      </c>
      <c r="P734" s="2" t="s">
        <v>175</v>
      </c>
      <c r="Q734" s="2" t="s">
        <v>8445</v>
      </c>
      <c r="R734" s="2" t="s">
        <v>30</v>
      </c>
    </row>
    <row r="735" spans="1:18">
      <c r="A735" s="1">
        <v>45474</v>
      </c>
      <c r="B735" s="1">
        <v>45474</v>
      </c>
      <c r="C735">
        <v>2024</v>
      </c>
      <c r="D735">
        <v>7</v>
      </c>
      <c r="E735" s="2" t="s">
        <v>8456</v>
      </c>
      <c r="F735" s="2" t="s">
        <v>8457</v>
      </c>
      <c r="G735" s="2" t="s">
        <v>8335</v>
      </c>
      <c r="H735" s="2" t="s">
        <v>22</v>
      </c>
      <c r="I735" s="2" t="s">
        <v>8336</v>
      </c>
      <c r="J735" s="2" t="s">
        <v>24</v>
      </c>
      <c r="K735">
        <v>9632.02</v>
      </c>
      <c r="L735">
        <v>963202000</v>
      </c>
      <c r="M735" s="2" t="s">
        <v>8355</v>
      </c>
      <c r="N735" s="2" t="s">
        <v>8359</v>
      </c>
      <c r="O735" s="2" t="s">
        <v>9025</v>
      </c>
      <c r="P735" s="2" t="s">
        <v>175</v>
      </c>
      <c r="Q735" s="2" t="s">
        <v>8445</v>
      </c>
      <c r="R735" s="2" t="s">
        <v>30</v>
      </c>
    </row>
    <row r="736" spans="1:18">
      <c r="A736" s="1">
        <v>45474</v>
      </c>
      <c r="B736" s="1">
        <v>45474</v>
      </c>
      <c r="C736">
        <v>2024</v>
      </c>
      <c r="D736">
        <v>7</v>
      </c>
      <c r="E736" s="2" t="s">
        <v>8459</v>
      </c>
      <c r="F736" s="2" t="s">
        <v>8460</v>
      </c>
      <c r="G736" s="2" t="s">
        <v>8335</v>
      </c>
      <c r="H736" s="2" t="s">
        <v>22</v>
      </c>
      <c r="I736" s="2" t="s">
        <v>8336</v>
      </c>
      <c r="J736" s="2" t="s">
        <v>59</v>
      </c>
      <c r="K736">
        <v>10677.71</v>
      </c>
      <c r="L736">
        <v>1067771000</v>
      </c>
      <c r="M736" s="2" t="s">
        <v>8331</v>
      </c>
      <c r="N736" s="2" t="s">
        <v>8341</v>
      </c>
      <c r="O736" s="2" t="s">
        <v>9026</v>
      </c>
      <c r="P736" s="2" t="s">
        <v>175</v>
      </c>
      <c r="Q736" s="2" t="s">
        <v>8445</v>
      </c>
      <c r="R736" s="2" t="s">
        <v>30</v>
      </c>
    </row>
    <row r="737" spans="1:18">
      <c r="A737" s="1">
        <v>45474</v>
      </c>
      <c r="B737" s="1">
        <v>45474</v>
      </c>
      <c r="C737">
        <v>2024</v>
      </c>
      <c r="D737">
        <v>7</v>
      </c>
      <c r="E737" s="2" t="s">
        <v>8462</v>
      </c>
      <c r="F737" s="2" t="s">
        <v>8463</v>
      </c>
      <c r="G737" s="2" t="s">
        <v>8335</v>
      </c>
      <c r="H737" s="2" t="s">
        <v>22</v>
      </c>
      <c r="I737" s="2" t="s">
        <v>8409</v>
      </c>
      <c r="J737" s="2" t="s">
        <v>24</v>
      </c>
      <c r="K737">
        <v>14.78</v>
      </c>
      <c r="L737">
        <v>1478000</v>
      </c>
      <c r="M737" s="2" t="s">
        <v>8406</v>
      </c>
      <c r="N737" s="2" t="s">
        <v>8411</v>
      </c>
      <c r="O737" s="2" t="s">
        <v>9027</v>
      </c>
      <c r="P737" s="2" t="s">
        <v>175</v>
      </c>
      <c r="Q737" s="2" t="s">
        <v>8445</v>
      </c>
      <c r="R737" s="2" t="s">
        <v>30</v>
      </c>
    </row>
    <row r="738" spans="1:18">
      <c r="A738" s="1">
        <v>45474</v>
      </c>
      <c r="B738" s="1">
        <v>45474</v>
      </c>
      <c r="C738">
        <v>2024</v>
      </c>
      <c r="D738">
        <v>7</v>
      </c>
      <c r="E738" s="2" t="s">
        <v>8464</v>
      </c>
      <c r="F738" s="2" t="s">
        <v>8465</v>
      </c>
      <c r="G738" s="2" t="s">
        <v>8335</v>
      </c>
      <c r="H738" s="2" t="s">
        <v>22</v>
      </c>
      <c r="I738" s="2" t="s">
        <v>8417</v>
      </c>
      <c r="J738" s="2" t="s">
        <v>24</v>
      </c>
      <c r="K738">
        <v>89.72</v>
      </c>
      <c r="L738">
        <v>8972000</v>
      </c>
      <c r="M738" s="2" t="s">
        <v>8414</v>
      </c>
      <c r="N738" s="2" t="s">
        <v>8419</v>
      </c>
      <c r="O738" s="2" t="s">
        <v>9028</v>
      </c>
      <c r="P738" s="2" t="s">
        <v>175</v>
      </c>
      <c r="Q738" s="2" t="s">
        <v>8445</v>
      </c>
      <c r="R738" s="2" t="s">
        <v>30</v>
      </c>
    </row>
    <row r="739" spans="1:18">
      <c r="A739" s="1">
        <v>45474</v>
      </c>
      <c r="B739" s="1">
        <v>45474</v>
      </c>
      <c r="C739">
        <v>2024</v>
      </c>
      <c r="D739">
        <v>7</v>
      </c>
      <c r="E739" s="2" t="s">
        <v>8467</v>
      </c>
      <c r="F739" s="2" t="s">
        <v>8468</v>
      </c>
      <c r="G739" s="2" t="s">
        <v>8335</v>
      </c>
      <c r="H739" s="2" t="s">
        <v>22</v>
      </c>
      <c r="I739" s="2" t="s">
        <v>8365</v>
      </c>
      <c r="J739" s="2" t="s">
        <v>24</v>
      </c>
      <c r="K739">
        <v>3791.61</v>
      </c>
      <c r="L739">
        <v>379161000</v>
      </c>
      <c r="M739" s="2" t="s">
        <v>8377</v>
      </c>
      <c r="N739" s="2" t="s">
        <v>8381</v>
      </c>
      <c r="O739" s="2" t="s">
        <v>9029</v>
      </c>
      <c r="P739" s="2" t="s">
        <v>175</v>
      </c>
      <c r="Q739" s="2" t="s">
        <v>8445</v>
      </c>
      <c r="R739" s="2" t="s">
        <v>30</v>
      </c>
    </row>
    <row r="740" spans="1:18">
      <c r="A740" s="1">
        <v>45474</v>
      </c>
      <c r="B740" s="1">
        <v>45474</v>
      </c>
      <c r="C740">
        <v>2024</v>
      </c>
      <c r="D740">
        <v>7</v>
      </c>
      <c r="E740" s="2" t="s">
        <v>8470</v>
      </c>
      <c r="F740" s="2" t="s">
        <v>8471</v>
      </c>
      <c r="G740" s="2" t="s">
        <v>8335</v>
      </c>
      <c r="H740" s="2" t="s">
        <v>22</v>
      </c>
      <c r="I740" s="2" t="s">
        <v>8365</v>
      </c>
      <c r="J740" s="2" t="s">
        <v>59</v>
      </c>
      <c r="K740">
        <v>15211.22</v>
      </c>
      <c r="L740">
        <v>1521122000</v>
      </c>
      <c r="M740" s="2" t="s">
        <v>8362</v>
      </c>
      <c r="N740" s="2" t="s">
        <v>8367</v>
      </c>
      <c r="O740" s="2" t="s">
        <v>9030</v>
      </c>
      <c r="P740" s="2" t="s">
        <v>175</v>
      </c>
      <c r="Q740" s="2" t="s">
        <v>8445</v>
      </c>
      <c r="R740" s="2" t="s">
        <v>30</v>
      </c>
    </row>
    <row r="741" spans="1:18">
      <c r="A741" s="1">
        <v>45474</v>
      </c>
      <c r="B741" s="1">
        <v>45474</v>
      </c>
      <c r="C741">
        <v>2024</v>
      </c>
      <c r="D741">
        <v>7</v>
      </c>
      <c r="E741" s="2" t="s">
        <v>8473</v>
      </c>
      <c r="F741" s="2" t="s">
        <v>8474</v>
      </c>
      <c r="G741" s="2" t="s">
        <v>8335</v>
      </c>
      <c r="H741" s="2" t="s">
        <v>22</v>
      </c>
      <c r="I741" s="2" t="s">
        <v>8365</v>
      </c>
      <c r="J741" s="2" t="s">
        <v>24</v>
      </c>
      <c r="K741">
        <v>11419.62</v>
      </c>
      <c r="L741">
        <v>1141962000</v>
      </c>
      <c r="M741" s="2" t="s">
        <v>8370</v>
      </c>
      <c r="N741" s="2" t="s">
        <v>8374</v>
      </c>
      <c r="O741" s="2" t="s">
        <v>9031</v>
      </c>
      <c r="P741" s="2" t="s">
        <v>175</v>
      </c>
      <c r="Q741" s="2" t="s">
        <v>8445</v>
      </c>
      <c r="R741" s="2" t="s">
        <v>30</v>
      </c>
    </row>
    <row r="742" spans="1:18">
      <c r="A742" s="1">
        <v>45474</v>
      </c>
      <c r="B742" s="1">
        <v>45474</v>
      </c>
      <c r="C742">
        <v>2024</v>
      </c>
      <c r="D742">
        <v>7</v>
      </c>
      <c r="E742" s="2" t="s">
        <v>7890</v>
      </c>
      <c r="F742" s="2" t="s">
        <v>7891</v>
      </c>
      <c r="G742" s="2" t="s">
        <v>8335</v>
      </c>
      <c r="H742" s="2" t="s">
        <v>22</v>
      </c>
      <c r="I742" s="2" t="s">
        <v>8417</v>
      </c>
      <c r="J742" s="2" t="s">
        <v>24</v>
      </c>
      <c r="K742">
        <v>5851.14</v>
      </c>
      <c r="L742">
        <v>585114000</v>
      </c>
      <c r="M742" s="2" t="s">
        <v>7889</v>
      </c>
      <c r="N742" s="2" t="s">
        <v>7911</v>
      </c>
      <c r="O742" s="2" t="s">
        <v>9032</v>
      </c>
      <c r="P742" s="2" t="s">
        <v>7933</v>
      </c>
      <c r="Q742" s="2" t="s">
        <v>8967</v>
      </c>
      <c r="R742" s="2" t="s">
        <v>9033</v>
      </c>
    </row>
    <row r="743" spans="1:18">
      <c r="A743" s="1">
        <v>45505</v>
      </c>
      <c r="B743" s="1">
        <v>45505</v>
      </c>
      <c r="C743">
        <v>2024</v>
      </c>
      <c r="D743">
        <v>8</v>
      </c>
      <c r="E743" s="2" t="s">
        <v>8443</v>
      </c>
      <c r="F743" s="2" t="s">
        <v>8444</v>
      </c>
      <c r="G743" s="2" t="s">
        <v>8335</v>
      </c>
      <c r="H743" s="2" t="s">
        <v>22</v>
      </c>
      <c r="I743" s="2" t="s">
        <v>8387</v>
      </c>
      <c r="J743" s="2" t="s">
        <v>24</v>
      </c>
      <c r="K743">
        <v>2.2000000000000002</v>
      </c>
      <c r="L743">
        <v>220000</v>
      </c>
      <c r="M743" s="2" t="s">
        <v>8392</v>
      </c>
      <c r="N743" s="2" t="s">
        <v>8396</v>
      </c>
      <c r="O743" s="2" t="s">
        <v>477</v>
      </c>
      <c r="P743" s="2" t="s">
        <v>175</v>
      </c>
      <c r="Q743" s="2" t="s">
        <v>8445</v>
      </c>
      <c r="R743" s="2" t="s">
        <v>30</v>
      </c>
    </row>
    <row r="744" spans="1:18">
      <c r="A744" s="1">
        <v>45505</v>
      </c>
      <c r="B744" s="1">
        <v>45505</v>
      </c>
      <c r="C744">
        <v>2024</v>
      </c>
      <c r="D744">
        <v>8</v>
      </c>
      <c r="E744" s="2" t="s">
        <v>8446</v>
      </c>
      <c r="F744" s="2" t="s">
        <v>8447</v>
      </c>
      <c r="G744" s="2" t="s">
        <v>8335</v>
      </c>
      <c r="H744" s="2" t="s">
        <v>22</v>
      </c>
      <c r="I744" s="2" t="s">
        <v>8387</v>
      </c>
      <c r="J744" s="2" t="s">
        <v>59</v>
      </c>
      <c r="K744">
        <v>2.5499999999999998</v>
      </c>
      <c r="L744">
        <v>255000</v>
      </c>
      <c r="M744" s="2" t="s">
        <v>8384</v>
      </c>
      <c r="N744" s="2" t="s">
        <v>8389</v>
      </c>
      <c r="O744" s="2" t="s">
        <v>5898</v>
      </c>
      <c r="P744" s="2" t="s">
        <v>175</v>
      </c>
      <c r="Q744" s="2" t="s">
        <v>8445</v>
      </c>
      <c r="R744" s="2" t="s">
        <v>30</v>
      </c>
    </row>
    <row r="745" spans="1:18">
      <c r="A745" s="1">
        <v>45505</v>
      </c>
      <c r="B745" s="1">
        <v>45505</v>
      </c>
      <c r="C745">
        <v>2024</v>
      </c>
      <c r="D745">
        <v>8</v>
      </c>
      <c r="E745" s="2" t="s">
        <v>8448</v>
      </c>
      <c r="F745" s="2" t="s">
        <v>8449</v>
      </c>
      <c r="G745" s="2" t="s">
        <v>8335</v>
      </c>
      <c r="H745" s="2" t="s">
        <v>22</v>
      </c>
      <c r="I745" s="2" t="s">
        <v>8387</v>
      </c>
      <c r="J745" s="2" t="s">
        <v>24</v>
      </c>
      <c r="K745">
        <v>0.35</v>
      </c>
      <c r="L745">
        <v>35000</v>
      </c>
      <c r="M745" s="2" t="s">
        <v>8399</v>
      </c>
      <c r="N745" s="2" t="s">
        <v>8403</v>
      </c>
      <c r="O745" s="2" t="s">
        <v>4029</v>
      </c>
      <c r="P745" s="2" t="s">
        <v>175</v>
      </c>
      <c r="Q745" s="2" t="s">
        <v>8445</v>
      </c>
      <c r="R745" s="2" t="s">
        <v>30</v>
      </c>
    </row>
    <row r="746" spans="1:18">
      <c r="A746" s="1">
        <v>45505</v>
      </c>
      <c r="B746" s="1">
        <v>45505</v>
      </c>
      <c r="C746">
        <v>2024</v>
      </c>
      <c r="D746">
        <v>8</v>
      </c>
      <c r="E746" s="2" t="s">
        <v>8450</v>
      </c>
      <c r="F746" s="2" t="s">
        <v>8451</v>
      </c>
      <c r="G746" s="2" t="s">
        <v>8335</v>
      </c>
      <c r="H746" s="2" t="s">
        <v>22</v>
      </c>
      <c r="I746" s="2" t="s">
        <v>8417</v>
      </c>
      <c r="J746" s="2" t="s">
        <v>24</v>
      </c>
      <c r="K746">
        <v>63.97</v>
      </c>
      <c r="L746">
        <v>6397000</v>
      </c>
      <c r="M746" s="2" t="s">
        <v>8422</v>
      </c>
      <c r="N746" s="2" t="s">
        <v>8426</v>
      </c>
      <c r="O746" s="2" t="s">
        <v>9034</v>
      </c>
      <c r="P746" s="2" t="s">
        <v>175</v>
      </c>
      <c r="Q746" s="2" t="s">
        <v>8445</v>
      </c>
      <c r="R746" s="2" t="s">
        <v>30</v>
      </c>
    </row>
    <row r="747" spans="1:18">
      <c r="A747" s="1">
        <v>45505</v>
      </c>
      <c r="B747" s="1">
        <v>45505</v>
      </c>
      <c r="C747">
        <v>2024</v>
      </c>
      <c r="D747">
        <v>8</v>
      </c>
      <c r="E747" s="2" t="s">
        <v>8453</v>
      </c>
      <c r="F747" s="2" t="s">
        <v>8454</v>
      </c>
      <c r="G747" s="2" t="s">
        <v>8335</v>
      </c>
      <c r="H747" s="2" t="s">
        <v>22</v>
      </c>
      <c r="I747" s="2" t="s">
        <v>8336</v>
      </c>
      <c r="J747" s="2" t="s">
        <v>24</v>
      </c>
      <c r="K747">
        <v>1054.24</v>
      </c>
      <c r="L747">
        <v>105424000</v>
      </c>
      <c r="M747" s="2" t="s">
        <v>8348</v>
      </c>
      <c r="N747" s="2" t="s">
        <v>8352</v>
      </c>
      <c r="O747" s="2" t="s">
        <v>9035</v>
      </c>
      <c r="P747" s="2" t="s">
        <v>175</v>
      </c>
      <c r="Q747" s="2" t="s">
        <v>8445</v>
      </c>
      <c r="R747" s="2" t="s">
        <v>30</v>
      </c>
    </row>
    <row r="748" spans="1:18">
      <c r="A748" s="1">
        <v>45505</v>
      </c>
      <c r="B748" s="1">
        <v>45505</v>
      </c>
      <c r="C748">
        <v>2024</v>
      </c>
      <c r="D748">
        <v>8</v>
      </c>
      <c r="E748" s="2" t="s">
        <v>8456</v>
      </c>
      <c r="F748" s="2" t="s">
        <v>8457</v>
      </c>
      <c r="G748" s="2" t="s">
        <v>8335</v>
      </c>
      <c r="H748" s="2" t="s">
        <v>22</v>
      </c>
      <c r="I748" s="2" t="s">
        <v>8336</v>
      </c>
      <c r="J748" s="2" t="s">
        <v>24</v>
      </c>
      <c r="K748">
        <v>9685.49</v>
      </c>
      <c r="L748">
        <v>968549000</v>
      </c>
      <c r="M748" s="2" t="s">
        <v>8355</v>
      </c>
      <c r="N748" s="2" t="s">
        <v>8359</v>
      </c>
      <c r="O748" s="2" t="s">
        <v>9036</v>
      </c>
      <c r="P748" s="2" t="s">
        <v>175</v>
      </c>
      <c r="Q748" s="2" t="s">
        <v>8445</v>
      </c>
      <c r="R748" s="2" t="s">
        <v>30</v>
      </c>
    </row>
    <row r="749" spans="1:18">
      <c r="A749" s="1">
        <v>45505</v>
      </c>
      <c r="B749" s="1">
        <v>45505</v>
      </c>
      <c r="C749">
        <v>2024</v>
      </c>
      <c r="D749">
        <v>8</v>
      </c>
      <c r="E749" s="2" t="s">
        <v>8459</v>
      </c>
      <c r="F749" s="2" t="s">
        <v>8460</v>
      </c>
      <c r="G749" s="2" t="s">
        <v>8335</v>
      </c>
      <c r="H749" s="2" t="s">
        <v>22</v>
      </c>
      <c r="I749" s="2" t="s">
        <v>8336</v>
      </c>
      <c r="J749" s="2" t="s">
        <v>59</v>
      </c>
      <c r="K749">
        <v>10739.74</v>
      </c>
      <c r="L749">
        <v>1073974000</v>
      </c>
      <c r="M749" s="2" t="s">
        <v>8331</v>
      </c>
      <c r="N749" s="2" t="s">
        <v>8341</v>
      </c>
      <c r="O749" s="2" t="s">
        <v>9037</v>
      </c>
      <c r="P749" s="2" t="s">
        <v>175</v>
      </c>
      <c r="Q749" s="2" t="s">
        <v>8445</v>
      </c>
      <c r="R749" s="2" t="s">
        <v>30</v>
      </c>
    </row>
    <row r="750" spans="1:18">
      <c r="A750" s="1">
        <v>45505</v>
      </c>
      <c r="B750" s="1">
        <v>45505</v>
      </c>
      <c r="C750">
        <v>2024</v>
      </c>
      <c r="D750">
        <v>8</v>
      </c>
      <c r="E750" s="2" t="s">
        <v>8462</v>
      </c>
      <c r="F750" s="2" t="s">
        <v>8463</v>
      </c>
      <c r="G750" s="2" t="s">
        <v>8335</v>
      </c>
      <c r="H750" s="2" t="s">
        <v>22</v>
      </c>
      <c r="I750" s="2" t="s">
        <v>8409</v>
      </c>
      <c r="J750" s="2" t="s">
        <v>24</v>
      </c>
      <c r="K750">
        <v>14.5</v>
      </c>
      <c r="L750">
        <v>1450000</v>
      </c>
      <c r="M750" s="2" t="s">
        <v>8406</v>
      </c>
      <c r="N750" s="2" t="s">
        <v>8411</v>
      </c>
      <c r="O750" s="2" t="s">
        <v>9038</v>
      </c>
      <c r="P750" s="2" t="s">
        <v>175</v>
      </c>
      <c r="Q750" s="2" t="s">
        <v>8445</v>
      </c>
      <c r="R750" s="2" t="s">
        <v>30</v>
      </c>
    </row>
    <row r="751" spans="1:18">
      <c r="A751" s="1">
        <v>45505</v>
      </c>
      <c r="B751" s="1">
        <v>45505</v>
      </c>
      <c r="C751">
        <v>2024</v>
      </c>
      <c r="D751">
        <v>8</v>
      </c>
      <c r="E751" s="2" t="s">
        <v>8464</v>
      </c>
      <c r="F751" s="2" t="s">
        <v>8465</v>
      </c>
      <c r="G751" s="2" t="s">
        <v>8335</v>
      </c>
      <c r="H751" s="2" t="s">
        <v>22</v>
      </c>
      <c r="I751" s="2" t="s">
        <v>8417</v>
      </c>
      <c r="J751" s="2" t="s">
        <v>24</v>
      </c>
      <c r="K751">
        <v>93.01</v>
      </c>
      <c r="L751">
        <v>9301000</v>
      </c>
      <c r="M751" s="2" t="s">
        <v>8414</v>
      </c>
      <c r="N751" s="2" t="s">
        <v>8419</v>
      </c>
      <c r="O751" s="2" t="s">
        <v>9039</v>
      </c>
      <c r="P751" s="2" t="s">
        <v>175</v>
      </c>
      <c r="Q751" s="2" t="s">
        <v>8445</v>
      </c>
      <c r="R751" s="2" t="s">
        <v>30</v>
      </c>
    </row>
    <row r="752" spans="1:18">
      <c r="A752" s="1">
        <v>45505</v>
      </c>
      <c r="B752" s="1">
        <v>45505</v>
      </c>
      <c r="C752">
        <v>2024</v>
      </c>
      <c r="D752">
        <v>8</v>
      </c>
      <c r="E752" s="2" t="s">
        <v>8467</v>
      </c>
      <c r="F752" s="2" t="s">
        <v>8468</v>
      </c>
      <c r="G752" s="2" t="s">
        <v>8335</v>
      </c>
      <c r="H752" s="2" t="s">
        <v>22</v>
      </c>
      <c r="I752" s="2" t="s">
        <v>8365</v>
      </c>
      <c r="J752" s="2" t="s">
        <v>24</v>
      </c>
      <c r="K752">
        <v>3859.41</v>
      </c>
      <c r="L752">
        <v>385941000</v>
      </c>
      <c r="M752" s="2" t="s">
        <v>8377</v>
      </c>
      <c r="N752" s="2" t="s">
        <v>8381</v>
      </c>
      <c r="O752" s="2" t="s">
        <v>9040</v>
      </c>
      <c r="P752" s="2" t="s">
        <v>175</v>
      </c>
      <c r="Q752" s="2" t="s">
        <v>8445</v>
      </c>
      <c r="R752" s="2" t="s">
        <v>30</v>
      </c>
    </row>
    <row r="753" spans="1:18">
      <c r="A753" s="1">
        <v>45505</v>
      </c>
      <c r="B753" s="1">
        <v>45505</v>
      </c>
      <c r="C753">
        <v>2024</v>
      </c>
      <c r="D753">
        <v>8</v>
      </c>
      <c r="E753" s="2" t="s">
        <v>8470</v>
      </c>
      <c r="F753" s="2" t="s">
        <v>8471</v>
      </c>
      <c r="G753" s="2" t="s">
        <v>8335</v>
      </c>
      <c r="H753" s="2" t="s">
        <v>22</v>
      </c>
      <c r="I753" s="2" t="s">
        <v>8365</v>
      </c>
      <c r="J753" s="2" t="s">
        <v>59</v>
      </c>
      <c r="K753">
        <v>15182.13</v>
      </c>
      <c r="L753">
        <v>1518213000</v>
      </c>
      <c r="M753" s="2" t="s">
        <v>8362</v>
      </c>
      <c r="N753" s="2" t="s">
        <v>8367</v>
      </c>
      <c r="O753" s="2" t="s">
        <v>9041</v>
      </c>
      <c r="P753" s="2" t="s">
        <v>175</v>
      </c>
      <c r="Q753" s="2" t="s">
        <v>8445</v>
      </c>
      <c r="R753" s="2" t="s">
        <v>30</v>
      </c>
    </row>
    <row r="754" spans="1:18">
      <c r="A754" s="1">
        <v>45505</v>
      </c>
      <c r="B754" s="1">
        <v>45505</v>
      </c>
      <c r="C754">
        <v>2024</v>
      </c>
      <c r="D754">
        <v>8</v>
      </c>
      <c r="E754" s="2" t="s">
        <v>8473</v>
      </c>
      <c r="F754" s="2" t="s">
        <v>8474</v>
      </c>
      <c r="G754" s="2" t="s">
        <v>8335</v>
      </c>
      <c r="H754" s="2" t="s">
        <v>22</v>
      </c>
      <c r="I754" s="2" t="s">
        <v>8365</v>
      </c>
      <c r="J754" s="2" t="s">
        <v>24</v>
      </c>
      <c r="K754">
        <v>11322.72</v>
      </c>
      <c r="L754">
        <v>1132272000</v>
      </c>
      <c r="M754" s="2" t="s">
        <v>8370</v>
      </c>
      <c r="N754" s="2" t="s">
        <v>8374</v>
      </c>
      <c r="O754" s="2" t="s">
        <v>9042</v>
      </c>
      <c r="P754" s="2" t="s">
        <v>175</v>
      </c>
      <c r="Q754" s="2" t="s">
        <v>8445</v>
      </c>
      <c r="R754" s="2" t="s">
        <v>30</v>
      </c>
    </row>
    <row r="755" spans="1:18">
      <c r="A755" s="1">
        <v>45505</v>
      </c>
      <c r="B755" s="1">
        <v>45505</v>
      </c>
      <c r="C755">
        <v>2024</v>
      </c>
      <c r="D755">
        <v>8</v>
      </c>
      <c r="E755" s="2" t="s">
        <v>7890</v>
      </c>
      <c r="F755" s="2" t="s">
        <v>7891</v>
      </c>
      <c r="G755" s="2" t="s">
        <v>8335</v>
      </c>
      <c r="H755" s="2" t="s">
        <v>22</v>
      </c>
      <c r="I755" s="2" t="s">
        <v>8417</v>
      </c>
      <c r="J755" s="2" t="s">
        <v>24</v>
      </c>
      <c r="K755">
        <v>5912.93</v>
      </c>
      <c r="L755">
        <v>591293000</v>
      </c>
      <c r="M755" s="2" t="s">
        <v>7889</v>
      </c>
      <c r="N755" s="2" t="s">
        <v>7911</v>
      </c>
      <c r="O755" s="2" t="s">
        <v>9043</v>
      </c>
      <c r="P755" s="2" t="s">
        <v>7936</v>
      </c>
      <c r="Q755" s="2" t="s">
        <v>8967</v>
      </c>
      <c r="R755" s="2" t="s">
        <v>9044</v>
      </c>
    </row>
    <row r="756" spans="1:18">
      <c r="A756" s="1">
        <v>45536</v>
      </c>
      <c r="B756" s="1">
        <v>45536</v>
      </c>
      <c r="C756">
        <v>2024</v>
      </c>
      <c r="D756">
        <v>9</v>
      </c>
      <c r="E756" s="2" t="s">
        <v>8443</v>
      </c>
      <c r="F756" s="2" t="s">
        <v>8444</v>
      </c>
      <c r="G756" s="2" t="s">
        <v>8335</v>
      </c>
      <c r="H756" s="2" t="s">
        <v>22</v>
      </c>
      <c r="I756" s="2" t="s">
        <v>8387</v>
      </c>
      <c r="J756" s="2" t="s">
        <v>24</v>
      </c>
      <c r="K756">
        <v>2.2000000000000002</v>
      </c>
      <c r="L756">
        <v>220000</v>
      </c>
      <c r="M756" s="2" t="s">
        <v>8392</v>
      </c>
      <c r="N756" s="2" t="s">
        <v>8396</v>
      </c>
      <c r="O756" s="2" t="s">
        <v>477</v>
      </c>
      <c r="P756" s="2" t="s">
        <v>175</v>
      </c>
      <c r="Q756" s="2" t="s">
        <v>8445</v>
      </c>
      <c r="R756" s="2" t="s">
        <v>30</v>
      </c>
    </row>
    <row r="757" spans="1:18">
      <c r="A757" s="1">
        <v>45536</v>
      </c>
      <c r="B757" s="1">
        <v>45536</v>
      </c>
      <c r="C757">
        <v>2024</v>
      </c>
      <c r="D757">
        <v>9</v>
      </c>
      <c r="E757" s="2" t="s">
        <v>8446</v>
      </c>
      <c r="F757" s="2" t="s">
        <v>8447</v>
      </c>
      <c r="G757" s="2" t="s">
        <v>8335</v>
      </c>
      <c r="H757" s="2" t="s">
        <v>22</v>
      </c>
      <c r="I757" s="2" t="s">
        <v>8387</v>
      </c>
      <c r="J757" s="2" t="s">
        <v>59</v>
      </c>
      <c r="K757">
        <v>2.5499999999999998</v>
      </c>
      <c r="L757">
        <v>255000</v>
      </c>
      <c r="M757" s="2" t="s">
        <v>8384</v>
      </c>
      <c r="N757" s="2" t="s">
        <v>8389</v>
      </c>
      <c r="O757" s="2" t="s">
        <v>5898</v>
      </c>
      <c r="P757" s="2" t="s">
        <v>175</v>
      </c>
      <c r="Q757" s="2" t="s">
        <v>8445</v>
      </c>
      <c r="R757" s="2" t="s">
        <v>30</v>
      </c>
    </row>
    <row r="758" spans="1:18">
      <c r="A758" s="1">
        <v>45536</v>
      </c>
      <c r="B758" s="1">
        <v>45536</v>
      </c>
      <c r="C758">
        <v>2024</v>
      </c>
      <c r="D758">
        <v>9</v>
      </c>
      <c r="E758" s="2" t="s">
        <v>8448</v>
      </c>
      <c r="F758" s="2" t="s">
        <v>8449</v>
      </c>
      <c r="G758" s="2" t="s">
        <v>8335</v>
      </c>
      <c r="H758" s="2" t="s">
        <v>22</v>
      </c>
      <c r="I758" s="2" t="s">
        <v>8387</v>
      </c>
      <c r="J758" s="2" t="s">
        <v>24</v>
      </c>
      <c r="K758">
        <v>0.35</v>
      </c>
      <c r="L758">
        <v>35000</v>
      </c>
      <c r="M758" s="2" t="s">
        <v>8399</v>
      </c>
      <c r="N758" s="2" t="s">
        <v>8403</v>
      </c>
      <c r="O758" s="2" t="s">
        <v>4029</v>
      </c>
      <c r="P758" s="2" t="s">
        <v>175</v>
      </c>
      <c r="Q758" s="2" t="s">
        <v>8445</v>
      </c>
      <c r="R758" s="2" t="s">
        <v>30</v>
      </c>
    </row>
    <row r="759" spans="1:18">
      <c r="A759" s="1">
        <v>45536</v>
      </c>
      <c r="B759" s="1">
        <v>45536</v>
      </c>
      <c r="C759">
        <v>2024</v>
      </c>
      <c r="D759">
        <v>9</v>
      </c>
      <c r="E759" s="2" t="s">
        <v>8450</v>
      </c>
      <c r="F759" s="2" t="s">
        <v>8451</v>
      </c>
      <c r="G759" s="2" t="s">
        <v>8335</v>
      </c>
      <c r="H759" s="2" t="s">
        <v>22</v>
      </c>
      <c r="I759" s="2" t="s">
        <v>8417</v>
      </c>
      <c r="J759" s="2" t="s">
        <v>24</v>
      </c>
      <c r="K759">
        <v>64.16</v>
      </c>
      <c r="L759">
        <v>6416000</v>
      </c>
      <c r="M759" s="2" t="s">
        <v>8422</v>
      </c>
      <c r="N759" s="2" t="s">
        <v>8426</v>
      </c>
      <c r="O759" s="2" t="s">
        <v>9045</v>
      </c>
      <c r="P759" s="2" t="s">
        <v>175</v>
      </c>
      <c r="Q759" s="2" t="s">
        <v>8445</v>
      </c>
      <c r="R759" s="2" t="s">
        <v>30</v>
      </c>
    </row>
    <row r="760" spans="1:18">
      <c r="A760" s="1">
        <v>45536</v>
      </c>
      <c r="B760" s="1">
        <v>45536</v>
      </c>
      <c r="C760">
        <v>2024</v>
      </c>
      <c r="D760">
        <v>9</v>
      </c>
      <c r="E760" s="2" t="s">
        <v>8453</v>
      </c>
      <c r="F760" s="2" t="s">
        <v>8454</v>
      </c>
      <c r="G760" s="2" t="s">
        <v>8335</v>
      </c>
      <c r="H760" s="2" t="s">
        <v>22</v>
      </c>
      <c r="I760" s="2" t="s">
        <v>8336</v>
      </c>
      <c r="J760" s="2" t="s">
        <v>24</v>
      </c>
      <c r="K760">
        <v>1061.03</v>
      </c>
      <c r="L760">
        <v>106103000</v>
      </c>
      <c r="M760" s="2" t="s">
        <v>8348</v>
      </c>
      <c r="N760" s="2" t="s">
        <v>8352</v>
      </c>
      <c r="O760" s="2" t="s">
        <v>9046</v>
      </c>
      <c r="P760" s="2" t="s">
        <v>175</v>
      </c>
      <c r="Q760" s="2" t="s">
        <v>8445</v>
      </c>
      <c r="R760" s="2" t="s">
        <v>30</v>
      </c>
    </row>
    <row r="761" spans="1:18">
      <c r="A761" s="1">
        <v>45536</v>
      </c>
      <c r="B761" s="1">
        <v>45536</v>
      </c>
      <c r="C761">
        <v>2024</v>
      </c>
      <c r="D761">
        <v>9</v>
      </c>
      <c r="E761" s="2" t="s">
        <v>8456</v>
      </c>
      <c r="F761" s="2" t="s">
        <v>8457</v>
      </c>
      <c r="G761" s="2" t="s">
        <v>8335</v>
      </c>
      <c r="H761" s="2" t="s">
        <v>22</v>
      </c>
      <c r="I761" s="2" t="s">
        <v>8336</v>
      </c>
      <c r="J761" s="2" t="s">
        <v>24</v>
      </c>
      <c r="K761">
        <v>9732.82</v>
      </c>
      <c r="L761">
        <v>973282000</v>
      </c>
      <c r="M761" s="2" t="s">
        <v>8355</v>
      </c>
      <c r="N761" s="2" t="s">
        <v>8359</v>
      </c>
      <c r="O761" s="2" t="s">
        <v>9047</v>
      </c>
      <c r="P761" s="2" t="s">
        <v>175</v>
      </c>
      <c r="Q761" s="2" t="s">
        <v>8445</v>
      </c>
      <c r="R761" s="2" t="s">
        <v>30</v>
      </c>
    </row>
    <row r="762" spans="1:18">
      <c r="A762" s="1">
        <v>45536</v>
      </c>
      <c r="B762" s="1">
        <v>45536</v>
      </c>
      <c r="C762">
        <v>2024</v>
      </c>
      <c r="D762">
        <v>9</v>
      </c>
      <c r="E762" s="2" t="s">
        <v>8459</v>
      </c>
      <c r="F762" s="2" t="s">
        <v>8460</v>
      </c>
      <c r="G762" s="2" t="s">
        <v>8335</v>
      </c>
      <c r="H762" s="2" t="s">
        <v>22</v>
      </c>
      <c r="I762" s="2" t="s">
        <v>8336</v>
      </c>
      <c r="J762" s="2" t="s">
        <v>59</v>
      </c>
      <c r="K762">
        <v>10793.85</v>
      </c>
      <c r="L762">
        <v>1079385000</v>
      </c>
      <c r="M762" s="2" t="s">
        <v>8331</v>
      </c>
      <c r="N762" s="2" t="s">
        <v>8341</v>
      </c>
      <c r="O762" s="2" t="s">
        <v>9048</v>
      </c>
      <c r="P762" s="2" t="s">
        <v>175</v>
      </c>
      <c r="Q762" s="2" t="s">
        <v>8445</v>
      </c>
      <c r="R762" s="2" t="s">
        <v>30</v>
      </c>
    </row>
    <row r="763" spans="1:18">
      <c r="A763" s="1">
        <v>45536</v>
      </c>
      <c r="B763" s="1">
        <v>45536</v>
      </c>
      <c r="C763">
        <v>2024</v>
      </c>
      <c r="D763">
        <v>9</v>
      </c>
      <c r="E763" s="2" t="s">
        <v>8462</v>
      </c>
      <c r="F763" s="2" t="s">
        <v>8463</v>
      </c>
      <c r="G763" s="2" t="s">
        <v>8335</v>
      </c>
      <c r="H763" s="2" t="s">
        <v>22</v>
      </c>
      <c r="I763" s="2" t="s">
        <v>8409</v>
      </c>
      <c r="J763" s="2" t="s">
        <v>24</v>
      </c>
      <c r="K763">
        <v>14.53</v>
      </c>
      <c r="L763">
        <v>1453000</v>
      </c>
      <c r="M763" s="2" t="s">
        <v>8406</v>
      </c>
      <c r="N763" s="2" t="s">
        <v>8411</v>
      </c>
      <c r="O763" s="2" t="s">
        <v>9049</v>
      </c>
      <c r="P763" s="2" t="s">
        <v>175</v>
      </c>
      <c r="Q763" s="2" t="s">
        <v>8445</v>
      </c>
      <c r="R763" s="2" t="s">
        <v>30</v>
      </c>
    </row>
    <row r="764" spans="1:18">
      <c r="A764" s="1">
        <v>45536</v>
      </c>
      <c r="B764" s="1">
        <v>45536</v>
      </c>
      <c r="C764">
        <v>2024</v>
      </c>
      <c r="D764">
        <v>9</v>
      </c>
      <c r="E764" s="2" t="s">
        <v>8464</v>
      </c>
      <c r="F764" s="2" t="s">
        <v>8465</v>
      </c>
      <c r="G764" s="2" t="s">
        <v>8335</v>
      </c>
      <c r="H764" s="2" t="s">
        <v>22</v>
      </c>
      <c r="I764" s="2" t="s">
        <v>8417</v>
      </c>
      <c r="J764" s="2" t="s">
        <v>24</v>
      </c>
      <c r="K764">
        <v>93.43</v>
      </c>
      <c r="L764">
        <v>9343000</v>
      </c>
      <c r="M764" s="2" t="s">
        <v>8414</v>
      </c>
      <c r="N764" s="2" t="s">
        <v>8419</v>
      </c>
      <c r="O764" s="2" t="s">
        <v>9050</v>
      </c>
      <c r="P764" s="2" t="s">
        <v>175</v>
      </c>
      <c r="Q764" s="2" t="s">
        <v>8445</v>
      </c>
      <c r="R764" s="2" t="s">
        <v>30</v>
      </c>
    </row>
    <row r="765" spans="1:18">
      <c r="A765" s="1">
        <v>45536</v>
      </c>
      <c r="B765" s="1">
        <v>45536</v>
      </c>
      <c r="C765">
        <v>2024</v>
      </c>
      <c r="D765">
        <v>9</v>
      </c>
      <c r="E765" s="2" t="s">
        <v>8467</v>
      </c>
      <c r="F765" s="2" t="s">
        <v>8468</v>
      </c>
      <c r="G765" s="2" t="s">
        <v>8335</v>
      </c>
      <c r="H765" s="2" t="s">
        <v>22</v>
      </c>
      <c r="I765" s="2" t="s">
        <v>8365</v>
      </c>
      <c r="J765" s="2" t="s">
        <v>24</v>
      </c>
      <c r="K765">
        <v>3958.2</v>
      </c>
      <c r="L765">
        <v>395820000</v>
      </c>
      <c r="M765" s="2" t="s">
        <v>8377</v>
      </c>
      <c r="N765" s="2" t="s">
        <v>8381</v>
      </c>
      <c r="O765" s="2" t="s">
        <v>9051</v>
      </c>
      <c r="P765" s="2" t="s">
        <v>175</v>
      </c>
      <c r="Q765" s="2" t="s">
        <v>8445</v>
      </c>
      <c r="R765" s="2" t="s">
        <v>30</v>
      </c>
    </row>
    <row r="766" spans="1:18">
      <c r="A766" s="1">
        <v>45536</v>
      </c>
      <c r="B766" s="1">
        <v>45536</v>
      </c>
      <c r="C766">
        <v>2024</v>
      </c>
      <c r="D766">
        <v>9</v>
      </c>
      <c r="E766" s="2" t="s">
        <v>8470</v>
      </c>
      <c r="F766" s="2" t="s">
        <v>8471</v>
      </c>
      <c r="G766" s="2" t="s">
        <v>8335</v>
      </c>
      <c r="H766" s="2" t="s">
        <v>22</v>
      </c>
      <c r="I766" s="2" t="s">
        <v>8365</v>
      </c>
      <c r="J766" s="2" t="s">
        <v>59</v>
      </c>
      <c r="K766">
        <v>15339.99</v>
      </c>
      <c r="L766">
        <v>1533999000</v>
      </c>
      <c r="M766" s="2" t="s">
        <v>8362</v>
      </c>
      <c r="N766" s="2" t="s">
        <v>8367</v>
      </c>
      <c r="O766" s="2" t="s">
        <v>9052</v>
      </c>
      <c r="P766" s="2" t="s">
        <v>175</v>
      </c>
      <c r="Q766" s="2" t="s">
        <v>8445</v>
      </c>
      <c r="R766" s="2" t="s">
        <v>30</v>
      </c>
    </row>
    <row r="767" spans="1:18">
      <c r="A767" s="1">
        <v>45536</v>
      </c>
      <c r="B767" s="1">
        <v>45536</v>
      </c>
      <c r="C767">
        <v>2024</v>
      </c>
      <c r="D767">
        <v>9</v>
      </c>
      <c r="E767" s="2" t="s">
        <v>8473</v>
      </c>
      <c r="F767" s="2" t="s">
        <v>8474</v>
      </c>
      <c r="G767" s="2" t="s">
        <v>8335</v>
      </c>
      <c r="H767" s="2" t="s">
        <v>22</v>
      </c>
      <c r="I767" s="2" t="s">
        <v>8365</v>
      </c>
      <c r="J767" s="2" t="s">
        <v>24</v>
      </c>
      <c r="K767">
        <v>11381.79</v>
      </c>
      <c r="L767">
        <v>1138179000</v>
      </c>
      <c r="M767" s="2" t="s">
        <v>8370</v>
      </c>
      <c r="N767" s="2" t="s">
        <v>8374</v>
      </c>
      <c r="O767" s="2" t="s">
        <v>9053</v>
      </c>
      <c r="P767" s="2" t="s">
        <v>175</v>
      </c>
      <c r="Q767" s="2" t="s">
        <v>8445</v>
      </c>
      <c r="R767" s="2" t="s">
        <v>30</v>
      </c>
    </row>
    <row r="768" spans="1:18">
      <c r="A768" s="1">
        <v>45536</v>
      </c>
      <c r="B768" s="1">
        <v>45536</v>
      </c>
      <c r="C768">
        <v>2024</v>
      </c>
      <c r="D768">
        <v>9</v>
      </c>
      <c r="E768" s="2" t="s">
        <v>7890</v>
      </c>
      <c r="F768" s="2" t="s">
        <v>7891</v>
      </c>
      <c r="G768" s="2" t="s">
        <v>8335</v>
      </c>
      <c r="H768" s="2" t="s">
        <v>22</v>
      </c>
      <c r="I768" s="2" t="s">
        <v>8417</v>
      </c>
      <c r="J768" s="2" t="s">
        <v>24</v>
      </c>
      <c r="K768">
        <v>6070.79</v>
      </c>
      <c r="L768">
        <v>607079000</v>
      </c>
      <c r="M768" s="2" t="s">
        <v>7889</v>
      </c>
      <c r="N768" s="2" t="s">
        <v>7911</v>
      </c>
      <c r="O768" s="2" t="s">
        <v>9054</v>
      </c>
      <c r="P768" s="2" t="s">
        <v>7939</v>
      </c>
      <c r="Q768" s="2" t="s">
        <v>8967</v>
      </c>
      <c r="R768" s="2" t="s">
        <v>9055</v>
      </c>
    </row>
    <row r="769" spans="1:18">
      <c r="A769" s="1">
        <v>45566</v>
      </c>
      <c r="B769" s="1">
        <v>45566</v>
      </c>
      <c r="C769">
        <v>2024</v>
      </c>
      <c r="D769">
        <v>10</v>
      </c>
      <c r="E769" s="2" t="s">
        <v>8443</v>
      </c>
      <c r="F769" s="2" t="s">
        <v>8444</v>
      </c>
      <c r="G769" s="2" t="s">
        <v>8335</v>
      </c>
      <c r="H769" s="2" t="s">
        <v>22</v>
      </c>
      <c r="I769" s="2" t="s">
        <v>8387</v>
      </c>
      <c r="J769" s="2" t="s">
        <v>24</v>
      </c>
      <c r="K769">
        <v>2.21</v>
      </c>
      <c r="L769">
        <v>221000</v>
      </c>
      <c r="M769" s="2" t="s">
        <v>8392</v>
      </c>
      <c r="N769" s="2" t="s">
        <v>8396</v>
      </c>
      <c r="O769" s="2" t="s">
        <v>3142</v>
      </c>
      <c r="P769" s="2" t="s">
        <v>175</v>
      </c>
      <c r="Q769" s="2" t="s">
        <v>8445</v>
      </c>
      <c r="R769" s="2" t="s">
        <v>30</v>
      </c>
    </row>
    <row r="770" spans="1:18">
      <c r="A770" s="1">
        <v>45566</v>
      </c>
      <c r="B770" s="1">
        <v>45566</v>
      </c>
      <c r="C770">
        <v>2024</v>
      </c>
      <c r="D770">
        <v>10</v>
      </c>
      <c r="E770" s="2" t="s">
        <v>8446</v>
      </c>
      <c r="F770" s="2" t="s">
        <v>8447</v>
      </c>
      <c r="G770" s="2" t="s">
        <v>8335</v>
      </c>
      <c r="H770" s="2" t="s">
        <v>22</v>
      </c>
      <c r="I770" s="2" t="s">
        <v>8387</v>
      </c>
      <c r="J770" s="2" t="s">
        <v>59</v>
      </c>
      <c r="K770">
        <v>2.56</v>
      </c>
      <c r="L770">
        <v>256000</v>
      </c>
      <c r="M770" s="2" t="s">
        <v>8384</v>
      </c>
      <c r="N770" s="2" t="s">
        <v>8389</v>
      </c>
      <c r="O770" s="2" t="s">
        <v>2717</v>
      </c>
      <c r="P770" s="2" t="s">
        <v>175</v>
      </c>
      <c r="Q770" s="2" t="s">
        <v>8445</v>
      </c>
      <c r="R770" s="2" t="s">
        <v>30</v>
      </c>
    </row>
    <row r="771" spans="1:18">
      <c r="A771" s="1">
        <v>45566</v>
      </c>
      <c r="B771" s="1">
        <v>45566</v>
      </c>
      <c r="C771">
        <v>2024</v>
      </c>
      <c r="D771">
        <v>10</v>
      </c>
      <c r="E771" s="2" t="s">
        <v>8448</v>
      </c>
      <c r="F771" s="2" t="s">
        <v>8449</v>
      </c>
      <c r="G771" s="2" t="s">
        <v>8335</v>
      </c>
      <c r="H771" s="2" t="s">
        <v>22</v>
      </c>
      <c r="I771" s="2" t="s">
        <v>8387</v>
      </c>
      <c r="J771" s="2" t="s">
        <v>24</v>
      </c>
      <c r="K771">
        <v>0.35</v>
      </c>
      <c r="L771">
        <v>35000</v>
      </c>
      <c r="M771" s="2" t="s">
        <v>8399</v>
      </c>
      <c r="N771" s="2" t="s">
        <v>8403</v>
      </c>
      <c r="O771" s="2" t="s">
        <v>4029</v>
      </c>
      <c r="P771" s="2" t="s">
        <v>175</v>
      </c>
      <c r="Q771" s="2" t="s">
        <v>8445</v>
      </c>
      <c r="R771" s="2" t="s">
        <v>30</v>
      </c>
    </row>
    <row r="772" spans="1:18">
      <c r="A772" s="1">
        <v>45566</v>
      </c>
      <c r="B772" s="1">
        <v>45566</v>
      </c>
      <c r="C772">
        <v>2024</v>
      </c>
      <c r="D772">
        <v>10</v>
      </c>
      <c r="E772" s="2" t="s">
        <v>8450</v>
      </c>
      <c r="F772" s="2" t="s">
        <v>8451</v>
      </c>
      <c r="G772" s="2" t="s">
        <v>8335</v>
      </c>
      <c r="H772" s="2" t="s">
        <v>22</v>
      </c>
      <c r="I772" s="2" t="s">
        <v>8417</v>
      </c>
      <c r="J772" s="2" t="s">
        <v>24</v>
      </c>
      <c r="K772">
        <v>64.31</v>
      </c>
      <c r="L772">
        <v>6431000</v>
      </c>
      <c r="M772" s="2" t="s">
        <v>8422</v>
      </c>
      <c r="N772" s="2" t="s">
        <v>8426</v>
      </c>
      <c r="O772" s="2" t="s">
        <v>9056</v>
      </c>
      <c r="P772" s="2" t="s">
        <v>175</v>
      </c>
      <c r="Q772" s="2" t="s">
        <v>8445</v>
      </c>
      <c r="R772" s="2" t="s">
        <v>30</v>
      </c>
    </row>
    <row r="773" spans="1:18">
      <c r="A773" s="1">
        <v>45566</v>
      </c>
      <c r="B773" s="1">
        <v>45566</v>
      </c>
      <c r="C773">
        <v>2024</v>
      </c>
      <c r="D773">
        <v>10</v>
      </c>
      <c r="E773" s="2" t="s">
        <v>8453</v>
      </c>
      <c r="F773" s="2" t="s">
        <v>8454</v>
      </c>
      <c r="G773" s="2" t="s">
        <v>8335</v>
      </c>
      <c r="H773" s="2" t="s">
        <v>22</v>
      </c>
      <c r="I773" s="2" t="s">
        <v>8336</v>
      </c>
      <c r="J773" s="2" t="s">
        <v>24</v>
      </c>
      <c r="K773">
        <v>1068.9000000000001</v>
      </c>
      <c r="L773">
        <v>106890000</v>
      </c>
      <c r="M773" s="2" t="s">
        <v>8348</v>
      </c>
      <c r="N773" s="2" t="s">
        <v>8352</v>
      </c>
      <c r="O773" s="2" t="s">
        <v>9057</v>
      </c>
      <c r="P773" s="2" t="s">
        <v>175</v>
      </c>
      <c r="Q773" s="2" t="s">
        <v>8445</v>
      </c>
      <c r="R773" s="2" t="s">
        <v>30</v>
      </c>
    </row>
    <row r="774" spans="1:18">
      <c r="A774" s="1">
        <v>45566</v>
      </c>
      <c r="B774" s="1">
        <v>45566</v>
      </c>
      <c r="C774">
        <v>2024</v>
      </c>
      <c r="D774">
        <v>10</v>
      </c>
      <c r="E774" s="2" t="s">
        <v>8456</v>
      </c>
      <c r="F774" s="2" t="s">
        <v>8457</v>
      </c>
      <c r="G774" s="2" t="s">
        <v>8335</v>
      </c>
      <c r="H774" s="2" t="s">
        <v>22</v>
      </c>
      <c r="I774" s="2" t="s">
        <v>8336</v>
      </c>
      <c r="J774" s="2" t="s">
        <v>24</v>
      </c>
      <c r="K774">
        <v>9809.11</v>
      </c>
      <c r="L774">
        <v>980911000</v>
      </c>
      <c r="M774" s="2" t="s">
        <v>8355</v>
      </c>
      <c r="N774" s="2" t="s">
        <v>8359</v>
      </c>
      <c r="O774" s="2" t="s">
        <v>9058</v>
      </c>
      <c r="P774" s="2" t="s">
        <v>175</v>
      </c>
      <c r="Q774" s="2" t="s">
        <v>8445</v>
      </c>
      <c r="R774" s="2" t="s">
        <v>30</v>
      </c>
    </row>
    <row r="775" spans="1:18">
      <c r="A775" s="1">
        <v>45566</v>
      </c>
      <c r="B775" s="1">
        <v>45566</v>
      </c>
      <c r="C775">
        <v>2024</v>
      </c>
      <c r="D775">
        <v>10</v>
      </c>
      <c r="E775" s="2" t="s">
        <v>8459</v>
      </c>
      <c r="F775" s="2" t="s">
        <v>8460</v>
      </c>
      <c r="G775" s="2" t="s">
        <v>8335</v>
      </c>
      <c r="H775" s="2" t="s">
        <v>22</v>
      </c>
      <c r="I775" s="2" t="s">
        <v>8336</v>
      </c>
      <c r="J775" s="2" t="s">
        <v>59</v>
      </c>
      <c r="K775">
        <v>10878</v>
      </c>
      <c r="L775">
        <v>1087800000</v>
      </c>
      <c r="M775" s="2" t="s">
        <v>8331</v>
      </c>
      <c r="N775" s="2" t="s">
        <v>8341</v>
      </c>
      <c r="O775" s="2" t="s">
        <v>9059</v>
      </c>
      <c r="P775" s="2" t="s">
        <v>175</v>
      </c>
      <c r="Q775" s="2" t="s">
        <v>8445</v>
      </c>
      <c r="R775" s="2" t="s">
        <v>30</v>
      </c>
    </row>
    <row r="776" spans="1:18">
      <c r="A776" s="1">
        <v>45566</v>
      </c>
      <c r="B776" s="1">
        <v>45566</v>
      </c>
      <c r="C776">
        <v>2024</v>
      </c>
      <c r="D776">
        <v>10</v>
      </c>
      <c r="E776" s="2" t="s">
        <v>8462</v>
      </c>
      <c r="F776" s="2" t="s">
        <v>8463</v>
      </c>
      <c r="G776" s="2" t="s">
        <v>8335</v>
      </c>
      <c r="H776" s="2" t="s">
        <v>22</v>
      </c>
      <c r="I776" s="2" t="s">
        <v>8409</v>
      </c>
      <c r="J776" s="2" t="s">
        <v>24</v>
      </c>
      <c r="K776">
        <v>14.51</v>
      </c>
      <c r="L776">
        <v>1451000</v>
      </c>
      <c r="M776" s="2" t="s">
        <v>8406</v>
      </c>
      <c r="N776" s="2" t="s">
        <v>8411</v>
      </c>
      <c r="O776" s="2" t="s">
        <v>9060</v>
      </c>
      <c r="P776" s="2" t="s">
        <v>175</v>
      </c>
      <c r="Q776" s="2" t="s">
        <v>8445</v>
      </c>
      <c r="R776" s="2" t="s">
        <v>30</v>
      </c>
    </row>
    <row r="777" spans="1:18">
      <c r="A777" s="1">
        <v>45566</v>
      </c>
      <c r="B777" s="1">
        <v>45566</v>
      </c>
      <c r="C777">
        <v>2024</v>
      </c>
      <c r="D777">
        <v>10</v>
      </c>
      <c r="E777" s="2" t="s">
        <v>8464</v>
      </c>
      <c r="F777" s="2" t="s">
        <v>8465</v>
      </c>
      <c r="G777" s="2" t="s">
        <v>8335</v>
      </c>
      <c r="H777" s="2" t="s">
        <v>22</v>
      </c>
      <c r="I777" s="2" t="s">
        <v>8417</v>
      </c>
      <c r="J777" s="2" t="s">
        <v>24</v>
      </c>
      <c r="K777">
        <v>95.09</v>
      </c>
      <c r="L777">
        <v>9509000</v>
      </c>
      <c r="M777" s="2" t="s">
        <v>8414</v>
      </c>
      <c r="N777" s="2" t="s">
        <v>8419</v>
      </c>
      <c r="O777" s="2" t="s">
        <v>9061</v>
      </c>
      <c r="P777" s="2" t="s">
        <v>175</v>
      </c>
      <c r="Q777" s="2" t="s">
        <v>8445</v>
      </c>
      <c r="R777" s="2" t="s">
        <v>30</v>
      </c>
    </row>
    <row r="778" spans="1:18">
      <c r="A778" s="1">
        <v>45566</v>
      </c>
      <c r="B778" s="1">
        <v>45566</v>
      </c>
      <c r="C778">
        <v>2024</v>
      </c>
      <c r="D778">
        <v>10</v>
      </c>
      <c r="E778" s="2" t="s">
        <v>8467</v>
      </c>
      <c r="F778" s="2" t="s">
        <v>8468</v>
      </c>
      <c r="G778" s="2" t="s">
        <v>8335</v>
      </c>
      <c r="H778" s="2" t="s">
        <v>22</v>
      </c>
      <c r="I778" s="2" t="s">
        <v>8365</v>
      </c>
      <c r="J778" s="2" t="s">
        <v>24</v>
      </c>
      <c r="K778">
        <v>4064.07</v>
      </c>
      <c r="L778">
        <v>406407000</v>
      </c>
      <c r="M778" s="2" t="s">
        <v>8377</v>
      </c>
      <c r="N778" s="2" t="s">
        <v>8381</v>
      </c>
      <c r="O778" s="2" t="s">
        <v>9062</v>
      </c>
      <c r="P778" s="2" t="s">
        <v>175</v>
      </c>
      <c r="Q778" s="2" t="s">
        <v>8445</v>
      </c>
      <c r="R778" s="2" t="s">
        <v>30</v>
      </c>
    </row>
    <row r="779" spans="1:18">
      <c r="A779" s="1">
        <v>45566</v>
      </c>
      <c r="B779" s="1">
        <v>45566</v>
      </c>
      <c r="C779">
        <v>2024</v>
      </c>
      <c r="D779">
        <v>10</v>
      </c>
      <c r="E779" s="2" t="s">
        <v>8470</v>
      </c>
      <c r="F779" s="2" t="s">
        <v>8471</v>
      </c>
      <c r="G779" s="2" t="s">
        <v>8335</v>
      </c>
      <c r="H779" s="2" t="s">
        <v>22</v>
      </c>
      <c r="I779" s="2" t="s">
        <v>8365</v>
      </c>
      <c r="J779" s="2" t="s">
        <v>59</v>
      </c>
      <c r="K779">
        <v>15503.38</v>
      </c>
      <c r="L779">
        <v>1550338000</v>
      </c>
      <c r="M779" s="2" t="s">
        <v>8362</v>
      </c>
      <c r="N779" s="2" t="s">
        <v>8367</v>
      </c>
      <c r="O779" s="2" t="s">
        <v>9063</v>
      </c>
      <c r="P779" s="2" t="s">
        <v>175</v>
      </c>
      <c r="Q779" s="2" t="s">
        <v>8445</v>
      </c>
      <c r="R779" s="2" t="s">
        <v>30</v>
      </c>
    </row>
    <row r="780" spans="1:18">
      <c r="A780" s="1">
        <v>45566</v>
      </c>
      <c r="B780" s="1">
        <v>45566</v>
      </c>
      <c r="C780">
        <v>2024</v>
      </c>
      <c r="D780">
        <v>10</v>
      </c>
      <c r="E780" s="2" t="s">
        <v>8473</v>
      </c>
      <c r="F780" s="2" t="s">
        <v>8474</v>
      </c>
      <c r="G780" s="2" t="s">
        <v>8335</v>
      </c>
      <c r="H780" s="2" t="s">
        <v>22</v>
      </c>
      <c r="I780" s="2" t="s">
        <v>8365</v>
      </c>
      <c r="J780" s="2" t="s">
        <v>24</v>
      </c>
      <c r="K780">
        <v>11439.31</v>
      </c>
      <c r="L780">
        <v>1143931000</v>
      </c>
      <c r="M780" s="2" t="s">
        <v>8370</v>
      </c>
      <c r="N780" s="2" t="s">
        <v>8374</v>
      </c>
      <c r="O780" s="2" t="s">
        <v>9064</v>
      </c>
      <c r="P780" s="2" t="s">
        <v>175</v>
      </c>
      <c r="Q780" s="2" t="s">
        <v>8445</v>
      </c>
      <c r="R780" s="2" t="s">
        <v>30</v>
      </c>
    </row>
    <row r="781" spans="1:18">
      <c r="A781" s="1">
        <v>45566</v>
      </c>
      <c r="B781" s="1">
        <v>45566</v>
      </c>
      <c r="C781">
        <v>2024</v>
      </c>
      <c r="D781">
        <v>10</v>
      </c>
      <c r="E781" s="2" t="s">
        <v>7890</v>
      </c>
      <c r="F781" s="2" t="s">
        <v>7891</v>
      </c>
      <c r="G781" s="2" t="s">
        <v>8335</v>
      </c>
      <c r="H781" s="2" t="s">
        <v>22</v>
      </c>
      <c r="I781" s="2" t="s">
        <v>8417</v>
      </c>
      <c r="J781" s="2" t="s">
        <v>24</v>
      </c>
      <c r="K781">
        <v>6168.52</v>
      </c>
      <c r="L781">
        <v>616852000</v>
      </c>
      <c r="M781" s="2" t="s">
        <v>7889</v>
      </c>
      <c r="N781" s="2" t="s">
        <v>7911</v>
      </c>
      <c r="O781" s="2" t="s">
        <v>9065</v>
      </c>
      <c r="P781" s="2" t="s">
        <v>7942</v>
      </c>
      <c r="Q781" s="2" t="s">
        <v>8967</v>
      </c>
      <c r="R781" s="2" t="s">
        <v>9066</v>
      </c>
    </row>
    <row r="782" spans="1:18">
      <c r="A782" s="1">
        <v>45597</v>
      </c>
      <c r="B782" s="1">
        <v>45597</v>
      </c>
      <c r="C782">
        <v>2024</v>
      </c>
      <c r="D782">
        <v>11</v>
      </c>
      <c r="E782" s="2" t="s">
        <v>8443</v>
      </c>
      <c r="F782" s="2" t="s">
        <v>8444</v>
      </c>
      <c r="G782" s="2" t="s">
        <v>8335</v>
      </c>
      <c r="H782" s="2" t="s">
        <v>22</v>
      </c>
      <c r="I782" s="2" t="s">
        <v>8387</v>
      </c>
      <c r="J782" s="2" t="s">
        <v>24</v>
      </c>
      <c r="K782">
        <v>2.2000000000000002</v>
      </c>
      <c r="L782">
        <v>220000</v>
      </c>
      <c r="M782" s="2" t="s">
        <v>8392</v>
      </c>
      <c r="N782" s="2" t="s">
        <v>8396</v>
      </c>
      <c r="O782" s="2" t="s">
        <v>477</v>
      </c>
      <c r="P782" s="2" t="s">
        <v>175</v>
      </c>
      <c r="Q782" s="2" t="s">
        <v>8445</v>
      </c>
      <c r="R782" s="2" t="s">
        <v>30</v>
      </c>
    </row>
    <row r="783" spans="1:18">
      <c r="A783" s="1">
        <v>45597</v>
      </c>
      <c r="B783" s="1">
        <v>45597</v>
      </c>
      <c r="C783">
        <v>2024</v>
      </c>
      <c r="D783">
        <v>11</v>
      </c>
      <c r="E783" s="2" t="s">
        <v>8446</v>
      </c>
      <c r="F783" s="2" t="s">
        <v>8447</v>
      </c>
      <c r="G783" s="2" t="s">
        <v>8335</v>
      </c>
      <c r="H783" s="2" t="s">
        <v>22</v>
      </c>
      <c r="I783" s="2" t="s">
        <v>8387</v>
      </c>
      <c r="J783" s="2" t="s">
        <v>59</v>
      </c>
      <c r="K783">
        <v>2.5499999999999998</v>
      </c>
      <c r="L783">
        <v>255000</v>
      </c>
      <c r="M783" s="2" t="s">
        <v>8384</v>
      </c>
      <c r="N783" s="2" t="s">
        <v>8389</v>
      </c>
      <c r="O783" s="2" t="s">
        <v>5898</v>
      </c>
      <c r="P783" s="2" t="s">
        <v>175</v>
      </c>
      <c r="Q783" s="2" t="s">
        <v>8445</v>
      </c>
      <c r="R783" s="2" t="s">
        <v>30</v>
      </c>
    </row>
    <row r="784" spans="1:18">
      <c r="A784" s="1">
        <v>45597</v>
      </c>
      <c r="B784" s="1">
        <v>45597</v>
      </c>
      <c r="C784">
        <v>2024</v>
      </c>
      <c r="D784">
        <v>11</v>
      </c>
      <c r="E784" s="2" t="s">
        <v>8448</v>
      </c>
      <c r="F784" s="2" t="s">
        <v>8449</v>
      </c>
      <c r="G784" s="2" t="s">
        <v>8335</v>
      </c>
      <c r="H784" s="2" t="s">
        <v>22</v>
      </c>
      <c r="I784" s="2" t="s">
        <v>8387</v>
      </c>
      <c r="J784" s="2" t="s">
        <v>24</v>
      </c>
      <c r="K784">
        <v>0.35</v>
      </c>
      <c r="L784">
        <v>35000</v>
      </c>
      <c r="M784" s="2" t="s">
        <v>8399</v>
      </c>
      <c r="N784" s="2" t="s">
        <v>8403</v>
      </c>
      <c r="O784" s="2" t="s">
        <v>4029</v>
      </c>
      <c r="P784" s="2" t="s">
        <v>175</v>
      </c>
      <c r="Q784" s="2" t="s">
        <v>8445</v>
      </c>
      <c r="R784" s="2" t="s">
        <v>30</v>
      </c>
    </row>
    <row r="785" spans="1:18">
      <c r="A785" s="1">
        <v>45597</v>
      </c>
      <c r="B785" s="1">
        <v>45597</v>
      </c>
      <c r="C785">
        <v>2024</v>
      </c>
      <c r="D785">
        <v>11</v>
      </c>
      <c r="E785" s="2" t="s">
        <v>8450</v>
      </c>
      <c r="F785" s="2" t="s">
        <v>8451</v>
      </c>
      <c r="G785" s="2" t="s">
        <v>8335</v>
      </c>
      <c r="H785" s="2" t="s">
        <v>22</v>
      </c>
      <c r="I785" s="2" t="s">
        <v>8417</v>
      </c>
      <c r="J785" s="2" t="s">
        <v>24</v>
      </c>
      <c r="K785">
        <v>63.6</v>
      </c>
      <c r="L785">
        <v>6360000</v>
      </c>
      <c r="M785" s="2" t="s">
        <v>8422</v>
      </c>
      <c r="N785" s="2" t="s">
        <v>8426</v>
      </c>
      <c r="O785" s="2" t="s">
        <v>9067</v>
      </c>
      <c r="P785" s="2" t="s">
        <v>175</v>
      </c>
      <c r="Q785" s="2" t="s">
        <v>8445</v>
      </c>
      <c r="R785" s="2" t="s">
        <v>30</v>
      </c>
    </row>
    <row r="786" spans="1:18">
      <c r="A786" s="1">
        <v>45597</v>
      </c>
      <c r="B786" s="1">
        <v>45597</v>
      </c>
      <c r="C786">
        <v>2024</v>
      </c>
      <c r="D786">
        <v>11</v>
      </c>
      <c r="E786" s="2" t="s">
        <v>8453</v>
      </c>
      <c r="F786" s="2" t="s">
        <v>8454</v>
      </c>
      <c r="G786" s="2" t="s">
        <v>8335</v>
      </c>
      <c r="H786" s="2" t="s">
        <v>22</v>
      </c>
      <c r="I786" s="2" t="s">
        <v>8336</v>
      </c>
      <c r="J786" s="2" t="s">
        <v>24</v>
      </c>
      <c r="K786">
        <v>1072.4000000000001</v>
      </c>
      <c r="L786">
        <v>107240000</v>
      </c>
      <c r="M786" s="2" t="s">
        <v>8348</v>
      </c>
      <c r="N786" s="2" t="s">
        <v>8352</v>
      </c>
      <c r="O786" s="2" t="s">
        <v>9068</v>
      </c>
      <c r="P786" s="2" t="s">
        <v>175</v>
      </c>
      <c r="Q786" s="2" t="s">
        <v>8445</v>
      </c>
      <c r="R786" s="2" t="s">
        <v>30</v>
      </c>
    </row>
    <row r="787" spans="1:18">
      <c r="A787" s="1">
        <v>45597</v>
      </c>
      <c r="B787" s="1">
        <v>45597</v>
      </c>
      <c r="C787">
        <v>2024</v>
      </c>
      <c r="D787">
        <v>11</v>
      </c>
      <c r="E787" s="2" t="s">
        <v>8456</v>
      </c>
      <c r="F787" s="2" t="s">
        <v>8457</v>
      </c>
      <c r="G787" s="2" t="s">
        <v>8335</v>
      </c>
      <c r="H787" s="2" t="s">
        <v>22</v>
      </c>
      <c r="I787" s="2" t="s">
        <v>8336</v>
      </c>
      <c r="J787" s="2" t="s">
        <v>24</v>
      </c>
      <c r="K787">
        <v>9795.7199999999993</v>
      </c>
      <c r="L787">
        <v>979572000</v>
      </c>
      <c r="M787" s="2" t="s">
        <v>8355</v>
      </c>
      <c r="N787" s="2" t="s">
        <v>8359</v>
      </c>
      <c r="O787" s="2" t="s">
        <v>9069</v>
      </c>
      <c r="P787" s="2" t="s">
        <v>175</v>
      </c>
      <c r="Q787" s="2" t="s">
        <v>8445</v>
      </c>
      <c r="R787" s="2" t="s">
        <v>30</v>
      </c>
    </row>
    <row r="788" spans="1:18">
      <c r="A788" s="1">
        <v>45597</v>
      </c>
      <c r="B788" s="1">
        <v>45597</v>
      </c>
      <c r="C788">
        <v>2024</v>
      </c>
      <c r="D788">
        <v>11</v>
      </c>
      <c r="E788" s="2" t="s">
        <v>8459</v>
      </c>
      <c r="F788" s="2" t="s">
        <v>8460</v>
      </c>
      <c r="G788" s="2" t="s">
        <v>8335</v>
      </c>
      <c r="H788" s="2" t="s">
        <v>22</v>
      </c>
      <c r="I788" s="2" t="s">
        <v>8336</v>
      </c>
      <c r="J788" s="2" t="s">
        <v>59</v>
      </c>
      <c r="K788">
        <v>10868.11</v>
      </c>
      <c r="L788">
        <v>1086811000</v>
      </c>
      <c r="M788" s="2" t="s">
        <v>8331</v>
      </c>
      <c r="N788" s="2" t="s">
        <v>8341</v>
      </c>
      <c r="O788" s="2" t="s">
        <v>9070</v>
      </c>
      <c r="P788" s="2" t="s">
        <v>175</v>
      </c>
      <c r="Q788" s="2" t="s">
        <v>8445</v>
      </c>
      <c r="R788" s="2" t="s">
        <v>30</v>
      </c>
    </row>
    <row r="789" spans="1:18">
      <c r="A789" s="1">
        <v>45597</v>
      </c>
      <c r="B789" s="1">
        <v>45597</v>
      </c>
      <c r="C789">
        <v>2024</v>
      </c>
      <c r="D789">
        <v>11</v>
      </c>
      <c r="E789" s="2" t="s">
        <v>8462</v>
      </c>
      <c r="F789" s="2" t="s">
        <v>8463</v>
      </c>
      <c r="G789" s="2" t="s">
        <v>8335</v>
      </c>
      <c r="H789" s="2" t="s">
        <v>22</v>
      </c>
      <c r="I789" s="2" t="s">
        <v>8409</v>
      </c>
      <c r="J789" s="2" t="s">
        <v>24</v>
      </c>
      <c r="K789">
        <v>14.52</v>
      </c>
      <c r="L789">
        <v>1452000</v>
      </c>
      <c r="M789" s="2" t="s">
        <v>8406</v>
      </c>
      <c r="N789" s="2" t="s">
        <v>8411</v>
      </c>
      <c r="O789" s="2" t="s">
        <v>3838</v>
      </c>
      <c r="P789" s="2" t="s">
        <v>175</v>
      </c>
      <c r="Q789" s="2" t="s">
        <v>8445</v>
      </c>
      <c r="R789" s="2" t="s">
        <v>30</v>
      </c>
    </row>
    <row r="790" spans="1:18">
      <c r="A790" s="1">
        <v>45597</v>
      </c>
      <c r="B790" s="1">
        <v>45597</v>
      </c>
      <c r="C790">
        <v>2024</v>
      </c>
      <c r="D790">
        <v>11</v>
      </c>
      <c r="E790" s="2" t="s">
        <v>8464</v>
      </c>
      <c r="F790" s="2" t="s">
        <v>8465</v>
      </c>
      <c r="G790" s="2" t="s">
        <v>8335</v>
      </c>
      <c r="H790" s="2" t="s">
        <v>22</v>
      </c>
      <c r="I790" s="2" t="s">
        <v>8417</v>
      </c>
      <c r="J790" s="2" t="s">
        <v>24</v>
      </c>
      <c r="K790">
        <v>96.91</v>
      </c>
      <c r="L790">
        <v>9691000</v>
      </c>
      <c r="M790" s="2" t="s">
        <v>8414</v>
      </c>
      <c r="N790" s="2" t="s">
        <v>8419</v>
      </c>
      <c r="O790" s="2" t="s">
        <v>9071</v>
      </c>
      <c r="P790" s="2" t="s">
        <v>175</v>
      </c>
      <c r="Q790" s="2" t="s">
        <v>8445</v>
      </c>
      <c r="R790" s="2" t="s">
        <v>30</v>
      </c>
    </row>
    <row r="791" spans="1:18">
      <c r="A791" s="1">
        <v>45597</v>
      </c>
      <c r="B791" s="1">
        <v>45597</v>
      </c>
      <c r="C791">
        <v>2024</v>
      </c>
      <c r="D791">
        <v>11</v>
      </c>
      <c r="E791" s="2" t="s">
        <v>8467</v>
      </c>
      <c r="F791" s="2" t="s">
        <v>8468</v>
      </c>
      <c r="G791" s="2" t="s">
        <v>8335</v>
      </c>
      <c r="H791" s="2" t="s">
        <v>22</v>
      </c>
      <c r="I791" s="2" t="s">
        <v>8365</v>
      </c>
      <c r="J791" s="2" t="s">
        <v>24</v>
      </c>
      <c r="K791">
        <v>4163.66</v>
      </c>
      <c r="L791">
        <v>416366000</v>
      </c>
      <c r="M791" s="2" t="s">
        <v>8377</v>
      </c>
      <c r="N791" s="2" t="s">
        <v>8381</v>
      </c>
      <c r="O791" s="2" t="s">
        <v>9072</v>
      </c>
      <c r="P791" s="2" t="s">
        <v>175</v>
      </c>
      <c r="Q791" s="2" t="s">
        <v>8445</v>
      </c>
      <c r="R791" s="2" t="s">
        <v>30</v>
      </c>
    </row>
    <row r="792" spans="1:18">
      <c r="A792" s="1">
        <v>45597</v>
      </c>
      <c r="B792" s="1">
        <v>45597</v>
      </c>
      <c r="C792">
        <v>2024</v>
      </c>
      <c r="D792">
        <v>11</v>
      </c>
      <c r="E792" s="2" t="s">
        <v>8470</v>
      </c>
      <c r="F792" s="2" t="s">
        <v>8471</v>
      </c>
      <c r="G792" s="2" t="s">
        <v>8335</v>
      </c>
      <c r="H792" s="2" t="s">
        <v>22</v>
      </c>
      <c r="I792" s="2" t="s">
        <v>8365</v>
      </c>
      <c r="J792" s="2" t="s">
        <v>59</v>
      </c>
      <c r="K792">
        <v>15627.2</v>
      </c>
      <c r="L792">
        <v>1562720000</v>
      </c>
      <c r="M792" s="2" t="s">
        <v>8362</v>
      </c>
      <c r="N792" s="2" t="s">
        <v>8367</v>
      </c>
      <c r="O792" s="2" t="s">
        <v>9073</v>
      </c>
      <c r="P792" s="2" t="s">
        <v>175</v>
      </c>
      <c r="Q792" s="2" t="s">
        <v>8445</v>
      </c>
      <c r="R792" s="2" t="s">
        <v>30</v>
      </c>
    </row>
    <row r="793" spans="1:18">
      <c r="A793" s="1">
        <v>45597</v>
      </c>
      <c r="B793" s="1">
        <v>45597</v>
      </c>
      <c r="C793">
        <v>2024</v>
      </c>
      <c r="D793">
        <v>11</v>
      </c>
      <c r="E793" s="2" t="s">
        <v>8473</v>
      </c>
      <c r="F793" s="2" t="s">
        <v>8474</v>
      </c>
      <c r="G793" s="2" t="s">
        <v>8335</v>
      </c>
      <c r="H793" s="2" t="s">
        <v>22</v>
      </c>
      <c r="I793" s="2" t="s">
        <v>8365</v>
      </c>
      <c r="J793" s="2" t="s">
        <v>24</v>
      </c>
      <c r="K793">
        <v>11463.53</v>
      </c>
      <c r="L793">
        <v>1146353000</v>
      </c>
      <c r="M793" s="2" t="s">
        <v>8370</v>
      </c>
      <c r="N793" s="2" t="s">
        <v>8374</v>
      </c>
      <c r="O793" s="2" t="s">
        <v>9074</v>
      </c>
      <c r="P793" s="2" t="s">
        <v>175</v>
      </c>
      <c r="Q793" s="2" t="s">
        <v>8445</v>
      </c>
      <c r="R793" s="2" t="s">
        <v>30</v>
      </c>
    </row>
    <row r="794" spans="1:18">
      <c r="A794" s="1">
        <v>45597</v>
      </c>
      <c r="B794" s="1">
        <v>45597</v>
      </c>
      <c r="C794">
        <v>2024</v>
      </c>
      <c r="D794">
        <v>11</v>
      </c>
      <c r="E794" s="2" t="s">
        <v>7890</v>
      </c>
      <c r="F794" s="2" t="s">
        <v>7891</v>
      </c>
      <c r="G794" s="2" t="s">
        <v>8335</v>
      </c>
      <c r="H794" s="2" t="s">
        <v>22</v>
      </c>
      <c r="I794" s="2" t="s">
        <v>8417</v>
      </c>
      <c r="J794" s="2" t="s">
        <v>24</v>
      </c>
      <c r="K794">
        <v>6261.8</v>
      </c>
      <c r="L794">
        <v>626180000</v>
      </c>
      <c r="M794" s="2" t="s">
        <v>7889</v>
      </c>
      <c r="N794" s="2" t="s">
        <v>7911</v>
      </c>
      <c r="O794" s="2" t="s">
        <v>9075</v>
      </c>
      <c r="P794" s="2" t="s">
        <v>7945</v>
      </c>
      <c r="Q794" s="2" t="s">
        <v>8967</v>
      </c>
      <c r="R794" s="2" t="s">
        <v>9076</v>
      </c>
    </row>
    <row r="795" spans="1:18">
      <c r="A795" s="1">
        <v>45627</v>
      </c>
      <c r="B795" s="1">
        <v>45627</v>
      </c>
      <c r="C795">
        <v>2024</v>
      </c>
      <c r="D795">
        <v>12</v>
      </c>
      <c r="E795" s="2" t="s">
        <v>8443</v>
      </c>
      <c r="F795" s="2" t="s">
        <v>8444</v>
      </c>
      <c r="G795" s="2" t="s">
        <v>8335</v>
      </c>
      <c r="H795" s="2" t="s">
        <v>22</v>
      </c>
      <c r="I795" s="2" t="s">
        <v>8387</v>
      </c>
      <c r="J795" s="2" t="s">
        <v>24</v>
      </c>
      <c r="K795">
        <v>2.19</v>
      </c>
      <c r="L795">
        <v>219000</v>
      </c>
      <c r="M795" s="2" t="s">
        <v>8392</v>
      </c>
      <c r="N795" s="2" t="s">
        <v>8396</v>
      </c>
      <c r="O795" s="2" t="s">
        <v>3049</v>
      </c>
      <c r="P795" s="2" t="s">
        <v>175</v>
      </c>
      <c r="Q795" s="2" t="s">
        <v>8445</v>
      </c>
      <c r="R795" s="2" t="s">
        <v>30</v>
      </c>
    </row>
    <row r="796" spans="1:18">
      <c r="A796" s="1">
        <v>45627</v>
      </c>
      <c r="B796" s="1">
        <v>45627</v>
      </c>
      <c r="C796">
        <v>2024</v>
      </c>
      <c r="D796">
        <v>12</v>
      </c>
      <c r="E796" s="2" t="s">
        <v>8446</v>
      </c>
      <c r="F796" s="2" t="s">
        <v>8447</v>
      </c>
      <c r="G796" s="2" t="s">
        <v>8335</v>
      </c>
      <c r="H796" s="2" t="s">
        <v>22</v>
      </c>
      <c r="I796" s="2" t="s">
        <v>8387</v>
      </c>
      <c r="J796" s="2" t="s">
        <v>59</v>
      </c>
      <c r="K796">
        <v>2.5499999999999998</v>
      </c>
      <c r="L796">
        <v>255000</v>
      </c>
      <c r="M796" s="2" t="s">
        <v>8384</v>
      </c>
      <c r="N796" s="2" t="s">
        <v>8389</v>
      </c>
      <c r="O796" s="2" t="s">
        <v>5898</v>
      </c>
      <c r="P796" s="2" t="s">
        <v>175</v>
      </c>
      <c r="Q796" s="2" t="s">
        <v>8445</v>
      </c>
      <c r="R796" s="2" t="s">
        <v>30</v>
      </c>
    </row>
    <row r="797" spans="1:18">
      <c r="A797" s="1">
        <v>45627</v>
      </c>
      <c r="B797" s="1">
        <v>45627</v>
      </c>
      <c r="C797">
        <v>2024</v>
      </c>
      <c r="D797">
        <v>12</v>
      </c>
      <c r="E797" s="2" t="s">
        <v>8448</v>
      </c>
      <c r="F797" s="2" t="s">
        <v>8449</v>
      </c>
      <c r="G797" s="2" t="s">
        <v>8335</v>
      </c>
      <c r="H797" s="2" t="s">
        <v>22</v>
      </c>
      <c r="I797" s="2" t="s">
        <v>8387</v>
      </c>
      <c r="J797" s="2" t="s">
        <v>24</v>
      </c>
      <c r="K797">
        <v>0.36</v>
      </c>
      <c r="L797">
        <v>36000</v>
      </c>
      <c r="M797" s="2" t="s">
        <v>8399</v>
      </c>
      <c r="N797" s="2" t="s">
        <v>8403</v>
      </c>
      <c r="O797" s="2" t="s">
        <v>3657</v>
      </c>
      <c r="P797" s="2" t="s">
        <v>175</v>
      </c>
      <c r="Q797" s="2" t="s">
        <v>8445</v>
      </c>
      <c r="R797" s="2" t="s">
        <v>30</v>
      </c>
    </row>
    <row r="798" spans="1:18">
      <c r="A798" s="1">
        <v>45627</v>
      </c>
      <c r="B798" s="1">
        <v>45627</v>
      </c>
      <c r="C798">
        <v>2024</v>
      </c>
      <c r="D798">
        <v>12</v>
      </c>
      <c r="E798" s="2" t="s">
        <v>8450</v>
      </c>
      <c r="F798" s="2" t="s">
        <v>8451</v>
      </c>
      <c r="G798" s="2" t="s">
        <v>8335</v>
      </c>
      <c r="H798" s="2" t="s">
        <v>22</v>
      </c>
      <c r="I798" s="2" t="s">
        <v>8417</v>
      </c>
      <c r="J798" s="2" t="s">
        <v>24</v>
      </c>
      <c r="K798">
        <v>63.83</v>
      </c>
      <c r="L798">
        <v>6383000</v>
      </c>
      <c r="M798" s="2" t="s">
        <v>8422</v>
      </c>
      <c r="N798" s="2" t="s">
        <v>8426</v>
      </c>
      <c r="O798" s="2" t="s">
        <v>9077</v>
      </c>
      <c r="P798" s="2" t="s">
        <v>175</v>
      </c>
      <c r="Q798" s="2" t="s">
        <v>8445</v>
      </c>
      <c r="R798" s="2" t="s">
        <v>30</v>
      </c>
    </row>
    <row r="799" spans="1:18">
      <c r="A799" s="1">
        <v>45627</v>
      </c>
      <c r="B799" s="1">
        <v>45627</v>
      </c>
      <c r="C799">
        <v>2024</v>
      </c>
      <c r="D799">
        <v>12</v>
      </c>
      <c r="E799" s="2" t="s">
        <v>8453</v>
      </c>
      <c r="F799" s="2" t="s">
        <v>8454</v>
      </c>
      <c r="G799" s="2" t="s">
        <v>8335</v>
      </c>
      <c r="H799" s="2" t="s">
        <v>22</v>
      </c>
      <c r="I799" s="2" t="s">
        <v>8336</v>
      </c>
      <c r="J799" s="2" t="s">
        <v>24</v>
      </c>
      <c r="K799">
        <v>1080.56</v>
      </c>
      <c r="L799">
        <v>108056000</v>
      </c>
      <c r="M799" s="2" t="s">
        <v>8348</v>
      </c>
      <c r="N799" s="2" t="s">
        <v>8352</v>
      </c>
      <c r="O799" s="2" t="s">
        <v>9078</v>
      </c>
      <c r="P799" s="2" t="s">
        <v>175</v>
      </c>
      <c r="Q799" s="2" t="s">
        <v>8445</v>
      </c>
      <c r="R799" s="2" t="s">
        <v>30</v>
      </c>
    </row>
    <row r="800" spans="1:18">
      <c r="A800" s="1">
        <v>45627</v>
      </c>
      <c r="B800" s="1">
        <v>45627</v>
      </c>
      <c r="C800">
        <v>2024</v>
      </c>
      <c r="D800">
        <v>12</v>
      </c>
      <c r="E800" s="2" t="s">
        <v>8456</v>
      </c>
      <c r="F800" s="2" t="s">
        <v>8457</v>
      </c>
      <c r="G800" s="2" t="s">
        <v>8335</v>
      </c>
      <c r="H800" s="2" t="s">
        <v>22</v>
      </c>
      <c r="I800" s="2" t="s">
        <v>8336</v>
      </c>
      <c r="J800" s="2" t="s">
        <v>24</v>
      </c>
      <c r="K800">
        <v>9909.48</v>
      </c>
      <c r="L800">
        <v>990948000</v>
      </c>
      <c r="M800" s="2" t="s">
        <v>8355</v>
      </c>
      <c r="N800" s="2" t="s">
        <v>8359</v>
      </c>
      <c r="O800" s="2" t="s">
        <v>9079</v>
      </c>
      <c r="P800" s="2" t="s">
        <v>175</v>
      </c>
      <c r="Q800" s="2" t="s">
        <v>8445</v>
      </c>
      <c r="R800" s="2" t="s">
        <v>30</v>
      </c>
    </row>
    <row r="801" spans="1:18">
      <c r="A801" s="1">
        <v>45627</v>
      </c>
      <c r="B801" s="1">
        <v>45627</v>
      </c>
      <c r="C801">
        <v>2024</v>
      </c>
      <c r="D801">
        <v>12</v>
      </c>
      <c r="E801" s="2" t="s">
        <v>8459</v>
      </c>
      <c r="F801" s="2" t="s">
        <v>8460</v>
      </c>
      <c r="G801" s="2" t="s">
        <v>8335</v>
      </c>
      <c r="H801" s="2" t="s">
        <v>22</v>
      </c>
      <c r="I801" s="2" t="s">
        <v>8336</v>
      </c>
      <c r="J801" s="2" t="s">
        <v>59</v>
      </c>
      <c r="K801">
        <v>10990.04</v>
      </c>
      <c r="L801">
        <v>1099004000</v>
      </c>
      <c r="M801" s="2" t="s">
        <v>8331</v>
      </c>
      <c r="N801" s="2" t="s">
        <v>8341</v>
      </c>
      <c r="O801" s="2" t="s">
        <v>9080</v>
      </c>
      <c r="P801" s="2" t="s">
        <v>175</v>
      </c>
      <c r="Q801" s="2" t="s">
        <v>8445</v>
      </c>
      <c r="R801" s="2" t="s">
        <v>30</v>
      </c>
    </row>
    <row r="802" spans="1:18">
      <c r="A802" s="1">
        <v>45627</v>
      </c>
      <c r="B802" s="1">
        <v>45627</v>
      </c>
      <c r="C802">
        <v>2024</v>
      </c>
      <c r="D802">
        <v>12</v>
      </c>
      <c r="E802" s="2" t="s">
        <v>8462</v>
      </c>
      <c r="F802" s="2" t="s">
        <v>8463</v>
      </c>
      <c r="G802" s="2" t="s">
        <v>8335</v>
      </c>
      <c r="H802" s="2" t="s">
        <v>22</v>
      </c>
      <c r="I802" s="2" t="s">
        <v>8409</v>
      </c>
      <c r="J802" s="2" t="s">
        <v>24</v>
      </c>
      <c r="K802">
        <v>14.76</v>
      </c>
      <c r="L802">
        <v>1476000</v>
      </c>
      <c r="M802" s="2" t="s">
        <v>8406</v>
      </c>
      <c r="N802" s="2" t="s">
        <v>8411</v>
      </c>
      <c r="O802" s="2" t="s">
        <v>9081</v>
      </c>
      <c r="P802" s="2" t="s">
        <v>175</v>
      </c>
      <c r="Q802" s="2" t="s">
        <v>8445</v>
      </c>
      <c r="R802" s="2" t="s">
        <v>30</v>
      </c>
    </row>
    <row r="803" spans="1:18">
      <c r="A803" s="1">
        <v>45627</v>
      </c>
      <c r="B803" s="1">
        <v>45627</v>
      </c>
      <c r="C803">
        <v>2024</v>
      </c>
      <c r="D803">
        <v>12</v>
      </c>
      <c r="E803" s="2" t="s">
        <v>8464</v>
      </c>
      <c r="F803" s="2" t="s">
        <v>8465</v>
      </c>
      <c r="G803" s="2" t="s">
        <v>8335</v>
      </c>
      <c r="H803" s="2" t="s">
        <v>22</v>
      </c>
      <c r="I803" s="2" t="s">
        <v>8417</v>
      </c>
      <c r="J803" s="2" t="s">
        <v>24</v>
      </c>
      <c r="K803">
        <v>100.01</v>
      </c>
      <c r="L803">
        <v>10001000</v>
      </c>
      <c r="M803" s="2" t="s">
        <v>8414</v>
      </c>
      <c r="N803" s="2" t="s">
        <v>8419</v>
      </c>
      <c r="O803" s="2" t="s">
        <v>9082</v>
      </c>
      <c r="P803" s="2" t="s">
        <v>175</v>
      </c>
      <c r="Q803" s="2" t="s">
        <v>8445</v>
      </c>
      <c r="R803" s="2" t="s">
        <v>30</v>
      </c>
    </row>
    <row r="804" spans="1:18">
      <c r="A804" s="1">
        <v>45627</v>
      </c>
      <c r="B804" s="1">
        <v>45627</v>
      </c>
      <c r="C804">
        <v>2024</v>
      </c>
      <c r="D804">
        <v>12</v>
      </c>
      <c r="E804" s="2" t="s">
        <v>8467</v>
      </c>
      <c r="F804" s="2" t="s">
        <v>8468</v>
      </c>
      <c r="G804" s="2" t="s">
        <v>8335</v>
      </c>
      <c r="H804" s="2" t="s">
        <v>22</v>
      </c>
      <c r="I804" s="2" t="s">
        <v>8365</v>
      </c>
      <c r="J804" s="2" t="s">
        <v>24</v>
      </c>
      <c r="K804">
        <v>4364.9399999999996</v>
      </c>
      <c r="L804">
        <v>436494000</v>
      </c>
      <c r="M804" s="2" t="s">
        <v>8377</v>
      </c>
      <c r="N804" s="2" t="s">
        <v>8381</v>
      </c>
      <c r="O804" s="2" t="s">
        <v>9083</v>
      </c>
      <c r="P804" s="2" t="s">
        <v>175</v>
      </c>
      <c r="Q804" s="2" t="s">
        <v>8445</v>
      </c>
      <c r="R804" s="2" t="s">
        <v>30</v>
      </c>
    </row>
    <row r="805" spans="1:18">
      <c r="A805" s="1">
        <v>45627</v>
      </c>
      <c r="B805" s="1">
        <v>45627</v>
      </c>
      <c r="C805">
        <v>2024</v>
      </c>
      <c r="D805">
        <v>12</v>
      </c>
      <c r="E805" s="2" t="s">
        <v>8470</v>
      </c>
      <c r="F805" s="2" t="s">
        <v>8471</v>
      </c>
      <c r="G805" s="2" t="s">
        <v>8335</v>
      </c>
      <c r="H805" s="2" t="s">
        <v>22</v>
      </c>
      <c r="I805" s="2" t="s">
        <v>8365</v>
      </c>
      <c r="J805" s="2" t="s">
        <v>59</v>
      </c>
      <c r="K805">
        <v>13272.19</v>
      </c>
      <c r="L805">
        <v>1327219000</v>
      </c>
      <c r="M805" s="2" t="s">
        <v>8362</v>
      </c>
      <c r="N805" s="2" t="s">
        <v>8367</v>
      </c>
      <c r="O805" s="2" t="s">
        <v>9084</v>
      </c>
      <c r="P805" s="2" t="s">
        <v>175</v>
      </c>
      <c r="Q805" s="2" t="s">
        <v>8445</v>
      </c>
      <c r="R805" s="2" t="s">
        <v>30</v>
      </c>
    </row>
    <row r="806" spans="1:18">
      <c r="A806" s="1">
        <v>45627</v>
      </c>
      <c r="B806" s="1">
        <v>45627</v>
      </c>
      <c r="C806">
        <v>2024</v>
      </c>
      <c r="D806">
        <v>12</v>
      </c>
      <c r="E806" s="2" t="s">
        <v>8473</v>
      </c>
      <c r="F806" s="2" t="s">
        <v>8474</v>
      </c>
      <c r="G806" s="2" t="s">
        <v>8335</v>
      </c>
      <c r="H806" s="2" t="s">
        <v>22</v>
      </c>
      <c r="I806" s="2" t="s">
        <v>8365</v>
      </c>
      <c r="J806" s="2" t="s">
        <v>24</v>
      </c>
      <c r="K806">
        <v>8907.25</v>
      </c>
      <c r="L806">
        <v>890725000</v>
      </c>
      <c r="M806" s="2" t="s">
        <v>8370</v>
      </c>
      <c r="N806" s="2" t="s">
        <v>8374</v>
      </c>
      <c r="O806" s="2" t="s">
        <v>9085</v>
      </c>
      <c r="P806" s="2" t="s">
        <v>175</v>
      </c>
      <c r="Q806" s="2" t="s">
        <v>8445</v>
      </c>
      <c r="R806" s="2" t="s">
        <v>30</v>
      </c>
    </row>
    <row r="807" spans="1:18">
      <c r="A807" s="1">
        <v>45627</v>
      </c>
      <c r="B807" s="1">
        <v>45627</v>
      </c>
      <c r="C807">
        <v>2024</v>
      </c>
      <c r="D807">
        <v>12</v>
      </c>
      <c r="E807" s="2" t="s">
        <v>7890</v>
      </c>
      <c r="F807" s="2" t="s">
        <v>7891</v>
      </c>
      <c r="G807" s="2" t="s">
        <v>8335</v>
      </c>
      <c r="H807" s="2" t="s">
        <v>22</v>
      </c>
      <c r="I807" s="2" t="s">
        <v>8417</v>
      </c>
      <c r="J807" s="2" t="s">
        <v>24</v>
      </c>
      <c r="K807">
        <v>6335.3</v>
      </c>
      <c r="L807">
        <v>633530000</v>
      </c>
      <c r="M807" s="2" t="s">
        <v>7889</v>
      </c>
      <c r="N807" s="2" t="s">
        <v>7911</v>
      </c>
      <c r="O807" s="2" t="s">
        <v>9086</v>
      </c>
      <c r="P807" s="2" t="s">
        <v>7948</v>
      </c>
      <c r="Q807" s="2" t="s">
        <v>8967</v>
      </c>
      <c r="R807" s="2" t="s">
        <v>9087</v>
      </c>
    </row>
    <row r="808" spans="1:18">
      <c r="A808" s="1">
        <v>45658</v>
      </c>
      <c r="B808" s="1">
        <v>45658</v>
      </c>
      <c r="C808">
        <v>2025</v>
      </c>
      <c r="D808">
        <v>1</v>
      </c>
      <c r="E808" s="2" t="s">
        <v>8443</v>
      </c>
      <c r="F808" s="2" t="s">
        <v>8444</v>
      </c>
      <c r="G808" s="2" t="s">
        <v>8335</v>
      </c>
      <c r="H808" s="2" t="s">
        <v>22</v>
      </c>
      <c r="I808" s="2" t="s">
        <v>8387</v>
      </c>
      <c r="J808" s="2" t="s">
        <v>24</v>
      </c>
      <c r="K808">
        <v>2.21</v>
      </c>
      <c r="L808">
        <v>221000</v>
      </c>
      <c r="M808" s="2" t="s">
        <v>8392</v>
      </c>
      <c r="N808" s="2" t="s">
        <v>8396</v>
      </c>
      <c r="O808" s="2" t="s">
        <v>3142</v>
      </c>
      <c r="P808" s="2" t="s">
        <v>175</v>
      </c>
      <c r="Q808" s="2" t="s">
        <v>8445</v>
      </c>
      <c r="R808" s="2" t="s">
        <v>30</v>
      </c>
    </row>
    <row r="809" spans="1:18">
      <c r="A809" s="1">
        <v>45658</v>
      </c>
      <c r="B809" s="1">
        <v>45658</v>
      </c>
      <c r="C809">
        <v>2025</v>
      </c>
      <c r="D809">
        <v>1</v>
      </c>
      <c r="E809" s="2" t="s">
        <v>8446</v>
      </c>
      <c r="F809" s="2" t="s">
        <v>8447</v>
      </c>
      <c r="G809" s="2" t="s">
        <v>8335</v>
      </c>
      <c r="H809" s="2" t="s">
        <v>22</v>
      </c>
      <c r="I809" s="2" t="s">
        <v>8387</v>
      </c>
      <c r="J809" s="2" t="s">
        <v>59</v>
      </c>
      <c r="K809">
        <v>2.57</v>
      </c>
      <c r="L809">
        <v>257000</v>
      </c>
      <c r="M809" s="2" t="s">
        <v>8384</v>
      </c>
      <c r="N809" s="2" t="s">
        <v>8389</v>
      </c>
      <c r="O809" s="2" t="s">
        <v>8826</v>
      </c>
      <c r="P809" s="2" t="s">
        <v>175</v>
      </c>
      <c r="Q809" s="2" t="s">
        <v>8445</v>
      </c>
      <c r="R809" s="2" t="s">
        <v>30</v>
      </c>
    </row>
    <row r="810" spans="1:18">
      <c r="A810" s="1">
        <v>45658</v>
      </c>
      <c r="B810" s="1">
        <v>45658</v>
      </c>
      <c r="C810">
        <v>2025</v>
      </c>
      <c r="D810">
        <v>1</v>
      </c>
      <c r="E810" s="2" t="s">
        <v>8448</v>
      </c>
      <c r="F810" s="2" t="s">
        <v>8449</v>
      </c>
      <c r="G810" s="2" t="s">
        <v>8335</v>
      </c>
      <c r="H810" s="2" t="s">
        <v>22</v>
      </c>
      <c r="I810" s="2" t="s">
        <v>8387</v>
      </c>
      <c r="J810" s="2" t="s">
        <v>24</v>
      </c>
      <c r="K810">
        <v>0.36</v>
      </c>
      <c r="L810">
        <v>36000</v>
      </c>
      <c r="M810" s="2" t="s">
        <v>8399</v>
      </c>
      <c r="N810" s="2" t="s">
        <v>8403</v>
      </c>
      <c r="O810" s="2" t="s">
        <v>3657</v>
      </c>
      <c r="P810" s="2" t="s">
        <v>175</v>
      </c>
      <c r="Q810" s="2" t="s">
        <v>8445</v>
      </c>
      <c r="R810" s="2" t="s">
        <v>30</v>
      </c>
    </row>
    <row r="811" spans="1:18">
      <c r="A811" s="1">
        <v>45658</v>
      </c>
      <c r="B811" s="1">
        <v>45658</v>
      </c>
      <c r="C811">
        <v>2025</v>
      </c>
      <c r="D811">
        <v>1</v>
      </c>
      <c r="E811" s="2" t="s">
        <v>8450</v>
      </c>
      <c r="F811" s="2" t="s">
        <v>8451</v>
      </c>
      <c r="G811" s="2" t="s">
        <v>8335</v>
      </c>
      <c r="H811" s="2" t="s">
        <v>22</v>
      </c>
      <c r="I811" s="2" t="s">
        <v>8417</v>
      </c>
      <c r="J811" s="2" t="s">
        <v>24</v>
      </c>
      <c r="K811">
        <v>64.430000000000007</v>
      </c>
      <c r="L811">
        <v>6443000</v>
      </c>
      <c r="M811" s="2" t="s">
        <v>8422</v>
      </c>
      <c r="N811" s="2" t="s">
        <v>8426</v>
      </c>
      <c r="O811" s="2" t="s">
        <v>9088</v>
      </c>
      <c r="P811" s="2" t="s">
        <v>175</v>
      </c>
      <c r="Q811" s="2" t="s">
        <v>8445</v>
      </c>
      <c r="R811" s="2" t="s">
        <v>30</v>
      </c>
    </row>
    <row r="812" spans="1:18">
      <c r="A812" s="1">
        <v>45658</v>
      </c>
      <c r="B812" s="1">
        <v>45658</v>
      </c>
      <c r="C812">
        <v>2025</v>
      </c>
      <c r="D812">
        <v>1</v>
      </c>
      <c r="E812" s="2" t="s">
        <v>8453</v>
      </c>
      <c r="F812" s="2" t="s">
        <v>8454</v>
      </c>
      <c r="G812" s="2" t="s">
        <v>8335</v>
      </c>
      <c r="H812" s="2" t="s">
        <v>22</v>
      </c>
      <c r="I812" s="2" t="s">
        <v>8336</v>
      </c>
      <c r="J812" s="2" t="s">
        <v>24</v>
      </c>
      <c r="K812">
        <v>1088.73</v>
      </c>
      <c r="L812">
        <v>108873000</v>
      </c>
      <c r="M812" s="2" t="s">
        <v>8348</v>
      </c>
      <c r="N812" s="2" t="s">
        <v>8352</v>
      </c>
      <c r="O812" s="2" t="s">
        <v>9089</v>
      </c>
      <c r="P812" s="2" t="s">
        <v>175</v>
      </c>
      <c r="Q812" s="2" t="s">
        <v>8445</v>
      </c>
      <c r="R812" s="2" t="s">
        <v>30</v>
      </c>
    </row>
    <row r="813" spans="1:18">
      <c r="A813" s="1">
        <v>45658</v>
      </c>
      <c r="B813" s="1">
        <v>45658</v>
      </c>
      <c r="C813">
        <v>2025</v>
      </c>
      <c r="D813">
        <v>1</v>
      </c>
      <c r="E813" s="2" t="s">
        <v>8456</v>
      </c>
      <c r="F813" s="2" t="s">
        <v>8457</v>
      </c>
      <c r="G813" s="2" t="s">
        <v>8335</v>
      </c>
      <c r="H813" s="2" t="s">
        <v>22</v>
      </c>
      <c r="I813" s="2" t="s">
        <v>8336</v>
      </c>
      <c r="J813" s="2" t="s">
        <v>24</v>
      </c>
      <c r="K813">
        <v>9820.39</v>
      </c>
      <c r="L813">
        <v>982039000</v>
      </c>
      <c r="M813" s="2" t="s">
        <v>8355</v>
      </c>
      <c r="N813" s="2" t="s">
        <v>8359</v>
      </c>
      <c r="O813" s="2" t="s">
        <v>9090</v>
      </c>
      <c r="P813" s="2" t="s">
        <v>175</v>
      </c>
      <c r="Q813" s="2" t="s">
        <v>8445</v>
      </c>
      <c r="R813" s="2" t="s">
        <v>30</v>
      </c>
    </row>
    <row r="814" spans="1:18">
      <c r="A814" s="1">
        <v>45658</v>
      </c>
      <c r="B814" s="1">
        <v>45658</v>
      </c>
      <c r="C814">
        <v>2025</v>
      </c>
      <c r="D814">
        <v>1</v>
      </c>
      <c r="E814" s="2" t="s">
        <v>8459</v>
      </c>
      <c r="F814" s="2" t="s">
        <v>8460</v>
      </c>
      <c r="G814" s="2" t="s">
        <v>8335</v>
      </c>
      <c r="H814" s="2" t="s">
        <v>22</v>
      </c>
      <c r="I814" s="2" t="s">
        <v>8336</v>
      </c>
      <c r="J814" s="2" t="s">
        <v>59</v>
      </c>
      <c r="K814">
        <v>10909.12</v>
      </c>
      <c r="L814">
        <v>1090912000</v>
      </c>
      <c r="M814" s="2" t="s">
        <v>8331</v>
      </c>
      <c r="N814" s="2" t="s">
        <v>8341</v>
      </c>
      <c r="O814" s="2" t="s">
        <v>9091</v>
      </c>
      <c r="P814" s="2" t="s">
        <v>175</v>
      </c>
      <c r="Q814" s="2" t="s">
        <v>8445</v>
      </c>
      <c r="R814" s="2" t="s">
        <v>30</v>
      </c>
    </row>
    <row r="815" spans="1:18">
      <c r="A815" s="1">
        <v>45658</v>
      </c>
      <c r="B815" s="1">
        <v>45658</v>
      </c>
      <c r="C815">
        <v>2025</v>
      </c>
      <c r="D815">
        <v>1</v>
      </c>
      <c r="E815" s="2" t="s">
        <v>8462</v>
      </c>
      <c r="F815" s="2" t="s">
        <v>8463</v>
      </c>
      <c r="G815" s="2" t="s">
        <v>8335</v>
      </c>
      <c r="H815" s="2" t="s">
        <v>22</v>
      </c>
      <c r="I815" s="2" t="s">
        <v>8409</v>
      </c>
      <c r="J815" s="2" t="s">
        <v>24</v>
      </c>
      <c r="K815">
        <v>14.74</v>
      </c>
      <c r="L815">
        <v>1474000</v>
      </c>
      <c r="M815" s="2" t="s">
        <v>8406</v>
      </c>
      <c r="N815" s="2" t="s">
        <v>8411</v>
      </c>
      <c r="O815" s="2" t="s">
        <v>9092</v>
      </c>
      <c r="P815" s="2" t="s">
        <v>175</v>
      </c>
      <c r="Q815" s="2" t="s">
        <v>8445</v>
      </c>
      <c r="R815" s="2" t="s">
        <v>30</v>
      </c>
    </row>
    <row r="816" spans="1:18">
      <c r="A816" s="1">
        <v>45658</v>
      </c>
      <c r="B816" s="1">
        <v>45658</v>
      </c>
      <c r="C816">
        <v>2025</v>
      </c>
      <c r="D816">
        <v>1</v>
      </c>
      <c r="E816" s="2" t="s">
        <v>8464</v>
      </c>
      <c r="F816" s="2" t="s">
        <v>8465</v>
      </c>
      <c r="G816" s="2" t="s">
        <v>8335</v>
      </c>
      <c r="H816" s="2" t="s">
        <v>22</v>
      </c>
      <c r="I816" s="2" t="s">
        <v>8417</v>
      </c>
      <c r="J816" s="2" t="s">
        <v>24</v>
      </c>
      <c r="K816">
        <v>103.53</v>
      </c>
      <c r="L816">
        <v>10353000</v>
      </c>
      <c r="M816" s="2" t="s">
        <v>8414</v>
      </c>
      <c r="N816" s="2" t="s">
        <v>8419</v>
      </c>
      <c r="O816" s="2" t="s">
        <v>9093</v>
      </c>
      <c r="P816" s="2" t="s">
        <v>175</v>
      </c>
      <c r="Q816" s="2" t="s">
        <v>8445</v>
      </c>
      <c r="R816" s="2" t="s">
        <v>30</v>
      </c>
    </row>
    <row r="817" spans="1:18">
      <c r="A817" s="1">
        <v>45658</v>
      </c>
      <c r="B817" s="1">
        <v>45658</v>
      </c>
      <c r="C817">
        <v>2025</v>
      </c>
      <c r="D817">
        <v>1</v>
      </c>
      <c r="E817" s="2" t="s">
        <v>8467</v>
      </c>
      <c r="F817" s="2" t="s">
        <v>8468</v>
      </c>
      <c r="G817" s="2" t="s">
        <v>8335</v>
      </c>
      <c r="H817" s="2" t="s">
        <v>22</v>
      </c>
      <c r="I817" s="2" t="s">
        <v>8365</v>
      </c>
      <c r="J817" s="2" t="s">
        <v>24</v>
      </c>
      <c r="K817">
        <v>4508.59</v>
      </c>
      <c r="L817">
        <v>450859000</v>
      </c>
      <c r="M817" s="2" t="s">
        <v>8377</v>
      </c>
      <c r="N817" s="2" t="s">
        <v>8381</v>
      </c>
      <c r="O817" s="2" t="s">
        <v>9094</v>
      </c>
      <c r="P817" s="2" t="s">
        <v>175</v>
      </c>
      <c r="Q817" s="2" t="s">
        <v>8445</v>
      </c>
      <c r="R817" s="2" t="s">
        <v>30</v>
      </c>
    </row>
    <row r="818" spans="1:18">
      <c r="A818" s="1">
        <v>45658</v>
      </c>
      <c r="B818" s="1">
        <v>45658</v>
      </c>
      <c r="C818">
        <v>2025</v>
      </c>
      <c r="D818">
        <v>1</v>
      </c>
      <c r="E818" s="2" t="s">
        <v>8470</v>
      </c>
      <c r="F818" s="2" t="s">
        <v>8471</v>
      </c>
      <c r="G818" s="2" t="s">
        <v>8335</v>
      </c>
      <c r="H818" s="2" t="s">
        <v>22</v>
      </c>
      <c r="I818" s="2" t="s">
        <v>8365</v>
      </c>
      <c r="J818" s="2" t="s">
        <v>59</v>
      </c>
      <c r="K818">
        <v>13466.32</v>
      </c>
      <c r="L818">
        <v>1346632000</v>
      </c>
      <c r="M818" s="2" t="s">
        <v>8362</v>
      </c>
      <c r="N818" s="2" t="s">
        <v>8367</v>
      </c>
      <c r="O818" s="2" t="s">
        <v>9095</v>
      </c>
      <c r="P818" s="2" t="s">
        <v>175</v>
      </c>
      <c r="Q818" s="2" t="s">
        <v>8445</v>
      </c>
      <c r="R818" s="2" t="s">
        <v>30</v>
      </c>
    </row>
    <row r="819" spans="1:18">
      <c r="A819" s="1">
        <v>45658</v>
      </c>
      <c r="B819" s="1">
        <v>45658</v>
      </c>
      <c r="C819">
        <v>2025</v>
      </c>
      <c r="D819">
        <v>1</v>
      </c>
      <c r="E819" s="2" t="s">
        <v>8473</v>
      </c>
      <c r="F819" s="2" t="s">
        <v>8474</v>
      </c>
      <c r="G819" s="2" t="s">
        <v>8335</v>
      </c>
      <c r="H819" s="2" t="s">
        <v>22</v>
      </c>
      <c r="I819" s="2" t="s">
        <v>8365</v>
      </c>
      <c r="J819" s="2" t="s">
        <v>24</v>
      </c>
      <c r="K819">
        <v>8957.73</v>
      </c>
      <c r="L819">
        <v>895773000</v>
      </c>
      <c r="M819" s="2" t="s">
        <v>8370</v>
      </c>
      <c r="N819" s="2" t="s">
        <v>8374</v>
      </c>
      <c r="O819" s="2" t="s">
        <v>9096</v>
      </c>
      <c r="P819" s="2" t="s">
        <v>175</v>
      </c>
      <c r="Q819" s="2" t="s">
        <v>8445</v>
      </c>
      <c r="R819" s="2" t="s">
        <v>30</v>
      </c>
    </row>
    <row r="820" spans="1:18">
      <c r="A820" s="1">
        <v>45658</v>
      </c>
      <c r="B820" s="1">
        <v>45658</v>
      </c>
      <c r="C820">
        <v>2025</v>
      </c>
      <c r="D820">
        <v>1</v>
      </c>
      <c r="E820" s="2" t="s">
        <v>7890</v>
      </c>
      <c r="F820" s="2" t="s">
        <v>7891</v>
      </c>
      <c r="G820" s="2" t="s">
        <v>8335</v>
      </c>
      <c r="H820" s="2" t="s">
        <v>22</v>
      </c>
      <c r="I820" s="2" t="s">
        <v>8417</v>
      </c>
      <c r="J820" s="2" t="s">
        <v>24</v>
      </c>
      <c r="K820">
        <v>6401.65</v>
      </c>
      <c r="L820">
        <v>640165000</v>
      </c>
      <c r="M820" s="2" t="s">
        <v>7889</v>
      </c>
      <c r="N820" s="2" t="s">
        <v>7911</v>
      </c>
      <c r="O820" s="2" t="s">
        <v>9097</v>
      </c>
      <c r="P820" s="2" t="s">
        <v>7951</v>
      </c>
      <c r="Q820" s="2" t="s">
        <v>8967</v>
      </c>
      <c r="R820" s="2" t="s">
        <v>9098</v>
      </c>
    </row>
    <row r="821" spans="1:18">
      <c r="A821" s="1">
        <v>45689</v>
      </c>
      <c r="B821" s="1">
        <v>45689</v>
      </c>
      <c r="C821">
        <v>2025</v>
      </c>
      <c r="D821">
        <v>2</v>
      </c>
      <c r="E821" s="2" t="s">
        <v>8443</v>
      </c>
      <c r="F821" s="2" t="s">
        <v>8444</v>
      </c>
      <c r="G821" s="2" t="s">
        <v>8335</v>
      </c>
      <c r="H821" s="2" t="s">
        <v>22</v>
      </c>
      <c r="I821" s="2" t="s">
        <v>8387</v>
      </c>
      <c r="J821" s="2" t="s">
        <v>24</v>
      </c>
      <c r="K821">
        <v>2.2200000000000002</v>
      </c>
      <c r="L821">
        <v>222000</v>
      </c>
      <c r="M821" s="2" t="s">
        <v>8392</v>
      </c>
      <c r="N821" s="2" t="s">
        <v>8396</v>
      </c>
      <c r="O821" s="2" t="s">
        <v>9001</v>
      </c>
      <c r="P821" s="2" t="s">
        <v>175</v>
      </c>
      <c r="Q821" s="2" t="s">
        <v>8445</v>
      </c>
      <c r="R821" s="2" t="s">
        <v>30</v>
      </c>
    </row>
    <row r="822" spans="1:18">
      <c r="A822" s="1">
        <v>45689</v>
      </c>
      <c r="B822" s="1">
        <v>45689</v>
      </c>
      <c r="C822">
        <v>2025</v>
      </c>
      <c r="D822">
        <v>2</v>
      </c>
      <c r="E822" s="2" t="s">
        <v>8446</v>
      </c>
      <c r="F822" s="2" t="s">
        <v>8447</v>
      </c>
      <c r="G822" s="2" t="s">
        <v>8335</v>
      </c>
      <c r="H822" s="2" t="s">
        <v>22</v>
      </c>
      <c r="I822" s="2" t="s">
        <v>8387</v>
      </c>
      <c r="J822" s="2" t="s">
        <v>59</v>
      </c>
      <c r="K822">
        <v>2.58</v>
      </c>
      <c r="L822">
        <v>258000</v>
      </c>
      <c r="M822" s="2" t="s">
        <v>8384</v>
      </c>
      <c r="N822" s="2" t="s">
        <v>8389</v>
      </c>
      <c r="O822" s="2" t="s">
        <v>8837</v>
      </c>
      <c r="P822" s="2" t="s">
        <v>175</v>
      </c>
      <c r="Q822" s="2" t="s">
        <v>8445</v>
      </c>
      <c r="R822" s="2" t="s">
        <v>30</v>
      </c>
    </row>
    <row r="823" spans="1:18">
      <c r="A823" s="1">
        <v>45689</v>
      </c>
      <c r="B823" s="1">
        <v>45689</v>
      </c>
      <c r="C823">
        <v>2025</v>
      </c>
      <c r="D823">
        <v>2</v>
      </c>
      <c r="E823" s="2" t="s">
        <v>8448</v>
      </c>
      <c r="F823" s="2" t="s">
        <v>8449</v>
      </c>
      <c r="G823" s="2" t="s">
        <v>8335</v>
      </c>
      <c r="H823" s="2" t="s">
        <v>22</v>
      </c>
      <c r="I823" s="2" t="s">
        <v>8387</v>
      </c>
      <c r="J823" s="2" t="s">
        <v>24</v>
      </c>
      <c r="K823">
        <v>0.36</v>
      </c>
      <c r="L823">
        <v>36000</v>
      </c>
      <c r="M823" s="2" t="s">
        <v>8399</v>
      </c>
      <c r="N823" s="2" t="s">
        <v>8403</v>
      </c>
      <c r="O823" s="2" t="s">
        <v>3657</v>
      </c>
      <c r="P823" s="2" t="s">
        <v>175</v>
      </c>
      <c r="Q823" s="2" t="s">
        <v>8445</v>
      </c>
      <c r="R823" s="2" t="s">
        <v>30</v>
      </c>
    </row>
    <row r="824" spans="1:18">
      <c r="A824" s="1">
        <v>45689</v>
      </c>
      <c r="B824" s="1">
        <v>45689</v>
      </c>
      <c r="C824">
        <v>2025</v>
      </c>
      <c r="D824">
        <v>2</v>
      </c>
      <c r="E824" s="2" t="s">
        <v>8450</v>
      </c>
      <c r="F824" s="2" t="s">
        <v>8451</v>
      </c>
      <c r="G824" s="2" t="s">
        <v>8335</v>
      </c>
      <c r="H824" s="2" t="s">
        <v>22</v>
      </c>
      <c r="I824" s="2" t="s">
        <v>8417</v>
      </c>
      <c r="J824" s="2" t="s">
        <v>24</v>
      </c>
      <c r="K824">
        <v>65.48</v>
      </c>
      <c r="L824">
        <v>6548000</v>
      </c>
      <c r="M824" s="2" t="s">
        <v>8422</v>
      </c>
      <c r="N824" s="2" t="s">
        <v>8426</v>
      </c>
      <c r="O824" s="2" t="s">
        <v>9099</v>
      </c>
      <c r="P824" s="2" t="s">
        <v>175</v>
      </c>
      <c r="Q824" s="2" t="s">
        <v>8445</v>
      </c>
      <c r="R824" s="2" t="s">
        <v>30</v>
      </c>
    </row>
    <row r="825" spans="1:18">
      <c r="A825" s="1">
        <v>45689</v>
      </c>
      <c r="B825" s="1">
        <v>45689</v>
      </c>
      <c r="C825">
        <v>2025</v>
      </c>
      <c r="D825">
        <v>2</v>
      </c>
      <c r="E825" s="2" t="s">
        <v>8453</v>
      </c>
      <c r="F825" s="2" t="s">
        <v>8454</v>
      </c>
      <c r="G825" s="2" t="s">
        <v>8335</v>
      </c>
      <c r="H825" s="2" t="s">
        <v>22</v>
      </c>
      <c r="I825" s="2" t="s">
        <v>8336</v>
      </c>
      <c r="J825" s="2" t="s">
        <v>24</v>
      </c>
      <c r="K825">
        <v>1093.1500000000001</v>
      </c>
      <c r="L825">
        <v>109315000</v>
      </c>
      <c r="M825" s="2" t="s">
        <v>8348</v>
      </c>
      <c r="N825" s="2" t="s">
        <v>8352</v>
      </c>
      <c r="O825" s="2" t="s">
        <v>9100</v>
      </c>
      <c r="P825" s="2" t="s">
        <v>175</v>
      </c>
      <c r="Q825" s="2" t="s">
        <v>8445</v>
      </c>
      <c r="R825" s="2" t="s">
        <v>30</v>
      </c>
    </row>
    <row r="826" spans="1:18">
      <c r="A826" s="1">
        <v>45689</v>
      </c>
      <c r="B826" s="1">
        <v>45689</v>
      </c>
      <c r="C826">
        <v>2025</v>
      </c>
      <c r="D826">
        <v>2</v>
      </c>
      <c r="E826" s="2" t="s">
        <v>8456</v>
      </c>
      <c r="F826" s="2" t="s">
        <v>8457</v>
      </c>
      <c r="G826" s="2" t="s">
        <v>8335</v>
      </c>
      <c r="H826" s="2" t="s">
        <v>22</v>
      </c>
      <c r="I826" s="2" t="s">
        <v>8336</v>
      </c>
      <c r="J826" s="2" t="s">
        <v>24</v>
      </c>
      <c r="K826">
        <v>9856.77</v>
      </c>
      <c r="L826">
        <v>985677000</v>
      </c>
      <c r="M826" s="2" t="s">
        <v>8355</v>
      </c>
      <c r="N826" s="2" t="s">
        <v>8359</v>
      </c>
      <c r="O826" s="2" t="s">
        <v>9101</v>
      </c>
      <c r="P826" s="2" t="s">
        <v>175</v>
      </c>
      <c r="Q826" s="2" t="s">
        <v>8445</v>
      </c>
      <c r="R826" s="2" t="s">
        <v>30</v>
      </c>
    </row>
    <row r="827" spans="1:18">
      <c r="A827" s="1">
        <v>45689</v>
      </c>
      <c r="B827" s="1">
        <v>45689</v>
      </c>
      <c r="C827">
        <v>2025</v>
      </c>
      <c r="D827">
        <v>2</v>
      </c>
      <c r="E827" s="2" t="s">
        <v>8459</v>
      </c>
      <c r="F827" s="2" t="s">
        <v>8460</v>
      </c>
      <c r="G827" s="2" t="s">
        <v>8335</v>
      </c>
      <c r="H827" s="2" t="s">
        <v>22</v>
      </c>
      <c r="I827" s="2" t="s">
        <v>8336</v>
      </c>
      <c r="J827" s="2" t="s">
        <v>59</v>
      </c>
      <c r="K827">
        <v>10949.92</v>
      </c>
      <c r="L827">
        <v>1094992000</v>
      </c>
      <c r="M827" s="2" t="s">
        <v>8331</v>
      </c>
      <c r="N827" s="2" t="s">
        <v>8341</v>
      </c>
      <c r="O827" s="2" t="s">
        <v>9102</v>
      </c>
      <c r="P827" s="2" t="s">
        <v>175</v>
      </c>
      <c r="Q827" s="2" t="s">
        <v>8445</v>
      </c>
      <c r="R827" s="2" t="s">
        <v>30</v>
      </c>
    </row>
    <row r="828" spans="1:18">
      <c r="A828" s="1">
        <v>45689</v>
      </c>
      <c r="B828" s="1">
        <v>45689</v>
      </c>
      <c r="C828">
        <v>2025</v>
      </c>
      <c r="D828">
        <v>2</v>
      </c>
      <c r="E828" s="2" t="s">
        <v>8462</v>
      </c>
      <c r="F828" s="2" t="s">
        <v>8463</v>
      </c>
      <c r="G828" s="2" t="s">
        <v>8335</v>
      </c>
      <c r="H828" s="2" t="s">
        <v>22</v>
      </c>
      <c r="I828" s="2" t="s">
        <v>8409</v>
      </c>
      <c r="J828" s="2" t="s">
        <v>24</v>
      </c>
      <c r="K828">
        <v>14.68</v>
      </c>
      <c r="L828">
        <v>1468000</v>
      </c>
      <c r="M828" s="2" t="s">
        <v>8406</v>
      </c>
      <c r="N828" s="2" t="s">
        <v>8411</v>
      </c>
      <c r="O828" s="2" t="s">
        <v>9103</v>
      </c>
      <c r="P828" s="2" t="s">
        <v>175</v>
      </c>
      <c r="Q828" s="2" t="s">
        <v>8445</v>
      </c>
      <c r="R828" s="2" t="s">
        <v>30</v>
      </c>
    </row>
    <row r="829" spans="1:18">
      <c r="A829" s="1">
        <v>45689</v>
      </c>
      <c r="B829" s="1">
        <v>45689</v>
      </c>
      <c r="C829">
        <v>2025</v>
      </c>
      <c r="D829">
        <v>2</v>
      </c>
      <c r="E829" s="2" t="s">
        <v>8464</v>
      </c>
      <c r="F829" s="2" t="s">
        <v>8465</v>
      </c>
      <c r="G829" s="2" t="s">
        <v>8335</v>
      </c>
      <c r="H829" s="2" t="s">
        <v>22</v>
      </c>
      <c r="I829" s="2" t="s">
        <v>8417</v>
      </c>
      <c r="J829" s="2" t="s">
        <v>24</v>
      </c>
      <c r="K829">
        <v>107.18</v>
      </c>
      <c r="L829">
        <v>10718000</v>
      </c>
      <c r="M829" s="2" t="s">
        <v>8414</v>
      </c>
      <c r="N829" s="2" t="s">
        <v>8419</v>
      </c>
      <c r="O829" s="2" t="s">
        <v>9104</v>
      </c>
      <c r="P829" s="2" t="s">
        <v>175</v>
      </c>
      <c r="Q829" s="2" t="s">
        <v>8445</v>
      </c>
      <c r="R829" s="2" t="s">
        <v>30</v>
      </c>
    </row>
    <row r="830" spans="1:18">
      <c r="A830" s="1">
        <v>45689</v>
      </c>
      <c r="B830" s="1">
        <v>45689</v>
      </c>
      <c r="C830">
        <v>2025</v>
      </c>
      <c r="D830">
        <v>2</v>
      </c>
      <c r="E830" s="2" t="s">
        <v>8467</v>
      </c>
      <c r="F830" s="2" t="s">
        <v>8468</v>
      </c>
      <c r="G830" s="2" t="s">
        <v>8335</v>
      </c>
      <c r="H830" s="2" t="s">
        <v>22</v>
      </c>
      <c r="I830" s="2" t="s">
        <v>8365</v>
      </c>
      <c r="J830" s="2" t="s">
        <v>24</v>
      </c>
      <c r="K830">
        <v>4612.88</v>
      </c>
      <c r="L830">
        <v>461288000</v>
      </c>
      <c r="M830" s="2" t="s">
        <v>8377</v>
      </c>
      <c r="N830" s="2" t="s">
        <v>8381</v>
      </c>
      <c r="O830" s="2" t="s">
        <v>9105</v>
      </c>
      <c r="P830" s="2" t="s">
        <v>175</v>
      </c>
      <c r="Q830" s="2" t="s">
        <v>8445</v>
      </c>
      <c r="R830" s="2" t="s">
        <v>30</v>
      </c>
    </row>
    <row r="831" spans="1:18">
      <c r="A831" s="1">
        <v>45689</v>
      </c>
      <c r="B831" s="1">
        <v>45689</v>
      </c>
      <c r="C831">
        <v>2025</v>
      </c>
      <c r="D831">
        <v>2</v>
      </c>
      <c r="E831" s="2" t="s">
        <v>8470</v>
      </c>
      <c r="F831" s="2" t="s">
        <v>8471</v>
      </c>
      <c r="G831" s="2" t="s">
        <v>8335</v>
      </c>
      <c r="H831" s="2" t="s">
        <v>22</v>
      </c>
      <c r="I831" s="2" t="s">
        <v>8365</v>
      </c>
      <c r="J831" s="2" t="s">
        <v>59</v>
      </c>
      <c r="K831">
        <v>13619.31</v>
      </c>
      <c r="L831">
        <v>1361931000</v>
      </c>
      <c r="M831" s="2" t="s">
        <v>8362</v>
      </c>
      <c r="N831" s="2" t="s">
        <v>8367</v>
      </c>
      <c r="O831" s="2" t="s">
        <v>9106</v>
      </c>
      <c r="P831" s="2" t="s">
        <v>175</v>
      </c>
      <c r="Q831" s="2" t="s">
        <v>8445</v>
      </c>
      <c r="R831" s="2" t="s">
        <v>30</v>
      </c>
    </row>
    <row r="832" spans="1:18">
      <c r="A832" s="1">
        <v>45689</v>
      </c>
      <c r="B832" s="1">
        <v>45689</v>
      </c>
      <c r="C832">
        <v>2025</v>
      </c>
      <c r="D832">
        <v>2</v>
      </c>
      <c r="E832" s="2" t="s">
        <v>8473</v>
      </c>
      <c r="F832" s="2" t="s">
        <v>8474</v>
      </c>
      <c r="G832" s="2" t="s">
        <v>8335</v>
      </c>
      <c r="H832" s="2" t="s">
        <v>22</v>
      </c>
      <c r="I832" s="2" t="s">
        <v>8365</v>
      </c>
      <c r="J832" s="2" t="s">
        <v>24</v>
      </c>
      <c r="K832">
        <v>9006.43</v>
      </c>
      <c r="L832">
        <v>900643000</v>
      </c>
      <c r="M832" s="2" t="s">
        <v>8370</v>
      </c>
      <c r="N832" s="2" t="s">
        <v>8374</v>
      </c>
      <c r="O832" s="2" t="s">
        <v>9107</v>
      </c>
      <c r="P832" s="2" t="s">
        <v>175</v>
      </c>
      <c r="Q832" s="2" t="s">
        <v>8445</v>
      </c>
      <c r="R832" s="2" t="s">
        <v>30</v>
      </c>
    </row>
    <row r="833" spans="1:18">
      <c r="A833" s="1">
        <v>45689</v>
      </c>
      <c r="B833" s="1">
        <v>45689</v>
      </c>
      <c r="C833">
        <v>2025</v>
      </c>
      <c r="D833">
        <v>2</v>
      </c>
      <c r="E833" s="2" t="s">
        <v>7890</v>
      </c>
      <c r="F833" s="2" t="s">
        <v>7891</v>
      </c>
      <c r="G833" s="2" t="s">
        <v>8335</v>
      </c>
      <c r="H833" s="2" t="s">
        <v>22</v>
      </c>
      <c r="I833" s="2" t="s">
        <v>8417</v>
      </c>
      <c r="J833" s="2" t="s">
        <v>24</v>
      </c>
      <c r="K833">
        <v>6496.91</v>
      </c>
      <c r="L833">
        <v>649691000</v>
      </c>
      <c r="M833" s="2" t="s">
        <v>7889</v>
      </c>
      <c r="N833" s="2" t="s">
        <v>7911</v>
      </c>
      <c r="O833" s="2" t="s">
        <v>9108</v>
      </c>
      <c r="P833" s="2" t="s">
        <v>7954</v>
      </c>
      <c r="Q833" s="2" t="s">
        <v>8967</v>
      </c>
      <c r="R833" s="2" t="s">
        <v>9109</v>
      </c>
    </row>
    <row r="834" spans="1:18">
      <c r="A834" s="1">
        <v>45717</v>
      </c>
      <c r="B834" s="1">
        <v>45717</v>
      </c>
      <c r="C834">
        <v>2025</v>
      </c>
      <c r="D834">
        <v>3</v>
      </c>
      <c r="E834" s="2" t="s">
        <v>8443</v>
      </c>
      <c r="F834" s="2" t="s">
        <v>8444</v>
      </c>
      <c r="G834" s="2" t="s">
        <v>8335</v>
      </c>
      <c r="H834" s="2" t="s">
        <v>22</v>
      </c>
      <c r="I834" s="2" t="s">
        <v>8387</v>
      </c>
      <c r="J834" s="2" t="s">
        <v>24</v>
      </c>
      <c r="K834">
        <v>2.2000000000000002</v>
      </c>
      <c r="L834">
        <v>220000</v>
      </c>
      <c r="M834" s="2" t="s">
        <v>8392</v>
      </c>
      <c r="N834" s="2" t="s">
        <v>8396</v>
      </c>
      <c r="O834" s="2" t="s">
        <v>477</v>
      </c>
      <c r="P834" s="2" t="s">
        <v>175</v>
      </c>
      <c r="Q834" s="2" t="s">
        <v>8445</v>
      </c>
      <c r="R834" s="2" t="s">
        <v>30</v>
      </c>
    </row>
    <row r="835" spans="1:18">
      <c r="A835" s="1">
        <v>45717</v>
      </c>
      <c r="B835" s="1">
        <v>45717</v>
      </c>
      <c r="C835">
        <v>2025</v>
      </c>
      <c r="D835">
        <v>3</v>
      </c>
      <c r="E835" s="2" t="s">
        <v>8446</v>
      </c>
      <c r="F835" s="2" t="s">
        <v>8447</v>
      </c>
      <c r="G835" s="2" t="s">
        <v>8335</v>
      </c>
      <c r="H835" s="2" t="s">
        <v>22</v>
      </c>
      <c r="I835" s="2" t="s">
        <v>8387</v>
      </c>
      <c r="J835" s="2" t="s">
        <v>59</v>
      </c>
      <c r="K835">
        <v>2.56</v>
      </c>
      <c r="L835">
        <v>256000</v>
      </c>
      <c r="M835" s="2" t="s">
        <v>8384</v>
      </c>
      <c r="N835" s="2" t="s">
        <v>8389</v>
      </c>
      <c r="O835" s="2" t="s">
        <v>2717</v>
      </c>
      <c r="P835" s="2" t="s">
        <v>175</v>
      </c>
      <c r="Q835" s="2" t="s">
        <v>8445</v>
      </c>
      <c r="R835" s="2" t="s">
        <v>30</v>
      </c>
    </row>
    <row r="836" spans="1:18">
      <c r="A836" s="1">
        <v>45717</v>
      </c>
      <c r="B836" s="1">
        <v>45717</v>
      </c>
      <c r="C836">
        <v>2025</v>
      </c>
      <c r="D836">
        <v>3</v>
      </c>
      <c r="E836" s="2" t="s">
        <v>8448</v>
      </c>
      <c r="F836" s="2" t="s">
        <v>8449</v>
      </c>
      <c r="G836" s="2" t="s">
        <v>8335</v>
      </c>
      <c r="H836" s="2" t="s">
        <v>22</v>
      </c>
      <c r="I836" s="2" t="s">
        <v>8387</v>
      </c>
      <c r="J836" s="2" t="s">
        <v>24</v>
      </c>
      <c r="K836">
        <v>0.36</v>
      </c>
      <c r="L836">
        <v>36000</v>
      </c>
      <c r="M836" s="2" t="s">
        <v>8399</v>
      </c>
      <c r="N836" s="2" t="s">
        <v>8403</v>
      </c>
      <c r="O836" s="2" t="s">
        <v>3657</v>
      </c>
      <c r="P836" s="2" t="s">
        <v>175</v>
      </c>
      <c r="Q836" s="2" t="s">
        <v>8445</v>
      </c>
      <c r="R836" s="2" t="s">
        <v>30</v>
      </c>
    </row>
    <row r="837" spans="1:18">
      <c r="A837" s="1">
        <v>45717</v>
      </c>
      <c r="B837" s="1">
        <v>45717</v>
      </c>
      <c r="C837">
        <v>2025</v>
      </c>
      <c r="D837">
        <v>3</v>
      </c>
      <c r="E837" s="2" t="s">
        <v>8450</v>
      </c>
      <c r="F837" s="2" t="s">
        <v>8451</v>
      </c>
      <c r="G837" s="2" t="s">
        <v>8335</v>
      </c>
      <c r="H837" s="2" t="s">
        <v>22</v>
      </c>
      <c r="I837" s="2" t="s">
        <v>8417</v>
      </c>
      <c r="J837" s="2" t="s">
        <v>24</v>
      </c>
      <c r="K837">
        <v>67.180000000000007</v>
      </c>
      <c r="L837">
        <v>6718000</v>
      </c>
      <c r="M837" s="2" t="s">
        <v>8422</v>
      </c>
      <c r="N837" s="2" t="s">
        <v>8426</v>
      </c>
      <c r="O837" s="2" t="s">
        <v>9110</v>
      </c>
      <c r="P837" s="2" t="s">
        <v>175</v>
      </c>
      <c r="Q837" s="2" t="s">
        <v>8445</v>
      </c>
      <c r="R837" s="2" t="s">
        <v>30</v>
      </c>
    </row>
    <row r="838" spans="1:18">
      <c r="A838" s="1">
        <v>45717</v>
      </c>
      <c r="B838" s="1">
        <v>45717</v>
      </c>
      <c r="C838">
        <v>2025</v>
      </c>
      <c r="D838">
        <v>3</v>
      </c>
      <c r="E838" s="2" t="s">
        <v>8453</v>
      </c>
      <c r="F838" s="2" t="s">
        <v>8454</v>
      </c>
      <c r="G838" s="2" t="s">
        <v>8335</v>
      </c>
      <c r="H838" s="2" t="s">
        <v>22</v>
      </c>
      <c r="I838" s="2" t="s">
        <v>8336</v>
      </c>
      <c r="J838" s="2" t="s">
        <v>24</v>
      </c>
      <c r="K838">
        <v>1098.8499999999999</v>
      </c>
      <c r="L838">
        <v>109885000</v>
      </c>
      <c r="M838" s="2" t="s">
        <v>8348</v>
      </c>
      <c r="N838" s="2" t="s">
        <v>8352</v>
      </c>
      <c r="O838" s="2" t="s">
        <v>9111</v>
      </c>
      <c r="P838" s="2" t="s">
        <v>175</v>
      </c>
      <c r="Q838" s="2" t="s">
        <v>8445</v>
      </c>
      <c r="R838" s="2" t="s">
        <v>30</v>
      </c>
    </row>
    <row r="839" spans="1:18">
      <c r="A839" s="1">
        <v>45717</v>
      </c>
      <c r="B839" s="1">
        <v>45717</v>
      </c>
      <c r="C839">
        <v>2025</v>
      </c>
      <c r="D839">
        <v>3</v>
      </c>
      <c r="E839" s="2" t="s">
        <v>8456</v>
      </c>
      <c r="F839" s="2" t="s">
        <v>8457</v>
      </c>
      <c r="G839" s="2" t="s">
        <v>8335</v>
      </c>
      <c r="H839" s="2" t="s">
        <v>22</v>
      </c>
      <c r="I839" s="2" t="s">
        <v>8336</v>
      </c>
      <c r="J839" s="2" t="s">
        <v>24</v>
      </c>
      <c r="K839">
        <v>9908.1200000000008</v>
      </c>
      <c r="L839">
        <v>990812000</v>
      </c>
      <c r="M839" s="2" t="s">
        <v>8355</v>
      </c>
      <c r="N839" s="2" t="s">
        <v>8359</v>
      </c>
      <c r="O839" s="2" t="s">
        <v>9112</v>
      </c>
      <c r="P839" s="2" t="s">
        <v>175</v>
      </c>
      <c r="Q839" s="2" t="s">
        <v>8445</v>
      </c>
      <c r="R839" s="2" t="s">
        <v>30</v>
      </c>
    </row>
    <row r="840" spans="1:18">
      <c r="A840" s="1">
        <v>45717</v>
      </c>
      <c r="B840" s="1">
        <v>45717</v>
      </c>
      <c r="C840">
        <v>2025</v>
      </c>
      <c r="D840">
        <v>3</v>
      </c>
      <c r="E840" s="2" t="s">
        <v>8459</v>
      </c>
      <c r="F840" s="2" t="s">
        <v>8460</v>
      </c>
      <c r="G840" s="2" t="s">
        <v>8335</v>
      </c>
      <c r="H840" s="2" t="s">
        <v>22</v>
      </c>
      <c r="I840" s="2" t="s">
        <v>8336</v>
      </c>
      <c r="J840" s="2" t="s">
        <v>59</v>
      </c>
      <c r="K840">
        <v>11006.97</v>
      </c>
      <c r="L840">
        <v>1100697000</v>
      </c>
      <c r="M840" s="2" t="s">
        <v>8331</v>
      </c>
      <c r="N840" s="2" t="s">
        <v>8341</v>
      </c>
      <c r="O840" s="2" t="s">
        <v>9113</v>
      </c>
      <c r="P840" s="2" t="s">
        <v>175</v>
      </c>
      <c r="Q840" s="2" t="s">
        <v>8445</v>
      </c>
      <c r="R840" s="2" t="s">
        <v>30</v>
      </c>
    </row>
    <row r="841" spans="1:18">
      <c r="A841" s="1">
        <v>45717</v>
      </c>
      <c r="B841" s="1">
        <v>45717</v>
      </c>
      <c r="C841">
        <v>2025</v>
      </c>
      <c r="D841">
        <v>3</v>
      </c>
      <c r="E841" s="2" t="s">
        <v>8462</v>
      </c>
      <c r="F841" s="2" t="s">
        <v>8463</v>
      </c>
      <c r="G841" s="2" t="s">
        <v>8335</v>
      </c>
      <c r="H841" s="2" t="s">
        <v>22</v>
      </c>
      <c r="I841" s="2" t="s">
        <v>8409</v>
      </c>
      <c r="J841" s="2" t="s">
        <v>24</v>
      </c>
      <c r="K841">
        <v>14.82</v>
      </c>
      <c r="L841">
        <v>1482000</v>
      </c>
      <c r="M841" s="2" t="s">
        <v>8406</v>
      </c>
      <c r="N841" s="2" t="s">
        <v>8411</v>
      </c>
      <c r="O841" s="2" t="s">
        <v>9114</v>
      </c>
      <c r="P841" s="2" t="s">
        <v>175</v>
      </c>
      <c r="Q841" s="2" t="s">
        <v>8445</v>
      </c>
      <c r="R841" s="2" t="s">
        <v>30</v>
      </c>
    </row>
    <row r="842" spans="1:18">
      <c r="A842" s="1">
        <v>45717</v>
      </c>
      <c r="B842" s="1">
        <v>45717</v>
      </c>
      <c r="C842">
        <v>2025</v>
      </c>
      <c r="D842">
        <v>3</v>
      </c>
      <c r="E842" s="2" t="s">
        <v>8464</v>
      </c>
      <c r="F842" s="2" t="s">
        <v>8465</v>
      </c>
      <c r="G842" s="2" t="s">
        <v>8335</v>
      </c>
      <c r="H842" s="2" t="s">
        <v>22</v>
      </c>
      <c r="I842" s="2" t="s">
        <v>8417</v>
      </c>
      <c r="J842" s="2" t="s">
        <v>24</v>
      </c>
      <c r="K842">
        <v>110.98</v>
      </c>
      <c r="L842">
        <v>11098000</v>
      </c>
      <c r="M842" s="2" t="s">
        <v>8414</v>
      </c>
      <c r="N842" s="2" t="s">
        <v>8419</v>
      </c>
      <c r="O842" s="2" t="s">
        <v>9115</v>
      </c>
      <c r="P842" s="2" t="s">
        <v>175</v>
      </c>
      <c r="Q842" s="2" t="s">
        <v>8445</v>
      </c>
      <c r="R842" s="2" t="s">
        <v>30</v>
      </c>
    </row>
    <row r="843" spans="1:18">
      <c r="A843" s="1">
        <v>45717</v>
      </c>
      <c r="B843" s="1">
        <v>45717</v>
      </c>
      <c r="C843">
        <v>2025</v>
      </c>
      <c r="D843">
        <v>3</v>
      </c>
      <c r="E843" s="2" t="s">
        <v>8467</v>
      </c>
      <c r="F843" s="2" t="s">
        <v>8468</v>
      </c>
      <c r="G843" s="2" t="s">
        <v>8335</v>
      </c>
      <c r="H843" s="2" t="s">
        <v>22</v>
      </c>
      <c r="I843" s="2" t="s">
        <v>8365</v>
      </c>
      <c r="J843" s="2" t="s">
        <v>24</v>
      </c>
      <c r="K843">
        <v>4723.0200000000004</v>
      </c>
      <c r="L843">
        <v>472302000</v>
      </c>
      <c r="M843" s="2" t="s">
        <v>8377</v>
      </c>
      <c r="N843" s="2" t="s">
        <v>8381</v>
      </c>
      <c r="O843" s="2" t="s">
        <v>9116</v>
      </c>
      <c r="P843" s="2" t="s">
        <v>175</v>
      </c>
      <c r="Q843" s="2" t="s">
        <v>8445</v>
      </c>
      <c r="R843" s="2" t="s">
        <v>30</v>
      </c>
    </row>
    <row r="844" spans="1:18">
      <c r="A844" s="1">
        <v>45717</v>
      </c>
      <c r="B844" s="1">
        <v>45717</v>
      </c>
      <c r="C844">
        <v>2025</v>
      </c>
      <c r="D844">
        <v>3</v>
      </c>
      <c r="E844" s="2" t="s">
        <v>8470</v>
      </c>
      <c r="F844" s="2" t="s">
        <v>8471</v>
      </c>
      <c r="G844" s="2" t="s">
        <v>8335</v>
      </c>
      <c r="H844" s="2" t="s">
        <v>22</v>
      </c>
      <c r="I844" s="2" t="s">
        <v>8365</v>
      </c>
      <c r="J844" s="2" t="s">
        <v>59</v>
      </c>
      <c r="K844">
        <v>13401.46</v>
      </c>
      <c r="L844">
        <v>1340146000</v>
      </c>
      <c r="M844" s="2" t="s">
        <v>8362</v>
      </c>
      <c r="N844" s="2" t="s">
        <v>8367</v>
      </c>
      <c r="O844" s="2" t="s">
        <v>9117</v>
      </c>
      <c r="P844" s="2" t="s">
        <v>175</v>
      </c>
      <c r="Q844" s="2" t="s">
        <v>8445</v>
      </c>
      <c r="R844" s="2" t="s">
        <v>30</v>
      </c>
    </row>
    <row r="845" spans="1:18">
      <c r="A845" s="1">
        <v>45717</v>
      </c>
      <c r="B845" s="1">
        <v>45717</v>
      </c>
      <c r="C845">
        <v>2025</v>
      </c>
      <c r="D845">
        <v>3</v>
      </c>
      <c r="E845" s="2" t="s">
        <v>8473</v>
      </c>
      <c r="F845" s="2" t="s">
        <v>8474</v>
      </c>
      <c r="G845" s="2" t="s">
        <v>8335</v>
      </c>
      <c r="H845" s="2" t="s">
        <v>22</v>
      </c>
      <c r="I845" s="2" t="s">
        <v>8365</v>
      </c>
      <c r="J845" s="2" t="s">
        <v>24</v>
      </c>
      <c r="K845">
        <v>8678.44</v>
      </c>
      <c r="L845">
        <v>867844000</v>
      </c>
      <c r="M845" s="2" t="s">
        <v>8370</v>
      </c>
      <c r="N845" s="2" t="s">
        <v>8374</v>
      </c>
      <c r="O845" s="2" t="s">
        <v>9118</v>
      </c>
      <c r="P845" s="2" t="s">
        <v>175</v>
      </c>
      <c r="Q845" s="2" t="s">
        <v>8445</v>
      </c>
      <c r="R845" s="2" t="s">
        <v>30</v>
      </c>
    </row>
    <row r="846" spans="1:18">
      <c r="A846" s="1">
        <v>45717</v>
      </c>
      <c r="B846" s="1">
        <v>45717</v>
      </c>
      <c r="C846">
        <v>2025</v>
      </c>
      <c r="D846">
        <v>3</v>
      </c>
      <c r="E846" s="2" t="s">
        <v>7890</v>
      </c>
      <c r="F846" s="2" t="s">
        <v>7891</v>
      </c>
      <c r="G846" s="2" t="s">
        <v>8335</v>
      </c>
      <c r="H846" s="2" t="s">
        <v>22</v>
      </c>
      <c r="I846" s="2" t="s">
        <v>8417</v>
      </c>
      <c r="J846" s="2" t="s">
        <v>24</v>
      </c>
      <c r="K846">
        <v>6579.3</v>
      </c>
      <c r="L846">
        <v>657930000</v>
      </c>
      <c r="M846" s="2" t="s">
        <v>7889</v>
      </c>
      <c r="N846" s="2" t="s">
        <v>7911</v>
      </c>
      <c r="O846" s="2" t="s">
        <v>9119</v>
      </c>
      <c r="P846" s="2" t="s">
        <v>7957</v>
      </c>
      <c r="Q846" s="2" t="s">
        <v>8967</v>
      </c>
      <c r="R846" s="2" t="s">
        <v>9120</v>
      </c>
    </row>
    <row r="847" spans="1:18">
      <c r="A847" s="1">
        <v>45748</v>
      </c>
      <c r="B847" s="1">
        <v>45748</v>
      </c>
      <c r="C847">
        <v>2025</v>
      </c>
      <c r="D847">
        <v>4</v>
      </c>
      <c r="E847" s="2" t="s">
        <v>8443</v>
      </c>
      <c r="F847" s="2" t="s">
        <v>8444</v>
      </c>
      <c r="G847" s="2" t="s">
        <v>8335</v>
      </c>
      <c r="H847" s="2" t="s">
        <v>22</v>
      </c>
      <c r="I847" s="2" t="s">
        <v>8387</v>
      </c>
      <c r="J847" s="2" t="s">
        <v>24</v>
      </c>
      <c r="K847">
        <v>2.19</v>
      </c>
      <c r="L847">
        <v>219000</v>
      </c>
      <c r="M847" s="2" t="s">
        <v>8392</v>
      </c>
      <c r="N847" s="2" t="s">
        <v>8396</v>
      </c>
      <c r="O847" s="2" t="s">
        <v>3049</v>
      </c>
      <c r="P847" s="2" t="s">
        <v>175</v>
      </c>
      <c r="Q847" s="2" t="s">
        <v>8445</v>
      </c>
      <c r="R847" s="2" t="s">
        <v>30</v>
      </c>
    </row>
    <row r="848" spans="1:18">
      <c r="A848" s="1">
        <v>45748</v>
      </c>
      <c r="B848" s="1">
        <v>45748</v>
      </c>
      <c r="C848">
        <v>2025</v>
      </c>
      <c r="D848">
        <v>4</v>
      </c>
      <c r="E848" s="2" t="s">
        <v>8446</v>
      </c>
      <c r="F848" s="2" t="s">
        <v>8447</v>
      </c>
      <c r="G848" s="2" t="s">
        <v>8335</v>
      </c>
      <c r="H848" s="2" t="s">
        <v>22</v>
      </c>
      <c r="I848" s="2" t="s">
        <v>8387</v>
      </c>
      <c r="J848" s="2" t="s">
        <v>59</v>
      </c>
      <c r="K848">
        <v>2.5499999999999998</v>
      </c>
      <c r="L848">
        <v>255000</v>
      </c>
      <c r="M848" s="2" t="s">
        <v>8384</v>
      </c>
      <c r="N848" s="2" t="s">
        <v>8389</v>
      </c>
      <c r="O848" s="2" t="s">
        <v>5898</v>
      </c>
      <c r="P848" s="2" t="s">
        <v>175</v>
      </c>
      <c r="Q848" s="2" t="s">
        <v>8445</v>
      </c>
      <c r="R848" s="2" t="s">
        <v>30</v>
      </c>
    </row>
    <row r="849" spans="1:18">
      <c r="A849" s="1">
        <v>45748</v>
      </c>
      <c r="B849" s="1">
        <v>45748</v>
      </c>
      <c r="C849">
        <v>2025</v>
      </c>
      <c r="D849">
        <v>4</v>
      </c>
      <c r="E849" s="2" t="s">
        <v>8448</v>
      </c>
      <c r="F849" s="2" t="s">
        <v>8449</v>
      </c>
      <c r="G849" s="2" t="s">
        <v>8335</v>
      </c>
      <c r="H849" s="2" t="s">
        <v>22</v>
      </c>
      <c r="I849" s="2" t="s">
        <v>8387</v>
      </c>
      <c r="J849" s="2" t="s">
        <v>24</v>
      </c>
      <c r="K849">
        <v>0.36</v>
      </c>
      <c r="L849">
        <v>36000</v>
      </c>
      <c r="M849" s="2" t="s">
        <v>8399</v>
      </c>
      <c r="N849" s="2" t="s">
        <v>8403</v>
      </c>
      <c r="O849" s="2" t="s">
        <v>3657</v>
      </c>
      <c r="P849" s="2" t="s">
        <v>175</v>
      </c>
      <c r="Q849" s="2" t="s">
        <v>8445</v>
      </c>
      <c r="R849" s="2" t="s">
        <v>30</v>
      </c>
    </row>
    <row r="850" spans="1:18">
      <c r="A850" s="1">
        <v>45748</v>
      </c>
      <c r="B850" s="1">
        <v>45748</v>
      </c>
      <c r="C850">
        <v>2025</v>
      </c>
      <c r="D850">
        <v>4</v>
      </c>
      <c r="E850" s="2" t="s">
        <v>8450</v>
      </c>
      <c r="F850" s="2" t="s">
        <v>8451</v>
      </c>
      <c r="G850" s="2" t="s">
        <v>8335</v>
      </c>
      <c r="H850" s="2" t="s">
        <v>22</v>
      </c>
      <c r="I850" s="2" t="s">
        <v>8417</v>
      </c>
      <c r="J850" s="2" t="s">
        <v>24</v>
      </c>
      <c r="K850">
        <v>66.64</v>
      </c>
      <c r="L850">
        <v>6664000</v>
      </c>
      <c r="M850" s="2" t="s">
        <v>8422</v>
      </c>
      <c r="N850" s="2" t="s">
        <v>8426</v>
      </c>
      <c r="O850" s="2" t="s">
        <v>9121</v>
      </c>
      <c r="P850" s="2" t="s">
        <v>175</v>
      </c>
      <c r="Q850" s="2" t="s">
        <v>8445</v>
      </c>
      <c r="R850" s="2" t="s">
        <v>30</v>
      </c>
    </row>
    <row r="851" spans="1:18">
      <c r="A851" s="1">
        <v>45748</v>
      </c>
      <c r="B851" s="1">
        <v>45748</v>
      </c>
      <c r="C851">
        <v>2025</v>
      </c>
      <c r="D851">
        <v>4</v>
      </c>
      <c r="E851" s="2" t="s">
        <v>8453</v>
      </c>
      <c r="F851" s="2" t="s">
        <v>8454</v>
      </c>
      <c r="G851" s="2" t="s">
        <v>8335</v>
      </c>
      <c r="H851" s="2" t="s">
        <v>22</v>
      </c>
      <c r="I851" s="2" t="s">
        <v>8336</v>
      </c>
      <c r="J851" s="2" t="s">
        <v>24</v>
      </c>
      <c r="K851">
        <v>1104.3699999999999</v>
      </c>
      <c r="L851">
        <v>110437000</v>
      </c>
      <c r="M851" s="2" t="s">
        <v>8348</v>
      </c>
      <c r="N851" s="2" t="s">
        <v>8352</v>
      </c>
      <c r="O851" s="2" t="s">
        <v>9122</v>
      </c>
      <c r="P851" s="2" t="s">
        <v>175</v>
      </c>
      <c r="Q851" s="2" t="s">
        <v>8445</v>
      </c>
      <c r="R851" s="2" t="s">
        <v>30</v>
      </c>
    </row>
    <row r="852" spans="1:18">
      <c r="A852" s="1">
        <v>45748</v>
      </c>
      <c r="B852" s="1">
        <v>45748</v>
      </c>
      <c r="C852">
        <v>2025</v>
      </c>
      <c r="D852">
        <v>4</v>
      </c>
      <c r="E852" s="2" t="s">
        <v>8456</v>
      </c>
      <c r="F852" s="2" t="s">
        <v>8457</v>
      </c>
      <c r="G852" s="2" t="s">
        <v>8335</v>
      </c>
      <c r="H852" s="2" t="s">
        <v>22</v>
      </c>
      <c r="I852" s="2" t="s">
        <v>8336</v>
      </c>
      <c r="J852" s="2" t="s">
        <v>24</v>
      </c>
      <c r="K852">
        <v>9959.84</v>
      </c>
      <c r="L852">
        <v>995984000</v>
      </c>
      <c r="M852" s="2" t="s">
        <v>8355</v>
      </c>
      <c r="N852" s="2" t="s">
        <v>8359</v>
      </c>
      <c r="O852" s="2" t="s">
        <v>9123</v>
      </c>
      <c r="P852" s="2" t="s">
        <v>175</v>
      </c>
      <c r="Q852" s="2" t="s">
        <v>8445</v>
      </c>
      <c r="R852" s="2" t="s">
        <v>30</v>
      </c>
    </row>
    <row r="853" spans="1:18">
      <c r="A853" s="1">
        <v>45748</v>
      </c>
      <c r="B853" s="1">
        <v>45748</v>
      </c>
      <c r="C853">
        <v>2025</v>
      </c>
      <c r="D853">
        <v>4</v>
      </c>
      <c r="E853" s="2" t="s">
        <v>8459</v>
      </c>
      <c r="F853" s="2" t="s">
        <v>8460</v>
      </c>
      <c r="G853" s="2" t="s">
        <v>8335</v>
      </c>
      <c r="H853" s="2" t="s">
        <v>22</v>
      </c>
      <c r="I853" s="2" t="s">
        <v>8336</v>
      </c>
      <c r="J853" s="2" t="s">
        <v>59</v>
      </c>
      <c r="K853">
        <v>11064.21</v>
      </c>
      <c r="L853">
        <v>1106421000</v>
      </c>
      <c r="M853" s="2" t="s">
        <v>8331</v>
      </c>
      <c r="N853" s="2" t="s">
        <v>8341</v>
      </c>
      <c r="O853" s="2" t="s">
        <v>9124</v>
      </c>
      <c r="P853" s="2" t="s">
        <v>175</v>
      </c>
      <c r="Q853" s="2" t="s">
        <v>8445</v>
      </c>
      <c r="R853" s="2" t="s">
        <v>30</v>
      </c>
    </row>
    <row r="854" spans="1:18">
      <c r="A854" s="1">
        <v>45748</v>
      </c>
      <c r="B854" s="1">
        <v>45748</v>
      </c>
      <c r="C854">
        <v>2025</v>
      </c>
      <c r="D854">
        <v>4</v>
      </c>
      <c r="E854" s="2" t="s">
        <v>8462</v>
      </c>
      <c r="F854" s="2" t="s">
        <v>8463</v>
      </c>
      <c r="G854" s="2" t="s">
        <v>8335</v>
      </c>
      <c r="H854" s="2" t="s">
        <v>22</v>
      </c>
      <c r="I854" s="2" t="s">
        <v>8409</v>
      </c>
      <c r="J854" s="2" t="s">
        <v>24</v>
      </c>
      <c r="K854">
        <v>14.74</v>
      </c>
      <c r="L854">
        <v>1474000</v>
      </c>
      <c r="M854" s="2" t="s">
        <v>8406</v>
      </c>
      <c r="N854" s="2" t="s">
        <v>8411</v>
      </c>
      <c r="O854" s="2" t="s">
        <v>9092</v>
      </c>
      <c r="P854" s="2" t="s">
        <v>175</v>
      </c>
      <c r="Q854" s="2" t="s">
        <v>8445</v>
      </c>
      <c r="R854" s="2" t="s">
        <v>30</v>
      </c>
    </row>
    <row r="855" spans="1:18">
      <c r="A855" s="1">
        <v>45748</v>
      </c>
      <c r="B855" s="1">
        <v>45748</v>
      </c>
      <c r="C855">
        <v>2025</v>
      </c>
      <c r="D855">
        <v>4</v>
      </c>
      <c r="E855" s="2" t="s">
        <v>8464</v>
      </c>
      <c r="F855" s="2" t="s">
        <v>8465</v>
      </c>
      <c r="G855" s="2" t="s">
        <v>8335</v>
      </c>
      <c r="H855" s="2" t="s">
        <v>22</v>
      </c>
      <c r="I855" s="2" t="s">
        <v>8417</v>
      </c>
      <c r="J855" s="2" t="s">
        <v>24</v>
      </c>
      <c r="K855">
        <v>112.83</v>
      </c>
      <c r="L855">
        <v>11283000</v>
      </c>
      <c r="M855" s="2" t="s">
        <v>8414</v>
      </c>
      <c r="N855" s="2" t="s">
        <v>8419</v>
      </c>
      <c r="O855" s="2" t="s">
        <v>9125</v>
      </c>
      <c r="P855" s="2" t="s">
        <v>175</v>
      </c>
      <c r="Q855" s="2" t="s">
        <v>8445</v>
      </c>
      <c r="R855" s="2" t="s">
        <v>30</v>
      </c>
    </row>
    <row r="856" spans="1:18">
      <c r="A856" s="1">
        <v>45748</v>
      </c>
      <c r="B856" s="1">
        <v>45748</v>
      </c>
      <c r="C856">
        <v>2025</v>
      </c>
      <c r="D856">
        <v>4</v>
      </c>
      <c r="E856" s="2" t="s">
        <v>8467</v>
      </c>
      <c r="F856" s="2" t="s">
        <v>8468</v>
      </c>
      <c r="G856" s="2" t="s">
        <v>8335</v>
      </c>
      <c r="H856" s="2" t="s">
        <v>22</v>
      </c>
      <c r="I856" s="2" t="s">
        <v>8365</v>
      </c>
      <c r="J856" s="2" t="s">
        <v>24</v>
      </c>
      <c r="K856">
        <v>4725.51</v>
      </c>
      <c r="L856">
        <v>472551000</v>
      </c>
      <c r="M856" s="2" t="s">
        <v>8377</v>
      </c>
      <c r="N856" s="2" t="s">
        <v>8381</v>
      </c>
      <c r="O856" s="2" t="s">
        <v>9126</v>
      </c>
      <c r="P856" s="2" t="s">
        <v>175</v>
      </c>
      <c r="Q856" s="2" t="s">
        <v>8445</v>
      </c>
      <c r="R856" s="2" t="s">
        <v>30</v>
      </c>
    </row>
    <row r="857" spans="1:18">
      <c r="A857" s="1">
        <v>45748</v>
      </c>
      <c r="B857" s="1">
        <v>45748</v>
      </c>
      <c r="C857">
        <v>2025</v>
      </c>
      <c r="D857">
        <v>4</v>
      </c>
      <c r="E857" s="2" t="s">
        <v>8470</v>
      </c>
      <c r="F857" s="2" t="s">
        <v>8471</v>
      </c>
      <c r="G857" s="2" t="s">
        <v>8335</v>
      </c>
      <c r="H857" s="2" t="s">
        <v>22</v>
      </c>
      <c r="I857" s="2" t="s">
        <v>8365</v>
      </c>
      <c r="J857" s="2" t="s">
        <v>59</v>
      </c>
      <c r="K857">
        <v>13449.86</v>
      </c>
      <c r="L857">
        <v>1344986000</v>
      </c>
      <c r="M857" s="2" t="s">
        <v>8362</v>
      </c>
      <c r="N857" s="2" t="s">
        <v>8367</v>
      </c>
      <c r="O857" s="2" t="s">
        <v>9127</v>
      </c>
      <c r="P857" s="2" t="s">
        <v>175</v>
      </c>
      <c r="Q857" s="2" t="s">
        <v>8445</v>
      </c>
      <c r="R857" s="2" t="s">
        <v>30</v>
      </c>
    </row>
    <row r="858" spans="1:18">
      <c r="A858" s="1">
        <v>45748</v>
      </c>
      <c r="B858" s="1">
        <v>45748</v>
      </c>
      <c r="C858">
        <v>2025</v>
      </c>
      <c r="D858">
        <v>4</v>
      </c>
      <c r="E858" s="2" t="s">
        <v>8473</v>
      </c>
      <c r="F858" s="2" t="s">
        <v>8474</v>
      </c>
      <c r="G858" s="2" t="s">
        <v>8335</v>
      </c>
      <c r="H858" s="2" t="s">
        <v>22</v>
      </c>
      <c r="I858" s="2" t="s">
        <v>8365</v>
      </c>
      <c r="J858" s="2" t="s">
        <v>24</v>
      </c>
      <c r="K858">
        <v>8724.36</v>
      </c>
      <c r="L858">
        <v>872436000</v>
      </c>
      <c r="M858" s="2" t="s">
        <v>8370</v>
      </c>
      <c r="N858" s="2" t="s">
        <v>8374</v>
      </c>
      <c r="O858" s="2" t="s">
        <v>9128</v>
      </c>
      <c r="P858" s="2" t="s">
        <v>175</v>
      </c>
      <c r="Q858" s="2" t="s">
        <v>8445</v>
      </c>
      <c r="R858" s="2" t="s">
        <v>30</v>
      </c>
    </row>
    <row r="859" spans="1:18">
      <c r="A859" s="1">
        <v>45748</v>
      </c>
      <c r="B859" s="1">
        <v>45748</v>
      </c>
      <c r="C859">
        <v>2025</v>
      </c>
      <c r="D859">
        <v>4</v>
      </c>
      <c r="E859" s="2" t="s">
        <v>7890</v>
      </c>
      <c r="F859" s="2" t="s">
        <v>7891</v>
      </c>
      <c r="G859" s="2" t="s">
        <v>8335</v>
      </c>
      <c r="H859" s="2" t="s">
        <v>22</v>
      </c>
      <c r="I859" s="2" t="s">
        <v>8417</v>
      </c>
      <c r="J859" s="2" t="s">
        <v>24</v>
      </c>
      <c r="K859">
        <v>6623.85</v>
      </c>
      <c r="L859">
        <v>662385000</v>
      </c>
      <c r="M859" s="2" t="s">
        <v>7889</v>
      </c>
      <c r="N859" s="2" t="s">
        <v>7911</v>
      </c>
      <c r="O859" s="2" t="s">
        <v>9129</v>
      </c>
      <c r="P859" s="2" t="s">
        <v>7960</v>
      </c>
      <c r="Q859" s="2" t="s">
        <v>8967</v>
      </c>
      <c r="R859" s="2" t="s">
        <v>9130</v>
      </c>
    </row>
    <row r="860" spans="1:18">
      <c r="A860" s="1">
        <v>45778</v>
      </c>
      <c r="B860" s="1">
        <v>45778</v>
      </c>
      <c r="C860">
        <v>2025</v>
      </c>
      <c r="D860">
        <v>5</v>
      </c>
      <c r="E860" s="2" t="s">
        <v>8443</v>
      </c>
      <c r="F860" s="2" t="s">
        <v>8444</v>
      </c>
      <c r="G860" s="2" t="s">
        <v>8335</v>
      </c>
      <c r="H860" s="2" t="s">
        <v>22</v>
      </c>
      <c r="I860" s="2" t="s">
        <v>8387</v>
      </c>
      <c r="J860" s="2" t="s">
        <v>24</v>
      </c>
      <c r="K860">
        <v>2.21</v>
      </c>
      <c r="L860">
        <v>221000</v>
      </c>
      <c r="M860" s="2" t="s">
        <v>8392</v>
      </c>
      <c r="N860" s="2" t="s">
        <v>8396</v>
      </c>
      <c r="O860" s="2" t="s">
        <v>3142</v>
      </c>
      <c r="P860" s="2" t="s">
        <v>175</v>
      </c>
      <c r="Q860" s="2" t="s">
        <v>8445</v>
      </c>
      <c r="R860" s="2" t="s">
        <v>30</v>
      </c>
    </row>
    <row r="861" spans="1:18">
      <c r="A861" s="1">
        <v>45778</v>
      </c>
      <c r="B861" s="1">
        <v>45778</v>
      </c>
      <c r="C861">
        <v>2025</v>
      </c>
      <c r="D861">
        <v>5</v>
      </c>
      <c r="E861" s="2" t="s">
        <v>8446</v>
      </c>
      <c r="F861" s="2" t="s">
        <v>8447</v>
      </c>
      <c r="G861" s="2" t="s">
        <v>8335</v>
      </c>
      <c r="H861" s="2" t="s">
        <v>22</v>
      </c>
      <c r="I861" s="2" t="s">
        <v>8387</v>
      </c>
      <c r="J861" s="2" t="s">
        <v>59</v>
      </c>
      <c r="K861">
        <v>2.57</v>
      </c>
      <c r="L861">
        <v>257000</v>
      </c>
      <c r="M861" s="2" t="s">
        <v>8384</v>
      </c>
      <c r="N861" s="2" t="s">
        <v>8389</v>
      </c>
      <c r="O861" s="2" t="s">
        <v>8826</v>
      </c>
      <c r="P861" s="2" t="s">
        <v>175</v>
      </c>
      <c r="Q861" s="2" t="s">
        <v>8445</v>
      </c>
      <c r="R861" s="2" t="s">
        <v>30</v>
      </c>
    </row>
    <row r="862" spans="1:18">
      <c r="A862" s="1">
        <v>45778</v>
      </c>
      <c r="B862" s="1">
        <v>45778</v>
      </c>
      <c r="C862">
        <v>2025</v>
      </c>
      <c r="D862">
        <v>5</v>
      </c>
      <c r="E862" s="2" t="s">
        <v>8448</v>
      </c>
      <c r="F862" s="2" t="s">
        <v>8449</v>
      </c>
      <c r="G862" s="2" t="s">
        <v>8335</v>
      </c>
      <c r="H862" s="2" t="s">
        <v>22</v>
      </c>
      <c r="I862" s="2" t="s">
        <v>8387</v>
      </c>
      <c r="J862" s="2" t="s">
        <v>24</v>
      </c>
      <c r="K862">
        <v>0.36</v>
      </c>
      <c r="L862">
        <v>36000</v>
      </c>
      <c r="M862" s="2" t="s">
        <v>8399</v>
      </c>
      <c r="N862" s="2" t="s">
        <v>8403</v>
      </c>
      <c r="O862" s="2" t="s">
        <v>3657</v>
      </c>
      <c r="P862" s="2" t="s">
        <v>175</v>
      </c>
      <c r="Q862" s="2" t="s">
        <v>8445</v>
      </c>
      <c r="R862" s="2" t="s">
        <v>30</v>
      </c>
    </row>
    <row r="863" spans="1:18">
      <c r="A863" s="1">
        <v>45778</v>
      </c>
      <c r="B863" s="1">
        <v>45778</v>
      </c>
      <c r="C863">
        <v>2025</v>
      </c>
      <c r="D863">
        <v>5</v>
      </c>
      <c r="E863" s="2" t="s">
        <v>8450</v>
      </c>
      <c r="F863" s="2" t="s">
        <v>8451</v>
      </c>
      <c r="G863" s="2" t="s">
        <v>8335</v>
      </c>
      <c r="H863" s="2" t="s">
        <v>22</v>
      </c>
      <c r="I863" s="2" t="s">
        <v>8417</v>
      </c>
      <c r="J863" s="2" t="s">
        <v>24</v>
      </c>
      <c r="K863">
        <v>66.42</v>
      </c>
      <c r="L863">
        <v>6642000</v>
      </c>
      <c r="M863" s="2" t="s">
        <v>8422</v>
      </c>
      <c r="N863" s="2" t="s">
        <v>8426</v>
      </c>
      <c r="O863" s="2" t="s">
        <v>9131</v>
      </c>
      <c r="P863" s="2" t="s">
        <v>175</v>
      </c>
      <c r="Q863" s="2" t="s">
        <v>8445</v>
      </c>
      <c r="R863" s="2" t="s">
        <v>30</v>
      </c>
    </row>
    <row r="864" spans="1:18">
      <c r="A864" s="1">
        <v>45778</v>
      </c>
      <c r="B864" s="1">
        <v>45778</v>
      </c>
      <c r="C864">
        <v>2025</v>
      </c>
      <c r="D864">
        <v>5</v>
      </c>
      <c r="E864" s="2" t="s">
        <v>8453</v>
      </c>
      <c r="F864" s="2" t="s">
        <v>8454</v>
      </c>
      <c r="G864" s="2" t="s">
        <v>8335</v>
      </c>
      <c r="H864" s="2" t="s">
        <v>22</v>
      </c>
      <c r="I864" s="2" t="s">
        <v>8336</v>
      </c>
      <c r="J864" s="2" t="s">
        <v>24</v>
      </c>
      <c r="K864">
        <v>1110.5</v>
      </c>
      <c r="L864">
        <v>111050000</v>
      </c>
      <c r="M864" s="2" t="s">
        <v>8348</v>
      </c>
      <c r="N864" s="2" t="s">
        <v>8352</v>
      </c>
      <c r="O864" s="2" t="s">
        <v>9132</v>
      </c>
      <c r="P864" s="2" t="s">
        <v>175</v>
      </c>
      <c r="Q864" s="2" t="s">
        <v>8445</v>
      </c>
      <c r="R864" s="2" t="s">
        <v>30</v>
      </c>
    </row>
    <row r="865" spans="1:18">
      <c r="A865" s="1">
        <v>45778</v>
      </c>
      <c r="B865" s="1">
        <v>45778</v>
      </c>
      <c r="C865">
        <v>2025</v>
      </c>
      <c r="D865">
        <v>5</v>
      </c>
      <c r="E865" s="2" t="s">
        <v>8456</v>
      </c>
      <c r="F865" s="2" t="s">
        <v>8457</v>
      </c>
      <c r="G865" s="2" t="s">
        <v>8335</v>
      </c>
      <c r="H865" s="2" t="s">
        <v>22</v>
      </c>
      <c r="I865" s="2" t="s">
        <v>8336</v>
      </c>
      <c r="J865" s="2" t="s">
        <v>24</v>
      </c>
      <c r="K865">
        <v>10003.700000000001</v>
      </c>
      <c r="L865">
        <v>1000370000</v>
      </c>
      <c r="M865" s="2" t="s">
        <v>8355</v>
      </c>
      <c r="N865" s="2" t="s">
        <v>8359</v>
      </c>
      <c r="O865" s="2" t="s">
        <v>9133</v>
      </c>
      <c r="P865" s="2" t="s">
        <v>175</v>
      </c>
      <c r="Q865" s="2" t="s">
        <v>8445</v>
      </c>
      <c r="R865" s="2" t="s">
        <v>30</v>
      </c>
    </row>
    <row r="866" spans="1:18">
      <c r="A866" s="1">
        <v>45778</v>
      </c>
      <c r="B866" s="1">
        <v>45778</v>
      </c>
      <c r="C866">
        <v>2025</v>
      </c>
      <c r="D866">
        <v>5</v>
      </c>
      <c r="E866" s="2" t="s">
        <v>8459</v>
      </c>
      <c r="F866" s="2" t="s">
        <v>8460</v>
      </c>
      <c r="G866" s="2" t="s">
        <v>8335</v>
      </c>
      <c r="H866" s="2" t="s">
        <v>22</v>
      </c>
      <c r="I866" s="2" t="s">
        <v>8336</v>
      </c>
      <c r="J866" s="2" t="s">
        <v>59</v>
      </c>
      <c r="K866">
        <v>11114.19</v>
      </c>
      <c r="L866">
        <v>1111419000</v>
      </c>
      <c r="M866" s="2" t="s">
        <v>8331</v>
      </c>
      <c r="N866" s="2" t="s">
        <v>8341</v>
      </c>
      <c r="O866" s="2" t="s">
        <v>9134</v>
      </c>
      <c r="P866" s="2" t="s">
        <v>175</v>
      </c>
      <c r="Q866" s="2" t="s">
        <v>8445</v>
      </c>
      <c r="R866" s="2" t="s">
        <v>30</v>
      </c>
    </row>
    <row r="867" spans="1:18">
      <c r="A867" s="1">
        <v>45778</v>
      </c>
      <c r="B867" s="1">
        <v>45778</v>
      </c>
      <c r="C867">
        <v>2025</v>
      </c>
      <c r="D867">
        <v>5</v>
      </c>
      <c r="E867" s="2" t="s">
        <v>8462</v>
      </c>
      <c r="F867" s="2" t="s">
        <v>8463</v>
      </c>
      <c r="G867" s="2" t="s">
        <v>8335</v>
      </c>
      <c r="H867" s="2" t="s">
        <v>22</v>
      </c>
      <c r="I867" s="2" t="s">
        <v>8409</v>
      </c>
      <c r="J867" s="2" t="s">
        <v>24</v>
      </c>
      <c r="K867">
        <v>14.78</v>
      </c>
      <c r="L867">
        <v>1478000</v>
      </c>
      <c r="M867" s="2" t="s">
        <v>8406</v>
      </c>
      <c r="N867" s="2" t="s">
        <v>8411</v>
      </c>
      <c r="O867" s="2" t="s">
        <v>9027</v>
      </c>
      <c r="P867" s="2" t="s">
        <v>175</v>
      </c>
      <c r="Q867" s="2" t="s">
        <v>8445</v>
      </c>
      <c r="R867" s="2" t="s">
        <v>30</v>
      </c>
    </row>
    <row r="868" spans="1:18">
      <c r="A868" s="1">
        <v>45778</v>
      </c>
      <c r="B868" s="1">
        <v>45778</v>
      </c>
      <c r="C868">
        <v>2025</v>
      </c>
      <c r="D868">
        <v>5</v>
      </c>
      <c r="E868" s="2" t="s">
        <v>8464</v>
      </c>
      <c r="F868" s="2" t="s">
        <v>8465</v>
      </c>
      <c r="G868" s="2" t="s">
        <v>8335</v>
      </c>
      <c r="H868" s="2" t="s">
        <v>22</v>
      </c>
      <c r="I868" s="2" t="s">
        <v>8417</v>
      </c>
      <c r="J868" s="2" t="s">
        <v>24</v>
      </c>
      <c r="K868">
        <v>115.81</v>
      </c>
      <c r="L868">
        <v>11581000</v>
      </c>
      <c r="M868" s="2" t="s">
        <v>8414</v>
      </c>
      <c r="N868" s="2" t="s">
        <v>8419</v>
      </c>
      <c r="O868" s="2" t="s">
        <v>9135</v>
      </c>
      <c r="P868" s="2" t="s">
        <v>175</v>
      </c>
      <c r="Q868" s="2" t="s">
        <v>8445</v>
      </c>
      <c r="R868" s="2" t="s">
        <v>30</v>
      </c>
    </row>
    <row r="869" spans="1:18">
      <c r="A869" s="1">
        <v>45778</v>
      </c>
      <c r="B869" s="1">
        <v>45778</v>
      </c>
      <c r="C869">
        <v>2025</v>
      </c>
      <c r="D869">
        <v>5</v>
      </c>
      <c r="E869" s="2" t="s">
        <v>8467</v>
      </c>
      <c r="F869" s="2" t="s">
        <v>8468</v>
      </c>
      <c r="G869" s="2" t="s">
        <v>8335</v>
      </c>
      <c r="H869" s="2" t="s">
        <v>22</v>
      </c>
      <c r="I869" s="2" t="s">
        <v>8365</v>
      </c>
      <c r="J869" s="2" t="s">
        <v>24</v>
      </c>
      <c r="K869">
        <v>4821.38</v>
      </c>
      <c r="L869">
        <v>482138000</v>
      </c>
      <c r="M869" s="2" t="s">
        <v>8377</v>
      </c>
      <c r="N869" s="2" t="s">
        <v>8381</v>
      </c>
      <c r="O869" s="2" t="s">
        <v>9136</v>
      </c>
      <c r="P869" s="2" t="s">
        <v>175</v>
      </c>
      <c r="Q869" s="2" t="s">
        <v>8445</v>
      </c>
      <c r="R869" s="2" t="s">
        <v>30</v>
      </c>
    </row>
    <row r="870" spans="1:18">
      <c r="A870" s="1">
        <v>45778</v>
      </c>
      <c r="B870" s="1">
        <v>45778</v>
      </c>
      <c r="C870">
        <v>2025</v>
      </c>
      <c r="D870">
        <v>5</v>
      </c>
      <c r="E870" s="2" t="s">
        <v>8470</v>
      </c>
      <c r="F870" s="2" t="s">
        <v>8471</v>
      </c>
      <c r="G870" s="2" t="s">
        <v>8335</v>
      </c>
      <c r="H870" s="2" t="s">
        <v>22</v>
      </c>
      <c r="I870" s="2" t="s">
        <v>8365</v>
      </c>
      <c r="J870" s="2" t="s">
        <v>59</v>
      </c>
      <c r="K870">
        <v>13518.33</v>
      </c>
      <c r="L870">
        <v>1351833000</v>
      </c>
      <c r="M870" s="2" t="s">
        <v>8362</v>
      </c>
      <c r="N870" s="2" t="s">
        <v>8367</v>
      </c>
      <c r="O870" s="2" t="s">
        <v>9137</v>
      </c>
      <c r="P870" s="2" t="s">
        <v>175</v>
      </c>
      <c r="Q870" s="2" t="s">
        <v>8445</v>
      </c>
      <c r="R870" s="2" t="s">
        <v>30</v>
      </c>
    </row>
    <row r="871" spans="1:18">
      <c r="A871" s="1">
        <v>45778</v>
      </c>
      <c r="B871" s="1">
        <v>45778</v>
      </c>
      <c r="C871">
        <v>2025</v>
      </c>
      <c r="D871">
        <v>5</v>
      </c>
      <c r="E871" s="2" t="s">
        <v>8473</v>
      </c>
      <c r="F871" s="2" t="s">
        <v>8474</v>
      </c>
      <c r="G871" s="2" t="s">
        <v>8335</v>
      </c>
      <c r="H871" s="2" t="s">
        <v>22</v>
      </c>
      <c r="I871" s="2" t="s">
        <v>8365</v>
      </c>
      <c r="J871" s="2" t="s">
        <v>24</v>
      </c>
      <c r="K871">
        <v>8696.94</v>
      </c>
      <c r="L871">
        <v>869694000</v>
      </c>
      <c r="M871" s="2" t="s">
        <v>8370</v>
      </c>
      <c r="N871" s="2" t="s">
        <v>8374</v>
      </c>
      <c r="O871" s="2" t="s">
        <v>9138</v>
      </c>
      <c r="P871" s="2" t="s">
        <v>175</v>
      </c>
      <c r="Q871" s="2" t="s">
        <v>8445</v>
      </c>
      <c r="R871" s="2" t="s">
        <v>30</v>
      </c>
    </row>
    <row r="872" spans="1:18">
      <c r="A872" s="1">
        <v>45778</v>
      </c>
      <c r="B872" s="1">
        <v>45778</v>
      </c>
      <c r="C872">
        <v>2025</v>
      </c>
      <c r="D872">
        <v>5</v>
      </c>
      <c r="E872" s="2" t="s">
        <v>7890</v>
      </c>
      <c r="F872" s="2" t="s">
        <v>7891</v>
      </c>
      <c r="G872" s="2" t="s">
        <v>8335</v>
      </c>
      <c r="H872" s="2" t="s">
        <v>22</v>
      </c>
      <c r="I872" s="2" t="s">
        <v>8417</v>
      </c>
      <c r="J872" s="2" t="s">
        <v>24</v>
      </c>
      <c r="K872">
        <v>6697.3</v>
      </c>
      <c r="L872">
        <v>669730000</v>
      </c>
      <c r="M872" s="2" t="s">
        <v>7889</v>
      </c>
      <c r="N872" s="2" t="s">
        <v>7911</v>
      </c>
      <c r="O872" s="2" t="s">
        <v>9139</v>
      </c>
      <c r="P872" s="2" t="s">
        <v>7963</v>
      </c>
      <c r="Q872" s="2" t="s">
        <v>8967</v>
      </c>
      <c r="R872" s="2" t="s">
        <v>9140</v>
      </c>
    </row>
    <row r="873" spans="1:18">
      <c r="A873" s="1">
        <v>45809</v>
      </c>
      <c r="B873" s="1">
        <v>45809</v>
      </c>
      <c r="C873">
        <v>2025</v>
      </c>
      <c r="D873">
        <v>6</v>
      </c>
      <c r="E873" s="2" t="s">
        <v>8443</v>
      </c>
      <c r="F873" s="2" t="s">
        <v>8444</v>
      </c>
      <c r="G873" s="2" t="s">
        <v>8335</v>
      </c>
      <c r="H873" s="2" t="s">
        <v>22</v>
      </c>
      <c r="I873" s="2" t="s">
        <v>8387</v>
      </c>
      <c r="J873" s="2" t="s">
        <v>24</v>
      </c>
      <c r="K873">
        <v>2.15</v>
      </c>
      <c r="L873">
        <v>215000</v>
      </c>
      <c r="M873" s="2" t="s">
        <v>8392</v>
      </c>
      <c r="N873" s="2" t="s">
        <v>8396</v>
      </c>
      <c r="O873" s="2" t="s">
        <v>3047</v>
      </c>
      <c r="P873" s="2" t="s">
        <v>175</v>
      </c>
      <c r="Q873" s="2" t="s">
        <v>8445</v>
      </c>
      <c r="R873" s="2" t="s">
        <v>30</v>
      </c>
    </row>
    <row r="874" spans="1:18">
      <c r="A874" s="1">
        <v>45809</v>
      </c>
      <c r="B874" s="1">
        <v>45809</v>
      </c>
      <c r="C874">
        <v>2025</v>
      </c>
      <c r="D874">
        <v>6</v>
      </c>
      <c r="E874" s="2" t="s">
        <v>8446</v>
      </c>
      <c r="F874" s="2" t="s">
        <v>8447</v>
      </c>
      <c r="G874" s="2" t="s">
        <v>8335</v>
      </c>
      <c r="H874" s="2" t="s">
        <v>22</v>
      </c>
      <c r="I874" s="2" t="s">
        <v>8387</v>
      </c>
      <c r="J874" s="2" t="s">
        <v>59</v>
      </c>
      <c r="K874">
        <v>2.5099999999999998</v>
      </c>
      <c r="L874">
        <v>251000</v>
      </c>
      <c r="M874" s="2" t="s">
        <v>8384</v>
      </c>
      <c r="N874" s="2" t="s">
        <v>8389</v>
      </c>
      <c r="O874" s="2" t="s">
        <v>1090</v>
      </c>
      <c r="P874" s="2" t="s">
        <v>175</v>
      </c>
      <c r="Q874" s="2" t="s">
        <v>8445</v>
      </c>
      <c r="R874" s="2" t="s">
        <v>30</v>
      </c>
    </row>
    <row r="875" spans="1:18">
      <c r="A875" s="1">
        <v>45809</v>
      </c>
      <c r="B875" s="1">
        <v>45809</v>
      </c>
      <c r="C875">
        <v>2025</v>
      </c>
      <c r="D875">
        <v>6</v>
      </c>
      <c r="E875" s="2" t="s">
        <v>8448</v>
      </c>
      <c r="F875" s="2" t="s">
        <v>8449</v>
      </c>
      <c r="G875" s="2" t="s">
        <v>8335</v>
      </c>
      <c r="H875" s="2" t="s">
        <v>22</v>
      </c>
      <c r="I875" s="2" t="s">
        <v>8387</v>
      </c>
      <c r="J875" s="2" t="s">
        <v>24</v>
      </c>
      <c r="K875">
        <v>0.36</v>
      </c>
      <c r="L875">
        <v>36000</v>
      </c>
      <c r="M875" s="2" t="s">
        <v>8399</v>
      </c>
      <c r="N875" s="2" t="s">
        <v>8403</v>
      </c>
      <c r="O875" s="2" t="s">
        <v>3657</v>
      </c>
      <c r="P875" s="2" t="s">
        <v>175</v>
      </c>
      <c r="Q875" s="2" t="s">
        <v>8445</v>
      </c>
      <c r="R875" s="2" t="s">
        <v>30</v>
      </c>
    </row>
    <row r="876" spans="1:18">
      <c r="A876" s="1">
        <v>45809</v>
      </c>
      <c r="B876" s="1">
        <v>45809</v>
      </c>
      <c r="C876">
        <v>2025</v>
      </c>
      <c r="D876">
        <v>6</v>
      </c>
      <c r="E876" s="2" t="s">
        <v>8450</v>
      </c>
      <c r="F876" s="2" t="s">
        <v>8451</v>
      </c>
      <c r="G876" s="2" t="s">
        <v>8335</v>
      </c>
      <c r="H876" s="2" t="s">
        <v>22</v>
      </c>
      <c r="I876" s="2" t="s">
        <v>8417</v>
      </c>
      <c r="J876" s="2" t="s">
        <v>24</v>
      </c>
      <c r="K876">
        <v>66.989999999999995</v>
      </c>
      <c r="L876">
        <v>6699000</v>
      </c>
      <c r="M876" s="2" t="s">
        <v>8422</v>
      </c>
      <c r="N876" s="2" t="s">
        <v>8426</v>
      </c>
      <c r="O876" s="2" t="s">
        <v>9141</v>
      </c>
      <c r="P876" s="2" t="s">
        <v>175</v>
      </c>
      <c r="Q876" s="2" t="s">
        <v>8445</v>
      </c>
      <c r="R876" s="2" t="s">
        <v>30</v>
      </c>
    </row>
    <row r="877" spans="1:18">
      <c r="A877" s="1">
        <v>45809</v>
      </c>
      <c r="B877" s="1">
        <v>45809</v>
      </c>
      <c r="C877">
        <v>2025</v>
      </c>
      <c r="D877">
        <v>6</v>
      </c>
      <c r="E877" s="2" t="s">
        <v>8453</v>
      </c>
      <c r="F877" s="2" t="s">
        <v>8454</v>
      </c>
      <c r="G877" s="2" t="s">
        <v>8335</v>
      </c>
      <c r="H877" s="2" t="s">
        <v>22</v>
      </c>
      <c r="I877" s="2" t="s">
        <v>8336</v>
      </c>
      <c r="J877" s="2" t="s">
        <v>24</v>
      </c>
      <c r="K877">
        <v>1109.69</v>
      </c>
      <c r="L877">
        <v>110969000</v>
      </c>
      <c r="M877" s="2" t="s">
        <v>8348</v>
      </c>
      <c r="N877" s="2" t="s">
        <v>8352</v>
      </c>
      <c r="O877" s="2" t="s">
        <v>9142</v>
      </c>
      <c r="P877" s="2" t="s">
        <v>175</v>
      </c>
      <c r="Q877" s="2" t="s">
        <v>8445</v>
      </c>
      <c r="R877" s="2" t="s">
        <v>30</v>
      </c>
    </row>
    <row r="878" spans="1:18">
      <c r="A878" s="1">
        <v>45809</v>
      </c>
      <c r="B878" s="1">
        <v>45809</v>
      </c>
      <c r="C878">
        <v>2025</v>
      </c>
      <c r="D878">
        <v>6</v>
      </c>
      <c r="E878" s="2" t="s">
        <v>8456</v>
      </c>
      <c r="F878" s="2" t="s">
        <v>8457</v>
      </c>
      <c r="G878" s="2" t="s">
        <v>8335</v>
      </c>
      <c r="H878" s="2" t="s">
        <v>22</v>
      </c>
      <c r="I878" s="2" t="s">
        <v>8336</v>
      </c>
      <c r="J878" s="2" t="s">
        <v>24</v>
      </c>
      <c r="K878">
        <v>10051.799999999999</v>
      </c>
      <c r="L878">
        <v>1005180000</v>
      </c>
      <c r="M878" s="2" t="s">
        <v>8355</v>
      </c>
      <c r="N878" s="2" t="s">
        <v>8359</v>
      </c>
      <c r="O878" s="2" t="s">
        <v>9143</v>
      </c>
      <c r="P878" s="2" t="s">
        <v>175</v>
      </c>
      <c r="Q878" s="2" t="s">
        <v>8445</v>
      </c>
      <c r="R878" s="2" t="s">
        <v>30</v>
      </c>
    </row>
    <row r="879" spans="1:18">
      <c r="A879" s="1">
        <v>45809</v>
      </c>
      <c r="B879" s="1">
        <v>45809</v>
      </c>
      <c r="C879">
        <v>2025</v>
      </c>
      <c r="D879">
        <v>6</v>
      </c>
      <c r="E879" s="2" t="s">
        <v>8459</v>
      </c>
      <c r="F879" s="2" t="s">
        <v>8460</v>
      </c>
      <c r="G879" s="2" t="s">
        <v>8335</v>
      </c>
      <c r="H879" s="2" t="s">
        <v>22</v>
      </c>
      <c r="I879" s="2" t="s">
        <v>8336</v>
      </c>
      <c r="J879" s="2" t="s">
        <v>59</v>
      </c>
      <c r="K879">
        <v>11161.5</v>
      </c>
      <c r="L879">
        <v>1116150000</v>
      </c>
      <c r="M879" s="2" t="s">
        <v>8331</v>
      </c>
      <c r="N879" s="2" t="s">
        <v>8341</v>
      </c>
      <c r="O879" s="2" t="s">
        <v>9144</v>
      </c>
      <c r="P879" s="2" t="s">
        <v>175</v>
      </c>
      <c r="Q879" s="2" t="s">
        <v>8445</v>
      </c>
      <c r="R879" s="2" t="s">
        <v>30</v>
      </c>
    </row>
    <row r="880" spans="1:18">
      <c r="A880" s="1">
        <v>45809</v>
      </c>
      <c r="B880" s="1">
        <v>45809</v>
      </c>
      <c r="C880">
        <v>2025</v>
      </c>
      <c r="D880">
        <v>6</v>
      </c>
      <c r="E880" s="2" t="s">
        <v>8462</v>
      </c>
      <c r="F880" s="2" t="s">
        <v>8463</v>
      </c>
      <c r="G880" s="2" t="s">
        <v>8335</v>
      </c>
      <c r="H880" s="2" t="s">
        <v>22</v>
      </c>
      <c r="I880" s="2" t="s">
        <v>8409</v>
      </c>
      <c r="J880" s="2" t="s">
        <v>24</v>
      </c>
      <c r="K880">
        <v>14.59</v>
      </c>
      <c r="L880">
        <v>1459000</v>
      </c>
      <c r="M880" s="2" t="s">
        <v>8406</v>
      </c>
      <c r="N880" s="2" t="s">
        <v>8411</v>
      </c>
      <c r="O880" s="2" t="s">
        <v>9145</v>
      </c>
      <c r="P880" s="2" t="s">
        <v>175</v>
      </c>
      <c r="Q880" s="2" t="s">
        <v>8445</v>
      </c>
      <c r="R880" s="2" t="s">
        <v>30</v>
      </c>
    </row>
    <row r="881" spans="1:18">
      <c r="A881" s="1">
        <v>45809</v>
      </c>
      <c r="B881" s="1">
        <v>45809</v>
      </c>
      <c r="C881">
        <v>2025</v>
      </c>
      <c r="D881">
        <v>6</v>
      </c>
      <c r="E881" s="2" t="s">
        <v>8464</v>
      </c>
      <c r="F881" s="2" t="s">
        <v>8465</v>
      </c>
      <c r="G881" s="2" t="s">
        <v>8335</v>
      </c>
      <c r="H881" s="2" t="s">
        <v>22</v>
      </c>
      <c r="I881" s="2" t="s">
        <v>8417</v>
      </c>
      <c r="J881" s="2" t="s">
        <v>24</v>
      </c>
      <c r="K881">
        <v>117.83</v>
      </c>
      <c r="L881">
        <v>11783000</v>
      </c>
      <c r="M881" s="2" t="s">
        <v>8414</v>
      </c>
      <c r="N881" s="2" t="s">
        <v>8419</v>
      </c>
      <c r="O881" s="2" t="s">
        <v>9146</v>
      </c>
      <c r="P881" s="2" t="s">
        <v>175</v>
      </c>
      <c r="Q881" s="2" t="s">
        <v>8445</v>
      </c>
      <c r="R881" s="2" t="s">
        <v>30</v>
      </c>
    </row>
    <row r="882" spans="1:18">
      <c r="A882" s="1">
        <v>45809</v>
      </c>
      <c r="B882" s="1">
        <v>45809</v>
      </c>
      <c r="C882">
        <v>2025</v>
      </c>
      <c r="D882">
        <v>6</v>
      </c>
      <c r="E882" s="2" t="s">
        <v>8467</v>
      </c>
      <c r="F882" s="2" t="s">
        <v>8468</v>
      </c>
      <c r="G882" s="2" t="s">
        <v>8335</v>
      </c>
      <c r="H882" s="2" t="s">
        <v>22</v>
      </c>
      <c r="I882" s="2" t="s">
        <v>8365</v>
      </c>
      <c r="J882" s="2" t="s">
        <v>24</v>
      </c>
      <c r="K882">
        <v>4838.7299999999996</v>
      </c>
      <c r="L882">
        <v>483873000</v>
      </c>
      <c r="M882" s="2" t="s">
        <v>8377</v>
      </c>
      <c r="N882" s="2" t="s">
        <v>8381</v>
      </c>
      <c r="O882" s="2" t="s">
        <v>9147</v>
      </c>
      <c r="P882" s="2" t="s">
        <v>175</v>
      </c>
      <c r="Q882" s="2" t="s">
        <v>8445</v>
      </c>
      <c r="R882" s="2" t="s">
        <v>30</v>
      </c>
    </row>
    <row r="883" spans="1:18">
      <c r="A883" s="1">
        <v>45809</v>
      </c>
      <c r="B883" s="1">
        <v>45809</v>
      </c>
      <c r="C883">
        <v>2025</v>
      </c>
      <c r="D883">
        <v>6</v>
      </c>
      <c r="E883" s="2" t="s">
        <v>8470</v>
      </c>
      <c r="F883" s="2" t="s">
        <v>8471</v>
      </c>
      <c r="G883" s="2" t="s">
        <v>8335</v>
      </c>
      <c r="H883" s="2" t="s">
        <v>22</v>
      </c>
      <c r="I883" s="2" t="s">
        <v>8365</v>
      </c>
      <c r="J883" s="2" t="s">
        <v>59</v>
      </c>
      <c r="K883">
        <v>13520.65</v>
      </c>
      <c r="L883">
        <v>1352065000</v>
      </c>
      <c r="M883" s="2" t="s">
        <v>8362</v>
      </c>
      <c r="N883" s="2" t="s">
        <v>8367</v>
      </c>
      <c r="O883" s="2" t="s">
        <v>9148</v>
      </c>
      <c r="P883" s="2" t="s">
        <v>175</v>
      </c>
      <c r="Q883" s="2" t="s">
        <v>8445</v>
      </c>
      <c r="R883" s="2" t="s">
        <v>30</v>
      </c>
    </row>
    <row r="884" spans="1:18">
      <c r="A884" s="1">
        <v>45809</v>
      </c>
      <c r="B884" s="1">
        <v>45809</v>
      </c>
      <c r="C884">
        <v>2025</v>
      </c>
      <c r="D884">
        <v>6</v>
      </c>
      <c r="E884" s="2" t="s">
        <v>8473</v>
      </c>
      <c r="F884" s="2" t="s">
        <v>8474</v>
      </c>
      <c r="G884" s="2" t="s">
        <v>8335</v>
      </c>
      <c r="H884" s="2" t="s">
        <v>22</v>
      </c>
      <c r="I884" s="2" t="s">
        <v>8365</v>
      </c>
      <c r="J884" s="2" t="s">
        <v>24</v>
      </c>
      <c r="K884">
        <v>8681.92</v>
      </c>
      <c r="L884">
        <v>868192000</v>
      </c>
      <c r="M884" s="2" t="s">
        <v>8370</v>
      </c>
      <c r="N884" s="2" t="s">
        <v>8374</v>
      </c>
      <c r="O884" s="2" t="s">
        <v>9149</v>
      </c>
      <c r="P884" s="2" t="s">
        <v>175</v>
      </c>
      <c r="Q884" s="2" t="s">
        <v>8445</v>
      </c>
      <c r="R884" s="2" t="s">
        <v>30</v>
      </c>
    </row>
    <row r="885" spans="1:18">
      <c r="A885" s="1">
        <v>45809</v>
      </c>
      <c r="B885" s="1">
        <v>45809</v>
      </c>
      <c r="C885">
        <v>2025</v>
      </c>
      <c r="D885">
        <v>6</v>
      </c>
      <c r="E885" s="2" t="s">
        <v>7890</v>
      </c>
      <c r="F885" s="2" t="s">
        <v>7891</v>
      </c>
      <c r="G885" s="2" t="s">
        <v>8335</v>
      </c>
      <c r="H885" s="2" t="s">
        <v>22</v>
      </c>
      <c r="I885" s="2" t="s">
        <v>8417</v>
      </c>
      <c r="J885" s="2" t="s">
        <v>24</v>
      </c>
      <c r="K885">
        <v>6781.61</v>
      </c>
      <c r="L885">
        <v>678161000</v>
      </c>
      <c r="M885" s="2" t="s">
        <v>7889</v>
      </c>
      <c r="N885" s="2" t="s">
        <v>7911</v>
      </c>
      <c r="O885" s="2" t="s">
        <v>9150</v>
      </c>
      <c r="P885" s="2" t="s">
        <v>7966</v>
      </c>
      <c r="Q885" s="2" t="s">
        <v>8967</v>
      </c>
      <c r="R885" s="2" t="s">
        <v>9151</v>
      </c>
    </row>
    <row r="886" spans="1:18">
      <c r="A886" s="1">
        <v>45839</v>
      </c>
      <c r="B886" s="1">
        <v>45839</v>
      </c>
      <c r="C886">
        <v>2025</v>
      </c>
      <c r="D886">
        <v>7</v>
      </c>
      <c r="E886" s="2" t="s">
        <v>8443</v>
      </c>
      <c r="F886" s="2" t="s">
        <v>8444</v>
      </c>
      <c r="G886" s="2" t="s">
        <v>8335</v>
      </c>
      <c r="H886" s="2" t="s">
        <v>22</v>
      </c>
      <c r="I886" s="2" t="s">
        <v>8387</v>
      </c>
      <c r="J886" s="2" t="s">
        <v>24</v>
      </c>
      <c r="K886">
        <v>2.13</v>
      </c>
      <c r="L886">
        <v>213000</v>
      </c>
      <c r="M886" s="2" t="s">
        <v>8392</v>
      </c>
      <c r="N886" s="2" t="s">
        <v>8396</v>
      </c>
      <c r="O886" s="2" t="s">
        <v>2955</v>
      </c>
      <c r="P886" s="2" t="s">
        <v>175</v>
      </c>
      <c r="Q886" s="2" t="s">
        <v>8445</v>
      </c>
      <c r="R886" s="2" t="s">
        <v>30</v>
      </c>
    </row>
    <row r="887" spans="1:18">
      <c r="A887" s="1">
        <v>45839</v>
      </c>
      <c r="B887" s="1">
        <v>45839</v>
      </c>
      <c r="C887">
        <v>2025</v>
      </c>
      <c r="D887">
        <v>7</v>
      </c>
      <c r="E887" s="2" t="s">
        <v>8446</v>
      </c>
      <c r="F887" s="2" t="s">
        <v>8447</v>
      </c>
      <c r="G887" s="2" t="s">
        <v>8335</v>
      </c>
      <c r="H887" s="2" t="s">
        <v>22</v>
      </c>
      <c r="I887" s="2" t="s">
        <v>8387</v>
      </c>
      <c r="J887" s="2" t="s">
        <v>59</v>
      </c>
      <c r="K887">
        <v>2.4900000000000002</v>
      </c>
      <c r="L887">
        <v>249000</v>
      </c>
      <c r="M887" s="2" t="s">
        <v>8384</v>
      </c>
      <c r="N887" s="2" t="s">
        <v>8389</v>
      </c>
      <c r="O887" s="2" t="s">
        <v>9152</v>
      </c>
      <c r="P887" s="2" t="s">
        <v>175</v>
      </c>
      <c r="Q887" s="2" t="s">
        <v>8445</v>
      </c>
      <c r="R887" s="2" t="s">
        <v>30</v>
      </c>
    </row>
    <row r="888" spans="1:18">
      <c r="A888" s="1">
        <v>45839</v>
      </c>
      <c r="B888" s="1">
        <v>45839</v>
      </c>
      <c r="C888">
        <v>2025</v>
      </c>
      <c r="D888">
        <v>7</v>
      </c>
      <c r="E888" s="2" t="s">
        <v>8448</v>
      </c>
      <c r="F888" s="2" t="s">
        <v>8449</v>
      </c>
      <c r="G888" s="2" t="s">
        <v>8335</v>
      </c>
      <c r="H888" s="2" t="s">
        <v>22</v>
      </c>
      <c r="I888" s="2" t="s">
        <v>8387</v>
      </c>
      <c r="J888" s="2" t="s">
        <v>24</v>
      </c>
      <c r="K888">
        <v>0.36</v>
      </c>
      <c r="L888">
        <v>36000</v>
      </c>
      <c r="M888" s="2" t="s">
        <v>8399</v>
      </c>
      <c r="N888" s="2" t="s">
        <v>8403</v>
      </c>
      <c r="O888" s="2" t="s">
        <v>3657</v>
      </c>
      <c r="P888" s="2" t="s">
        <v>175</v>
      </c>
      <c r="Q888" s="2" t="s">
        <v>8445</v>
      </c>
      <c r="R888" s="2" t="s">
        <v>30</v>
      </c>
    </row>
    <row r="889" spans="1:18">
      <c r="A889" s="1">
        <v>45839</v>
      </c>
      <c r="B889" s="1">
        <v>45839</v>
      </c>
      <c r="C889">
        <v>2025</v>
      </c>
      <c r="D889">
        <v>7</v>
      </c>
      <c r="E889" s="2" t="s">
        <v>8450</v>
      </c>
      <c r="F889" s="2" t="s">
        <v>8451</v>
      </c>
      <c r="G889" s="2" t="s">
        <v>8335</v>
      </c>
      <c r="H889" s="2" t="s">
        <v>22</v>
      </c>
      <c r="I889" s="2" t="s">
        <v>8417</v>
      </c>
      <c r="J889" s="2" t="s">
        <v>24</v>
      </c>
      <c r="K889">
        <v>66.41</v>
      </c>
      <c r="L889">
        <v>6641000</v>
      </c>
      <c r="M889" s="2" t="s">
        <v>8422</v>
      </c>
      <c r="N889" s="2" t="s">
        <v>8426</v>
      </c>
      <c r="O889" s="2" t="s">
        <v>9153</v>
      </c>
      <c r="P889" s="2" t="s">
        <v>175</v>
      </c>
      <c r="Q889" s="2" t="s">
        <v>8445</v>
      </c>
      <c r="R889" s="2" t="s">
        <v>30</v>
      </c>
    </row>
    <row r="890" spans="1:18">
      <c r="A890" s="1">
        <v>45839</v>
      </c>
      <c r="B890" s="1">
        <v>45839</v>
      </c>
      <c r="C890">
        <v>2025</v>
      </c>
      <c r="D890">
        <v>7</v>
      </c>
      <c r="E890" s="2" t="s">
        <v>8453</v>
      </c>
      <c r="F890" s="2" t="s">
        <v>8454</v>
      </c>
      <c r="G890" s="2" t="s">
        <v>8335</v>
      </c>
      <c r="H890" s="2" t="s">
        <v>22</v>
      </c>
      <c r="I890" s="2" t="s">
        <v>8336</v>
      </c>
      <c r="J890" s="2" t="s">
        <v>24</v>
      </c>
      <c r="K890">
        <v>1118.08</v>
      </c>
      <c r="L890">
        <v>111808000</v>
      </c>
      <c r="M890" s="2" t="s">
        <v>8348</v>
      </c>
      <c r="N890" s="2" t="s">
        <v>8352</v>
      </c>
      <c r="O890" s="2" t="s">
        <v>9154</v>
      </c>
      <c r="P890" s="2" t="s">
        <v>175</v>
      </c>
      <c r="Q890" s="2" t="s">
        <v>8445</v>
      </c>
      <c r="R890" s="2" t="s">
        <v>30</v>
      </c>
    </row>
    <row r="891" spans="1:18">
      <c r="A891" s="1">
        <v>45839</v>
      </c>
      <c r="B891" s="1">
        <v>45839</v>
      </c>
      <c r="C891">
        <v>2025</v>
      </c>
      <c r="D891">
        <v>7</v>
      </c>
      <c r="E891" s="2" t="s">
        <v>8456</v>
      </c>
      <c r="F891" s="2" t="s">
        <v>8457</v>
      </c>
      <c r="G891" s="2" t="s">
        <v>8335</v>
      </c>
      <c r="H891" s="2" t="s">
        <v>22</v>
      </c>
      <c r="I891" s="2" t="s">
        <v>8336</v>
      </c>
      <c r="J891" s="2" t="s">
        <v>24</v>
      </c>
      <c r="K891">
        <v>10127.27</v>
      </c>
      <c r="L891">
        <v>1012727000</v>
      </c>
      <c r="M891" s="2" t="s">
        <v>8355</v>
      </c>
      <c r="N891" s="2" t="s">
        <v>8359</v>
      </c>
      <c r="O891" s="2" t="s">
        <v>9155</v>
      </c>
      <c r="P891" s="2" t="s">
        <v>175</v>
      </c>
      <c r="Q891" s="2" t="s">
        <v>8445</v>
      </c>
      <c r="R891" s="2" t="s">
        <v>30</v>
      </c>
    </row>
    <row r="892" spans="1:18">
      <c r="A892" s="1">
        <v>45839</v>
      </c>
      <c r="B892" s="1">
        <v>45839</v>
      </c>
      <c r="C892">
        <v>2025</v>
      </c>
      <c r="D892">
        <v>7</v>
      </c>
      <c r="E892" s="2" t="s">
        <v>8459</v>
      </c>
      <c r="F892" s="2" t="s">
        <v>8460</v>
      </c>
      <c r="G892" s="2" t="s">
        <v>8335</v>
      </c>
      <c r="H892" s="2" t="s">
        <v>22</v>
      </c>
      <c r="I892" s="2" t="s">
        <v>8336</v>
      </c>
      <c r="J892" s="2" t="s">
        <v>59</v>
      </c>
      <c r="K892">
        <v>11245.35</v>
      </c>
      <c r="L892">
        <v>1124535000</v>
      </c>
      <c r="M892" s="2" t="s">
        <v>8331</v>
      </c>
      <c r="N892" s="2" t="s">
        <v>8341</v>
      </c>
      <c r="O892" s="2" t="s">
        <v>9156</v>
      </c>
      <c r="P892" s="2" t="s">
        <v>175</v>
      </c>
      <c r="Q892" s="2" t="s">
        <v>8445</v>
      </c>
      <c r="R892" s="2" t="s">
        <v>30</v>
      </c>
    </row>
    <row r="893" spans="1:18">
      <c r="A893" s="1">
        <v>45839</v>
      </c>
      <c r="B893" s="1">
        <v>45839</v>
      </c>
      <c r="C893">
        <v>2025</v>
      </c>
      <c r="D893">
        <v>7</v>
      </c>
      <c r="E893" s="2" t="s">
        <v>8462</v>
      </c>
      <c r="F893" s="2" t="s">
        <v>8463</v>
      </c>
      <c r="G893" s="2" t="s">
        <v>8335</v>
      </c>
      <c r="H893" s="2" t="s">
        <v>22</v>
      </c>
      <c r="I893" s="2" t="s">
        <v>8409</v>
      </c>
      <c r="J893" s="2" t="s">
        <v>24</v>
      </c>
      <c r="K893">
        <v>14.67</v>
      </c>
      <c r="L893">
        <v>1467000</v>
      </c>
      <c r="M893" s="2" t="s">
        <v>8406</v>
      </c>
      <c r="N893" s="2" t="s">
        <v>8411</v>
      </c>
      <c r="O893" s="2" t="s">
        <v>1028</v>
      </c>
      <c r="P893" s="2" t="s">
        <v>175</v>
      </c>
      <c r="Q893" s="2" t="s">
        <v>8445</v>
      </c>
      <c r="R893" s="2" t="s">
        <v>30</v>
      </c>
    </row>
    <row r="894" spans="1:18">
      <c r="A894" s="1">
        <v>45839</v>
      </c>
      <c r="B894" s="1">
        <v>45839</v>
      </c>
      <c r="C894">
        <v>2025</v>
      </c>
      <c r="D894">
        <v>7</v>
      </c>
      <c r="E894" s="2" t="s">
        <v>8464</v>
      </c>
      <c r="F894" s="2" t="s">
        <v>8465</v>
      </c>
      <c r="G894" s="2" t="s">
        <v>8335</v>
      </c>
      <c r="H894" s="2" t="s">
        <v>22</v>
      </c>
      <c r="I894" s="2" t="s">
        <v>8417</v>
      </c>
      <c r="J894" s="2" t="s">
        <v>24</v>
      </c>
      <c r="K894">
        <v>119.13</v>
      </c>
      <c r="L894">
        <v>11913000</v>
      </c>
      <c r="M894" s="2" t="s">
        <v>8414</v>
      </c>
      <c r="N894" s="2" t="s">
        <v>8419</v>
      </c>
      <c r="O894" s="2" t="s">
        <v>9157</v>
      </c>
      <c r="P894" s="2" t="s">
        <v>175</v>
      </c>
      <c r="Q894" s="2" t="s">
        <v>8445</v>
      </c>
      <c r="R894" s="2" t="s">
        <v>30</v>
      </c>
    </row>
    <row r="895" spans="1:18">
      <c r="A895" s="1">
        <v>45839</v>
      </c>
      <c r="B895" s="1">
        <v>45839</v>
      </c>
      <c r="C895">
        <v>2025</v>
      </c>
      <c r="D895">
        <v>7</v>
      </c>
      <c r="E895" s="2" t="s">
        <v>8467</v>
      </c>
      <c r="F895" s="2" t="s">
        <v>8468</v>
      </c>
      <c r="G895" s="2" t="s">
        <v>8335</v>
      </c>
      <c r="H895" s="2" t="s">
        <v>22</v>
      </c>
      <c r="I895" s="2" t="s">
        <v>8365</v>
      </c>
      <c r="J895" s="2" t="s">
        <v>24</v>
      </c>
      <c r="K895">
        <v>4876.37</v>
      </c>
      <c r="L895">
        <v>487637000</v>
      </c>
      <c r="M895" s="2" t="s">
        <v>8377</v>
      </c>
      <c r="N895" s="2" t="s">
        <v>8381</v>
      </c>
      <c r="O895" s="2" t="s">
        <v>9158</v>
      </c>
      <c r="P895" s="2" t="s">
        <v>175</v>
      </c>
      <c r="Q895" s="2" t="s">
        <v>8445</v>
      </c>
      <c r="R895" s="2" t="s">
        <v>30</v>
      </c>
    </row>
    <row r="896" spans="1:18">
      <c r="A896" s="1">
        <v>45839</v>
      </c>
      <c r="B896" s="1">
        <v>45839</v>
      </c>
      <c r="C896">
        <v>2025</v>
      </c>
      <c r="D896">
        <v>7</v>
      </c>
      <c r="E896" s="2" t="s">
        <v>8470</v>
      </c>
      <c r="F896" s="2" t="s">
        <v>8471</v>
      </c>
      <c r="G896" s="2" t="s">
        <v>8335</v>
      </c>
      <c r="H896" s="2" t="s">
        <v>22</v>
      </c>
      <c r="I896" s="2" t="s">
        <v>8365</v>
      </c>
      <c r="J896" s="2" t="s">
        <v>59</v>
      </c>
      <c r="K896">
        <v>13746.53</v>
      </c>
      <c r="L896">
        <v>1374653000</v>
      </c>
      <c r="M896" s="2" t="s">
        <v>8362</v>
      </c>
      <c r="N896" s="2" t="s">
        <v>8367</v>
      </c>
      <c r="O896" s="2" t="s">
        <v>9159</v>
      </c>
      <c r="P896" s="2" t="s">
        <v>175</v>
      </c>
      <c r="Q896" s="2" t="s">
        <v>8445</v>
      </c>
      <c r="R896" s="2" t="s">
        <v>30</v>
      </c>
    </row>
    <row r="897" spans="1:18">
      <c r="A897" s="1">
        <v>45839</v>
      </c>
      <c r="B897" s="1">
        <v>45839</v>
      </c>
      <c r="C897">
        <v>2025</v>
      </c>
      <c r="D897">
        <v>7</v>
      </c>
      <c r="E897" s="2" t="s">
        <v>8473</v>
      </c>
      <c r="F897" s="2" t="s">
        <v>8474</v>
      </c>
      <c r="G897" s="2" t="s">
        <v>8335</v>
      </c>
      <c r="H897" s="2" t="s">
        <v>22</v>
      </c>
      <c r="I897" s="2" t="s">
        <v>8365</v>
      </c>
      <c r="J897" s="2" t="s">
        <v>24</v>
      </c>
      <c r="K897">
        <v>8870.16</v>
      </c>
      <c r="L897">
        <v>887016000</v>
      </c>
      <c r="M897" s="2" t="s">
        <v>8370</v>
      </c>
      <c r="N897" s="2" t="s">
        <v>8374</v>
      </c>
      <c r="O897" s="2" t="s">
        <v>9160</v>
      </c>
      <c r="P897" s="2" t="s">
        <v>175</v>
      </c>
      <c r="Q897" s="2" t="s">
        <v>8445</v>
      </c>
      <c r="R897" s="2" t="s">
        <v>30</v>
      </c>
    </row>
    <row r="898" spans="1:18">
      <c r="A898" s="1">
        <v>45839</v>
      </c>
      <c r="B898" s="1">
        <v>45839</v>
      </c>
      <c r="C898">
        <v>2025</v>
      </c>
      <c r="D898">
        <v>7</v>
      </c>
      <c r="E898" s="2" t="s">
        <v>7890</v>
      </c>
      <c r="F898" s="2" t="s">
        <v>7891</v>
      </c>
      <c r="G898" s="2" t="s">
        <v>8335</v>
      </c>
      <c r="H898" s="2" t="s">
        <v>22</v>
      </c>
      <c r="I898" s="2" t="s">
        <v>8417</v>
      </c>
      <c r="J898" s="2" t="s">
        <v>24</v>
      </c>
      <c r="K898">
        <v>6880.31</v>
      </c>
      <c r="L898">
        <v>688031000</v>
      </c>
      <c r="M898" s="2" t="s">
        <v>7889</v>
      </c>
      <c r="N898" s="2" t="s">
        <v>7911</v>
      </c>
      <c r="O898" s="2" t="s">
        <v>9161</v>
      </c>
      <c r="P898" s="2" t="s">
        <v>7969</v>
      </c>
      <c r="Q898" s="2" t="s">
        <v>8967</v>
      </c>
      <c r="R898" s="2" t="s">
        <v>9162</v>
      </c>
    </row>
    <row r="899" spans="1:18">
      <c r="A899" s="1">
        <v>45870</v>
      </c>
      <c r="B899" s="1">
        <v>45870</v>
      </c>
      <c r="C899">
        <v>2025</v>
      </c>
      <c r="D899">
        <v>8</v>
      </c>
      <c r="E899" s="2" t="s">
        <v>8443</v>
      </c>
      <c r="F899" s="2" t="s">
        <v>8444</v>
      </c>
      <c r="G899" s="2" t="s">
        <v>8335</v>
      </c>
      <c r="H899" s="2" t="s">
        <v>22</v>
      </c>
      <c r="I899" s="2" t="s">
        <v>8387</v>
      </c>
      <c r="J899" s="2" t="s">
        <v>24</v>
      </c>
      <c r="K899">
        <v>2.12</v>
      </c>
      <c r="L899">
        <v>212000</v>
      </c>
      <c r="M899" s="2" t="s">
        <v>8392</v>
      </c>
      <c r="N899" s="2" t="s">
        <v>8396</v>
      </c>
      <c r="O899" s="2" t="s">
        <v>9163</v>
      </c>
      <c r="P899" s="2" t="s">
        <v>175</v>
      </c>
      <c r="Q899" s="2" t="s">
        <v>8445</v>
      </c>
      <c r="R899" s="2" t="s">
        <v>30</v>
      </c>
    </row>
    <row r="900" spans="1:18">
      <c r="A900" s="1">
        <v>45870</v>
      </c>
      <c r="B900" s="1">
        <v>45870</v>
      </c>
      <c r="C900">
        <v>2025</v>
      </c>
      <c r="D900">
        <v>8</v>
      </c>
      <c r="E900" s="2" t="s">
        <v>8446</v>
      </c>
      <c r="F900" s="2" t="s">
        <v>8447</v>
      </c>
      <c r="G900" s="2" t="s">
        <v>8335</v>
      </c>
      <c r="H900" s="2" t="s">
        <v>22</v>
      </c>
      <c r="I900" s="2" t="s">
        <v>8387</v>
      </c>
      <c r="J900" s="2" t="s">
        <v>59</v>
      </c>
      <c r="K900">
        <v>2.4900000000000002</v>
      </c>
      <c r="L900">
        <v>249000</v>
      </c>
      <c r="M900" s="2" t="s">
        <v>8384</v>
      </c>
      <c r="N900" s="2" t="s">
        <v>8389</v>
      </c>
      <c r="O900" s="2" t="s">
        <v>9152</v>
      </c>
      <c r="P900" s="2" t="s">
        <v>175</v>
      </c>
      <c r="Q900" s="2" t="s">
        <v>8445</v>
      </c>
      <c r="R900" s="2" t="s">
        <v>30</v>
      </c>
    </row>
    <row r="901" spans="1:18">
      <c r="A901" s="1">
        <v>45870</v>
      </c>
      <c r="B901" s="1">
        <v>45870</v>
      </c>
      <c r="C901">
        <v>2025</v>
      </c>
      <c r="D901">
        <v>8</v>
      </c>
      <c r="E901" s="2" t="s">
        <v>8448</v>
      </c>
      <c r="F901" s="2" t="s">
        <v>8449</v>
      </c>
      <c r="G901" s="2" t="s">
        <v>8335</v>
      </c>
      <c r="H901" s="2" t="s">
        <v>22</v>
      </c>
      <c r="I901" s="2" t="s">
        <v>8387</v>
      </c>
      <c r="J901" s="2" t="s">
        <v>24</v>
      </c>
      <c r="K901">
        <v>0.36</v>
      </c>
      <c r="L901">
        <v>36000</v>
      </c>
      <c r="M901" s="2" t="s">
        <v>8399</v>
      </c>
      <c r="N901" s="2" t="s">
        <v>8403</v>
      </c>
      <c r="O901" s="2" t="s">
        <v>3657</v>
      </c>
      <c r="P901" s="2" t="s">
        <v>175</v>
      </c>
      <c r="Q901" s="2" t="s">
        <v>8445</v>
      </c>
      <c r="R901" s="2" t="s">
        <v>30</v>
      </c>
    </row>
    <row r="902" spans="1:18">
      <c r="A902" s="1">
        <v>45870</v>
      </c>
      <c r="B902" s="1">
        <v>45870</v>
      </c>
      <c r="C902">
        <v>2025</v>
      </c>
      <c r="D902">
        <v>8</v>
      </c>
      <c r="E902" s="2" t="s">
        <v>8450</v>
      </c>
      <c r="F902" s="2" t="s">
        <v>8451</v>
      </c>
      <c r="G902" s="2" t="s">
        <v>8335</v>
      </c>
      <c r="H902" s="2" t="s">
        <v>22</v>
      </c>
      <c r="I902" s="2" t="s">
        <v>8417</v>
      </c>
      <c r="J902" s="2" t="s">
        <v>24</v>
      </c>
      <c r="K902">
        <v>65.73</v>
      </c>
      <c r="L902">
        <v>6573000</v>
      </c>
      <c r="M902" s="2" t="s">
        <v>8422</v>
      </c>
      <c r="N902" s="2" t="s">
        <v>8426</v>
      </c>
      <c r="O902" s="2" t="s">
        <v>9164</v>
      </c>
      <c r="P902" s="2" t="s">
        <v>175</v>
      </c>
      <c r="Q902" s="2" t="s">
        <v>8445</v>
      </c>
      <c r="R902" s="2" t="s">
        <v>30</v>
      </c>
    </row>
    <row r="903" spans="1:18">
      <c r="A903" s="1">
        <v>45870</v>
      </c>
      <c r="B903" s="1">
        <v>45870</v>
      </c>
      <c r="C903">
        <v>2025</v>
      </c>
      <c r="D903">
        <v>8</v>
      </c>
      <c r="E903" s="2" t="s">
        <v>8453</v>
      </c>
      <c r="F903" s="2" t="s">
        <v>8454</v>
      </c>
      <c r="G903" s="2" t="s">
        <v>8335</v>
      </c>
      <c r="H903" s="2" t="s">
        <v>22</v>
      </c>
      <c r="I903" s="2" t="s">
        <v>8336</v>
      </c>
      <c r="J903" s="2" t="s">
        <v>24</v>
      </c>
      <c r="K903">
        <v>1124.96</v>
      </c>
      <c r="L903">
        <v>112496000</v>
      </c>
      <c r="M903" s="2" t="s">
        <v>8348</v>
      </c>
      <c r="N903" s="2" t="s">
        <v>8352</v>
      </c>
      <c r="O903" s="2" t="s">
        <v>9165</v>
      </c>
      <c r="P903" s="2" t="s">
        <v>175</v>
      </c>
      <c r="Q903" s="2" t="s">
        <v>8445</v>
      </c>
      <c r="R903" s="2" t="s">
        <v>30</v>
      </c>
    </row>
    <row r="904" spans="1:18">
      <c r="A904" s="1">
        <v>45870</v>
      </c>
      <c r="B904" s="1">
        <v>45870</v>
      </c>
      <c r="C904">
        <v>2025</v>
      </c>
      <c r="D904">
        <v>8</v>
      </c>
      <c r="E904" s="2" t="s">
        <v>8456</v>
      </c>
      <c r="F904" s="2" t="s">
        <v>8457</v>
      </c>
      <c r="G904" s="2" t="s">
        <v>8335</v>
      </c>
      <c r="H904" s="2" t="s">
        <v>22</v>
      </c>
      <c r="I904" s="2" t="s">
        <v>8336</v>
      </c>
      <c r="J904" s="2" t="s">
        <v>24</v>
      </c>
      <c r="K904">
        <v>10180.42</v>
      </c>
      <c r="L904">
        <v>1018042000</v>
      </c>
      <c r="M904" s="2" t="s">
        <v>8355</v>
      </c>
      <c r="N904" s="2" t="s">
        <v>8359</v>
      </c>
      <c r="O904" s="2" t="s">
        <v>9166</v>
      </c>
      <c r="P904" s="2" t="s">
        <v>175</v>
      </c>
      <c r="Q904" s="2" t="s">
        <v>8445</v>
      </c>
      <c r="R904" s="2" t="s">
        <v>30</v>
      </c>
    </row>
    <row r="905" spans="1:18">
      <c r="A905" s="1">
        <v>45870</v>
      </c>
      <c r="B905" s="1">
        <v>45870</v>
      </c>
      <c r="C905">
        <v>2025</v>
      </c>
      <c r="D905">
        <v>8</v>
      </c>
      <c r="E905" s="2" t="s">
        <v>8459</v>
      </c>
      <c r="F905" s="2" t="s">
        <v>8460</v>
      </c>
      <c r="G905" s="2" t="s">
        <v>8335</v>
      </c>
      <c r="H905" s="2" t="s">
        <v>22</v>
      </c>
      <c r="I905" s="2" t="s">
        <v>8336</v>
      </c>
      <c r="J905" s="2" t="s">
        <v>59</v>
      </c>
      <c r="K905">
        <v>11305.38</v>
      </c>
      <c r="L905">
        <v>1130538000</v>
      </c>
      <c r="M905" s="2" t="s">
        <v>8331</v>
      </c>
      <c r="N905" s="2" t="s">
        <v>8341</v>
      </c>
      <c r="O905" s="2" t="s">
        <v>9167</v>
      </c>
      <c r="P905" s="2" t="s">
        <v>175</v>
      </c>
      <c r="Q905" s="2" t="s">
        <v>8445</v>
      </c>
      <c r="R905" s="2" t="s">
        <v>30</v>
      </c>
    </row>
    <row r="906" spans="1:18">
      <c r="A906" s="1">
        <v>45870</v>
      </c>
      <c r="B906" s="1">
        <v>45870</v>
      </c>
      <c r="C906">
        <v>2025</v>
      </c>
      <c r="D906">
        <v>8</v>
      </c>
      <c r="E906" s="2" t="s">
        <v>8462</v>
      </c>
      <c r="F906" s="2" t="s">
        <v>8463</v>
      </c>
      <c r="G906" s="2" t="s">
        <v>8335</v>
      </c>
      <c r="H906" s="2" t="s">
        <v>22</v>
      </c>
      <c r="I906" s="2" t="s">
        <v>8409</v>
      </c>
      <c r="J906" s="2" t="s">
        <v>24</v>
      </c>
      <c r="K906">
        <v>14.71</v>
      </c>
      <c r="L906">
        <v>1471000</v>
      </c>
      <c r="M906" s="2" t="s">
        <v>8406</v>
      </c>
      <c r="N906" s="2" t="s">
        <v>8411</v>
      </c>
      <c r="O906" s="2" t="s">
        <v>2117</v>
      </c>
      <c r="P906" s="2" t="s">
        <v>175</v>
      </c>
      <c r="Q906" s="2" t="s">
        <v>8445</v>
      </c>
      <c r="R906" s="2" t="s">
        <v>30</v>
      </c>
    </row>
    <row r="907" spans="1:18">
      <c r="A907" s="1">
        <v>45870</v>
      </c>
      <c r="B907" s="1">
        <v>45870</v>
      </c>
      <c r="C907">
        <v>2025</v>
      </c>
      <c r="D907">
        <v>8</v>
      </c>
      <c r="E907" s="2" t="s">
        <v>8464</v>
      </c>
      <c r="F907" s="2" t="s">
        <v>8465</v>
      </c>
      <c r="G907" s="2" t="s">
        <v>8335</v>
      </c>
      <c r="H907" s="2" t="s">
        <v>22</v>
      </c>
      <c r="I907" s="2" t="s">
        <v>8417</v>
      </c>
      <c r="J907" s="2" t="s">
        <v>24</v>
      </c>
      <c r="K907">
        <v>119.65</v>
      </c>
      <c r="L907">
        <v>11965000</v>
      </c>
      <c r="M907" s="2" t="s">
        <v>8414</v>
      </c>
      <c r="N907" s="2" t="s">
        <v>8419</v>
      </c>
      <c r="O907" s="2" t="s">
        <v>9168</v>
      </c>
      <c r="P907" s="2" t="s">
        <v>175</v>
      </c>
      <c r="Q907" s="2" t="s">
        <v>8445</v>
      </c>
      <c r="R907" s="2" t="s">
        <v>30</v>
      </c>
    </row>
    <row r="908" spans="1:18">
      <c r="A908" s="1">
        <v>45870</v>
      </c>
      <c r="B908" s="1">
        <v>45870</v>
      </c>
      <c r="C908">
        <v>2025</v>
      </c>
      <c r="D908">
        <v>8</v>
      </c>
      <c r="E908" s="2" t="s">
        <v>8467</v>
      </c>
      <c r="F908" s="2" t="s">
        <v>8468</v>
      </c>
      <c r="G908" s="2" t="s">
        <v>8335</v>
      </c>
      <c r="H908" s="2" t="s">
        <v>22</v>
      </c>
      <c r="I908" s="2" t="s">
        <v>8365</v>
      </c>
      <c r="J908" s="2" t="s">
        <v>24</v>
      </c>
      <c r="K908">
        <v>4891.95</v>
      </c>
      <c r="L908">
        <v>489195000</v>
      </c>
      <c r="M908" s="2" t="s">
        <v>8377</v>
      </c>
      <c r="N908" s="2" t="s">
        <v>8381</v>
      </c>
      <c r="O908" s="2" t="s">
        <v>9169</v>
      </c>
      <c r="P908" s="2" t="s">
        <v>175</v>
      </c>
      <c r="Q908" s="2" t="s">
        <v>8445</v>
      </c>
      <c r="R908" s="2" t="s">
        <v>30</v>
      </c>
    </row>
    <row r="909" spans="1:18">
      <c r="A909" s="1">
        <v>45870</v>
      </c>
      <c r="B909" s="1">
        <v>45870</v>
      </c>
      <c r="C909">
        <v>2025</v>
      </c>
      <c r="D909">
        <v>8</v>
      </c>
      <c r="E909" s="2" t="s">
        <v>8470</v>
      </c>
      <c r="F909" s="2" t="s">
        <v>8471</v>
      </c>
      <c r="G909" s="2" t="s">
        <v>8335</v>
      </c>
      <c r="H909" s="2" t="s">
        <v>22</v>
      </c>
      <c r="I909" s="2" t="s">
        <v>8365</v>
      </c>
      <c r="J909" s="2" t="s">
        <v>59</v>
      </c>
      <c r="K909">
        <v>14584.13</v>
      </c>
      <c r="L909">
        <v>1458413000</v>
      </c>
      <c r="M909" s="2" t="s">
        <v>8362</v>
      </c>
      <c r="N909" s="2" t="s">
        <v>8367</v>
      </c>
      <c r="O909" s="2" t="s">
        <v>9170</v>
      </c>
      <c r="P909" s="2" t="s">
        <v>175</v>
      </c>
      <c r="Q909" s="2" t="s">
        <v>8445</v>
      </c>
      <c r="R909" s="2" t="s">
        <v>30</v>
      </c>
    </row>
    <row r="910" spans="1:18">
      <c r="A910" s="1">
        <v>45870</v>
      </c>
      <c r="B910" s="1">
        <v>45870</v>
      </c>
      <c r="C910">
        <v>2025</v>
      </c>
      <c r="D910">
        <v>8</v>
      </c>
      <c r="E910" s="2" t="s">
        <v>8473</v>
      </c>
      <c r="F910" s="2" t="s">
        <v>8474</v>
      </c>
      <c r="G910" s="2" t="s">
        <v>8335</v>
      </c>
      <c r="H910" s="2" t="s">
        <v>22</v>
      </c>
      <c r="I910" s="2" t="s">
        <v>8365</v>
      </c>
      <c r="J910" s="2" t="s">
        <v>24</v>
      </c>
      <c r="K910">
        <v>9692.18</v>
      </c>
      <c r="L910">
        <v>969218000</v>
      </c>
      <c r="M910" s="2" t="s">
        <v>8370</v>
      </c>
      <c r="N910" s="2" t="s">
        <v>8374</v>
      </c>
      <c r="O910" s="2" t="s">
        <v>9171</v>
      </c>
      <c r="P910" s="2" t="s">
        <v>175</v>
      </c>
      <c r="Q910" s="2" t="s">
        <v>8445</v>
      </c>
      <c r="R910" s="2" t="s">
        <v>30</v>
      </c>
    </row>
    <row r="911" spans="1:18">
      <c r="A911" s="1">
        <v>45870</v>
      </c>
      <c r="B911" s="1">
        <v>45870</v>
      </c>
      <c r="C911">
        <v>2025</v>
      </c>
      <c r="D911">
        <v>8</v>
      </c>
      <c r="E911" s="2" t="s">
        <v>7890</v>
      </c>
      <c r="F911" s="2" t="s">
        <v>7891</v>
      </c>
      <c r="G911" s="2" t="s">
        <v>8335</v>
      </c>
      <c r="H911" s="2" t="s">
        <v>22</v>
      </c>
      <c r="I911" s="2" t="s">
        <v>8417</v>
      </c>
      <c r="J911" s="2" t="s">
        <v>24</v>
      </c>
      <c r="K911">
        <v>6977.47</v>
      </c>
      <c r="L911">
        <v>697747000</v>
      </c>
      <c r="M911" s="2" t="s">
        <v>7889</v>
      </c>
      <c r="N911" s="2" t="s">
        <v>7911</v>
      </c>
      <c r="O911" s="2" t="s">
        <v>9172</v>
      </c>
      <c r="P911" s="2" t="s">
        <v>7972</v>
      </c>
      <c r="Q911" s="2" t="s">
        <v>8967</v>
      </c>
      <c r="R911" s="2" t="s">
        <v>9173</v>
      </c>
    </row>
    <row r="912" spans="1:18">
      <c r="A912" s="1">
        <v>45901</v>
      </c>
      <c r="B912" s="1">
        <v>45901</v>
      </c>
      <c r="C912">
        <v>2025</v>
      </c>
      <c r="D912">
        <v>9</v>
      </c>
      <c r="E912" s="2" t="s">
        <v>8443</v>
      </c>
      <c r="F912" s="2" t="s">
        <v>8444</v>
      </c>
      <c r="G912" s="2" t="s">
        <v>8335</v>
      </c>
      <c r="H912" s="2" t="s">
        <v>22</v>
      </c>
      <c r="I912" s="2" t="s">
        <v>8387</v>
      </c>
      <c r="J912" s="2" t="s">
        <v>24</v>
      </c>
      <c r="K912">
        <v>2.12</v>
      </c>
      <c r="L912">
        <v>212000</v>
      </c>
      <c r="M912" s="2" t="s">
        <v>8392</v>
      </c>
      <c r="N912" s="2" t="s">
        <v>8396</v>
      </c>
      <c r="O912" s="2" t="s">
        <v>9163</v>
      </c>
      <c r="P912" s="2" t="s">
        <v>175</v>
      </c>
      <c r="Q912" s="2" t="s">
        <v>8445</v>
      </c>
      <c r="R912" s="2" t="s">
        <v>30</v>
      </c>
    </row>
    <row r="913" spans="1:18">
      <c r="A913" s="1">
        <v>45901</v>
      </c>
      <c r="B913" s="1">
        <v>45901</v>
      </c>
      <c r="C913">
        <v>2025</v>
      </c>
      <c r="D913">
        <v>9</v>
      </c>
      <c r="E913" s="2" t="s">
        <v>8446</v>
      </c>
      <c r="F913" s="2" t="s">
        <v>8447</v>
      </c>
      <c r="G913" s="2" t="s">
        <v>8335</v>
      </c>
      <c r="H913" s="2" t="s">
        <v>22</v>
      </c>
      <c r="I913" s="2" t="s">
        <v>8387</v>
      </c>
      <c r="J913" s="2" t="s">
        <v>59</v>
      </c>
      <c r="K913">
        <v>2.4900000000000002</v>
      </c>
      <c r="L913">
        <v>249000</v>
      </c>
      <c r="M913" s="2" t="s">
        <v>8384</v>
      </c>
      <c r="N913" s="2" t="s">
        <v>8389</v>
      </c>
      <c r="O913" s="2" t="s">
        <v>9152</v>
      </c>
      <c r="P913" s="2" t="s">
        <v>175</v>
      </c>
      <c r="Q913" s="2" t="s">
        <v>8445</v>
      </c>
      <c r="R913" s="2" t="s">
        <v>30</v>
      </c>
    </row>
    <row r="914" spans="1:18">
      <c r="A914" s="1">
        <v>45901</v>
      </c>
      <c r="B914" s="1">
        <v>45901</v>
      </c>
      <c r="C914">
        <v>2025</v>
      </c>
      <c r="D914">
        <v>9</v>
      </c>
      <c r="E914" s="2" t="s">
        <v>8448</v>
      </c>
      <c r="F914" s="2" t="s">
        <v>8449</v>
      </c>
      <c r="G914" s="2" t="s">
        <v>8335</v>
      </c>
      <c r="H914" s="2" t="s">
        <v>22</v>
      </c>
      <c r="I914" s="2" t="s">
        <v>8387</v>
      </c>
      <c r="J914" s="2" t="s">
        <v>24</v>
      </c>
      <c r="K914">
        <v>0.37</v>
      </c>
      <c r="L914">
        <v>37000</v>
      </c>
      <c r="M914" s="2" t="s">
        <v>8399</v>
      </c>
      <c r="N914" s="2" t="s">
        <v>8403</v>
      </c>
      <c r="O914" s="2" t="s">
        <v>668</v>
      </c>
      <c r="P914" s="2" t="s">
        <v>175</v>
      </c>
      <c r="Q914" s="2" t="s">
        <v>8445</v>
      </c>
      <c r="R914" s="2" t="s">
        <v>30</v>
      </c>
    </row>
    <row r="915" spans="1:18">
      <c r="A915" s="1">
        <v>45901</v>
      </c>
      <c r="B915" s="1">
        <v>45901</v>
      </c>
      <c r="C915">
        <v>2025</v>
      </c>
      <c r="D915">
        <v>9</v>
      </c>
      <c r="E915" s="2" t="s">
        <v>8450</v>
      </c>
      <c r="F915" s="2" t="s">
        <v>8451</v>
      </c>
      <c r="G915" s="2" t="s">
        <v>8335</v>
      </c>
      <c r="H915" s="2" t="s">
        <v>22</v>
      </c>
      <c r="I915" s="2" t="s">
        <v>8417</v>
      </c>
      <c r="J915" s="2" t="s">
        <v>24</v>
      </c>
      <c r="K915">
        <v>60.71</v>
      </c>
      <c r="L915">
        <v>6071000</v>
      </c>
      <c r="M915" s="2" t="s">
        <v>8422</v>
      </c>
      <c r="N915" s="2" t="s">
        <v>8426</v>
      </c>
      <c r="O915" s="2" t="s">
        <v>9174</v>
      </c>
      <c r="P915" s="2" t="s">
        <v>175</v>
      </c>
      <c r="Q915" s="2" t="s">
        <v>8445</v>
      </c>
      <c r="R915" s="2" t="s">
        <v>30</v>
      </c>
    </row>
    <row r="916" spans="1:18">
      <c r="A916" s="1">
        <v>45901</v>
      </c>
      <c r="B916" s="1">
        <v>45901</v>
      </c>
      <c r="C916">
        <v>2025</v>
      </c>
      <c r="D916">
        <v>9</v>
      </c>
      <c r="E916" s="2" t="s">
        <v>8453</v>
      </c>
      <c r="F916" s="2" t="s">
        <v>8454</v>
      </c>
      <c r="G916" s="2" t="s">
        <v>8335</v>
      </c>
      <c r="H916" s="2" t="s">
        <v>22</v>
      </c>
      <c r="I916" s="2" t="s">
        <v>8336</v>
      </c>
      <c r="J916" s="2" t="s">
        <v>24</v>
      </c>
      <c r="K916">
        <v>1135.07</v>
      </c>
      <c r="L916">
        <v>113507000</v>
      </c>
      <c r="M916" s="2" t="s">
        <v>8348</v>
      </c>
      <c r="N916" s="2" t="s">
        <v>8352</v>
      </c>
      <c r="O916" s="2" t="s">
        <v>9175</v>
      </c>
      <c r="P916" s="2" t="s">
        <v>175</v>
      </c>
      <c r="Q916" s="2" t="s">
        <v>8445</v>
      </c>
      <c r="R916" s="2" t="s">
        <v>30</v>
      </c>
    </row>
    <row r="917" spans="1:18">
      <c r="A917" s="1">
        <v>45901</v>
      </c>
      <c r="B917" s="1">
        <v>45901</v>
      </c>
      <c r="C917">
        <v>2025</v>
      </c>
      <c r="D917">
        <v>9</v>
      </c>
      <c r="E917" s="2" t="s">
        <v>8456</v>
      </c>
      <c r="F917" s="2" t="s">
        <v>8457</v>
      </c>
      <c r="G917" s="2" t="s">
        <v>8335</v>
      </c>
      <c r="H917" s="2" t="s">
        <v>22</v>
      </c>
      <c r="I917" s="2" t="s">
        <v>8336</v>
      </c>
      <c r="J917" s="2" t="s">
        <v>24</v>
      </c>
      <c r="K917">
        <v>10248.09</v>
      </c>
      <c r="L917">
        <v>1024809000</v>
      </c>
      <c r="M917" s="2" t="s">
        <v>8355</v>
      </c>
      <c r="N917" s="2" t="s">
        <v>8359</v>
      </c>
      <c r="O917" s="2" t="s">
        <v>9176</v>
      </c>
      <c r="P917" s="2" t="s">
        <v>175</v>
      </c>
      <c r="Q917" s="2" t="s">
        <v>8445</v>
      </c>
      <c r="R917" s="2" t="s">
        <v>30</v>
      </c>
    </row>
    <row r="918" spans="1:18">
      <c r="A918" s="1">
        <v>45901</v>
      </c>
      <c r="B918" s="1">
        <v>45901</v>
      </c>
      <c r="C918">
        <v>2025</v>
      </c>
      <c r="D918">
        <v>9</v>
      </c>
      <c r="E918" s="2" t="s">
        <v>8459</v>
      </c>
      <c r="F918" s="2" t="s">
        <v>8460</v>
      </c>
      <c r="G918" s="2" t="s">
        <v>8335</v>
      </c>
      <c r="H918" s="2" t="s">
        <v>22</v>
      </c>
      <c r="I918" s="2" t="s">
        <v>8336</v>
      </c>
      <c r="J918" s="2" t="s">
        <v>59</v>
      </c>
      <c r="K918">
        <v>11383.16</v>
      </c>
      <c r="L918">
        <v>1138316000</v>
      </c>
      <c r="M918" s="2" t="s">
        <v>8331</v>
      </c>
      <c r="N918" s="2" t="s">
        <v>8341</v>
      </c>
      <c r="O918" s="2" t="s">
        <v>9177</v>
      </c>
      <c r="P918" s="2" t="s">
        <v>175</v>
      </c>
      <c r="Q918" s="2" t="s">
        <v>8445</v>
      </c>
      <c r="R918" s="2" t="s">
        <v>30</v>
      </c>
    </row>
    <row r="919" spans="1:18">
      <c r="A919" s="1">
        <v>45901</v>
      </c>
      <c r="B919" s="1">
        <v>45901</v>
      </c>
      <c r="C919">
        <v>2025</v>
      </c>
      <c r="D919">
        <v>9</v>
      </c>
      <c r="E919" s="2" t="s">
        <v>8462</v>
      </c>
      <c r="F919" s="2" t="s">
        <v>8463</v>
      </c>
      <c r="G919" s="2" t="s">
        <v>8335</v>
      </c>
      <c r="H919" s="2" t="s">
        <v>22</v>
      </c>
      <c r="I919" s="2" t="s">
        <v>8409</v>
      </c>
      <c r="J919" s="2" t="s">
        <v>24</v>
      </c>
      <c r="K919">
        <v>14.6</v>
      </c>
      <c r="L919">
        <v>1460000</v>
      </c>
      <c r="M919" s="2" t="s">
        <v>8406</v>
      </c>
      <c r="N919" s="2" t="s">
        <v>8411</v>
      </c>
      <c r="O919" s="2" t="s">
        <v>9178</v>
      </c>
      <c r="P919" s="2" t="s">
        <v>175</v>
      </c>
      <c r="Q919" s="2" t="s">
        <v>8445</v>
      </c>
      <c r="R919" s="2" t="s">
        <v>30</v>
      </c>
    </row>
    <row r="920" spans="1:18">
      <c r="A920" s="1">
        <v>45901</v>
      </c>
      <c r="B920" s="1">
        <v>45901</v>
      </c>
      <c r="C920">
        <v>2025</v>
      </c>
      <c r="D920">
        <v>9</v>
      </c>
      <c r="E920" s="2" t="s">
        <v>8464</v>
      </c>
      <c r="F920" s="2" t="s">
        <v>8465</v>
      </c>
      <c r="G920" s="2" t="s">
        <v>8335</v>
      </c>
      <c r="H920" s="2" t="s">
        <v>22</v>
      </c>
      <c r="I920" s="2" t="s">
        <v>8417</v>
      </c>
      <c r="J920" s="2" t="s">
        <v>24</v>
      </c>
      <c r="K920">
        <v>121.16</v>
      </c>
      <c r="L920">
        <v>12116000</v>
      </c>
      <c r="M920" s="2" t="s">
        <v>8414</v>
      </c>
      <c r="N920" s="2" t="s">
        <v>8419</v>
      </c>
      <c r="O920" s="2" t="s">
        <v>9179</v>
      </c>
      <c r="P920" s="2" t="s">
        <v>175</v>
      </c>
      <c r="Q920" s="2" t="s">
        <v>8445</v>
      </c>
      <c r="R920" s="2" t="s">
        <v>30</v>
      </c>
    </row>
    <row r="921" spans="1:18">
      <c r="A921" s="1">
        <v>45901</v>
      </c>
      <c r="B921" s="1">
        <v>45901</v>
      </c>
      <c r="C921">
        <v>2025</v>
      </c>
      <c r="D921">
        <v>9</v>
      </c>
      <c r="E921" s="2" t="s">
        <v>8467</v>
      </c>
      <c r="F921" s="2" t="s">
        <v>8468</v>
      </c>
      <c r="G921" s="2" t="s">
        <v>8335</v>
      </c>
      <c r="H921" s="2" t="s">
        <v>22</v>
      </c>
      <c r="I921" s="2" t="s">
        <v>8365</v>
      </c>
      <c r="J921" s="2" t="s">
        <v>24</v>
      </c>
      <c r="K921">
        <v>4701.45</v>
      </c>
      <c r="L921">
        <v>470145000</v>
      </c>
      <c r="M921" s="2" t="s">
        <v>8377</v>
      </c>
      <c r="N921" s="2" t="s">
        <v>8381</v>
      </c>
      <c r="O921" s="2" t="s">
        <v>9180</v>
      </c>
      <c r="P921" s="2" t="s">
        <v>175</v>
      </c>
      <c r="Q921" s="2" t="s">
        <v>8445</v>
      </c>
      <c r="R921" s="2" t="s">
        <v>30</v>
      </c>
    </row>
    <row r="922" spans="1:18">
      <c r="A922" s="1">
        <v>45901</v>
      </c>
      <c r="B922" s="1">
        <v>45901</v>
      </c>
      <c r="C922">
        <v>2025</v>
      </c>
      <c r="D922">
        <v>9</v>
      </c>
      <c r="E922" s="2" t="s">
        <v>8470</v>
      </c>
      <c r="F922" s="2" t="s">
        <v>8471</v>
      </c>
      <c r="G922" s="2" t="s">
        <v>8335</v>
      </c>
      <c r="H922" s="2" t="s">
        <v>22</v>
      </c>
      <c r="I922" s="2" t="s">
        <v>8365</v>
      </c>
      <c r="J922" s="2" t="s">
        <v>59</v>
      </c>
      <c r="K922">
        <v>16180.4</v>
      </c>
      <c r="L922">
        <v>1618040000</v>
      </c>
      <c r="M922" s="2" t="s">
        <v>8362</v>
      </c>
      <c r="N922" s="2" t="s">
        <v>8367</v>
      </c>
      <c r="O922" s="2" t="s">
        <v>9181</v>
      </c>
      <c r="P922" s="2" t="s">
        <v>175</v>
      </c>
      <c r="Q922" s="2" t="s">
        <v>8445</v>
      </c>
      <c r="R922" s="2" t="s">
        <v>30</v>
      </c>
    </row>
    <row r="923" spans="1:18">
      <c r="A923" s="1">
        <v>45901</v>
      </c>
      <c r="B923" s="1">
        <v>45901</v>
      </c>
      <c r="C923">
        <v>2025</v>
      </c>
      <c r="D923">
        <v>9</v>
      </c>
      <c r="E923" s="2" t="s">
        <v>8473</v>
      </c>
      <c r="F923" s="2" t="s">
        <v>8474</v>
      </c>
      <c r="G923" s="2" t="s">
        <v>8335</v>
      </c>
      <c r="H923" s="2" t="s">
        <v>22</v>
      </c>
      <c r="I923" s="2" t="s">
        <v>8365</v>
      </c>
      <c r="J923" s="2" t="s">
        <v>24</v>
      </c>
      <c r="K923">
        <v>11478.95</v>
      </c>
      <c r="L923">
        <v>1147895000</v>
      </c>
      <c r="M923" s="2" t="s">
        <v>8370</v>
      </c>
      <c r="N923" s="2" t="s">
        <v>8374</v>
      </c>
      <c r="O923" s="2" t="s">
        <v>9182</v>
      </c>
      <c r="P923" s="2" t="s">
        <v>175</v>
      </c>
      <c r="Q923" s="2" t="s">
        <v>8445</v>
      </c>
      <c r="R923" s="2" t="s">
        <v>30</v>
      </c>
    </row>
    <row r="924" spans="1:18">
      <c r="A924" s="1">
        <v>45901</v>
      </c>
      <c r="B924" s="1">
        <v>45901</v>
      </c>
      <c r="C924">
        <v>2025</v>
      </c>
      <c r="D924">
        <v>9</v>
      </c>
      <c r="E924" s="2" t="s">
        <v>7890</v>
      </c>
      <c r="F924" s="2" t="s">
        <v>7891</v>
      </c>
      <c r="G924" s="2" t="s">
        <v>8335</v>
      </c>
      <c r="H924" s="2" t="s">
        <v>22</v>
      </c>
      <c r="I924" s="2" t="s">
        <v>8417</v>
      </c>
      <c r="J924" s="2" t="s">
        <v>24</v>
      </c>
      <c r="K924">
        <v>7089.75</v>
      </c>
      <c r="L924">
        <v>708975000</v>
      </c>
      <c r="M924" s="2" t="s">
        <v>7889</v>
      </c>
      <c r="N924" s="2" t="s">
        <v>7911</v>
      </c>
      <c r="O924" s="2" t="s">
        <v>9183</v>
      </c>
      <c r="P924" s="2" t="s">
        <v>7975</v>
      </c>
      <c r="Q924" s="2" t="s">
        <v>8967</v>
      </c>
      <c r="R924" s="2" t="s">
        <v>9184</v>
      </c>
    </row>
    <row r="925" spans="1:18">
      <c r="A925" s="1">
        <v>45931</v>
      </c>
      <c r="B925" s="1">
        <v>45931</v>
      </c>
      <c r="C925">
        <v>2025</v>
      </c>
      <c r="D925">
        <v>10</v>
      </c>
      <c r="E925" s="2" t="s">
        <v>8443</v>
      </c>
      <c r="F925" s="2" t="s">
        <v>8444</v>
      </c>
      <c r="G925" s="2" t="s">
        <v>8335</v>
      </c>
      <c r="H925" s="2" t="s">
        <v>22</v>
      </c>
      <c r="I925" s="2" t="s">
        <v>8387</v>
      </c>
      <c r="J925" s="2" t="s">
        <v>24</v>
      </c>
      <c r="K925">
        <v>2.13</v>
      </c>
      <c r="L925">
        <v>213000</v>
      </c>
      <c r="M925" s="2" t="s">
        <v>8392</v>
      </c>
      <c r="N925" s="2" t="s">
        <v>8396</v>
      </c>
      <c r="O925" s="2" t="s">
        <v>2955</v>
      </c>
      <c r="P925" s="2" t="s">
        <v>175</v>
      </c>
      <c r="Q925" s="2" t="s">
        <v>8445</v>
      </c>
      <c r="R925" s="2" t="s">
        <v>30</v>
      </c>
    </row>
    <row r="926" spans="1:18">
      <c r="A926" s="1">
        <v>45931</v>
      </c>
      <c r="B926" s="1">
        <v>45931</v>
      </c>
      <c r="C926">
        <v>2025</v>
      </c>
      <c r="D926">
        <v>10</v>
      </c>
      <c r="E926" s="2" t="s">
        <v>8446</v>
      </c>
      <c r="F926" s="2" t="s">
        <v>8447</v>
      </c>
      <c r="G926" s="2" t="s">
        <v>8335</v>
      </c>
      <c r="H926" s="2" t="s">
        <v>22</v>
      </c>
      <c r="I926" s="2" t="s">
        <v>8387</v>
      </c>
      <c r="J926" s="2" t="s">
        <v>59</v>
      </c>
      <c r="K926">
        <v>2.5</v>
      </c>
      <c r="L926">
        <v>250000</v>
      </c>
      <c r="M926" s="2" t="s">
        <v>8384</v>
      </c>
      <c r="N926" s="2" t="s">
        <v>8389</v>
      </c>
      <c r="O926" s="2" t="s">
        <v>9185</v>
      </c>
      <c r="P926" s="2" t="s">
        <v>175</v>
      </c>
      <c r="Q926" s="2" t="s">
        <v>8445</v>
      </c>
      <c r="R926" s="2" t="s">
        <v>30</v>
      </c>
    </row>
    <row r="927" spans="1:18">
      <c r="A927" s="1">
        <v>45931</v>
      </c>
      <c r="B927" s="1">
        <v>45931</v>
      </c>
      <c r="C927">
        <v>2025</v>
      </c>
      <c r="D927">
        <v>10</v>
      </c>
      <c r="E927" s="2" t="s">
        <v>8448</v>
      </c>
      <c r="F927" s="2" t="s">
        <v>8449</v>
      </c>
      <c r="G927" s="2" t="s">
        <v>8335</v>
      </c>
      <c r="H927" s="2" t="s">
        <v>22</v>
      </c>
      <c r="I927" s="2" t="s">
        <v>8387</v>
      </c>
      <c r="J927" s="2" t="s">
        <v>24</v>
      </c>
      <c r="K927">
        <v>0.37</v>
      </c>
      <c r="L927">
        <v>37000</v>
      </c>
      <c r="M927" s="2" t="s">
        <v>8399</v>
      </c>
      <c r="N927" s="2" t="s">
        <v>8403</v>
      </c>
      <c r="O927" s="2" t="s">
        <v>668</v>
      </c>
      <c r="P927" s="2" t="s">
        <v>175</v>
      </c>
      <c r="Q927" s="2" t="s">
        <v>8445</v>
      </c>
      <c r="R927" s="2" t="s">
        <v>30</v>
      </c>
    </row>
    <row r="928" spans="1:18">
      <c r="A928" s="1">
        <v>45931</v>
      </c>
      <c r="B928" s="1">
        <v>45931</v>
      </c>
      <c r="C928">
        <v>2025</v>
      </c>
      <c r="D928">
        <v>10</v>
      </c>
      <c r="E928" s="2" t="s">
        <v>8450</v>
      </c>
      <c r="F928" s="2" t="s">
        <v>8451</v>
      </c>
      <c r="G928" s="2" t="s">
        <v>8335</v>
      </c>
      <c r="H928" s="2" t="s">
        <v>22</v>
      </c>
      <c r="I928" s="2" t="s">
        <v>8417</v>
      </c>
      <c r="J928" s="2" t="s">
        <v>24</v>
      </c>
      <c r="K928">
        <v>60.48</v>
      </c>
      <c r="L928">
        <v>6048000</v>
      </c>
      <c r="M928" s="2" t="s">
        <v>8422</v>
      </c>
      <c r="N928" s="2" t="s">
        <v>8426</v>
      </c>
      <c r="O928" s="2" t="s">
        <v>9186</v>
      </c>
      <c r="P928" s="2" t="s">
        <v>175</v>
      </c>
      <c r="Q928" s="2" t="s">
        <v>8445</v>
      </c>
      <c r="R928" s="2" t="s">
        <v>30</v>
      </c>
    </row>
    <row r="929" spans="1:18">
      <c r="A929" s="1">
        <v>45931</v>
      </c>
      <c r="B929" s="1">
        <v>45931</v>
      </c>
      <c r="C929">
        <v>2025</v>
      </c>
      <c r="D929">
        <v>10</v>
      </c>
      <c r="E929" s="2" t="s">
        <v>8453</v>
      </c>
      <c r="F929" s="2" t="s">
        <v>8454</v>
      </c>
      <c r="G929" s="2" t="s">
        <v>8335</v>
      </c>
      <c r="H929" s="2" t="s">
        <v>22</v>
      </c>
      <c r="I929" s="2" t="s">
        <v>8336</v>
      </c>
      <c r="J929" s="2" t="s">
        <v>24</v>
      </c>
      <c r="K929">
        <v>1141.3399999999999</v>
      </c>
      <c r="L929">
        <v>114134000</v>
      </c>
      <c r="M929" s="2" t="s">
        <v>8348</v>
      </c>
      <c r="N929" s="2" t="s">
        <v>8352</v>
      </c>
      <c r="O929" s="2" t="s">
        <v>9187</v>
      </c>
      <c r="P929" s="2" t="s">
        <v>175</v>
      </c>
      <c r="Q929" s="2" t="s">
        <v>8445</v>
      </c>
      <c r="R929" s="2" t="s">
        <v>30</v>
      </c>
    </row>
    <row r="930" spans="1:18">
      <c r="A930" s="1">
        <v>45931</v>
      </c>
      <c r="B930" s="1">
        <v>45931</v>
      </c>
      <c r="C930">
        <v>2025</v>
      </c>
      <c r="D930">
        <v>10</v>
      </c>
      <c r="E930" s="2" t="s">
        <v>8456</v>
      </c>
      <c r="F930" s="2" t="s">
        <v>8457</v>
      </c>
      <c r="G930" s="2" t="s">
        <v>8335</v>
      </c>
      <c r="H930" s="2" t="s">
        <v>22</v>
      </c>
      <c r="I930" s="2" t="s">
        <v>8336</v>
      </c>
      <c r="J930" s="2" t="s">
        <v>24</v>
      </c>
      <c r="K930">
        <v>10271.5</v>
      </c>
      <c r="L930">
        <v>1027150000</v>
      </c>
      <c r="M930" s="2" t="s">
        <v>8355</v>
      </c>
      <c r="N930" s="2" t="s">
        <v>8359</v>
      </c>
      <c r="O930" s="2" t="s">
        <v>9188</v>
      </c>
      <c r="P930" s="2" t="s">
        <v>175</v>
      </c>
      <c r="Q930" s="2" t="s">
        <v>8445</v>
      </c>
      <c r="R930" s="2" t="s">
        <v>30</v>
      </c>
    </row>
    <row r="931" spans="1:18">
      <c r="A931" s="1">
        <v>45931</v>
      </c>
      <c r="B931" s="1">
        <v>45931</v>
      </c>
      <c r="C931">
        <v>2025</v>
      </c>
      <c r="D931">
        <v>10</v>
      </c>
      <c r="E931" s="2" t="s">
        <v>8459</v>
      </c>
      <c r="F931" s="2" t="s">
        <v>8460</v>
      </c>
      <c r="G931" s="2" t="s">
        <v>8335</v>
      </c>
      <c r="H931" s="2" t="s">
        <v>22</v>
      </c>
      <c r="I931" s="2" t="s">
        <v>8336</v>
      </c>
      <c r="J931" s="2" t="s">
        <v>59</v>
      </c>
      <c r="K931">
        <v>11412.84</v>
      </c>
      <c r="L931">
        <v>1141284000</v>
      </c>
      <c r="M931" s="2" t="s">
        <v>8331</v>
      </c>
      <c r="N931" s="2" t="s">
        <v>8341</v>
      </c>
      <c r="O931" s="2" t="s">
        <v>9189</v>
      </c>
      <c r="P931" s="2" t="s">
        <v>175</v>
      </c>
      <c r="Q931" s="2" t="s">
        <v>8445</v>
      </c>
      <c r="R931" s="2" t="s">
        <v>30</v>
      </c>
    </row>
    <row r="932" spans="1:18">
      <c r="A932" s="1">
        <v>45931</v>
      </c>
      <c r="B932" s="1">
        <v>45931</v>
      </c>
      <c r="C932">
        <v>2025</v>
      </c>
      <c r="D932">
        <v>10</v>
      </c>
      <c r="E932" s="2" t="s">
        <v>8462</v>
      </c>
      <c r="F932" s="2" t="s">
        <v>8463</v>
      </c>
      <c r="G932" s="2" t="s">
        <v>8335</v>
      </c>
      <c r="H932" s="2" t="s">
        <v>22</v>
      </c>
      <c r="I932" s="2" t="s">
        <v>8409</v>
      </c>
      <c r="J932" s="2" t="s">
        <v>24</v>
      </c>
      <c r="K932">
        <v>14.65</v>
      </c>
      <c r="L932">
        <v>1465000</v>
      </c>
      <c r="M932" s="2" t="s">
        <v>8406</v>
      </c>
      <c r="N932" s="2" t="s">
        <v>8411</v>
      </c>
      <c r="O932" s="2" t="s">
        <v>9190</v>
      </c>
      <c r="P932" s="2" t="s">
        <v>175</v>
      </c>
      <c r="Q932" s="2" t="s">
        <v>8445</v>
      </c>
      <c r="R932" s="2" t="s">
        <v>30</v>
      </c>
    </row>
    <row r="933" spans="1:18">
      <c r="A933" s="1">
        <v>45931</v>
      </c>
      <c r="B933" s="1">
        <v>45931</v>
      </c>
      <c r="C933">
        <v>2025</v>
      </c>
      <c r="D933">
        <v>10</v>
      </c>
      <c r="E933" s="2" t="s">
        <v>8464</v>
      </c>
      <c r="F933" s="2" t="s">
        <v>8465</v>
      </c>
      <c r="G933" s="2" t="s">
        <v>8335</v>
      </c>
      <c r="H933" s="2" t="s">
        <v>22</v>
      </c>
      <c r="I933" s="2" t="s">
        <v>8417</v>
      </c>
      <c r="J933" s="2" t="s">
        <v>24</v>
      </c>
      <c r="K933">
        <v>123.08</v>
      </c>
      <c r="L933">
        <v>12308000</v>
      </c>
      <c r="M933" s="2" t="s">
        <v>8414</v>
      </c>
      <c r="N933" s="2" t="s">
        <v>8419</v>
      </c>
      <c r="O933" s="2" t="s">
        <v>9191</v>
      </c>
      <c r="P933" s="2" t="s">
        <v>175</v>
      </c>
      <c r="Q933" s="2" t="s">
        <v>8445</v>
      </c>
      <c r="R933" s="2" t="s">
        <v>30</v>
      </c>
    </row>
    <row r="934" spans="1:18">
      <c r="A934" s="1">
        <v>45931</v>
      </c>
      <c r="B934" s="1">
        <v>45931</v>
      </c>
      <c r="C934">
        <v>2025</v>
      </c>
      <c r="D934">
        <v>10</v>
      </c>
      <c r="E934" s="2" t="s">
        <v>8467</v>
      </c>
      <c r="F934" s="2" t="s">
        <v>8468</v>
      </c>
      <c r="G934" s="2" t="s">
        <v>8335</v>
      </c>
      <c r="H934" s="2" t="s">
        <v>22</v>
      </c>
      <c r="I934" s="2" t="s">
        <v>8365</v>
      </c>
      <c r="J934" s="2" t="s">
        <v>24</v>
      </c>
      <c r="K934">
        <v>4717.28</v>
      </c>
      <c r="L934">
        <v>471728000</v>
      </c>
      <c r="M934" s="2" t="s">
        <v>8377</v>
      </c>
      <c r="N934" s="2" t="s">
        <v>8381</v>
      </c>
      <c r="O934" s="2" t="s">
        <v>9192</v>
      </c>
      <c r="P934" s="2" t="s">
        <v>175</v>
      </c>
      <c r="Q934" s="2" t="s">
        <v>8445</v>
      </c>
      <c r="R934" s="2" t="s">
        <v>30</v>
      </c>
    </row>
    <row r="935" spans="1:18">
      <c r="A935" s="1">
        <v>45931</v>
      </c>
      <c r="B935" s="1">
        <v>45931</v>
      </c>
      <c r="C935">
        <v>2025</v>
      </c>
      <c r="D935">
        <v>10</v>
      </c>
      <c r="E935" s="2" t="s">
        <v>8470</v>
      </c>
      <c r="F935" s="2" t="s">
        <v>8471</v>
      </c>
      <c r="G935" s="2" t="s">
        <v>8335</v>
      </c>
      <c r="H935" s="2" t="s">
        <v>22</v>
      </c>
      <c r="I935" s="2" t="s">
        <v>8365</v>
      </c>
      <c r="J935" s="2" t="s">
        <v>59</v>
      </c>
      <c r="K935">
        <v>17710.95</v>
      </c>
      <c r="L935">
        <v>1771095000</v>
      </c>
      <c r="M935" s="2" t="s">
        <v>8362</v>
      </c>
      <c r="N935" s="2" t="s">
        <v>8367</v>
      </c>
      <c r="O935" s="2" t="s">
        <v>9193</v>
      </c>
      <c r="P935" s="2" t="s">
        <v>175</v>
      </c>
      <c r="Q935" s="2" t="s">
        <v>8445</v>
      </c>
      <c r="R935" s="2" t="s">
        <v>30</v>
      </c>
    </row>
    <row r="936" spans="1:18">
      <c r="A936" s="1">
        <v>45931</v>
      </c>
      <c r="B936" s="1">
        <v>45931</v>
      </c>
      <c r="C936">
        <v>2025</v>
      </c>
      <c r="D936">
        <v>10</v>
      </c>
      <c r="E936" s="2" t="s">
        <v>8473</v>
      </c>
      <c r="F936" s="2" t="s">
        <v>8474</v>
      </c>
      <c r="G936" s="2" t="s">
        <v>8335</v>
      </c>
      <c r="H936" s="2" t="s">
        <v>22</v>
      </c>
      <c r="I936" s="2" t="s">
        <v>8365</v>
      </c>
      <c r="J936" s="2" t="s">
        <v>24</v>
      </c>
      <c r="K936">
        <v>12993.66</v>
      </c>
      <c r="L936">
        <v>1299366000</v>
      </c>
      <c r="M936" s="2" t="s">
        <v>8370</v>
      </c>
      <c r="N936" s="2" t="s">
        <v>8374</v>
      </c>
      <c r="O936" s="2" t="s">
        <v>9194</v>
      </c>
      <c r="P936" s="2" t="s">
        <v>175</v>
      </c>
      <c r="Q936" s="2" t="s">
        <v>8445</v>
      </c>
      <c r="R936" s="2" t="s">
        <v>30</v>
      </c>
    </row>
    <row r="937" spans="1:18">
      <c r="A937" s="1">
        <v>45931</v>
      </c>
      <c r="B937" s="1">
        <v>45931</v>
      </c>
      <c r="C937">
        <v>2025</v>
      </c>
      <c r="D937">
        <v>10</v>
      </c>
      <c r="E937" s="2" t="s">
        <v>7890</v>
      </c>
      <c r="F937" s="2" t="s">
        <v>7891</v>
      </c>
      <c r="G937" s="2" t="s">
        <v>8335</v>
      </c>
      <c r="H937" s="2" t="s">
        <v>22</v>
      </c>
      <c r="I937" s="2" t="s">
        <v>8417</v>
      </c>
      <c r="J937" s="2" t="s">
        <v>24</v>
      </c>
      <c r="K937">
        <v>7174.34</v>
      </c>
      <c r="L937">
        <v>717434000</v>
      </c>
      <c r="M937" s="2" t="s">
        <v>7889</v>
      </c>
      <c r="N937" s="2" t="s">
        <v>7911</v>
      </c>
      <c r="O937" s="2" t="s">
        <v>9195</v>
      </c>
      <c r="P937" s="2" t="s">
        <v>7978</v>
      </c>
      <c r="Q937" s="2" t="s">
        <v>8967</v>
      </c>
      <c r="R937" s="2" t="s">
        <v>9196</v>
      </c>
    </row>
    <row r="938" spans="1:18">
      <c r="A938" s="1">
        <v>45962</v>
      </c>
      <c r="B938" s="1">
        <v>45962</v>
      </c>
      <c r="C938">
        <v>2025</v>
      </c>
      <c r="D938">
        <v>11</v>
      </c>
      <c r="E938" s="2" t="s">
        <v>8443</v>
      </c>
      <c r="F938" s="2" t="s">
        <v>8444</v>
      </c>
      <c r="G938" s="2" t="s">
        <v>8335</v>
      </c>
      <c r="H938" s="2" t="s">
        <v>22</v>
      </c>
      <c r="I938" s="2" t="s">
        <v>8387</v>
      </c>
      <c r="J938" s="2" t="s">
        <v>24</v>
      </c>
      <c r="K938">
        <v>2.13</v>
      </c>
      <c r="L938">
        <v>213000</v>
      </c>
      <c r="M938" s="2" t="s">
        <v>8392</v>
      </c>
      <c r="N938" s="2" t="s">
        <v>8396</v>
      </c>
      <c r="O938" s="2" t="s">
        <v>2955</v>
      </c>
      <c r="P938" s="2" t="s">
        <v>175</v>
      </c>
      <c r="Q938" s="2" t="s">
        <v>8445</v>
      </c>
      <c r="R938" s="2" t="s">
        <v>30</v>
      </c>
    </row>
    <row r="939" spans="1:18">
      <c r="A939" s="1">
        <v>45962</v>
      </c>
      <c r="B939" s="1">
        <v>45962</v>
      </c>
      <c r="C939">
        <v>2025</v>
      </c>
      <c r="D939">
        <v>11</v>
      </c>
      <c r="E939" s="2" t="s">
        <v>8446</v>
      </c>
      <c r="F939" s="2" t="s">
        <v>8447</v>
      </c>
      <c r="G939" s="2" t="s">
        <v>8335</v>
      </c>
      <c r="H939" s="2" t="s">
        <v>22</v>
      </c>
      <c r="I939" s="2" t="s">
        <v>8387</v>
      </c>
      <c r="J939" s="2" t="s">
        <v>59</v>
      </c>
      <c r="K939">
        <v>2.5099999999999998</v>
      </c>
      <c r="L939">
        <v>251000</v>
      </c>
      <c r="M939" s="2" t="s">
        <v>8384</v>
      </c>
      <c r="N939" s="2" t="s">
        <v>8389</v>
      </c>
      <c r="O939" s="2" t="s">
        <v>1090</v>
      </c>
      <c r="P939" s="2" t="s">
        <v>175</v>
      </c>
      <c r="Q939" s="2" t="s">
        <v>8445</v>
      </c>
      <c r="R939" s="2" t="s">
        <v>30</v>
      </c>
    </row>
    <row r="940" spans="1:18">
      <c r="A940" s="1">
        <v>45962</v>
      </c>
      <c r="B940" s="1">
        <v>45962</v>
      </c>
      <c r="C940">
        <v>2025</v>
      </c>
      <c r="D940">
        <v>11</v>
      </c>
      <c r="E940" s="2" t="s">
        <v>8448</v>
      </c>
      <c r="F940" s="2" t="s">
        <v>8449</v>
      </c>
      <c r="G940" s="2" t="s">
        <v>8335</v>
      </c>
      <c r="H940" s="2" t="s">
        <v>22</v>
      </c>
      <c r="I940" s="2" t="s">
        <v>8387</v>
      </c>
      <c r="J940" s="2" t="s">
        <v>24</v>
      </c>
      <c r="K940">
        <v>0.37</v>
      </c>
      <c r="L940">
        <v>37000</v>
      </c>
      <c r="M940" s="2" t="s">
        <v>8399</v>
      </c>
      <c r="N940" s="2" t="s">
        <v>8403</v>
      </c>
      <c r="O940" s="2" t="s">
        <v>668</v>
      </c>
      <c r="P940" s="2" t="s">
        <v>175</v>
      </c>
      <c r="Q940" s="2" t="s">
        <v>8445</v>
      </c>
      <c r="R940" s="2" t="s">
        <v>30</v>
      </c>
    </row>
    <row r="941" spans="1:18">
      <c r="A941" s="1">
        <v>45962</v>
      </c>
      <c r="B941" s="1">
        <v>45962</v>
      </c>
      <c r="C941">
        <v>2025</v>
      </c>
      <c r="D941">
        <v>11</v>
      </c>
      <c r="E941" s="2" t="s">
        <v>8450</v>
      </c>
      <c r="F941" s="2" t="s">
        <v>8451</v>
      </c>
      <c r="G941" s="2" t="s">
        <v>8335</v>
      </c>
      <c r="H941" s="2" t="s">
        <v>22</v>
      </c>
      <c r="I941" s="2" t="s">
        <v>8417</v>
      </c>
      <c r="J941" s="2" t="s">
        <v>24</v>
      </c>
      <c r="K941">
        <v>59.53</v>
      </c>
      <c r="L941">
        <v>5953000</v>
      </c>
      <c r="M941" s="2" t="s">
        <v>8422</v>
      </c>
      <c r="N941" s="2" t="s">
        <v>8426</v>
      </c>
      <c r="O941" s="2" t="s">
        <v>9197</v>
      </c>
      <c r="P941" s="2" t="s">
        <v>175</v>
      </c>
      <c r="Q941" s="2" t="s">
        <v>8445</v>
      </c>
      <c r="R941" s="2" t="s">
        <v>30</v>
      </c>
    </row>
    <row r="942" spans="1:18">
      <c r="A942" s="1">
        <v>45962</v>
      </c>
      <c r="B942" s="1">
        <v>45962</v>
      </c>
      <c r="C942">
        <v>2025</v>
      </c>
      <c r="D942">
        <v>11</v>
      </c>
      <c r="E942" s="2" t="s">
        <v>8453</v>
      </c>
      <c r="F942" s="2" t="s">
        <v>8454</v>
      </c>
      <c r="G942" s="2" t="s">
        <v>8335</v>
      </c>
      <c r="H942" s="2" t="s">
        <v>22</v>
      </c>
      <c r="I942" s="2" t="s">
        <v>8336</v>
      </c>
      <c r="J942" s="2" t="s">
        <v>24</v>
      </c>
      <c r="K942">
        <v>1150.02</v>
      </c>
      <c r="L942">
        <v>115002000</v>
      </c>
      <c r="M942" s="2" t="s">
        <v>8348</v>
      </c>
      <c r="N942" s="2" t="s">
        <v>8352</v>
      </c>
      <c r="O942" s="2" t="s">
        <v>9198</v>
      </c>
      <c r="P942" s="2" t="s">
        <v>175</v>
      </c>
      <c r="Q942" s="2" t="s">
        <v>8445</v>
      </c>
      <c r="R942" s="2" t="s">
        <v>30</v>
      </c>
    </row>
    <row r="943" spans="1:18">
      <c r="A943" s="1">
        <v>45962</v>
      </c>
      <c r="B943" s="1">
        <v>45962</v>
      </c>
      <c r="C943">
        <v>2025</v>
      </c>
      <c r="D943">
        <v>11</v>
      </c>
      <c r="E943" s="2" t="s">
        <v>8456</v>
      </c>
      <c r="F943" s="2" t="s">
        <v>8457</v>
      </c>
      <c r="G943" s="2" t="s">
        <v>8335</v>
      </c>
      <c r="H943" s="2" t="s">
        <v>22</v>
      </c>
      <c r="I943" s="2" t="s">
        <v>8336</v>
      </c>
      <c r="J943" s="2" t="s">
        <v>24</v>
      </c>
      <c r="K943">
        <v>10317.030000000001</v>
      </c>
      <c r="L943">
        <v>1031703000</v>
      </c>
      <c r="M943" s="2" t="s">
        <v>8355</v>
      </c>
      <c r="N943" s="2" t="s">
        <v>8359</v>
      </c>
      <c r="O943" s="2" t="s">
        <v>9199</v>
      </c>
      <c r="P943" s="2" t="s">
        <v>175</v>
      </c>
      <c r="Q943" s="2" t="s">
        <v>8445</v>
      </c>
      <c r="R943" s="2" t="s">
        <v>30</v>
      </c>
    </row>
    <row r="944" spans="1:18">
      <c r="A944" s="1">
        <v>45962</v>
      </c>
      <c r="B944" s="1">
        <v>45962</v>
      </c>
      <c r="C944">
        <v>2025</v>
      </c>
      <c r="D944">
        <v>11</v>
      </c>
      <c r="E944" s="2" t="s">
        <v>8459</v>
      </c>
      <c r="F944" s="2" t="s">
        <v>8460</v>
      </c>
      <c r="G944" s="2" t="s">
        <v>8335</v>
      </c>
      <c r="H944" s="2" t="s">
        <v>22</v>
      </c>
      <c r="I944" s="2" t="s">
        <v>8336</v>
      </c>
      <c r="J944" s="2" t="s">
        <v>59</v>
      </c>
      <c r="K944">
        <v>11467.05</v>
      </c>
      <c r="L944">
        <v>1146705000</v>
      </c>
      <c r="M944" s="2" t="s">
        <v>8331</v>
      </c>
      <c r="N944" s="2" t="s">
        <v>8341</v>
      </c>
      <c r="O944" s="2" t="s">
        <v>9200</v>
      </c>
      <c r="P944" s="2" t="s">
        <v>175</v>
      </c>
      <c r="Q944" s="2" t="s">
        <v>8445</v>
      </c>
      <c r="R944" s="2" t="s">
        <v>30</v>
      </c>
    </row>
    <row r="945" spans="1:18">
      <c r="A945" s="1">
        <v>45962</v>
      </c>
      <c r="B945" s="1">
        <v>45962</v>
      </c>
      <c r="C945">
        <v>2025</v>
      </c>
      <c r="D945">
        <v>11</v>
      </c>
      <c r="E945" s="2" t="s">
        <v>8462</v>
      </c>
      <c r="F945" s="2" t="s">
        <v>8463</v>
      </c>
      <c r="G945" s="2" t="s">
        <v>8335</v>
      </c>
      <c r="H945" s="2" t="s">
        <v>22</v>
      </c>
      <c r="I945" s="2" t="s">
        <v>8409</v>
      </c>
      <c r="J945" s="2" t="s">
        <v>24</v>
      </c>
      <c r="K945">
        <v>14.27</v>
      </c>
      <c r="L945">
        <v>1427000</v>
      </c>
      <c r="M945" s="2" t="s">
        <v>8406</v>
      </c>
      <c r="N945" s="2" t="s">
        <v>8411</v>
      </c>
      <c r="O945" s="2" t="s">
        <v>1429</v>
      </c>
      <c r="P945" s="2" t="s">
        <v>175</v>
      </c>
      <c r="Q945" s="2" t="s">
        <v>8445</v>
      </c>
      <c r="R945" s="2" t="s">
        <v>30</v>
      </c>
    </row>
    <row r="946" spans="1:18">
      <c r="A946" s="1">
        <v>45962</v>
      </c>
      <c r="B946" s="1">
        <v>45962</v>
      </c>
      <c r="C946">
        <v>2025</v>
      </c>
      <c r="D946">
        <v>11</v>
      </c>
      <c r="E946" s="2" t="s">
        <v>8464</v>
      </c>
      <c r="F946" s="2" t="s">
        <v>8465</v>
      </c>
      <c r="G946" s="2" t="s">
        <v>8335</v>
      </c>
      <c r="H946" s="2" t="s">
        <v>22</v>
      </c>
      <c r="I946" s="2" t="s">
        <v>8417</v>
      </c>
      <c r="J946" s="2" t="s">
        <v>24</v>
      </c>
      <c r="K946">
        <v>112.53</v>
      </c>
      <c r="L946">
        <v>11253000</v>
      </c>
      <c r="M946" s="2" t="s">
        <v>8414</v>
      </c>
      <c r="N946" s="2" t="s">
        <v>8419</v>
      </c>
      <c r="O946" s="2" t="s">
        <v>9201</v>
      </c>
      <c r="P946" s="2" t="s">
        <v>175</v>
      </c>
      <c r="Q946" s="2" t="s">
        <v>8445</v>
      </c>
      <c r="R946" s="2" t="s">
        <v>30</v>
      </c>
    </row>
    <row r="947" spans="1:18">
      <c r="A947" s="1">
        <v>45962</v>
      </c>
      <c r="B947" s="1">
        <v>45962</v>
      </c>
      <c r="C947">
        <v>2025</v>
      </c>
      <c r="D947">
        <v>11</v>
      </c>
      <c r="E947" s="2" t="s">
        <v>8467</v>
      </c>
      <c r="F947" s="2" t="s">
        <v>8468</v>
      </c>
      <c r="G947" s="2" t="s">
        <v>8335</v>
      </c>
      <c r="H947" s="2" t="s">
        <v>22</v>
      </c>
      <c r="I947" s="2" t="s">
        <v>8365</v>
      </c>
      <c r="J947" s="2" t="s">
        <v>24</v>
      </c>
      <c r="K947">
        <v>4696.95</v>
      </c>
      <c r="L947">
        <v>469695000</v>
      </c>
      <c r="M947" s="2" t="s">
        <v>8377</v>
      </c>
      <c r="N947" s="2" t="s">
        <v>8381</v>
      </c>
      <c r="O947" s="2" t="s">
        <v>9202</v>
      </c>
      <c r="P947" s="2" t="s">
        <v>175</v>
      </c>
      <c r="Q947" s="2" t="s">
        <v>8445</v>
      </c>
      <c r="R947" s="2" t="s">
        <v>30</v>
      </c>
    </row>
    <row r="948" spans="1:18">
      <c r="A948" s="1">
        <v>45962</v>
      </c>
      <c r="B948" s="1">
        <v>45962</v>
      </c>
      <c r="C948">
        <v>2025</v>
      </c>
      <c r="D948">
        <v>11</v>
      </c>
      <c r="E948" s="2" t="s">
        <v>8470</v>
      </c>
      <c r="F948" s="2" t="s">
        <v>8471</v>
      </c>
      <c r="G948" s="2" t="s">
        <v>8335</v>
      </c>
      <c r="H948" s="2" t="s">
        <v>22</v>
      </c>
      <c r="I948" s="2" t="s">
        <v>8365</v>
      </c>
      <c r="J948" s="2" t="s">
        <v>59</v>
      </c>
      <c r="K948">
        <v>19107.13</v>
      </c>
      <c r="L948">
        <v>1910713000</v>
      </c>
      <c r="M948" s="2" t="s">
        <v>8362</v>
      </c>
      <c r="N948" s="2" t="s">
        <v>8367</v>
      </c>
      <c r="O948" s="2" t="s">
        <v>9203</v>
      </c>
      <c r="P948" s="2" t="s">
        <v>175</v>
      </c>
      <c r="Q948" s="2" t="s">
        <v>8445</v>
      </c>
      <c r="R948" s="2" t="s">
        <v>30</v>
      </c>
    </row>
    <row r="949" spans="1:18">
      <c r="A949" s="1">
        <v>45962</v>
      </c>
      <c r="B949" s="1">
        <v>45962</v>
      </c>
      <c r="C949">
        <v>2025</v>
      </c>
      <c r="D949">
        <v>11</v>
      </c>
      <c r="E949" s="2" t="s">
        <v>8473</v>
      </c>
      <c r="F949" s="2" t="s">
        <v>8474</v>
      </c>
      <c r="G949" s="2" t="s">
        <v>8335</v>
      </c>
      <c r="H949" s="2" t="s">
        <v>22</v>
      </c>
      <c r="I949" s="2" t="s">
        <v>8365</v>
      </c>
      <c r="J949" s="2" t="s">
        <v>24</v>
      </c>
      <c r="K949">
        <v>14410.18</v>
      </c>
      <c r="L949">
        <v>1441018000</v>
      </c>
      <c r="M949" s="2" t="s">
        <v>8370</v>
      </c>
      <c r="N949" s="2" t="s">
        <v>8374</v>
      </c>
      <c r="O949" s="2" t="s">
        <v>9204</v>
      </c>
      <c r="P949" s="2" t="s">
        <v>175</v>
      </c>
      <c r="Q949" s="2" t="s">
        <v>8445</v>
      </c>
      <c r="R949" s="2" t="s">
        <v>30</v>
      </c>
    </row>
    <row r="950" spans="1:18">
      <c r="A950" s="1">
        <v>45962</v>
      </c>
      <c r="B950" s="1">
        <v>45962</v>
      </c>
      <c r="C950">
        <v>2025</v>
      </c>
      <c r="D950">
        <v>11</v>
      </c>
      <c r="E950" s="2" t="s">
        <v>7890</v>
      </c>
      <c r="F950" s="2" t="s">
        <v>7891</v>
      </c>
      <c r="G950" s="2" t="s">
        <v>8335</v>
      </c>
      <c r="H950" s="2" t="s">
        <v>22</v>
      </c>
      <c r="I950" s="2" t="s">
        <v>8417</v>
      </c>
      <c r="J950" s="2" t="s">
        <v>24</v>
      </c>
      <c r="K950">
        <v>7282</v>
      </c>
      <c r="L950">
        <v>728200000</v>
      </c>
      <c r="M950" s="2" t="s">
        <v>7889</v>
      </c>
      <c r="N950" s="2" t="s">
        <v>7911</v>
      </c>
      <c r="O950" s="2" t="s">
        <v>9205</v>
      </c>
      <c r="P950" s="2" t="s">
        <v>7981</v>
      </c>
      <c r="Q950" s="2" t="s">
        <v>8967</v>
      </c>
      <c r="R950" s="2" t="s">
        <v>9206</v>
      </c>
    </row>
    <row r="951" spans="1:18">
      <c r="A951" s="1">
        <v>45992</v>
      </c>
      <c r="B951" s="1">
        <v>45992</v>
      </c>
      <c r="C951">
        <v>2025</v>
      </c>
      <c r="D951">
        <v>12</v>
      </c>
      <c r="E951" s="2" t="s">
        <v>8443</v>
      </c>
      <c r="F951" s="2" t="s">
        <v>8444</v>
      </c>
      <c r="G951" s="2" t="s">
        <v>8335</v>
      </c>
      <c r="H951" s="2" t="s">
        <v>22</v>
      </c>
      <c r="I951" s="2" t="s">
        <v>8387</v>
      </c>
      <c r="J951" s="2" t="s">
        <v>24</v>
      </c>
      <c r="K951">
        <v>2.13</v>
      </c>
      <c r="L951">
        <v>213000</v>
      </c>
      <c r="M951" s="2" t="s">
        <v>8392</v>
      </c>
      <c r="N951" s="2" t="s">
        <v>8396</v>
      </c>
      <c r="O951" s="2" t="s">
        <v>2955</v>
      </c>
      <c r="P951" s="2" t="s">
        <v>639</v>
      </c>
      <c r="Q951" s="2" t="s">
        <v>8445</v>
      </c>
      <c r="R951" s="2" t="s">
        <v>30</v>
      </c>
    </row>
    <row r="952" spans="1:18">
      <c r="A952" s="1">
        <v>45992</v>
      </c>
      <c r="B952" s="1">
        <v>45992</v>
      </c>
      <c r="C952">
        <v>2025</v>
      </c>
      <c r="D952">
        <v>12</v>
      </c>
      <c r="E952" s="2" t="s">
        <v>8446</v>
      </c>
      <c r="F952" s="2" t="s">
        <v>8447</v>
      </c>
      <c r="G952" s="2" t="s">
        <v>8335</v>
      </c>
      <c r="H952" s="2" t="s">
        <v>22</v>
      </c>
      <c r="I952" s="2" t="s">
        <v>8387</v>
      </c>
      <c r="J952" s="2" t="s">
        <v>59</v>
      </c>
      <c r="K952">
        <v>2.5</v>
      </c>
      <c r="L952">
        <v>250000</v>
      </c>
      <c r="M952" s="2" t="s">
        <v>8384</v>
      </c>
      <c r="N952" s="2" t="s">
        <v>8389</v>
      </c>
      <c r="O952" s="2" t="s">
        <v>9185</v>
      </c>
      <c r="P952" s="2" t="s">
        <v>175</v>
      </c>
      <c r="Q952" s="2" t="s">
        <v>8445</v>
      </c>
      <c r="R952" s="2" t="s">
        <v>30</v>
      </c>
    </row>
    <row r="953" spans="1:18">
      <c r="A953" s="1">
        <v>45992</v>
      </c>
      <c r="B953" s="1">
        <v>45992</v>
      </c>
      <c r="C953">
        <v>2025</v>
      </c>
      <c r="D953">
        <v>12</v>
      </c>
      <c r="E953" s="2" t="s">
        <v>8448</v>
      </c>
      <c r="F953" s="2" t="s">
        <v>8449</v>
      </c>
      <c r="G953" s="2" t="s">
        <v>8335</v>
      </c>
      <c r="H953" s="2" t="s">
        <v>22</v>
      </c>
      <c r="I953" s="2" t="s">
        <v>8387</v>
      </c>
      <c r="J953" s="2" t="s">
        <v>24</v>
      </c>
      <c r="K953">
        <v>0.37</v>
      </c>
      <c r="L953">
        <v>37000</v>
      </c>
      <c r="M953" s="2" t="s">
        <v>8399</v>
      </c>
      <c r="N953" s="2" t="s">
        <v>8403</v>
      </c>
      <c r="O953" s="2" t="s">
        <v>668</v>
      </c>
      <c r="P953" s="2" t="s">
        <v>639</v>
      </c>
      <c r="Q953" s="2" t="s">
        <v>8445</v>
      </c>
      <c r="R953" s="2" t="s">
        <v>30</v>
      </c>
    </row>
    <row r="954" spans="1:18">
      <c r="A954" s="1">
        <v>45992</v>
      </c>
      <c r="B954" s="1">
        <v>45992</v>
      </c>
      <c r="C954">
        <v>2025</v>
      </c>
      <c r="D954">
        <v>12</v>
      </c>
      <c r="E954" s="2" t="s">
        <v>8450</v>
      </c>
      <c r="F954" s="2" t="s">
        <v>8451</v>
      </c>
      <c r="G954" s="2" t="s">
        <v>8335</v>
      </c>
      <c r="H954" s="2" t="s">
        <v>22</v>
      </c>
      <c r="I954" s="2" t="s">
        <v>8417</v>
      </c>
      <c r="J954" s="2" t="s">
        <v>24</v>
      </c>
      <c r="K954">
        <v>58.9</v>
      </c>
      <c r="L954">
        <v>5890000</v>
      </c>
      <c r="M954" s="2" t="s">
        <v>8422</v>
      </c>
      <c r="N954" s="2" t="s">
        <v>8426</v>
      </c>
      <c r="O954" s="2" t="s">
        <v>9207</v>
      </c>
      <c r="P954" s="2" t="s">
        <v>639</v>
      </c>
      <c r="Q954" s="2" t="s">
        <v>8445</v>
      </c>
      <c r="R954" s="2" t="s">
        <v>30</v>
      </c>
    </row>
    <row r="955" spans="1:18">
      <c r="A955" s="1">
        <v>45992</v>
      </c>
      <c r="B955" s="1">
        <v>45992</v>
      </c>
      <c r="C955">
        <v>2025</v>
      </c>
      <c r="D955">
        <v>12</v>
      </c>
      <c r="E955" s="2" t="s">
        <v>8453</v>
      </c>
      <c r="F955" s="2" t="s">
        <v>8454</v>
      </c>
      <c r="G955" s="2" t="s">
        <v>8335</v>
      </c>
      <c r="H955" s="2" t="s">
        <v>22</v>
      </c>
      <c r="I955" s="2" t="s">
        <v>8336</v>
      </c>
      <c r="J955" s="2" t="s">
        <v>24</v>
      </c>
      <c r="K955">
        <v>1157.92</v>
      </c>
      <c r="L955">
        <v>115792000</v>
      </c>
      <c r="M955" s="2" t="s">
        <v>8348</v>
      </c>
      <c r="N955" s="2" t="s">
        <v>8352</v>
      </c>
      <c r="O955" s="2" t="s">
        <v>9208</v>
      </c>
      <c r="P955" s="2" t="s">
        <v>639</v>
      </c>
      <c r="Q955" s="2" t="s">
        <v>8445</v>
      </c>
      <c r="R955" s="2" t="s">
        <v>30</v>
      </c>
    </row>
    <row r="956" spans="1:18">
      <c r="A956" s="1">
        <v>45992</v>
      </c>
      <c r="B956" s="1">
        <v>45992</v>
      </c>
      <c r="C956">
        <v>2025</v>
      </c>
      <c r="D956">
        <v>12</v>
      </c>
      <c r="E956" s="2" t="s">
        <v>8456</v>
      </c>
      <c r="F956" s="2" t="s">
        <v>8457</v>
      </c>
      <c r="G956" s="2" t="s">
        <v>8335</v>
      </c>
      <c r="H956" s="2" t="s">
        <v>22</v>
      </c>
      <c r="I956" s="2" t="s">
        <v>8336</v>
      </c>
      <c r="J956" s="2" t="s">
        <v>24</v>
      </c>
      <c r="K956">
        <v>10343.459999999999</v>
      </c>
      <c r="L956">
        <v>1034346000</v>
      </c>
      <c r="M956" s="2" t="s">
        <v>8355</v>
      </c>
      <c r="N956" s="2" t="s">
        <v>8359</v>
      </c>
      <c r="O956" s="2" t="s">
        <v>9209</v>
      </c>
      <c r="P956" s="2" t="s">
        <v>639</v>
      </c>
      <c r="Q956" s="2" t="s">
        <v>8445</v>
      </c>
      <c r="R956" s="2" t="s">
        <v>30</v>
      </c>
    </row>
    <row r="957" spans="1:18">
      <c r="A957" s="1">
        <v>45992</v>
      </c>
      <c r="B957" s="1">
        <v>45992</v>
      </c>
      <c r="C957">
        <v>2025</v>
      </c>
      <c r="D957">
        <v>12</v>
      </c>
      <c r="E957" s="2" t="s">
        <v>8459</v>
      </c>
      <c r="F957" s="2" t="s">
        <v>8460</v>
      </c>
      <c r="G957" s="2" t="s">
        <v>8335</v>
      </c>
      <c r="H957" s="2" t="s">
        <v>22</v>
      </c>
      <c r="I957" s="2" t="s">
        <v>8336</v>
      </c>
      <c r="J957" s="2" t="s">
        <v>59</v>
      </c>
      <c r="K957">
        <v>11501.38</v>
      </c>
      <c r="L957">
        <v>1150138000</v>
      </c>
      <c r="M957" s="2" t="s">
        <v>8331</v>
      </c>
      <c r="N957" s="2" t="s">
        <v>8341</v>
      </c>
      <c r="O957" s="2" t="s">
        <v>9210</v>
      </c>
      <c r="P957" s="2" t="s">
        <v>175</v>
      </c>
      <c r="Q957" s="2" t="s">
        <v>8445</v>
      </c>
      <c r="R957" s="2" t="s">
        <v>30</v>
      </c>
    </row>
    <row r="958" spans="1:18">
      <c r="A958" s="1">
        <v>45992</v>
      </c>
      <c r="B958" s="1">
        <v>45992</v>
      </c>
      <c r="C958">
        <v>2025</v>
      </c>
      <c r="D958">
        <v>12</v>
      </c>
      <c r="E958" s="2" t="s">
        <v>8462</v>
      </c>
      <c r="F958" s="2" t="s">
        <v>8463</v>
      </c>
      <c r="G958" s="2" t="s">
        <v>8335</v>
      </c>
      <c r="H958" s="2" t="s">
        <v>22</v>
      </c>
      <c r="I958" s="2" t="s">
        <v>8409</v>
      </c>
      <c r="J958" s="2" t="s">
        <v>24</v>
      </c>
      <c r="K958">
        <v>14.15</v>
      </c>
      <c r="L958">
        <v>1415000</v>
      </c>
      <c r="M958" s="2" t="s">
        <v>8406</v>
      </c>
      <c r="N958" s="2" t="s">
        <v>8411</v>
      </c>
      <c r="O958" s="2" t="s">
        <v>9211</v>
      </c>
      <c r="P958" s="2" t="s">
        <v>639</v>
      </c>
      <c r="Q958" s="2" t="s">
        <v>8445</v>
      </c>
      <c r="R958" s="2" t="s">
        <v>30</v>
      </c>
    </row>
    <row r="959" spans="1:18">
      <c r="A959" s="1">
        <v>45992</v>
      </c>
      <c r="B959" s="1">
        <v>45992</v>
      </c>
      <c r="C959">
        <v>2025</v>
      </c>
      <c r="D959">
        <v>12</v>
      </c>
      <c r="E959" s="2" t="s">
        <v>8464</v>
      </c>
      <c r="F959" s="2" t="s">
        <v>8465</v>
      </c>
      <c r="G959" s="2" t="s">
        <v>8335</v>
      </c>
      <c r="H959" s="2" t="s">
        <v>22</v>
      </c>
      <c r="I959" s="2" t="s">
        <v>8417</v>
      </c>
      <c r="J959" s="2" t="s">
        <v>24</v>
      </c>
      <c r="K959">
        <v>114.75</v>
      </c>
      <c r="L959">
        <v>11475000</v>
      </c>
      <c r="M959" s="2" t="s">
        <v>8414</v>
      </c>
      <c r="N959" s="2" t="s">
        <v>8419</v>
      </c>
      <c r="O959" s="2" t="s">
        <v>9212</v>
      </c>
      <c r="P959" s="2" t="s">
        <v>639</v>
      </c>
      <c r="Q959" s="2" t="s">
        <v>8445</v>
      </c>
      <c r="R959" s="2" t="s">
        <v>30</v>
      </c>
    </row>
    <row r="960" spans="1:18">
      <c r="A960" s="1">
        <v>45992</v>
      </c>
      <c r="B960" s="1">
        <v>45992</v>
      </c>
      <c r="C960">
        <v>2025</v>
      </c>
      <c r="D960">
        <v>12</v>
      </c>
      <c r="E960" s="2" t="s">
        <v>8467</v>
      </c>
      <c r="F960" s="2" t="s">
        <v>8468</v>
      </c>
      <c r="G960" s="2" t="s">
        <v>8335</v>
      </c>
      <c r="H960" s="2" t="s">
        <v>22</v>
      </c>
      <c r="I960" s="2" t="s">
        <v>8365</v>
      </c>
      <c r="J960" s="2" t="s">
        <v>24</v>
      </c>
      <c r="K960">
        <v>4702.43</v>
      </c>
      <c r="L960">
        <v>470243000</v>
      </c>
      <c r="M960" s="2" t="s">
        <v>8377</v>
      </c>
      <c r="N960" s="2" t="s">
        <v>8381</v>
      </c>
      <c r="O960" s="2" t="s">
        <v>9213</v>
      </c>
      <c r="P960" s="2" t="s">
        <v>639</v>
      </c>
      <c r="Q960" s="2" t="s">
        <v>8445</v>
      </c>
      <c r="R960" s="2" t="s">
        <v>30</v>
      </c>
    </row>
    <row r="961" spans="1:18">
      <c r="A961" s="1">
        <v>45992</v>
      </c>
      <c r="B961" s="1">
        <v>45992</v>
      </c>
      <c r="C961">
        <v>2025</v>
      </c>
      <c r="D961">
        <v>12</v>
      </c>
      <c r="E961" s="2" t="s">
        <v>8470</v>
      </c>
      <c r="F961" s="2" t="s">
        <v>8471</v>
      </c>
      <c r="G961" s="2" t="s">
        <v>8335</v>
      </c>
      <c r="H961" s="2" t="s">
        <v>22</v>
      </c>
      <c r="I961" s="2" t="s">
        <v>8365</v>
      </c>
      <c r="J961" s="2" t="s">
        <v>59</v>
      </c>
      <c r="K961">
        <v>20873.16</v>
      </c>
      <c r="L961">
        <v>2087316000</v>
      </c>
      <c r="M961" s="2" t="s">
        <v>8362</v>
      </c>
      <c r="N961" s="2" t="s">
        <v>8367</v>
      </c>
      <c r="O961" s="2" t="s">
        <v>9214</v>
      </c>
      <c r="P961" s="2" t="s">
        <v>175</v>
      </c>
      <c r="Q961" s="2" t="s">
        <v>8445</v>
      </c>
      <c r="R961" s="2" t="s">
        <v>30</v>
      </c>
    </row>
    <row r="962" spans="1:18">
      <c r="A962" s="1">
        <v>45992</v>
      </c>
      <c r="B962" s="1">
        <v>45992</v>
      </c>
      <c r="C962">
        <v>2025</v>
      </c>
      <c r="D962">
        <v>12</v>
      </c>
      <c r="E962" s="2" t="s">
        <v>8473</v>
      </c>
      <c r="F962" s="2" t="s">
        <v>8474</v>
      </c>
      <c r="G962" s="2" t="s">
        <v>8335</v>
      </c>
      <c r="H962" s="2" t="s">
        <v>22</v>
      </c>
      <c r="I962" s="2" t="s">
        <v>8365</v>
      </c>
      <c r="J962" s="2" t="s">
        <v>24</v>
      </c>
      <c r="K962">
        <v>16170.73</v>
      </c>
      <c r="L962">
        <v>1617073000</v>
      </c>
      <c r="M962" s="2" t="s">
        <v>8370</v>
      </c>
      <c r="N962" s="2" t="s">
        <v>8374</v>
      </c>
      <c r="O962" s="2" t="s">
        <v>9215</v>
      </c>
      <c r="P962" s="2" t="s">
        <v>639</v>
      </c>
      <c r="Q962" s="2" t="s">
        <v>8445</v>
      </c>
      <c r="R962" s="2" t="s">
        <v>30</v>
      </c>
    </row>
    <row r="963" spans="1:18">
      <c r="A963" s="1">
        <v>45992</v>
      </c>
      <c r="B963" s="1">
        <v>45992</v>
      </c>
      <c r="C963">
        <v>2025</v>
      </c>
      <c r="D963">
        <v>12</v>
      </c>
      <c r="E963" s="2" t="s">
        <v>7890</v>
      </c>
      <c r="F963" s="2" t="s">
        <v>7891</v>
      </c>
      <c r="G963" s="2" t="s">
        <v>8335</v>
      </c>
      <c r="H963" s="2" t="s">
        <v>22</v>
      </c>
      <c r="I963" s="2" t="s">
        <v>8417</v>
      </c>
      <c r="J963" s="2" t="s">
        <v>24</v>
      </c>
      <c r="K963">
        <v>7313.65</v>
      </c>
      <c r="L963">
        <v>731365000</v>
      </c>
      <c r="M963" s="2" t="s">
        <v>7889</v>
      </c>
      <c r="N963" s="2" t="s">
        <v>7911</v>
      </c>
      <c r="O963" s="2" t="s">
        <v>9216</v>
      </c>
      <c r="P963" s="2" t="s">
        <v>7984</v>
      </c>
      <c r="Q963" s="2" t="s">
        <v>8967</v>
      </c>
      <c r="R963" s="2" t="s">
        <v>9217</v>
      </c>
    </row>
    <row r="964" spans="1:18">
      <c r="A964" s="1">
        <v>46023</v>
      </c>
      <c r="B964" s="1">
        <v>46023</v>
      </c>
      <c r="C964">
        <v>2026</v>
      </c>
      <c r="D964">
        <v>1</v>
      </c>
      <c r="E964" s="2" t="s">
        <v>8443</v>
      </c>
      <c r="F964" s="2" t="s">
        <v>8444</v>
      </c>
      <c r="G964" s="2" t="s">
        <v>8335</v>
      </c>
      <c r="H964" s="2" t="s">
        <v>22</v>
      </c>
      <c r="I964" s="2" t="s">
        <v>8387</v>
      </c>
      <c r="J964" s="2" t="s">
        <v>24</v>
      </c>
      <c r="K964">
        <v>2.14</v>
      </c>
      <c r="L964">
        <v>214000</v>
      </c>
      <c r="M964" s="2" t="s">
        <v>8392</v>
      </c>
      <c r="N964" s="2" t="s">
        <v>8396</v>
      </c>
      <c r="O964" s="2" t="s">
        <v>3799</v>
      </c>
      <c r="P964" s="2" t="s">
        <v>175</v>
      </c>
      <c r="Q964" s="2" t="s">
        <v>8445</v>
      </c>
      <c r="R964" s="2" t="s">
        <v>30</v>
      </c>
    </row>
    <row r="965" spans="1:18">
      <c r="A965" s="1">
        <v>46023</v>
      </c>
      <c r="B965" s="1">
        <v>46023</v>
      </c>
      <c r="C965">
        <v>2026</v>
      </c>
      <c r="D965">
        <v>1</v>
      </c>
      <c r="E965" s="2" t="s">
        <v>8446</v>
      </c>
      <c r="F965" s="2" t="s">
        <v>8447</v>
      </c>
      <c r="G965" s="2" t="s">
        <v>8335</v>
      </c>
      <c r="H965" s="2" t="s">
        <v>22</v>
      </c>
      <c r="I965" s="2" t="s">
        <v>8387</v>
      </c>
      <c r="J965" s="2" t="s">
        <v>59</v>
      </c>
      <c r="K965">
        <v>2.52</v>
      </c>
      <c r="L965">
        <v>252000</v>
      </c>
      <c r="M965" s="2" t="s">
        <v>8384</v>
      </c>
      <c r="N965" s="2" t="s">
        <v>8389</v>
      </c>
      <c r="O965" s="2" t="s">
        <v>1145</v>
      </c>
      <c r="P965" s="2" t="s">
        <v>175</v>
      </c>
      <c r="Q965" s="2" t="s">
        <v>8445</v>
      </c>
      <c r="R965" s="2" t="s">
        <v>30</v>
      </c>
    </row>
    <row r="966" spans="1:18">
      <c r="A966" s="1">
        <v>46023</v>
      </c>
      <c r="B966" s="1">
        <v>46023</v>
      </c>
      <c r="C966">
        <v>2026</v>
      </c>
      <c r="D966">
        <v>1</v>
      </c>
      <c r="E966" s="2" t="s">
        <v>8448</v>
      </c>
      <c r="F966" s="2" t="s">
        <v>8449</v>
      </c>
      <c r="G966" s="2" t="s">
        <v>8335</v>
      </c>
      <c r="H966" s="2" t="s">
        <v>22</v>
      </c>
      <c r="I966" s="2" t="s">
        <v>8387</v>
      </c>
      <c r="J966" s="2" t="s">
        <v>24</v>
      </c>
      <c r="K966">
        <v>0.38</v>
      </c>
      <c r="L966">
        <v>38000</v>
      </c>
      <c r="M966" s="2" t="s">
        <v>8399</v>
      </c>
      <c r="N966" s="2" t="s">
        <v>8403</v>
      </c>
      <c r="O966" s="2" t="s">
        <v>827</v>
      </c>
      <c r="P966" s="2" t="s">
        <v>175</v>
      </c>
      <c r="Q966" s="2" t="s">
        <v>8445</v>
      </c>
      <c r="R966" s="2" t="s">
        <v>30</v>
      </c>
    </row>
    <row r="967" spans="1:18">
      <c r="A967" s="1">
        <v>46023</v>
      </c>
      <c r="B967" s="1">
        <v>46023</v>
      </c>
      <c r="C967">
        <v>2026</v>
      </c>
      <c r="D967">
        <v>1</v>
      </c>
      <c r="E967" s="2" t="s">
        <v>8450</v>
      </c>
      <c r="F967" s="2" t="s">
        <v>8451</v>
      </c>
      <c r="G967" s="2" t="s">
        <v>8335</v>
      </c>
      <c r="H967" s="2" t="s">
        <v>22</v>
      </c>
      <c r="I967" s="2" t="s">
        <v>8417</v>
      </c>
      <c r="J967" s="2" t="s">
        <v>24</v>
      </c>
      <c r="K967">
        <v>58.44</v>
      </c>
      <c r="L967">
        <v>5844000</v>
      </c>
      <c r="M967" s="2" t="s">
        <v>8422</v>
      </c>
      <c r="N967" s="2" t="s">
        <v>8426</v>
      </c>
      <c r="O967" s="2" t="s">
        <v>9218</v>
      </c>
      <c r="P967" s="2" t="s">
        <v>175</v>
      </c>
      <c r="Q967" s="2" t="s">
        <v>8445</v>
      </c>
      <c r="R967" s="2" t="s">
        <v>30</v>
      </c>
    </row>
    <row r="968" spans="1:18">
      <c r="A968" s="1">
        <v>46023</v>
      </c>
      <c r="B968" s="1">
        <v>46023</v>
      </c>
      <c r="C968">
        <v>2026</v>
      </c>
      <c r="D968">
        <v>1</v>
      </c>
      <c r="E968" s="2" t="s">
        <v>8453</v>
      </c>
      <c r="F968" s="2" t="s">
        <v>8454</v>
      </c>
      <c r="G968" s="2" t="s">
        <v>8335</v>
      </c>
      <c r="H968" s="2" t="s">
        <v>22</v>
      </c>
      <c r="I968" s="2" t="s">
        <v>8336</v>
      </c>
      <c r="J968" s="2" t="s">
        <v>24</v>
      </c>
      <c r="K968">
        <v>1166.52</v>
      </c>
      <c r="L968">
        <v>116652000</v>
      </c>
      <c r="M968" s="2" t="s">
        <v>8348</v>
      </c>
      <c r="N968" s="2" t="s">
        <v>8352</v>
      </c>
      <c r="O968" s="2" t="s">
        <v>9219</v>
      </c>
      <c r="P968" s="2" t="s">
        <v>175</v>
      </c>
      <c r="Q968" s="2" t="s">
        <v>8445</v>
      </c>
      <c r="R968" s="2" t="s">
        <v>30</v>
      </c>
    </row>
    <row r="969" spans="1:18">
      <c r="A969" s="1">
        <v>46023</v>
      </c>
      <c r="B969" s="1">
        <v>46023</v>
      </c>
      <c r="C969">
        <v>2026</v>
      </c>
      <c r="D969">
        <v>1</v>
      </c>
      <c r="E969" s="2" t="s">
        <v>8456</v>
      </c>
      <c r="F969" s="2" t="s">
        <v>8457</v>
      </c>
      <c r="G969" s="2" t="s">
        <v>8335</v>
      </c>
      <c r="H969" s="2" t="s">
        <v>22</v>
      </c>
      <c r="I969" s="2" t="s">
        <v>8336</v>
      </c>
      <c r="J969" s="2" t="s">
        <v>24</v>
      </c>
      <c r="K969">
        <v>10377.57</v>
      </c>
      <c r="L969">
        <v>1037757000</v>
      </c>
      <c r="M969" s="2" t="s">
        <v>8355</v>
      </c>
      <c r="N969" s="2" t="s">
        <v>8359</v>
      </c>
      <c r="O969" s="2" t="s">
        <v>9220</v>
      </c>
      <c r="P969" s="2" t="s">
        <v>175</v>
      </c>
      <c r="Q969" s="2" t="s">
        <v>8445</v>
      </c>
      <c r="R969" s="2" t="s">
        <v>30</v>
      </c>
    </row>
    <row r="970" spans="1:18">
      <c r="A970" s="1">
        <v>46023</v>
      </c>
      <c r="B970" s="1">
        <v>46023</v>
      </c>
      <c r="C970">
        <v>2026</v>
      </c>
      <c r="D970">
        <v>1</v>
      </c>
      <c r="E970" s="2" t="s">
        <v>8459</v>
      </c>
      <c r="F970" s="2" t="s">
        <v>8460</v>
      </c>
      <c r="G970" s="2" t="s">
        <v>8335</v>
      </c>
      <c r="H970" s="2" t="s">
        <v>22</v>
      </c>
      <c r="I970" s="2" t="s">
        <v>8336</v>
      </c>
      <c r="J970" s="2" t="s">
        <v>59</v>
      </c>
      <c r="K970">
        <v>11544.09</v>
      </c>
      <c r="L970">
        <v>1154409000</v>
      </c>
      <c r="M970" s="2" t="s">
        <v>8331</v>
      </c>
      <c r="N970" s="2" t="s">
        <v>8341</v>
      </c>
      <c r="O970" s="2" t="s">
        <v>9221</v>
      </c>
      <c r="P970" s="2" t="s">
        <v>175</v>
      </c>
      <c r="Q970" s="2" t="s">
        <v>8445</v>
      </c>
      <c r="R970" s="2" t="s">
        <v>30</v>
      </c>
    </row>
    <row r="971" spans="1:18">
      <c r="A971" s="1">
        <v>46023</v>
      </c>
      <c r="B971" s="1">
        <v>46023</v>
      </c>
      <c r="C971">
        <v>2026</v>
      </c>
      <c r="D971">
        <v>1</v>
      </c>
      <c r="E971" s="2" t="s">
        <v>8462</v>
      </c>
      <c r="F971" s="2" t="s">
        <v>8463</v>
      </c>
      <c r="G971" s="2" t="s">
        <v>8335</v>
      </c>
      <c r="H971" s="2" t="s">
        <v>22</v>
      </c>
      <c r="I971" s="2" t="s">
        <v>8409</v>
      </c>
      <c r="J971" s="2" t="s">
        <v>24</v>
      </c>
      <c r="K971">
        <v>13.92</v>
      </c>
      <c r="L971">
        <v>1392000</v>
      </c>
      <c r="M971" s="2" t="s">
        <v>8406</v>
      </c>
      <c r="N971" s="2" t="s">
        <v>8411</v>
      </c>
      <c r="O971" s="2" t="s">
        <v>9222</v>
      </c>
      <c r="P971" s="2" t="s">
        <v>175</v>
      </c>
      <c r="Q971" s="2" t="s">
        <v>8445</v>
      </c>
      <c r="R971" s="2" t="s">
        <v>30</v>
      </c>
    </row>
    <row r="972" spans="1:18">
      <c r="A972" s="1">
        <v>46023</v>
      </c>
      <c r="B972" s="1">
        <v>46023</v>
      </c>
      <c r="C972">
        <v>2026</v>
      </c>
      <c r="D972">
        <v>1</v>
      </c>
      <c r="E972" s="2" t="s">
        <v>8464</v>
      </c>
      <c r="F972" s="2" t="s">
        <v>8465</v>
      </c>
      <c r="G972" s="2" t="s">
        <v>8335</v>
      </c>
      <c r="H972" s="2" t="s">
        <v>22</v>
      </c>
      <c r="I972" s="2" t="s">
        <v>8417</v>
      </c>
      <c r="J972" s="2" t="s">
        <v>24</v>
      </c>
      <c r="K972">
        <v>115.45</v>
      </c>
      <c r="L972">
        <v>11545000</v>
      </c>
      <c r="M972" s="2" t="s">
        <v>8414</v>
      </c>
      <c r="N972" s="2" t="s">
        <v>8419</v>
      </c>
      <c r="O972" s="2" t="s">
        <v>9223</v>
      </c>
      <c r="P972" s="2" t="s">
        <v>175</v>
      </c>
      <c r="Q972" s="2" t="s">
        <v>8445</v>
      </c>
      <c r="R972" s="2" t="s">
        <v>30</v>
      </c>
    </row>
    <row r="973" spans="1:18">
      <c r="A973" s="1">
        <v>46023</v>
      </c>
      <c r="B973" s="1">
        <v>46023</v>
      </c>
      <c r="C973">
        <v>2026</v>
      </c>
      <c r="D973">
        <v>1</v>
      </c>
      <c r="E973" s="2" t="s">
        <v>8467</v>
      </c>
      <c r="F973" s="2" t="s">
        <v>8468</v>
      </c>
      <c r="G973" s="2" t="s">
        <v>8335</v>
      </c>
      <c r="H973" s="2" t="s">
        <v>22</v>
      </c>
      <c r="I973" s="2" t="s">
        <v>8365</v>
      </c>
      <c r="J973" s="2" t="s">
        <v>24</v>
      </c>
      <c r="K973">
        <v>4784.92</v>
      </c>
      <c r="L973">
        <v>478492000</v>
      </c>
      <c r="M973" s="2" t="s">
        <v>8377</v>
      </c>
      <c r="N973" s="2" t="s">
        <v>8381</v>
      </c>
      <c r="O973" s="2" t="s">
        <v>9224</v>
      </c>
      <c r="P973" s="2" t="s">
        <v>175</v>
      </c>
      <c r="Q973" s="2" t="s">
        <v>8445</v>
      </c>
      <c r="R973" s="2" t="s">
        <v>30</v>
      </c>
    </row>
    <row r="974" spans="1:18">
      <c r="A974" s="1">
        <v>46023</v>
      </c>
      <c r="B974" s="1">
        <v>46023</v>
      </c>
      <c r="C974">
        <v>2026</v>
      </c>
      <c r="D974">
        <v>1</v>
      </c>
      <c r="E974" s="2" t="s">
        <v>8470</v>
      </c>
      <c r="F974" s="2" t="s">
        <v>8471</v>
      </c>
      <c r="G974" s="2" t="s">
        <v>8335</v>
      </c>
      <c r="H974" s="2" t="s">
        <v>22</v>
      </c>
      <c r="I974" s="2" t="s">
        <v>8365</v>
      </c>
      <c r="J974" s="2" t="s">
        <v>59</v>
      </c>
      <c r="K974">
        <v>22053.38</v>
      </c>
      <c r="L974">
        <v>2205338000</v>
      </c>
      <c r="M974" s="2" t="s">
        <v>8362</v>
      </c>
      <c r="N974" s="2" t="s">
        <v>8367</v>
      </c>
      <c r="O974" s="2" t="s">
        <v>9225</v>
      </c>
      <c r="P974" s="2" t="s">
        <v>175</v>
      </c>
      <c r="Q974" s="2" t="s">
        <v>8445</v>
      </c>
      <c r="R974" s="2" t="s">
        <v>30</v>
      </c>
    </row>
    <row r="975" spans="1:18">
      <c r="A975" s="1">
        <v>46023</v>
      </c>
      <c r="B975" s="1">
        <v>46023</v>
      </c>
      <c r="C975">
        <v>2026</v>
      </c>
      <c r="D975">
        <v>1</v>
      </c>
      <c r="E975" s="2" t="s">
        <v>8473</v>
      </c>
      <c r="F975" s="2" t="s">
        <v>8474</v>
      </c>
      <c r="G975" s="2" t="s">
        <v>8335</v>
      </c>
      <c r="H975" s="2" t="s">
        <v>22</v>
      </c>
      <c r="I975" s="2" t="s">
        <v>8365</v>
      </c>
      <c r="J975" s="2" t="s">
        <v>24</v>
      </c>
      <c r="K975">
        <v>17268.45</v>
      </c>
      <c r="L975">
        <v>1726845000</v>
      </c>
      <c r="M975" s="2" t="s">
        <v>8370</v>
      </c>
      <c r="N975" s="2" t="s">
        <v>8374</v>
      </c>
      <c r="O975" s="2" t="s">
        <v>9226</v>
      </c>
      <c r="P975" s="2" t="s">
        <v>175</v>
      </c>
      <c r="Q975" s="2" t="s">
        <v>8445</v>
      </c>
      <c r="R975" s="2" t="s">
        <v>30</v>
      </c>
    </row>
    <row r="976" spans="1:18">
      <c r="A976" s="1">
        <v>46023</v>
      </c>
      <c r="B976" s="1">
        <v>46023</v>
      </c>
      <c r="C976">
        <v>2026</v>
      </c>
      <c r="D976">
        <v>1</v>
      </c>
      <c r="E976" s="2" t="s">
        <v>7890</v>
      </c>
      <c r="F976" s="2" t="s">
        <v>7891</v>
      </c>
      <c r="G976" s="2" t="s">
        <v>8335</v>
      </c>
      <c r="H976" s="2" t="s">
        <v>22</v>
      </c>
      <c r="I976" s="2" t="s">
        <v>8417</v>
      </c>
      <c r="J976" s="2" t="s">
        <v>24</v>
      </c>
      <c r="K976">
        <v>7383.8</v>
      </c>
      <c r="L976">
        <v>738380000</v>
      </c>
      <c r="M976" s="2" t="s">
        <v>7889</v>
      </c>
      <c r="N976" s="2" t="s">
        <v>7911</v>
      </c>
      <c r="O976" s="2" t="s">
        <v>9227</v>
      </c>
      <c r="P976" s="2" t="s">
        <v>7987</v>
      </c>
      <c r="Q976" s="2" t="s">
        <v>8967</v>
      </c>
      <c r="R976" s="2" t="s">
        <v>9228</v>
      </c>
    </row>
    <row r="977" spans="1:18">
      <c r="A977" s="1">
        <v>46054</v>
      </c>
      <c r="B977" s="1">
        <v>46054</v>
      </c>
      <c r="C977">
        <v>2026</v>
      </c>
      <c r="D977">
        <v>2</v>
      </c>
      <c r="E977" s="2" t="s">
        <v>8443</v>
      </c>
      <c r="F977" s="2" t="s">
        <v>8444</v>
      </c>
      <c r="G977" s="2" t="s">
        <v>8335</v>
      </c>
      <c r="H977" s="2" t="s">
        <v>22</v>
      </c>
      <c r="I977" s="2" t="s">
        <v>8387</v>
      </c>
      <c r="J977" s="2" t="s">
        <v>24</v>
      </c>
      <c r="K977">
        <v>2.15</v>
      </c>
      <c r="L977">
        <v>215000</v>
      </c>
      <c r="M977" s="2" t="s">
        <v>8392</v>
      </c>
      <c r="N977" s="2" t="s">
        <v>8396</v>
      </c>
      <c r="O977" s="2" t="s">
        <v>3047</v>
      </c>
      <c r="P977" s="2" t="s">
        <v>175</v>
      </c>
      <c r="Q977" s="2" t="s">
        <v>8445</v>
      </c>
      <c r="R977" s="2" t="s">
        <v>30</v>
      </c>
    </row>
    <row r="978" spans="1:18">
      <c r="A978" s="1">
        <v>46054</v>
      </c>
      <c r="B978" s="1">
        <v>46054</v>
      </c>
      <c r="C978">
        <v>2026</v>
      </c>
      <c r="D978">
        <v>2</v>
      </c>
      <c r="E978" s="2" t="s">
        <v>8446</v>
      </c>
      <c r="F978" s="2" t="s">
        <v>8447</v>
      </c>
      <c r="G978" s="2" t="s">
        <v>8335</v>
      </c>
      <c r="H978" s="2" t="s">
        <v>22</v>
      </c>
      <c r="I978" s="2" t="s">
        <v>8387</v>
      </c>
      <c r="J978" s="2" t="s">
        <v>59</v>
      </c>
      <c r="K978">
        <v>2.5299999999999998</v>
      </c>
      <c r="L978">
        <v>253000</v>
      </c>
      <c r="M978" s="2" t="s">
        <v>8384</v>
      </c>
      <c r="N978" s="2" t="s">
        <v>8389</v>
      </c>
      <c r="O978" s="2" t="s">
        <v>8765</v>
      </c>
      <c r="P978" s="2" t="s">
        <v>175</v>
      </c>
      <c r="Q978" s="2" t="s">
        <v>8445</v>
      </c>
      <c r="R978" s="2" t="s">
        <v>30</v>
      </c>
    </row>
    <row r="979" spans="1:18">
      <c r="A979" s="1">
        <v>46054</v>
      </c>
      <c r="B979" s="1">
        <v>46054</v>
      </c>
      <c r="C979">
        <v>2026</v>
      </c>
      <c r="D979">
        <v>2</v>
      </c>
      <c r="E979" s="2" t="s">
        <v>8448</v>
      </c>
      <c r="F979" s="2" t="s">
        <v>8449</v>
      </c>
      <c r="G979" s="2" t="s">
        <v>8335</v>
      </c>
      <c r="H979" s="2" t="s">
        <v>22</v>
      </c>
      <c r="I979" s="2" t="s">
        <v>8387</v>
      </c>
      <c r="J979" s="2" t="s">
        <v>24</v>
      </c>
      <c r="K979">
        <v>0.38</v>
      </c>
      <c r="L979">
        <v>38000</v>
      </c>
      <c r="M979" s="2" t="s">
        <v>8399</v>
      </c>
      <c r="N979" s="2" t="s">
        <v>8403</v>
      </c>
      <c r="O979" s="2" t="s">
        <v>827</v>
      </c>
      <c r="P979" s="2" t="s">
        <v>175</v>
      </c>
      <c r="Q979" s="2" t="s">
        <v>8445</v>
      </c>
      <c r="R979" s="2" t="s">
        <v>30</v>
      </c>
    </row>
    <row r="980" spans="1:18">
      <c r="A980" s="1">
        <v>46054</v>
      </c>
      <c r="B980" s="1">
        <v>46054</v>
      </c>
      <c r="C980">
        <v>2026</v>
      </c>
      <c r="D980">
        <v>2</v>
      </c>
      <c r="E980" s="2" t="s">
        <v>8450</v>
      </c>
      <c r="F980" s="2" t="s">
        <v>8451</v>
      </c>
      <c r="G980" s="2" t="s">
        <v>8335</v>
      </c>
      <c r="H980" s="2" t="s">
        <v>22</v>
      </c>
      <c r="I980" s="2" t="s">
        <v>8417</v>
      </c>
      <c r="J980" s="2" t="s">
        <v>24</v>
      </c>
      <c r="K980">
        <v>58.97</v>
      </c>
      <c r="L980">
        <v>5897000</v>
      </c>
      <c r="M980" s="2" t="s">
        <v>8422</v>
      </c>
      <c r="N980" s="2" t="s">
        <v>8426</v>
      </c>
      <c r="O980" s="2" t="s">
        <v>9229</v>
      </c>
      <c r="P980" s="2" t="s">
        <v>175</v>
      </c>
      <c r="Q980" s="2" t="s">
        <v>8445</v>
      </c>
      <c r="R980" s="2" t="s">
        <v>30</v>
      </c>
    </row>
    <row r="981" spans="1:18">
      <c r="A981" s="1">
        <v>46054</v>
      </c>
      <c r="B981" s="1">
        <v>46054</v>
      </c>
      <c r="C981">
        <v>2026</v>
      </c>
      <c r="D981">
        <v>2</v>
      </c>
      <c r="E981" s="2" t="s">
        <v>8453</v>
      </c>
      <c r="F981" s="2" t="s">
        <v>8454</v>
      </c>
      <c r="G981" s="2" t="s">
        <v>8335</v>
      </c>
      <c r="H981" s="2" t="s">
        <v>22</v>
      </c>
      <c r="I981" s="2" t="s">
        <v>8336</v>
      </c>
      <c r="J981" s="2" t="s">
        <v>24</v>
      </c>
      <c r="K981">
        <v>1177.05</v>
      </c>
      <c r="L981">
        <v>117705000</v>
      </c>
      <c r="M981" s="2" t="s">
        <v>8348</v>
      </c>
      <c r="N981" s="2" t="s">
        <v>8352</v>
      </c>
      <c r="O981" s="2" t="s">
        <v>9230</v>
      </c>
      <c r="P981" s="2" t="s">
        <v>175</v>
      </c>
      <c r="Q981" s="2" t="s">
        <v>8445</v>
      </c>
      <c r="R981" s="2" t="s">
        <v>30</v>
      </c>
    </row>
    <row r="982" spans="1:18">
      <c r="A982" s="1">
        <v>46054</v>
      </c>
      <c r="B982" s="1">
        <v>46054</v>
      </c>
      <c r="C982">
        <v>2026</v>
      </c>
      <c r="D982">
        <v>2</v>
      </c>
      <c r="E982" s="2" t="s">
        <v>8456</v>
      </c>
      <c r="F982" s="2" t="s">
        <v>8457</v>
      </c>
      <c r="G982" s="2" t="s">
        <v>8335</v>
      </c>
      <c r="H982" s="2" t="s">
        <v>22</v>
      </c>
      <c r="I982" s="2" t="s">
        <v>8336</v>
      </c>
      <c r="J982" s="2" t="s">
        <v>24</v>
      </c>
      <c r="K982">
        <v>10417.67</v>
      </c>
      <c r="L982">
        <v>1041767000</v>
      </c>
      <c r="M982" s="2" t="s">
        <v>8355</v>
      </c>
      <c r="N982" s="2" t="s">
        <v>8359</v>
      </c>
      <c r="O982" s="2" t="s">
        <v>9231</v>
      </c>
      <c r="P982" s="2" t="s">
        <v>175</v>
      </c>
      <c r="Q982" s="2" t="s">
        <v>8445</v>
      </c>
      <c r="R982" s="2" t="s">
        <v>30</v>
      </c>
    </row>
    <row r="983" spans="1:18">
      <c r="A983" s="1">
        <v>46054</v>
      </c>
      <c r="B983" s="1">
        <v>46054</v>
      </c>
      <c r="C983">
        <v>2026</v>
      </c>
      <c r="D983">
        <v>2</v>
      </c>
      <c r="E983" s="2" t="s">
        <v>8459</v>
      </c>
      <c r="F983" s="2" t="s">
        <v>8460</v>
      </c>
      <c r="G983" s="2" t="s">
        <v>8335</v>
      </c>
      <c r="H983" s="2" t="s">
        <v>22</v>
      </c>
      <c r="I983" s="2" t="s">
        <v>8336</v>
      </c>
      <c r="J983" s="2" t="s">
        <v>59</v>
      </c>
      <c r="K983">
        <v>11594.71</v>
      </c>
      <c r="L983">
        <v>1159471000</v>
      </c>
      <c r="M983" s="2" t="s">
        <v>8331</v>
      </c>
      <c r="N983" s="2" t="s">
        <v>8341</v>
      </c>
      <c r="O983" s="2" t="s">
        <v>9232</v>
      </c>
      <c r="P983" s="2" t="s">
        <v>175</v>
      </c>
      <c r="Q983" s="2" t="s">
        <v>8445</v>
      </c>
      <c r="R983" s="2" t="s">
        <v>30</v>
      </c>
    </row>
    <row r="984" spans="1:18">
      <c r="A984" s="1">
        <v>46054</v>
      </c>
      <c r="B984" s="1">
        <v>46054</v>
      </c>
      <c r="C984">
        <v>2026</v>
      </c>
      <c r="D984">
        <v>2</v>
      </c>
      <c r="E984" s="2" t="s">
        <v>8462</v>
      </c>
      <c r="F984" s="2" t="s">
        <v>8463</v>
      </c>
      <c r="G984" s="2" t="s">
        <v>8335</v>
      </c>
      <c r="H984" s="2" t="s">
        <v>22</v>
      </c>
      <c r="I984" s="2" t="s">
        <v>8409</v>
      </c>
      <c r="J984" s="2" t="s">
        <v>24</v>
      </c>
      <c r="K984">
        <v>13.9</v>
      </c>
      <c r="L984">
        <v>1390000</v>
      </c>
      <c r="M984" s="2" t="s">
        <v>8406</v>
      </c>
      <c r="N984" s="2" t="s">
        <v>8411</v>
      </c>
      <c r="O984" s="2" t="s">
        <v>9233</v>
      </c>
      <c r="P984" s="2" t="s">
        <v>175</v>
      </c>
      <c r="Q984" s="2" t="s">
        <v>8445</v>
      </c>
      <c r="R984" s="2" t="s">
        <v>30</v>
      </c>
    </row>
    <row r="985" spans="1:18">
      <c r="A985" s="1">
        <v>46054</v>
      </c>
      <c r="B985" s="1">
        <v>46054</v>
      </c>
      <c r="C985">
        <v>2026</v>
      </c>
      <c r="D985">
        <v>2</v>
      </c>
      <c r="E985" s="2" t="s">
        <v>8464</v>
      </c>
      <c r="F985" s="2" t="s">
        <v>8465</v>
      </c>
      <c r="G985" s="2" t="s">
        <v>8335</v>
      </c>
      <c r="H985" s="2" t="s">
        <v>22</v>
      </c>
      <c r="I985" s="2" t="s">
        <v>8417</v>
      </c>
      <c r="J985" s="2" t="s">
        <v>24</v>
      </c>
      <c r="K985">
        <v>116.65</v>
      </c>
      <c r="L985">
        <v>11665000</v>
      </c>
      <c r="M985" s="2" t="s">
        <v>8414</v>
      </c>
      <c r="N985" s="2" t="s">
        <v>8419</v>
      </c>
      <c r="O985" s="2" t="s">
        <v>9234</v>
      </c>
      <c r="P985" s="2" t="s">
        <v>175</v>
      </c>
      <c r="Q985" s="2" t="s">
        <v>8445</v>
      </c>
      <c r="R985" s="2" t="s">
        <v>30</v>
      </c>
    </row>
    <row r="986" spans="1:18">
      <c r="A986" s="1">
        <v>46054</v>
      </c>
      <c r="B986" s="1">
        <v>46054</v>
      </c>
      <c r="C986">
        <v>2026</v>
      </c>
      <c r="D986">
        <v>2</v>
      </c>
      <c r="E986" s="2" t="s">
        <v>8467</v>
      </c>
      <c r="F986" s="2" t="s">
        <v>8468</v>
      </c>
      <c r="G986" s="2" t="s">
        <v>8335</v>
      </c>
      <c r="H986" s="2" t="s">
        <v>22</v>
      </c>
      <c r="I986" s="2" t="s">
        <v>8365</v>
      </c>
      <c r="J986" s="2" t="s">
        <v>24</v>
      </c>
      <c r="K986">
        <v>4742.3999999999996</v>
      </c>
      <c r="L986">
        <v>474240000</v>
      </c>
      <c r="M986" s="2" t="s">
        <v>8377</v>
      </c>
      <c r="N986" s="2" t="s">
        <v>8381</v>
      </c>
      <c r="O986" s="2" t="s">
        <v>9235</v>
      </c>
      <c r="P986" s="2" t="s">
        <v>175</v>
      </c>
      <c r="Q986" s="2" t="s">
        <v>8445</v>
      </c>
      <c r="R986" s="2" t="s">
        <v>30</v>
      </c>
    </row>
    <row r="987" spans="1:18">
      <c r="A987" s="1">
        <v>46054</v>
      </c>
      <c r="B987" s="1">
        <v>46054</v>
      </c>
      <c r="C987">
        <v>2026</v>
      </c>
      <c r="D987">
        <v>2</v>
      </c>
      <c r="E987" s="2" t="s">
        <v>8470</v>
      </c>
      <c r="F987" s="2" t="s">
        <v>8471</v>
      </c>
      <c r="G987" s="2" t="s">
        <v>8335</v>
      </c>
      <c r="H987" s="2" t="s">
        <v>22</v>
      </c>
      <c r="I987" s="2" t="s">
        <v>8365</v>
      </c>
      <c r="J987" s="2" t="s">
        <v>59</v>
      </c>
      <c r="K987">
        <v>22672.93</v>
      </c>
      <c r="L987">
        <v>2267293000</v>
      </c>
      <c r="M987" s="2" t="s">
        <v>8362</v>
      </c>
      <c r="N987" s="2" t="s">
        <v>8367</v>
      </c>
      <c r="O987" s="2" t="s">
        <v>9236</v>
      </c>
      <c r="P987" s="2" t="s">
        <v>175</v>
      </c>
      <c r="Q987" s="2" t="s">
        <v>8445</v>
      </c>
      <c r="R987" s="2" t="s">
        <v>30</v>
      </c>
    </row>
    <row r="988" spans="1:18">
      <c r="A988" s="1">
        <v>46054</v>
      </c>
      <c r="B988" s="1">
        <v>46054</v>
      </c>
      <c r="C988">
        <v>2026</v>
      </c>
      <c r="D988">
        <v>2</v>
      </c>
      <c r="E988" s="2" t="s">
        <v>8473</v>
      </c>
      <c r="F988" s="2" t="s">
        <v>8474</v>
      </c>
      <c r="G988" s="2" t="s">
        <v>8335</v>
      </c>
      <c r="H988" s="2" t="s">
        <v>22</v>
      </c>
      <c r="I988" s="2" t="s">
        <v>8365</v>
      </c>
      <c r="J988" s="2" t="s">
        <v>24</v>
      </c>
      <c r="K988">
        <v>17930.53</v>
      </c>
      <c r="L988">
        <v>1793053000</v>
      </c>
      <c r="M988" s="2" t="s">
        <v>8370</v>
      </c>
      <c r="N988" s="2" t="s">
        <v>8374</v>
      </c>
      <c r="O988" s="2" t="s">
        <v>9237</v>
      </c>
      <c r="P988" s="2" t="s">
        <v>175</v>
      </c>
      <c r="Q988" s="2" t="s">
        <v>8445</v>
      </c>
      <c r="R988" s="2" t="s">
        <v>30</v>
      </c>
    </row>
    <row r="989" spans="1:18">
      <c r="A989" s="1">
        <v>46054</v>
      </c>
      <c r="B989" s="1">
        <v>46054</v>
      </c>
      <c r="C989">
        <v>2026</v>
      </c>
      <c r="D989">
        <v>2</v>
      </c>
      <c r="E989" s="2" t="s">
        <v>7890</v>
      </c>
      <c r="F989" s="2" t="s">
        <v>7891</v>
      </c>
      <c r="G989" s="2" t="s">
        <v>8335</v>
      </c>
      <c r="H989" s="2" t="s">
        <v>22</v>
      </c>
      <c r="I989" s="2" t="s">
        <v>8417</v>
      </c>
      <c r="J989" s="2" t="s">
        <v>24</v>
      </c>
      <c r="K989">
        <v>7542.04</v>
      </c>
      <c r="L989">
        <v>754204000</v>
      </c>
      <c r="M989" s="2" t="s">
        <v>7889</v>
      </c>
      <c r="N989" s="2" t="s">
        <v>7911</v>
      </c>
      <c r="O989" s="2" t="s">
        <v>9238</v>
      </c>
      <c r="P989" s="2" t="s">
        <v>175</v>
      </c>
      <c r="Q989" s="2" t="s">
        <v>8445</v>
      </c>
      <c r="R989" s="2" t="s">
        <v>30</v>
      </c>
    </row>
    <row r="990" spans="1:18">
      <c r="A990" s="1">
        <v>46082</v>
      </c>
      <c r="B990" s="1">
        <v>46082</v>
      </c>
      <c r="C990">
        <v>2026</v>
      </c>
      <c r="D990">
        <v>3</v>
      </c>
      <c r="E990" s="2" t="s">
        <v>8443</v>
      </c>
      <c r="F990" s="2" t="s">
        <v>8444</v>
      </c>
      <c r="G990" s="2" t="s">
        <v>8335</v>
      </c>
      <c r="H990" s="2" t="s">
        <v>22</v>
      </c>
      <c r="I990" s="2" t="s">
        <v>8387</v>
      </c>
      <c r="J990" s="2" t="s">
        <v>24</v>
      </c>
      <c r="K990">
        <v>2.16</v>
      </c>
      <c r="L990">
        <v>216000</v>
      </c>
      <c r="M990" s="2" t="s">
        <v>8392</v>
      </c>
      <c r="N990" s="2" t="s">
        <v>8396</v>
      </c>
      <c r="O990" s="2" t="s">
        <v>3609</v>
      </c>
      <c r="P990" s="2" t="s">
        <v>175</v>
      </c>
      <c r="Q990" s="2" t="s">
        <v>8445</v>
      </c>
      <c r="R990" s="2" t="s">
        <v>30</v>
      </c>
    </row>
    <row r="991" spans="1:18">
      <c r="A991" s="1">
        <v>46082</v>
      </c>
      <c r="B991" s="1">
        <v>46082</v>
      </c>
      <c r="C991">
        <v>2026</v>
      </c>
      <c r="D991">
        <v>3</v>
      </c>
      <c r="E991" s="2" t="s">
        <v>8446</v>
      </c>
      <c r="F991" s="2" t="s">
        <v>8447</v>
      </c>
      <c r="G991" s="2" t="s">
        <v>8335</v>
      </c>
      <c r="H991" s="2" t="s">
        <v>22</v>
      </c>
      <c r="I991" s="2" t="s">
        <v>8387</v>
      </c>
      <c r="J991" s="2" t="s">
        <v>59</v>
      </c>
      <c r="K991">
        <v>2.54</v>
      </c>
      <c r="L991">
        <v>254000</v>
      </c>
      <c r="M991" s="2" t="s">
        <v>8384</v>
      </c>
      <c r="N991" s="2" t="s">
        <v>8389</v>
      </c>
      <c r="O991" s="2" t="s">
        <v>2913</v>
      </c>
      <c r="P991" s="2" t="s">
        <v>175</v>
      </c>
      <c r="Q991" s="2" t="s">
        <v>8445</v>
      </c>
      <c r="R991" s="2" t="s">
        <v>30</v>
      </c>
    </row>
    <row r="992" spans="1:18">
      <c r="A992" s="1">
        <v>46082</v>
      </c>
      <c r="B992" s="1">
        <v>46082</v>
      </c>
      <c r="C992">
        <v>2026</v>
      </c>
      <c r="D992">
        <v>3</v>
      </c>
      <c r="E992" s="2" t="s">
        <v>8448</v>
      </c>
      <c r="F992" s="2" t="s">
        <v>8449</v>
      </c>
      <c r="G992" s="2" t="s">
        <v>8335</v>
      </c>
      <c r="H992" s="2" t="s">
        <v>22</v>
      </c>
      <c r="I992" s="2" t="s">
        <v>8387</v>
      </c>
      <c r="J992" s="2" t="s">
        <v>24</v>
      </c>
      <c r="K992">
        <v>0.38</v>
      </c>
      <c r="L992">
        <v>38000</v>
      </c>
      <c r="M992" s="2" t="s">
        <v>8399</v>
      </c>
      <c r="N992" s="2" t="s">
        <v>8403</v>
      </c>
      <c r="O992" s="2" t="s">
        <v>827</v>
      </c>
      <c r="P992" s="2" t="s">
        <v>175</v>
      </c>
      <c r="Q992" s="2" t="s">
        <v>8445</v>
      </c>
      <c r="R992" s="2" t="s">
        <v>30</v>
      </c>
    </row>
    <row r="993" spans="1:18">
      <c r="A993" s="1">
        <v>46082</v>
      </c>
      <c r="B993" s="1">
        <v>46082</v>
      </c>
      <c r="C993">
        <v>2026</v>
      </c>
      <c r="D993">
        <v>3</v>
      </c>
      <c r="E993" s="2" t="s">
        <v>8450</v>
      </c>
      <c r="F993" s="2" t="s">
        <v>8451</v>
      </c>
      <c r="G993" s="2" t="s">
        <v>8335</v>
      </c>
      <c r="H993" s="2" t="s">
        <v>22</v>
      </c>
      <c r="I993" s="2" t="s">
        <v>8417</v>
      </c>
      <c r="J993" s="2" t="s">
        <v>24</v>
      </c>
      <c r="K993">
        <v>56.33</v>
      </c>
      <c r="L993">
        <v>5633000</v>
      </c>
      <c r="M993" s="2" t="s">
        <v>8422</v>
      </c>
      <c r="N993" s="2" t="s">
        <v>8426</v>
      </c>
      <c r="O993" s="2" t="s">
        <v>9239</v>
      </c>
      <c r="P993" s="2" t="s">
        <v>175</v>
      </c>
      <c r="Q993" s="2" t="s">
        <v>8445</v>
      </c>
      <c r="R993" s="2" t="s">
        <v>30</v>
      </c>
    </row>
    <row r="994" spans="1:18">
      <c r="A994" s="1">
        <v>46082</v>
      </c>
      <c r="B994" s="1">
        <v>46082</v>
      </c>
      <c r="C994">
        <v>2026</v>
      </c>
      <c r="D994">
        <v>3</v>
      </c>
      <c r="E994" s="2" t="s">
        <v>8453</v>
      </c>
      <c r="F994" s="2" t="s">
        <v>8454</v>
      </c>
      <c r="G994" s="2" t="s">
        <v>8335</v>
      </c>
      <c r="H994" s="2" t="s">
        <v>22</v>
      </c>
      <c r="I994" s="2" t="s">
        <v>8336</v>
      </c>
      <c r="J994" s="2" t="s">
        <v>24</v>
      </c>
      <c r="K994">
        <v>1186.3399999999999</v>
      </c>
      <c r="L994">
        <v>118634000</v>
      </c>
      <c r="M994" s="2" t="s">
        <v>8348</v>
      </c>
      <c r="N994" s="2" t="s">
        <v>8352</v>
      </c>
      <c r="O994" s="2" t="s">
        <v>9240</v>
      </c>
      <c r="P994" s="2" t="s">
        <v>175</v>
      </c>
      <c r="Q994" s="2" t="s">
        <v>8445</v>
      </c>
      <c r="R994" s="2" t="s">
        <v>30</v>
      </c>
    </row>
    <row r="995" spans="1:18">
      <c r="A995" s="1">
        <v>46082</v>
      </c>
      <c r="B995" s="1">
        <v>46082</v>
      </c>
      <c r="C995">
        <v>2026</v>
      </c>
      <c r="D995">
        <v>3</v>
      </c>
      <c r="E995" s="2" t="s">
        <v>8456</v>
      </c>
      <c r="F995" s="2" t="s">
        <v>8457</v>
      </c>
      <c r="G995" s="2" t="s">
        <v>8335</v>
      </c>
      <c r="H995" s="2" t="s">
        <v>22</v>
      </c>
      <c r="I995" s="2" t="s">
        <v>8336</v>
      </c>
      <c r="J995" s="2" t="s">
        <v>24</v>
      </c>
      <c r="K995">
        <v>10445.69</v>
      </c>
      <c r="L995">
        <v>1044569000</v>
      </c>
      <c r="M995" s="2" t="s">
        <v>8355</v>
      </c>
      <c r="N995" s="2" t="s">
        <v>8359</v>
      </c>
      <c r="O995" s="2" t="s">
        <v>9241</v>
      </c>
      <c r="P995" s="2" t="s">
        <v>175</v>
      </c>
      <c r="Q995" s="2" t="s">
        <v>8445</v>
      </c>
      <c r="R995" s="2" t="s">
        <v>30</v>
      </c>
    </row>
    <row r="996" spans="1:18">
      <c r="A996" s="1">
        <v>46082</v>
      </c>
      <c r="B996" s="1">
        <v>46082</v>
      </c>
      <c r="C996">
        <v>2026</v>
      </c>
      <c r="D996">
        <v>3</v>
      </c>
      <c r="E996" s="2" t="s">
        <v>8459</v>
      </c>
      <c r="F996" s="2" t="s">
        <v>8460</v>
      </c>
      <c r="G996" s="2" t="s">
        <v>8335</v>
      </c>
      <c r="H996" s="2" t="s">
        <v>22</v>
      </c>
      <c r="I996" s="2" t="s">
        <v>8336</v>
      </c>
      <c r="J996" s="2" t="s">
        <v>59</v>
      </c>
      <c r="K996">
        <v>11632.02</v>
      </c>
      <c r="L996">
        <v>1163202000</v>
      </c>
      <c r="M996" s="2" t="s">
        <v>8331</v>
      </c>
      <c r="N996" s="2" t="s">
        <v>8341</v>
      </c>
      <c r="O996" s="2" t="s">
        <v>9242</v>
      </c>
      <c r="P996" s="2" t="s">
        <v>175</v>
      </c>
      <c r="Q996" s="2" t="s">
        <v>8445</v>
      </c>
      <c r="R996" s="2" t="s">
        <v>30</v>
      </c>
    </row>
    <row r="997" spans="1:18">
      <c r="A997" s="1">
        <v>46082</v>
      </c>
      <c r="B997" s="1">
        <v>46082</v>
      </c>
      <c r="C997">
        <v>2026</v>
      </c>
      <c r="D997">
        <v>3</v>
      </c>
      <c r="E997" s="2" t="s">
        <v>8462</v>
      </c>
      <c r="F997" s="2" t="s">
        <v>8463</v>
      </c>
      <c r="G997" s="2" t="s">
        <v>8335</v>
      </c>
      <c r="H997" s="2" t="s">
        <v>22</v>
      </c>
      <c r="I997" s="2" t="s">
        <v>8409</v>
      </c>
      <c r="J997" s="2" t="s">
        <v>24</v>
      </c>
      <c r="K997">
        <v>13.9</v>
      </c>
      <c r="L997">
        <v>1390000</v>
      </c>
      <c r="M997" s="2" t="s">
        <v>8406</v>
      </c>
      <c r="N997" s="2" t="s">
        <v>8411</v>
      </c>
      <c r="O997" s="2" t="s">
        <v>9233</v>
      </c>
      <c r="P997" s="2" t="s">
        <v>175</v>
      </c>
      <c r="Q997" s="2" t="s">
        <v>8445</v>
      </c>
      <c r="R997" s="2" t="s">
        <v>30</v>
      </c>
    </row>
    <row r="998" spans="1:18">
      <c r="A998" s="1">
        <v>46082</v>
      </c>
      <c r="B998" s="1">
        <v>46082</v>
      </c>
      <c r="C998">
        <v>2026</v>
      </c>
      <c r="D998">
        <v>3</v>
      </c>
      <c r="E998" s="2" t="s">
        <v>8464</v>
      </c>
      <c r="F998" s="2" t="s">
        <v>8465</v>
      </c>
      <c r="G998" s="2" t="s">
        <v>8335</v>
      </c>
      <c r="H998" s="2" t="s">
        <v>22</v>
      </c>
      <c r="I998" s="2" t="s">
        <v>8417</v>
      </c>
      <c r="J998" s="2" t="s">
        <v>24</v>
      </c>
      <c r="K998">
        <v>117.69</v>
      </c>
      <c r="L998">
        <v>11769000</v>
      </c>
      <c r="M998" s="2" t="s">
        <v>8414</v>
      </c>
      <c r="N998" s="2" t="s">
        <v>8419</v>
      </c>
      <c r="O998" s="2" t="s">
        <v>9243</v>
      </c>
      <c r="P998" s="2" t="s">
        <v>175</v>
      </c>
      <c r="Q998" s="2" t="s">
        <v>8445</v>
      </c>
      <c r="R998" s="2" t="s">
        <v>30</v>
      </c>
    </row>
    <row r="999" spans="1:18">
      <c r="A999" s="1">
        <v>46082</v>
      </c>
      <c r="B999" s="1">
        <v>46082</v>
      </c>
      <c r="C999">
        <v>2026</v>
      </c>
      <c r="D999">
        <v>3</v>
      </c>
      <c r="E999" s="2" t="s">
        <v>8467</v>
      </c>
      <c r="F999" s="2" t="s">
        <v>8468</v>
      </c>
      <c r="G999" s="2" t="s">
        <v>8335</v>
      </c>
      <c r="H999" s="2" t="s">
        <v>22</v>
      </c>
      <c r="I999" s="2" t="s">
        <v>8365</v>
      </c>
      <c r="J999" s="2" t="s">
        <v>24</v>
      </c>
      <c r="K999">
        <v>4739.13</v>
      </c>
      <c r="L999">
        <v>473913000</v>
      </c>
      <c r="M999" s="2" t="s">
        <v>8377</v>
      </c>
      <c r="N999" s="2" t="s">
        <v>8381</v>
      </c>
      <c r="O999" s="2" t="s">
        <v>9244</v>
      </c>
      <c r="P999" s="2" t="s">
        <v>175</v>
      </c>
      <c r="Q999" s="2" t="s">
        <v>8445</v>
      </c>
      <c r="R999" s="2" t="s">
        <v>30</v>
      </c>
    </row>
    <row r="1000" spans="1:18">
      <c r="A1000" s="1">
        <v>46082</v>
      </c>
      <c r="B1000" s="1">
        <v>46082</v>
      </c>
      <c r="C1000">
        <v>2026</v>
      </c>
      <c r="D1000">
        <v>3</v>
      </c>
      <c r="E1000" s="2" t="s">
        <v>8470</v>
      </c>
      <c r="F1000" s="2" t="s">
        <v>8471</v>
      </c>
      <c r="G1000" s="2" t="s">
        <v>8335</v>
      </c>
      <c r="H1000" s="2" t="s">
        <v>22</v>
      </c>
      <c r="I1000" s="2" t="s">
        <v>8365</v>
      </c>
      <c r="J1000" s="2" t="s">
        <v>59</v>
      </c>
      <c r="K1000">
        <v>22992.54</v>
      </c>
      <c r="L1000">
        <v>2299254000</v>
      </c>
      <c r="M1000" s="2" t="s">
        <v>8362</v>
      </c>
      <c r="N1000" s="2" t="s">
        <v>8367</v>
      </c>
      <c r="O1000" s="2" t="s">
        <v>9245</v>
      </c>
      <c r="P1000" s="2" t="s">
        <v>175</v>
      </c>
      <c r="Q1000" s="2" t="s">
        <v>8445</v>
      </c>
      <c r="R1000" s="2" t="s">
        <v>30</v>
      </c>
    </row>
    <row r="1001" spans="1:18">
      <c r="A1001" s="1">
        <v>46082</v>
      </c>
      <c r="B1001" s="1">
        <v>46082</v>
      </c>
      <c r="C1001">
        <v>2026</v>
      </c>
      <c r="D1001">
        <v>3</v>
      </c>
      <c r="E1001" s="2" t="s">
        <v>8473</v>
      </c>
      <c r="F1001" s="2" t="s">
        <v>8474</v>
      </c>
      <c r="G1001" s="2" t="s">
        <v>8335</v>
      </c>
      <c r="H1001" s="2" t="s">
        <v>22</v>
      </c>
      <c r="I1001" s="2" t="s">
        <v>8365</v>
      </c>
      <c r="J1001" s="2" t="s">
        <v>24</v>
      </c>
      <c r="K1001">
        <v>18253.419999999998</v>
      </c>
      <c r="L1001">
        <v>1825342000</v>
      </c>
      <c r="M1001" s="2" t="s">
        <v>8370</v>
      </c>
      <c r="N1001" s="2" t="s">
        <v>8374</v>
      </c>
      <c r="O1001" s="2" t="s">
        <v>9246</v>
      </c>
      <c r="P1001" s="2" t="s">
        <v>175</v>
      </c>
      <c r="Q1001" s="2" t="s">
        <v>8445</v>
      </c>
      <c r="R1001" s="2" t="s">
        <v>30</v>
      </c>
    </row>
    <row r="1002" spans="1:18">
      <c r="A1002" s="1">
        <v>46082</v>
      </c>
      <c r="B1002" s="1">
        <v>46082</v>
      </c>
      <c r="C1002">
        <v>2026</v>
      </c>
      <c r="D1002">
        <v>3</v>
      </c>
      <c r="E1002" s="2" t="s">
        <v>7890</v>
      </c>
      <c r="F1002" s="2" t="s">
        <v>7891</v>
      </c>
      <c r="G1002" s="2" t="s">
        <v>8335</v>
      </c>
      <c r="H1002" s="2" t="s">
        <v>22</v>
      </c>
      <c r="I1002" s="2" t="s">
        <v>8417</v>
      </c>
      <c r="J1002" s="2" t="s">
        <v>24</v>
      </c>
      <c r="K1002">
        <v>7612.17</v>
      </c>
      <c r="L1002">
        <v>761217000</v>
      </c>
      <c r="M1002" s="2" t="s">
        <v>7889</v>
      </c>
      <c r="N1002" s="2" t="s">
        <v>7911</v>
      </c>
      <c r="O1002" s="2" t="s">
        <v>9247</v>
      </c>
      <c r="P1002" s="2" t="s">
        <v>175</v>
      </c>
      <c r="Q1002" s="2" t="s">
        <v>8445</v>
      </c>
      <c r="R1002" s="2" t="s">
        <v>30</v>
      </c>
    </row>
    <row r="1003" spans="1:18">
      <c r="A1003" s="1">
        <v>46113</v>
      </c>
      <c r="B1003" s="1">
        <v>46113</v>
      </c>
      <c r="C1003">
        <v>2026</v>
      </c>
      <c r="D1003">
        <v>4</v>
      </c>
      <c r="E1003" s="2" t="s">
        <v>8443</v>
      </c>
      <c r="F1003" s="2" t="s">
        <v>8444</v>
      </c>
      <c r="G1003" s="2" t="s">
        <v>8335</v>
      </c>
      <c r="H1003" s="2" t="s">
        <v>22</v>
      </c>
      <c r="I1003" s="2" t="s">
        <v>8387</v>
      </c>
      <c r="J1003" s="2" t="s">
        <v>24</v>
      </c>
      <c r="K1003">
        <v>2.16</v>
      </c>
      <c r="L1003">
        <v>216000</v>
      </c>
      <c r="M1003" s="2" t="s">
        <v>8392</v>
      </c>
      <c r="N1003" s="2" t="s">
        <v>8396</v>
      </c>
      <c r="O1003" s="2" t="s">
        <v>3609</v>
      </c>
      <c r="P1003" s="2" t="s">
        <v>175</v>
      </c>
      <c r="Q1003" s="2" t="s">
        <v>8445</v>
      </c>
      <c r="R1003" s="2" t="s">
        <v>30</v>
      </c>
    </row>
    <row r="1004" spans="1:18">
      <c r="A1004" s="1">
        <v>46113</v>
      </c>
      <c r="B1004" s="1">
        <v>46113</v>
      </c>
      <c r="C1004">
        <v>2026</v>
      </c>
      <c r="D1004">
        <v>4</v>
      </c>
      <c r="E1004" s="2" t="s">
        <v>8446</v>
      </c>
      <c r="F1004" s="2" t="s">
        <v>8447</v>
      </c>
      <c r="G1004" s="2" t="s">
        <v>8335</v>
      </c>
      <c r="H1004" s="2" t="s">
        <v>22</v>
      </c>
      <c r="I1004" s="2" t="s">
        <v>8387</v>
      </c>
      <c r="J1004" s="2" t="s">
        <v>59</v>
      </c>
      <c r="K1004">
        <v>2.54</v>
      </c>
      <c r="L1004">
        <v>254000</v>
      </c>
      <c r="M1004" s="2" t="s">
        <v>8384</v>
      </c>
      <c r="N1004" s="2" t="s">
        <v>8389</v>
      </c>
      <c r="O1004" s="2" t="s">
        <v>2913</v>
      </c>
      <c r="P1004" s="2" t="s">
        <v>175</v>
      </c>
      <c r="Q1004" s="2" t="s">
        <v>8445</v>
      </c>
      <c r="R1004" s="2" t="s">
        <v>30</v>
      </c>
    </row>
    <row r="1005" spans="1:18">
      <c r="A1005" s="1">
        <v>46113</v>
      </c>
      <c r="B1005" s="1">
        <v>46113</v>
      </c>
      <c r="C1005">
        <v>2026</v>
      </c>
      <c r="D1005">
        <v>4</v>
      </c>
      <c r="E1005" s="2" t="s">
        <v>8448</v>
      </c>
      <c r="F1005" s="2" t="s">
        <v>8449</v>
      </c>
      <c r="G1005" s="2" t="s">
        <v>8335</v>
      </c>
      <c r="H1005" s="2" t="s">
        <v>22</v>
      </c>
      <c r="I1005" s="2" t="s">
        <v>8387</v>
      </c>
      <c r="J1005" s="2" t="s">
        <v>24</v>
      </c>
      <c r="K1005">
        <v>0.38</v>
      </c>
      <c r="L1005">
        <v>38000</v>
      </c>
      <c r="M1005" s="2" t="s">
        <v>8399</v>
      </c>
      <c r="N1005" s="2" t="s">
        <v>8403</v>
      </c>
      <c r="O1005" s="2" t="s">
        <v>827</v>
      </c>
      <c r="P1005" s="2" t="s">
        <v>175</v>
      </c>
      <c r="Q1005" s="2" t="s">
        <v>8445</v>
      </c>
      <c r="R1005" s="2" t="s">
        <v>30</v>
      </c>
    </row>
    <row r="1006" spans="1:18">
      <c r="A1006" s="1">
        <v>46113</v>
      </c>
      <c r="B1006" s="1">
        <v>46113</v>
      </c>
      <c r="C1006">
        <v>2026</v>
      </c>
      <c r="D1006">
        <v>4</v>
      </c>
      <c r="E1006" s="2" t="s">
        <v>8450</v>
      </c>
      <c r="F1006" s="2" t="s">
        <v>8451</v>
      </c>
      <c r="G1006" s="2" t="s">
        <v>8335</v>
      </c>
      <c r="H1006" s="2" t="s">
        <v>22</v>
      </c>
      <c r="I1006" s="2" t="s">
        <v>8417</v>
      </c>
      <c r="J1006" s="2" t="s">
        <v>24</v>
      </c>
      <c r="K1006">
        <v>56.17</v>
      </c>
      <c r="L1006">
        <v>5617000</v>
      </c>
      <c r="M1006" s="2" t="s">
        <v>8422</v>
      </c>
      <c r="N1006" s="2" t="s">
        <v>8426</v>
      </c>
      <c r="O1006" s="2" t="s">
        <v>9248</v>
      </c>
      <c r="P1006" s="2" t="s">
        <v>175</v>
      </c>
      <c r="Q1006" s="2" t="s">
        <v>8445</v>
      </c>
      <c r="R1006" s="2" t="s">
        <v>30</v>
      </c>
    </row>
    <row r="1007" spans="1:18">
      <c r="A1007" s="1">
        <v>46113</v>
      </c>
      <c r="B1007" s="1">
        <v>46113</v>
      </c>
      <c r="C1007">
        <v>2026</v>
      </c>
      <c r="D1007">
        <v>4</v>
      </c>
      <c r="E1007" s="2" t="s">
        <v>8453</v>
      </c>
      <c r="F1007" s="2" t="s">
        <v>8454</v>
      </c>
      <c r="G1007" s="2" t="s">
        <v>8335</v>
      </c>
      <c r="H1007" s="2" t="s">
        <v>22</v>
      </c>
      <c r="I1007" s="2" t="s">
        <v>8336</v>
      </c>
      <c r="J1007" s="2" t="s">
        <v>24</v>
      </c>
      <c r="K1007">
        <v>1194.5899999999999</v>
      </c>
      <c r="L1007">
        <v>119459000</v>
      </c>
      <c r="M1007" s="2" t="s">
        <v>8348</v>
      </c>
      <c r="N1007" s="2" t="s">
        <v>8352</v>
      </c>
      <c r="O1007" s="2" t="s">
        <v>9249</v>
      </c>
      <c r="P1007" s="2" t="s">
        <v>639</v>
      </c>
      <c r="Q1007" s="2" t="s">
        <v>8445</v>
      </c>
      <c r="R1007" s="2" t="s">
        <v>30</v>
      </c>
    </row>
    <row r="1008" spans="1:18">
      <c r="A1008" s="1">
        <v>46113</v>
      </c>
      <c r="B1008" s="1">
        <v>46113</v>
      </c>
      <c r="C1008">
        <v>2026</v>
      </c>
      <c r="D1008">
        <v>4</v>
      </c>
      <c r="E1008" s="2" t="s">
        <v>8456</v>
      </c>
      <c r="F1008" s="2" t="s">
        <v>8457</v>
      </c>
      <c r="G1008" s="2" t="s">
        <v>8335</v>
      </c>
      <c r="H1008" s="2" t="s">
        <v>22</v>
      </c>
      <c r="I1008" s="2" t="s">
        <v>8336</v>
      </c>
      <c r="J1008" s="2" t="s">
        <v>24</v>
      </c>
      <c r="K1008">
        <v>10236.700000000001</v>
      </c>
      <c r="L1008">
        <v>1023670000</v>
      </c>
      <c r="M1008" s="2" t="s">
        <v>8355</v>
      </c>
      <c r="N1008" s="2" t="s">
        <v>8359</v>
      </c>
      <c r="O1008" s="2" t="s">
        <v>9250</v>
      </c>
      <c r="P1008" s="2" t="s">
        <v>175</v>
      </c>
      <c r="Q1008" s="2" t="s">
        <v>8445</v>
      </c>
      <c r="R1008" s="2" t="s">
        <v>30</v>
      </c>
    </row>
    <row r="1009" spans="1:18">
      <c r="A1009" s="1">
        <v>46113</v>
      </c>
      <c r="B1009" s="1">
        <v>46113</v>
      </c>
      <c r="C1009">
        <v>2026</v>
      </c>
      <c r="D1009">
        <v>4</v>
      </c>
      <c r="E1009" s="2" t="s">
        <v>8459</v>
      </c>
      <c r="F1009" s="2" t="s">
        <v>8460</v>
      </c>
      <c r="G1009" s="2" t="s">
        <v>8335</v>
      </c>
      <c r="H1009" s="2" t="s">
        <v>22</v>
      </c>
      <c r="I1009" s="2" t="s">
        <v>8336</v>
      </c>
      <c r="J1009" s="2" t="s">
        <v>59</v>
      </c>
      <c r="K1009">
        <v>11431.3</v>
      </c>
      <c r="L1009">
        <v>1143130000</v>
      </c>
      <c r="M1009" s="2" t="s">
        <v>8331</v>
      </c>
      <c r="N1009" s="2" t="s">
        <v>8341</v>
      </c>
      <c r="O1009" s="2" t="s">
        <v>9251</v>
      </c>
      <c r="P1009" s="2" t="s">
        <v>175</v>
      </c>
      <c r="Q1009" s="2" t="s">
        <v>8445</v>
      </c>
      <c r="R1009" s="2" t="s">
        <v>30</v>
      </c>
    </row>
    <row r="1010" spans="1:18">
      <c r="A1010" s="1">
        <v>46113</v>
      </c>
      <c r="B1010" s="1">
        <v>46113</v>
      </c>
      <c r="C1010">
        <v>2026</v>
      </c>
      <c r="D1010">
        <v>4</v>
      </c>
      <c r="E1010" s="2" t="s">
        <v>8462</v>
      </c>
      <c r="F1010" s="2" t="s">
        <v>8463</v>
      </c>
      <c r="G1010" s="2" t="s">
        <v>8335</v>
      </c>
      <c r="H1010" s="2" t="s">
        <v>22</v>
      </c>
      <c r="I1010" s="2" t="s">
        <v>8409</v>
      </c>
      <c r="J1010" s="2" t="s">
        <v>24</v>
      </c>
      <c r="K1010">
        <v>13.68</v>
      </c>
      <c r="L1010">
        <v>1368000</v>
      </c>
      <c r="M1010" s="2" t="s">
        <v>8406</v>
      </c>
      <c r="N1010" s="2" t="s">
        <v>8411</v>
      </c>
      <c r="O1010" s="2" t="s">
        <v>5926</v>
      </c>
      <c r="P1010" s="2" t="s">
        <v>175</v>
      </c>
      <c r="Q1010" s="2" t="s">
        <v>8445</v>
      </c>
      <c r="R1010" s="2" t="s">
        <v>30</v>
      </c>
    </row>
    <row r="1011" spans="1:18">
      <c r="A1011" s="1">
        <v>46113</v>
      </c>
      <c r="B1011" s="1">
        <v>46113</v>
      </c>
      <c r="C1011">
        <v>2026</v>
      </c>
      <c r="D1011">
        <v>4</v>
      </c>
      <c r="E1011" s="2" t="s">
        <v>8464</v>
      </c>
      <c r="F1011" s="2" t="s">
        <v>8465</v>
      </c>
      <c r="G1011" s="2" t="s">
        <v>8335</v>
      </c>
      <c r="H1011" s="2" t="s">
        <v>22</v>
      </c>
      <c r="I1011" s="2" t="s">
        <v>8417</v>
      </c>
      <c r="J1011" s="2" t="s">
        <v>24</v>
      </c>
      <c r="K1011">
        <v>114.47</v>
      </c>
      <c r="L1011">
        <v>11447000</v>
      </c>
      <c r="M1011" s="2" t="s">
        <v>8414</v>
      </c>
      <c r="N1011" s="2" t="s">
        <v>8419</v>
      </c>
      <c r="O1011" s="2" t="s">
        <v>9252</v>
      </c>
      <c r="P1011" s="2" t="s">
        <v>175</v>
      </c>
      <c r="Q1011" s="2" t="s">
        <v>8445</v>
      </c>
      <c r="R1011" s="2" t="s">
        <v>30</v>
      </c>
    </row>
    <row r="1012" spans="1:18">
      <c r="A1012" s="1">
        <v>46113</v>
      </c>
      <c r="B1012" s="1">
        <v>46113</v>
      </c>
      <c r="C1012">
        <v>2026</v>
      </c>
      <c r="D1012">
        <v>4</v>
      </c>
      <c r="E1012" s="2" t="s">
        <v>8467</v>
      </c>
      <c r="F1012" s="2" t="s">
        <v>8468</v>
      </c>
      <c r="G1012" s="2" t="s">
        <v>8335</v>
      </c>
      <c r="H1012" s="2" t="s">
        <v>22</v>
      </c>
      <c r="I1012" s="2" t="s">
        <v>8365</v>
      </c>
      <c r="J1012" s="2" t="s">
        <v>24</v>
      </c>
      <c r="K1012">
        <v>4794.55</v>
      </c>
      <c r="L1012">
        <v>479455000</v>
      </c>
      <c r="M1012" s="2" t="s">
        <v>8377</v>
      </c>
      <c r="N1012" s="2" t="s">
        <v>8381</v>
      </c>
      <c r="O1012" s="2" t="s">
        <v>9253</v>
      </c>
      <c r="P1012" s="2" t="s">
        <v>639</v>
      </c>
      <c r="Q1012" s="2" t="s">
        <v>8445</v>
      </c>
      <c r="R1012" s="2" t="s">
        <v>30</v>
      </c>
    </row>
    <row r="1013" spans="1:18">
      <c r="A1013" s="1">
        <v>46113</v>
      </c>
      <c r="B1013" s="1">
        <v>46113</v>
      </c>
      <c r="C1013">
        <v>2026</v>
      </c>
      <c r="D1013">
        <v>4</v>
      </c>
      <c r="E1013" s="2" t="s">
        <v>8470</v>
      </c>
      <c r="F1013" s="2" t="s">
        <v>8471</v>
      </c>
      <c r="G1013" s="2" t="s">
        <v>8335</v>
      </c>
      <c r="H1013" s="2" t="s">
        <v>22</v>
      </c>
      <c r="I1013" s="2" t="s">
        <v>8365</v>
      </c>
      <c r="J1013" s="2" t="s">
        <v>59</v>
      </c>
      <c r="K1013">
        <v>23185.47</v>
      </c>
      <c r="L1013">
        <v>2318547000</v>
      </c>
      <c r="M1013" s="2" t="s">
        <v>8362</v>
      </c>
      <c r="N1013" s="2" t="s">
        <v>8367</v>
      </c>
      <c r="O1013" s="2" t="s">
        <v>9254</v>
      </c>
      <c r="P1013" s="2" t="s">
        <v>175</v>
      </c>
      <c r="Q1013" s="2" t="s">
        <v>8445</v>
      </c>
      <c r="R1013" s="2" t="s">
        <v>30</v>
      </c>
    </row>
    <row r="1014" spans="1:18">
      <c r="A1014" s="1">
        <v>46113</v>
      </c>
      <c r="B1014" s="1">
        <v>46113</v>
      </c>
      <c r="C1014">
        <v>2026</v>
      </c>
      <c r="D1014">
        <v>4</v>
      </c>
      <c r="E1014" s="2" t="s">
        <v>8473</v>
      </c>
      <c r="F1014" s="2" t="s">
        <v>8474</v>
      </c>
      <c r="G1014" s="2" t="s">
        <v>8335</v>
      </c>
      <c r="H1014" s="2" t="s">
        <v>22</v>
      </c>
      <c r="I1014" s="2" t="s">
        <v>8365</v>
      </c>
      <c r="J1014" s="2" t="s">
        <v>24</v>
      </c>
      <c r="K1014">
        <v>18390.919999999998</v>
      </c>
      <c r="L1014">
        <v>1839092000</v>
      </c>
      <c r="M1014" s="2" t="s">
        <v>8370</v>
      </c>
      <c r="N1014" s="2" t="s">
        <v>8374</v>
      </c>
      <c r="O1014" s="2" t="s">
        <v>9255</v>
      </c>
      <c r="P1014" s="2" t="s">
        <v>175</v>
      </c>
      <c r="Q1014" s="2" t="s">
        <v>8445</v>
      </c>
      <c r="R1014" s="2" t="s">
        <v>30</v>
      </c>
    </row>
    <row r="1015" spans="1:18">
      <c r="A1015" s="1">
        <v>46113</v>
      </c>
      <c r="B1015" s="1">
        <v>46113</v>
      </c>
      <c r="C1015">
        <v>2026</v>
      </c>
      <c r="D1015">
        <v>4</v>
      </c>
      <c r="E1015" s="2" t="s">
        <v>7890</v>
      </c>
      <c r="F1015" s="2" t="s">
        <v>7891</v>
      </c>
      <c r="G1015" s="2" t="s">
        <v>8335</v>
      </c>
      <c r="H1015" s="2" t="s">
        <v>22</v>
      </c>
      <c r="I1015" s="2" t="s">
        <v>8417</v>
      </c>
      <c r="J1015" s="2" t="s">
        <v>24</v>
      </c>
      <c r="K1015">
        <v>7708.29</v>
      </c>
      <c r="L1015">
        <v>770829000</v>
      </c>
      <c r="M1015" s="2" t="s">
        <v>7889</v>
      </c>
      <c r="N1015" s="2" t="s">
        <v>7911</v>
      </c>
      <c r="O1015" s="2" t="s">
        <v>9256</v>
      </c>
      <c r="P1015" s="2" t="s">
        <v>175</v>
      </c>
      <c r="Q1015" s="2" t="s">
        <v>8445</v>
      </c>
      <c r="R1015" s="2" t="s">
        <v>30</v>
      </c>
    </row>
    <row r="1016" spans="1:18">
      <c r="A1016" s="1">
        <v>46143</v>
      </c>
      <c r="B1016" s="1">
        <v>46143</v>
      </c>
      <c r="C1016">
        <v>2026</v>
      </c>
      <c r="D1016">
        <v>5</v>
      </c>
      <c r="E1016" s="2" t="s">
        <v>8443</v>
      </c>
      <c r="F1016" s="2" t="s">
        <v>8444</v>
      </c>
      <c r="G1016" s="2" t="s">
        <v>8335</v>
      </c>
      <c r="H1016" s="2" t="s">
        <v>22</v>
      </c>
      <c r="I1016" s="2" t="s">
        <v>8387</v>
      </c>
      <c r="J1016" s="2" t="s">
        <v>24</v>
      </c>
      <c r="K1016">
        <v>2.17</v>
      </c>
      <c r="L1016">
        <v>217000</v>
      </c>
      <c r="M1016" s="2" t="s">
        <v>8392</v>
      </c>
      <c r="N1016" s="2" t="s">
        <v>8396</v>
      </c>
      <c r="O1016" s="2" t="s">
        <v>4167</v>
      </c>
      <c r="P1016" s="2" t="s">
        <v>639</v>
      </c>
      <c r="Q1016" s="2" t="s">
        <v>8445</v>
      </c>
      <c r="R1016" s="2" t="s">
        <v>30</v>
      </c>
    </row>
    <row r="1017" spans="1:18">
      <c r="A1017" s="1">
        <v>46143</v>
      </c>
      <c r="B1017" s="1">
        <v>46143</v>
      </c>
      <c r="C1017">
        <v>2026</v>
      </c>
      <c r="D1017">
        <v>5</v>
      </c>
      <c r="E1017" s="2" t="s">
        <v>8446</v>
      </c>
      <c r="F1017" s="2" t="s">
        <v>8447</v>
      </c>
      <c r="G1017" s="2" t="s">
        <v>8335</v>
      </c>
      <c r="H1017" s="2" t="s">
        <v>22</v>
      </c>
      <c r="I1017" s="2" t="s">
        <v>8387</v>
      </c>
      <c r="J1017" s="2" t="s">
        <v>59</v>
      </c>
      <c r="K1017">
        <v>2.54</v>
      </c>
      <c r="L1017">
        <v>254000</v>
      </c>
      <c r="M1017" s="2" t="s">
        <v>8384</v>
      </c>
      <c r="N1017" s="2" t="s">
        <v>8389</v>
      </c>
      <c r="O1017" s="2" t="s">
        <v>2913</v>
      </c>
      <c r="P1017" s="2" t="s">
        <v>175</v>
      </c>
      <c r="Q1017" s="2" t="s">
        <v>8445</v>
      </c>
      <c r="R1017" s="2" t="s">
        <v>30</v>
      </c>
    </row>
    <row r="1018" spans="1:18">
      <c r="A1018" s="1">
        <v>46143</v>
      </c>
      <c r="B1018" s="1">
        <v>46143</v>
      </c>
      <c r="C1018">
        <v>2026</v>
      </c>
      <c r="D1018">
        <v>5</v>
      </c>
      <c r="E1018" s="2" t="s">
        <v>8448</v>
      </c>
      <c r="F1018" s="2" t="s">
        <v>8449</v>
      </c>
      <c r="G1018" s="2" t="s">
        <v>8335</v>
      </c>
      <c r="H1018" s="2" t="s">
        <v>22</v>
      </c>
      <c r="I1018" s="2" t="s">
        <v>8387</v>
      </c>
      <c r="J1018" s="2" t="s">
        <v>24</v>
      </c>
      <c r="K1018">
        <v>0.37</v>
      </c>
      <c r="L1018">
        <v>37000</v>
      </c>
      <c r="M1018" s="2" t="s">
        <v>8399</v>
      </c>
      <c r="N1018" s="2" t="s">
        <v>8403</v>
      </c>
      <c r="O1018" s="2" t="s">
        <v>668</v>
      </c>
      <c r="P1018" s="2" t="s">
        <v>639</v>
      </c>
      <c r="Q1018" s="2" t="s">
        <v>8445</v>
      </c>
      <c r="R1018" s="2" t="s">
        <v>30</v>
      </c>
    </row>
    <row r="1019" spans="1:18">
      <c r="A1019" s="1">
        <v>46143</v>
      </c>
      <c r="B1019" s="1">
        <v>46143</v>
      </c>
      <c r="C1019">
        <v>2026</v>
      </c>
      <c r="D1019">
        <v>5</v>
      </c>
      <c r="E1019" s="2" t="s">
        <v>8450</v>
      </c>
      <c r="F1019" s="2" t="s">
        <v>8451</v>
      </c>
      <c r="G1019" s="2" t="s">
        <v>8335</v>
      </c>
      <c r="H1019" s="2" t="s">
        <v>22</v>
      </c>
      <c r="I1019" s="2" t="s">
        <v>8417</v>
      </c>
      <c r="J1019" s="2" t="s">
        <v>24</v>
      </c>
      <c r="K1019">
        <v>56.05</v>
      </c>
      <c r="L1019">
        <v>5605000</v>
      </c>
      <c r="M1019" s="2" t="s">
        <v>8422</v>
      </c>
      <c r="N1019" s="2" t="s">
        <v>8426</v>
      </c>
      <c r="O1019" s="2" t="s">
        <v>9257</v>
      </c>
      <c r="P1019" s="2" t="s">
        <v>639</v>
      </c>
      <c r="Q1019" s="2" t="s">
        <v>8445</v>
      </c>
      <c r="R1019" s="2" t="s">
        <v>30</v>
      </c>
    </row>
    <row r="1020" spans="1:18">
      <c r="A1020" s="1">
        <v>46143</v>
      </c>
      <c r="B1020" s="1">
        <v>46143</v>
      </c>
      <c r="C1020">
        <v>2026</v>
      </c>
      <c r="D1020">
        <v>5</v>
      </c>
      <c r="E1020" s="2" t="s">
        <v>8453</v>
      </c>
      <c r="F1020" s="2" t="s">
        <v>8454</v>
      </c>
      <c r="G1020" s="2" t="s">
        <v>8335</v>
      </c>
      <c r="H1020" s="2" t="s">
        <v>22</v>
      </c>
      <c r="I1020" s="2" t="s">
        <v>8336</v>
      </c>
      <c r="J1020" s="2" t="s">
        <v>24</v>
      </c>
      <c r="K1020">
        <v>1204.54</v>
      </c>
      <c r="L1020">
        <v>120454000</v>
      </c>
      <c r="M1020" s="2" t="s">
        <v>8348</v>
      </c>
      <c r="N1020" s="2" t="s">
        <v>8352</v>
      </c>
      <c r="O1020" s="2" t="s">
        <v>9258</v>
      </c>
      <c r="P1020" s="2" t="s">
        <v>639</v>
      </c>
      <c r="Q1020" s="2" t="s">
        <v>8445</v>
      </c>
      <c r="R1020" s="2" t="s">
        <v>30</v>
      </c>
    </row>
    <row r="1021" spans="1:18">
      <c r="A1021" s="1">
        <v>46143</v>
      </c>
      <c r="B1021" s="1">
        <v>46143</v>
      </c>
      <c r="C1021">
        <v>2026</v>
      </c>
      <c r="D1021">
        <v>5</v>
      </c>
      <c r="E1021" s="2" t="s">
        <v>8456</v>
      </c>
      <c r="F1021" s="2" t="s">
        <v>8457</v>
      </c>
      <c r="G1021" s="2" t="s">
        <v>8335</v>
      </c>
      <c r="H1021" s="2" t="s">
        <v>22</v>
      </c>
      <c r="I1021" s="2" t="s">
        <v>8336</v>
      </c>
      <c r="J1021" s="2" t="s">
        <v>24</v>
      </c>
      <c r="K1021">
        <v>10279.08</v>
      </c>
      <c r="L1021">
        <v>1027908000</v>
      </c>
      <c r="M1021" s="2" t="s">
        <v>8355</v>
      </c>
      <c r="N1021" s="2" t="s">
        <v>8359</v>
      </c>
      <c r="O1021" s="2" t="s">
        <v>9259</v>
      </c>
      <c r="P1021" s="2" t="s">
        <v>639</v>
      </c>
      <c r="Q1021" s="2" t="s">
        <v>8445</v>
      </c>
      <c r="R1021" s="2" t="s">
        <v>30</v>
      </c>
    </row>
    <row r="1022" spans="1:18">
      <c r="A1022" s="1">
        <v>46143</v>
      </c>
      <c r="B1022" s="1">
        <v>46143</v>
      </c>
      <c r="C1022">
        <v>2026</v>
      </c>
      <c r="D1022">
        <v>5</v>
      </c>
      <c r="E1022" s="2" t="s">
        <v>8459</v>
      </c>
      <c r="F1022" s="2" t="s">
        <v>8460</v>
      </c>
      <c r="G1022" s="2" t="s">
        <v>8335</v>
      </c>
      <c r="H1022" s="2" t="s">
        <v>22</v>
      </c>
      <c r="I1022" s="2" t="s">
        <v>8336</v>
      </c>
      <c r="J1022" s="2" t="s">
        <v>59</v>
      </c>
      <c r="K1022">
        <v>11483.62</v>
      </c>
      <c r="L1022">
        <v>1148362000</v>
      </c>
      <c r="M1022" s="2" t="s">
        <v>8331</v>
      </c>
      <c r="N1022" s="2" t="s">
        <v>8341</v>
      </c>
      <c r="O1022" s="2" t="s">
        <v>9260</v>
      </c>
      <c r="P1022" s="2" t="s">
        <v>175</v>
      </c>
      <c r="Q1022" s="2" t="s">
        <v>8445</v>
      </c>
      <c r="R1022" s="2" t="s">
        <v>30</v>
      </c>
    </row>
    <row r="1023" spans="1:18">
      <c r="A1023" s="1">
        <v>46143</v>
      </c>
      <c r="B1023" s="1">
        <v>46143</v>
      </c>
      <c r="C1023">
        <v>2026</v>
      </c>
      <c r="D1023">
        <v>5</v>
      </c>
      <c r="E1023" s="2" t="s">
        <v>8462</v>
      </c>
      <c r="F1023" s="2" t="s">
        <v>8463</v>
      </c>
      <c r="G1023" s="2" t="s">
        <v>8335</v>
      </c>
      <c r="H1023" s="2" t="s">
        <v>22</v>
      </c>
      <c r="I1023" s="2" t="s">
        <v>8409</v>
      </c>
      <c r="J1023" s="2" t="s">
        <v>24</v>
      </c>
      <c r="K1023">
        <v>13.58</v>
      </c>
      <c r="L1023">
        <v>1358000</v>
      </c>
      <c r="M1023" s="2" t="s">
        <v>8406</v>
      </c>
      <c r="N1023" s="2" t="s">
        <v>8411</v>
      </c>
      <c r="O1023" s="2" t="s">
        <v>9261</v>
      </c>
      <c r="P1023" s="2" t="s">
        <v>639</v>
      </c>
      <c r="Q1023" s="2" t="s">
        <v>8445</v>
      </c>
      <c r="R1023" s="2" t="s">
        <v>30</v>
      </c>
    </row>
    <row r="1024" spans="1:18">
      <c r="A1024" s="1">
        <v>46143</v>
      </c>
      <c r="B1024" s="1">
        <v>46143</v>
      </c>
      <c r="C1024">
        <v>2026</v>
      </c>
      <c r="D1024">
        <v>5</v>
      </c>
      <c r="E1024" s="2" t="s">
        <v>8464</v>
      </c>
      <c r="F1024" s="2" t="s">
        <v>8465</v>
      </c>
      <c r="G1024" s="2" t="s">
        <v>8335</v>
      </c>
      <c r="H1024" s="2" t="s">
        <v>22</v>
      </c>
      <c r="I1024" s="2" t="s">
        <v>8417</v>
      </c>
      <c r="J1024" s="2" t="s">
        <v>24</v>
      </c>
      <c r="K1024">
        <v>115.25</v>
      </c>
      <c r="L1024">
        <v>11525000</v>
      </c>
      <c r="M1024" s="2" t="s">
        <v>8414</v>
      </c>
      <c r="N1024" s="2" t="s">
        <v>8419</v>
      </c>
      <c r="O1024" s="2" t="s">
        <v>9262</v>
      </c>
      <c r="P1024" s="2" t="s">
        <v>639</v>
      </c>
      <c r="Q1024" s="2" t="s">
        <v>8445</v>
      </c>
      <c r="R1024" s="2" t="s">
        <v>30</v>
      </c>
    </row>
    <row r="1025" spans="1:18">
      <c r="A1025" s="1">
        <v>46143</v>
      </c>
      <c r="B1025" s="1">
        <v>46143</v>
      </c>
      <c r="C1025">
        <v>2026</v>
      </c>
      <c r="D1025">
        <v>5</v>
      </c>
      <c r="E1025" s="2" t="s">
        <v>8467</v>
      </c>
      <c r="F1025" s="2" t="s">
        <v>8468</v>
      </c>
      <c r="G1025" s="2" t="s">
        <v>8335</v>
      </c>
      <c r="H1025" s="2" t="s">
        <v>22</v>
      </c>
      <c r="I1025" s="2" t="s">
        <v>8365</v>
      </c>
      <c r="J1025" s="2" t="s">
        <v>24</v>
      </c>
      <c r="K1025">
        <v>4625.6099999999997</v>
      </c>
      <c r="L1025">
        <v>462561000</v>
      </c>
      <c r="M1025" s="2" t="s">
        <v>8377</v>
      </c>
      <c r="N1025" s="2" t="s">
        <v>8381</v>
      </c>
      <c r="O1025" s="2" t="s">
        <v>9263</v>
      </c>
      <c r="P1025" s="2" t="s">
        <v>639</v>
      </c>
      <c r="Q1025" s="2" t="s">
        <v>8445</v>
      </c>
      <c r="R1025" s="2" t="s">
        <v>30</v>
      </c>
    </row>
    <row r="1026" spans="1:18">
      <c r="A1026" s="1">
        <v>46143</v>
      </c>
      <c r="B1026" s="1">
        <v>46143</v>
      </c>
      <c r="C1026">
        <v>2026</v>
      </c>
      <c r="D1026">
        <v>5</v>
      </c>
      <c r="E1026" s="2" t="s">
        <v>8470</v>
      </c>
      <c r="F1026" s="2" t="s">
        <v>8471</v>
      </c>
      <c r="G1026" s="2" t="s">
        <v>8335</v>
      </c>
      <c r="H1026" s="2" t="s">
        <v>22</v>
      </c>
      <c r="I1026" s="2" t="s">
        <v>8365</v>
      </c>
      <c r="J1026" s="2" t="s">
        <v>59</v>
      </c>
      <c r="K1026">
        <v>22221.66</v>
      </c>
      <c r="L1026">
        <v>2222166000</v>
      </c>
      <c r="M1026" s="2" t="s">
        <v>8362</v>
      </c>
      <c r="N1026" s="2" t="s">
        <v>8367</v>
      </c>
      <c r="O1026" s="2" t="s">
        <v>9264</v>
      </c>
      <c r="P1026" s="2" t="s">
        <v>175</v>
      </c>
      <c r="Q1026" s="2" t="s">
        <v>8445</v>
      </c>
      <c r="R1026" s="2" t="s">
        <v>30</v>
      </c>
    </row>
    <row r="1027" spans="1:18">
      <c r="A1027" s="1">
        <v>46143</v>
      </c>
      <c r="B1027" s="1">
        <v>46143</v>
      </c>
      <c r="C1027">
        <v>2026</v>
      </c>
      <c r="D1027">
        <v>5</v>
      </c>
      <c r="E1027" s="2" t="s">
        <v>8473</v>
      </c>
      <c r="F1027" s="2" t="s">
        <v>8474</v>
      </c>
      <c r="G1027" s="2" t="s">
        <v>8335</v>
      </c>
      <c r="H1027" s="2" t="s">
        <v>22</v>
      </c>
      <c r="I1027" s="2" t="s">
        <v>8365</v>
      </c>
      <c r="J1027" s="2" t="s">
        <v>24</v>
      </c>
      <c r="K1027">
        <v>17596.04</v>
      </c>
      <c r="L1027">
        <v>1759604000</v>
      </c>
      <c r="M1027" s="2" t="s">
        <v>8370</v>
      </c>
      <c r="N1027" s="2" t="s">
        <v>8374</v>
      </c>
      <c r="O1027" s="2" t="s">
        <v>9265</v>
      </c>
      <c r="P1027" s="2" t="s">
        <v>639</v>
      </c>
      <c r="Q1027" s="2" t="s">
        <v>8445</v>
      </c>
      <c r="R1027" s="2" t="s">
        <v>30</v>
      </c>
    </row>
    <row r="1028" spans="1:18">
      <c r="A1028" s="1">
        <v>46143</v>
      </c>
      <c r="B1028" s="1">
        <v>46143</v>
      </c>
      <c r="C1028">
        <v>2026</v>
      </c>
      <c r="D1028">
        <v>5</v>
      </c>
      <c r="E1028" s="2" t="s">
        <v>7890</v>
      </c>
      <c r="F1028" s="2" t="s">
        <v>7891</v>
      </c>
      <c r="G1028" s="2" t="s">
        <v>8335</v>
      </c>
      <c r="H1028" s="2" t="s">
        <v>22</v>
      </c>
      <c r="I1028" s="2" t="s">
        <v>8417</v>
      </c>
      <c r="J1028" s="2" t="s">
        <v>24</v>
      </c>
      <c r="K1028">
        <v>7797.65</v>
      </c>
      <c r="L1028">
        <v>779765000</v>
      </c>
      <c r="M1028" s="2" t="s">
        <v>7889</v>
      </c>
      <c r="N1028" s="2" t="s">
        <v>7911</v>
      </c>
      <c r="O1028" s="2" t="s">
        <v>9266</v>
      </c>
      <c r="P1028" s="2" t="s">
        <v>639</v>
      </c>
      <c r="Q1028" s="2" t="s">
        <v>8445</v>
      </c>
      <c r="R1028" s="2" t="s">
        <v>30</v>
      </c>
    </row>
    <row r="1029" spans="1:18">
      <c r="A1029" s="1">
        <v>46174</v>
      </c>
      <c r="B1029" s="1">
        <v>46174</v>
      </c>
      <c r="C1029">
        <v>2026</v>
      </c>
      <c r="D1029">
        <v>6</v>
      </c>
      <c r="E1029" s="2" t="s">
        <v>8443</v>
      </c>
      <c r="F1029" s="2" t="s">
        <v>8444</v>
      </c>
      <c r="G1029" s="2" t="s">
        <v>8335</v>
      </c>
      <c r="H1029" s="2" t="s">
        <v>22</v>
      </c>
      <c r="I1029" s="2" t="s">
        <v>8387</v>
      </c>
      <c r="J1029" s="2" t="s">
        <v>24</v>
      </c>
      <c r="K1029">
        <v>2.16</v>
      </c>
      <c r="L1029">
        <v>216000</v>
      </c>
      <c r="M1029" s="2" t="s">
        <v>8392</v>
      </c>
      <c r="N1029" s="2" t="s">
        <v>8396</v>
      </c>
      <c r="O1029" s="2" t="s">
        <v>3609</v>
      </c>
      <c r="P1029" s="2" t="s">
        <v>175</v>
      </c>
      <c r="Q1029" s="2" t="s">
        <v>8445</v>
      </c>
      <c r="R1029" s="2" t="s">
        <v>30</v>
      </c>
    </row>
    <row r="1030" spans="1:18">
      <c r="A1030" s="1">
        <v>46174</v>
      </c>
      <c r="B1030" s="1">
        <v>46174</v>
      </c>
      <c r="C1030">
        <v>2026</v>
      </c>
      <c r="D1030">
        <v>6</v>
      </c>
      <c r="E1030" s="2" t="s">
        <v>8446</v>
      </c>
      <c r="F1030" s="2" t="s">
        <v>8447</v>
      </c>
      <c r="G1030" s="2" t="s">
        <v>8335</v>
      </c>
      <c r="H1030" s="2" t="s">
        <v>22</v>
      </c>
      <c r="I1030" s="2" t="s">
        <v>8387</v>
      </c>
      <c r="J1030" s="2" t="s">
        <v>59</v>
      </c>
      <c r="K1030">
        <v>2.52</v>
      </c>
      <c r="L1030">
        <v>252000</v>
      </c>
      <c r="M1030" s="2" t="s">
        <v>8384</v>
      </c>
      <c r="N1030" s="2" t="s">
        <v>8389</v>
      </c>
      <c r="O1030" s="2" t="s">
        <v>1145</v>
      </c>
      <c r="P1030" s="2" t="s">
        <v>175</v>
      </c>
      <c r="Q1030" s="2" t="s">
        <v>8445</v>
      </c>
      <c r="R1030" s="2" t="s">
        <v>30</v>
      </c>
    </row>
    <row r="1031" spans="1:18">
      <c r="A1031" s="1">
        <v>46174</v>
      </c>
      <c r="B1031" s="1">
        <v>46174</v>
      </c>
      <c r="C1031">
        <v>2026</v>
      </c>
      <c r="D1031">
        <v>6</v>
      </c>
      <c r="E1031" s="2" t="s">
        <v>8448</v>
      </c>
      <c r="F1031" s="2" t="s">
        <v>8449</v>
      </c>
      <c r="G1031" s="2" t="s">
        <v>8335</v>
      </c>
      <c r="H1031" s="2" t="s">
        <v>22</v>
      </c>
      <c r="I1031" s="2" t="s">
        <v>8387</v>
      </c>
      <c r="J1031" s="2" t="s">
        <v>24</v>
      </c>
      <c r="K1031">
        <v>0.36</v>
      </c>
      <c r="L1031">
        <v>36000</v>
      </c>
      <c r="M1031" s="2" t="s">
        <v>8399</v>
      </c>
      <c r="N1031" s="2" t="s">
        <v>8403</v>
      </c>
      <c r="O1031" s="2" t="s">
        <v>3657</v>
      </c>
      <c r="P1031" s="2" t="s">
        <v>175</v>
      </c>
      <c r="Q1031" s="2" t="s">
        <v>8445</v>
      </c>
      <c r="R1031" s="2" t="s">
        <v>30</v>
      </c>
    </row>
    <row r="1032" spans="1:18">
      <c r="A1032" s="1">
        <v>46174</v>
      </c>
      <c r="B1032" s="1">
        <v>46174</v>
      </c>
      <c r="C1032">
        <v>2026</v>
      </c>
      <c r="D1032">
        <v>6</v>
      </c>
      <c r="E1032" s="2" t="s">
        <v>8450</v>
      </c>
      <c r="F1032" s="2" t="s">
        <v>8451</v>
      </c>
      <c r="G1032" s="2" t="s">
        <v>8335</v>
      </c>
      <c r="H1032" s="2" t="s">
        <v>22</v>
      </c>
      <c r="I1032" s="2" t="s">
        <v>8417</v>
      </c>
      <c r="J1032" s="2" t="s">
        <v>24</v>
      </c>
      <c r="K1032">
        <v>52.66</v>
      </c>
      <c r="L1032">
        <v>5266000</v>
      </c>
      <c r="M1032" s="2" t="s">
        <v>8422</v>
      </c>
      <c r="N1032" s="2" t="s">
        <v>8426</v>
      </c>
      <c r="O1032" s="2" t="s">
        <v>9267</v>
      </c>
      <c r="P1032" s="2" t="s">
        <v>175</v>
      </c>
      <c r="Q1032" s="2" t="s">
        <v>8445</v>
      </c>
      <c r="R1032" s="2" t="s">
        <v>30</v>
      </c>
    </row>
    <row r="1033" spans="1:18">
      <c r="A1033" s="1">
        <v>46174</v>
      </c>
      <c r="B1033" s="1">
        <v>46174</v>
      </c>
      <c r="C1033">
        <v>2026</v>
      </c>
      <c r="D1033">
        <v>6</v>
      </c>
      <c r="E1033" s="2" t="s">
        <v>8453</v>
      </c>
      <c r="F1033" s="2" t="s">
        <v>8454</v>
      </c>
      <c r="G1033" s="2" t="s">
        <v>8335</v>
      </c>
      <c r="H1033" s="2" t="s">
        <v>22</v>
      </c>
      <c r="I1033" s="2" t="s">
        <v>8336</v>
      </c>
      <c r="J1033" s="2" t="s">
        <v>24</v>
      </c>
      <c r="K1033">
        <v>1215.9100000000001</v>
      </c>
      <c r="L1033">
        <v>121591000</v>
      </c>
      <c r="M1033" s="2" t="s">
        <v>8348</v>
      </c>
      <c r="N1033" s="2" t="s">
        <v>8352</v>
      </c>
      <c r="O1033" s="2" t="s">
        <v>9268</v>
      </c>
      <c r="P1033" s="2" t="s">
        <v>175</v>
      </c>
      <c r="Q1033" s="2" t="s">
        <v>8445</v>
      </c>
      <c r="R1033" s="2" t="s">
        <v>30</v>
      </c>
    </row>
    <row r="1034" spans="1:18">
      <c r="A1034" s="1">
        <v>46174</v>
      </c>
      <c r="B1034" s="1">
        <v>46174</v>
      </c>
      <c r="C1034">
        <v>2026</v>
      </c>
      <c r="D1034">
        <v>6</v>
      </c>
      <c r="E1034" s="2" t="s">
        <v>8456</v>
      </c>
      <c r="F1034" s="2" t="s">
        <v>8457</v>
      </c>
      <c r="G1034" s="2" t="s">
        <v>8335</v>
      </c>
      <c r="H1034" s="2" t="s">
        <v>22</v>
      </c>
      <c r="I1034" s="2" t="s">
        <v>8336</v>
      </c>
      <c r="J1034" s="2" t="s">
        <v>24</v>
      </c>
      <c r="K1034">
        <v>10318.66</v>
      </c>
      <c r="L1034">
        <v>1031866000</v>
      </c>
      <c r="M1034" s="2" t="s">
        <v>8355</v>
      </c>
      <c r="N1034" s="2" t="s">
        <v>8359</v>
      </c>
      <c r="O1034" s="2" t="s">
        <v>9269</v>
      </c>
      <c r="P1034" s="2" t="s">
        <v>175</v>
      </c>
      <c r="Q1034" s="2" t="s">
        <v>8445</v>
      </c>
      <c r="R1034" s="2" t="s">
        <v>30</v>
      </c>
    </row>
    <row r="1035" spans="1:18">
      <c r="A1035" s="1">
        <v>46174</v>
      </c>
      <c r="B1035" s="1">
        <v>46174</v>
      </c>
      <c r="C1035">
        <v>2026</v>
      </c>
      <c r="D1035">
        <v>6</v>
      </c>
      <c r="E1035" s="2" t="s">
        <v>8459</v>
      </c>
      <c r="F1035" s="2" t="s">
        <v>8460</v>
      </c>
      <c r="G1035" s="2" t="s">
        <v>8335</v>
      </c>
      <c r="H1035" s="2" t="s">
        <v>22</v>
      </c>
      <c r="I1035" s="2" t="s">
        <v>8336</v>
      </c>
      <c r="J1035" s="2" t="s">
        <v>59</v>
      </c>
      <c r="K1035">
        <v>11534.57</v>
      </c>
      <c r="L1035">
        <v>1153457000</v>
      </c>
      <c r="M1035" s="2" t="s">
        <v>8331</v>
      </c>
      <c r="N1035" s="2" t="s">
        <v>8341</v>
      </c>
      <c r="O1035" s="2" t="s">
        <v>9270</v>
      </c>
      <c r="P1035" s="2" t="s">
        <v>175</v>
      </c>
      <c r="Q1035" s="2" t="s">
        <v>8445</v>
      </c>
      <c r="R1035" s="2" t="s">
        <v>30</v>
      </c>
    </row>
    <row r="1036" spans="1:18">
      <c r="A1036" s="1">
        <v>46174</v>
      </c>
      <c r="B1036" s="1">
        <v>46174</v>
      </c>
      <c r="C1036">
        <v>2026</v>
      </c>
      <c r="D1036">
        <v>6</v>
      </c>
      <c r="E1036" s="2" t="s">
        <v>8462</v>
      </c>
      <c r="F1036" s="2" t="s">
        <v>8463</v>
      </c>
      <c r="G1036" s="2" t="s">
        <v>8335</v>
      </c>
      <c r="H1036" s="2" t="s">
        <v>22</v>
      </c>
      <c r="I1036" s="2" t="s">
        <v>8409</v>
      </c>
      <c r="J1036" s="2" t="s">
        <v>24</v>
      </c>
      <c r="K1036">
        <v>13.37</v>
      </c>
      <c r="L1036">
        <v>1337000</v>
      </c>
      <c r="M1036" s="2" t="s">
        <v>8406</v>
      </c>
      <c r="N1036" s="2" t="s">
        <v>8411</v>
      </c>
      <c r="O1036" s="2" t="s">
        <v>9271</v>
      </c>
      <c r="P1036" s="2" t="s">
        <v>175</v>
      </c>
      <c r="Q1036" s="2" t="s">
        <v>8445</v>
      </c>
      <c r="R1036" s="2" t="s">
        <v>30</v>
      </c>
    </row>
    <row r="1037" spans="1:18">
      <c r="A1037" s="1">
        <v>46174</v>
      </c>
      <c r="B1037" s="1">
        <v>46174</v>
      </c>
      <c r="C1037">
        <v>2026</v>
      </c>
      <c r="D1037">
        <v>6</v>
      </c>
      <c r="E1037" s="2" t="s">
        <v>8464</v>
      </c>
      <c r="F1037" s="2" t="s">
        <v>8465</v>
      </c>
      <c r="G1037" s="2" t="s">
        <v>8335</v>
      </c>
      <c r="H1037" s="2" t="s">
        <v>22</v>
      </c>
      <c r="I1037" s="2" t="s">
        <v>8417</v>
      </c>
      <c r="J1037" s="2" t="s">
        <v>24</v>
      </c>
      <c r="K1037">
        <v>99.22</v>
      </c>
      <c r="L1037">
        <v>9922000</v>
      </c>
      <c r="M1037" s="2" t="s">
        <v>8414</v>
      </c>
      <c r="N1037" s="2" t="s">
        <v>8419</v>
      </c>
      <c r="O1037" s="2" t="s">
        <v>9272</v>
      </c>
      <c r="P1037" s="2" t="s">
        <v>175</v>
      </c>
      <c r="Q1037" s="2" t="s">
        <v>8445</v>
      </c>
      <c r="R1037" s="2" t="s">
        <v>30</v>
      </c>
    </row>
    <row r="1038" spans="1:18">
      <c r="A1038" s="1">
        <v>46174</v>
      </c>
      <c r="B1038" s="1">
        <v>46174</v>
      </c>
      <c r="C1038">
        <v>2026</v>
      </c>
      <c r="D1038">
        <v>6</v>
      </c>
      <c r="E1038" s="2" t="s">
        <v>8467</v>
      </c>
      <c r="F1038" s="2" t="s">
        <v>8468</v>
      </c>
      <c r="G1038" s="2" t="s">
        <v>8335</v>
      </c>
      <c r="H1038" s="2" t="s">
        <v>22</v>
      </c>
      <c r="I1038" s="2" t="s">
        <v>8365</v>
      </c>
      <c r="J1038" s="2" t="s">
        <v>24</v>
      </c>
      <c r="K1038">
        <v>4657.3999999999996</v>
      </c>
      <c r="L1038">
        <v>465740000</v>
      </c>
      <c r="M1038" s="2" t="s">
        <v>8377</v>
      </c>
      <c r="N1038" s="2" t="s">
        <v>8381</v>
      </c>
      <c r="O1038" s="2" t="s">
        <v>9273</v>
      </c>
      <c r="P1038" s="2" t="s">
        <v>175</v>
      </c>
      <c r="Q1038" s="2" t="s">
        <v>8445</v>
      </c>
      <c r="R1038" s="2" t="s">
        <v>30</v>
      </c>
    </row>
    <row r="1039" spans="1:18">
      <c r="A1039" s="1">
        <v>46174</v>
      </c>
      <c r="B1039" s="1">
        <v>46174</v>
      </c>
      <c r="C1039">
        <v>2026</v>
      </c>
      <c r="D1039">
        <v>6</v>
      </c>
      <c r="E1039" s="2" t="s">
        <v>8470</v>
      </c>
      <c r="F1039" s="2" t="s">
        <v>8471</v>
      </c>
      <c r="G1039" s="2" t="s">
        <v>8335</v>
      </c>
      <c r="H1039" s="2" t="s">
        <v>22</v>
      </c>
      <c r="I1039" s="2" t="s">
        <v>8365</v>
      </c>
      <c r="J1039" s="2" t="s">
        <v>59</v>
      </c>
      <c r="K1039">
        <v>22460.84</v>
      </c>
      <c r="L1039">
        <v>2246084000</v>
      </c>
      <c r="M1039" s="2" t="s">
        <v>8362</v>
      </c>
      <c r="N1039" s="2" t="s">
        <v>8367</v>
      </c>
      <c r="O1039" s="2" t="s">
        <v>9274</v>
      </c>
      <c r="P1039" s="2" t="s">
        <v>175</v>
      </c>
      <c r="Q1039" s="2" t="s">
        <v>8445</v>
      </c>
      <c r="R1039" s="2" t="s">
        <v>30</v>
      </c>
    </row>
    <row r="1040" spans="1:18">
      <c r="A1040" s="1">
        <v>46174</v>
      </c>
      <c r="B1040" s="1">
        <v>46174</v>
      </c>
      <c r="C1040">
        <v>2026</v>
      </c>
      <c r="D1040">
        <v>6</v>
      </c>
      <c r="E1040" s="2" t="s">
        <v>8473</v>
      </c>
      <c r="F1040" s="2" t="s">
        <v>8474</v>
      </c>
      <c r="G1040" s="2" t="s">
        <v>8335</v>
      </c>
      <c r="H1040" s="2" t="s">
        <v>22</v>
      </c>
      <c r="I1040" s="2" t="s">
        <v>8365</v>
      </c>
      <c r="J1040" s="2" t="s">
        <v>24</v>
      </c>
      <c r="K1040">
        <v>17803.439999999999</v>
      </c>
      <c r="L1040">
        <v>1780344000</v>
      </c>
      <c r="M1040" s="2" t="s">
        <v>8370</v>
      </c>
      <c r="N1040" s="2" t="s">
        <v>8374</v>
      </c>
      <c r="O1040" s="2" t="s">
        <v>9275</v>
      </c>
      <c r="P1040" s="2" t="s">
        <v>175</v>
      </c>
      <c r="Q1040" s="2" t="s">
        <v>8445</v>
      </c>
      <c r="R1040" s="2" t="s">
        <v>30</v>
      </c>
    </row>
    <row r="1041" spans="1:18">
      <c r="A1041" s="1">
        <v>46174</v>
      </c>
      <c r="B1041" s="1">
        <v>46174</v>
      </c>
      <c r="C1041">
        <v>2026</v>
      </c>
      <c r="D1041">
        <v>6</v>
      </c>
      <c r="E1041" s="2" t="s">
        <v>7890</v>
      </c>
      <c r="F1041" s="2" t="s">
        <v>7891</v>
      </c>
      <c r="G1041" s="2" t="s">
        <v>8335</v>
      </c>
      <c r="H1041" s="2" t="s">
        <v>22</v>
      </c>
      <c r="I1041" s="2" t="s">
        <v>8417</v>
      </c>
      <c r="J1041" s="2" t="s">
        <v>24</v>
      </c>
      <c r="K1041">
        <v>7925.74</v>
      </c>
      <c r="L1041">
        <v>792574000</v>
      </c>
      <c r="M1041" s="2" t="s">
        <v>7889</v>
      </c>
      <c r="N1041" s="2" t="s">
        <v>7911</v>
      </c>
      <c r="O1041" s="2" t="s">
        <v>9276</v>
      </c>
      <c r="P1041" s="2" t="s">
        <v>175</v>
      </c>
      <c r="Q1041" s="2" t="s">
        <v>8445</v>
      </c>
      <c r="R1041" s="2" t="s">
        <v>30</v>
      </c>
    </row>
    <row r="1042" spans="1:18">
      <c r="A1042" s="1">
        <v>46204</v>
      </c>
      <c r="B1042" s="1">
        <v>46204</v>
      </c>
      <c r="C1042">
        <v>2026</v>
      </c>
      <c r="D1042">
        <v>7</v>
      </c>
      <c r="E1042" s="2" t="s">
        <v>8443</v>
      </c>
      <c r="F1042" s="2" t="s">
        <v>8444</v>
      </c>
      <c r="G1042" s="2" t="s">
        <v>8335</v>
      </c>
      <c r="H1042" s="2" t="s">
        <v>22</v>
      </c>
      <c r="I1042" s="2" t="s">
        <v>8387</v>
      </c>
      <c r="J1042" s="2" t="s">
        <v>24</v>
      </c>
      <c r="K1042">
        <v>2.17</v>
      </c>
      <c r="L1042">
        <v>217000</v>
      </c>
      <c r="M1042" s="2" t="s">
        <v>8392</v>
      </c>
      <c r="N1042" s="2" t="s">
        <v>8396</v>
      </c>
      <c r="O1042" s="2" t="s">
        <v>4167</v>
      </c>
      <c r="P1042" s="2" t="s">
        <v>175</v>
      </c>
      <c r="Q1042" s="2" t="s">
        <v>8445</v>
      </c>
      <c r="R1042" s="2" t="s">
        <v>30</v>
      </c>
    </row>
    <row r="1043" spans="1:18">
      <c r="A1043" s="1">
        <v>46204</v>
      </c>
      <c r="B1043" s="1">
        <v>46204</v>
      </c>
      <c r="C1043">
        <v>2026</v>
      </c>
      <c r="D1043">
        <v>7</v>
      </c>
      <c r="E1043" s="2" t="s">
        <v>8446</v>
      </c>
      <c r="F1043" s="2" t="s">
        <v>8447</v>
      </c>
      <c r="G1043" s="2" t="s">
        <v>8335</v>
      </c>
      <c r="H1043" s="2" t="s">
        <v>22</v>
      </c>
      <c r="I1043" s="2" t="s">
        <v>8387</v>
      </c>
      <c r="J1043" s="2" t="s">
        <v>59</v>
      </c>
      <c r="K1043">
        <v>2.5299999999999998</v>
      </c>
      <c r="L1043">
        <v>253000</v>
      </c>
      <c r="M1043" s="2" t="s">
        <v>8384</v>
      </c>
      <c r="N1043" s="2" t="s">
        <v>8389</v>
      </c>
      <c r="O1043" s="2" t="s">
        <v>8765</v>
      </c>
      <c r="P1043" s="2" t="s">
        <v>175</v>
      </c>
      <c r="Q1043" s="2" t="s">
        <v>8445</v>
      </c>
      <c r="R1043" s="2" t="s">
        <v>30</v>
      </c>
    </row>
    <row r="1044" spans="1:18">
      <c r="A1044" s="1">
        <v>46204</v>
      </c>
      <c r="B1044" s="1">
        <v>46204</v>
      </c>
      <c r="C1044">
        <v>2026</v>
      </c>
      <c r="D1044">
        <v>7</v>
      </c>
      <c r="E1044" s="2" t="s">
        <v>8448</v>
      </c>
      <c r="F1044" s="2" t="s">
        <v>8449</v>
      </c>
      <c r="G1044" s="2" t="s">
        <v>8335</v>
      </c>
      <c r="H1044" s="2" t="s">
        <v>22</v>
      </c>
      <c r="I1044" s="2" t="s">
        <v>8387</v>
      </c>
      <c r="J1044" s="2" t="s">
        <v>24</v>
      </c>
      <c r="K1044">
        <v>0.36</v>
      </c>
      <c r="L1044">
        <v>36000</v>
      </c>
      <c r="M1044" s="2" t="s">
        <v>8399</v>
      </c>
      <c r="N1044" s="2" t="s">
        <v>8403</v>
      </c>
      <c r="O1044" s="2" t="s">
        <v>3657</v>
      </c>
      <c r="P1044" s="2" t="s">
        <v>175</v>
      </c>
      <c r="Q1044" s="2" t="s">
        <v>8445</v>
      </c>
      <c r="R1044" s="2" t="s">
        <v>30</v>
      </c>
    </row>
    <row r="1045" spans="1:18">
      <c r="A1045" s="1">
        <v>46204</v>
      </c>
      <c r="B1045" s="1">
        <v>46204</v>
      </c>
      <c r="C1045">
        <v>2026</v>
      </c>
      <c r="D1045">
        <v>7</v>
      </c>
      <c r="E1045" s="2" t="s">
        <v>8450</v>
      </c>
      <c r="F1045" s="2" t="s">
        <v>8451</v>
      </c>
      <c r="G1045" s="2" t="s">
        <v>8335</v>
      </c>
      <c r="H1045" s="2" t="s">
        <v>22</v>
      </c>
      <c r="I1045" s="2" t="s">
        <v>8417</v>
      </c>
      <c r="J1045" s="2" t="s">
        <v>24</v>
      </c>
      <c r="K1045">
        <v>52.69</v>
      </c>
      <c r="L1045">
        <v>5269000</v>
      </c>
      <c r="M1045" s="2" t="s">
        <v>8422</v>
      </c>
      <c r="N1045" s="2" t="s">
        <v>8426</v>
      </c>
      <c r="O1045" s="2" t="s">
        <v>9277</v>
      </c>
      <c r="P1045" s="2" t="s">
        <v>175</v>
      </c>
      <c r="Q1045" s="2" t="s">
        <v>8445</v>
      </c>
      <c r="R1045" s="2" t="s">
        <v>30</v>
      </c>
    </row>
    <row r="1046" spans="1:18">
      <c r="A1046" s="1">
        <v>46204</v>
      </c>
      <c r="B1046" s="1">
        <v>46204</v>
      </c>
      <c r="C1046">
        <v>2026</v>
      </c>
      <c r="D1046">
        <v>7</v>
      </c>
      <c r="E1046" s="2" t="s">
        <v>8453</v>
      </c>
      <c r="F1046" s="2" t="s">
        <v>8454</v>
      </c>
      <c r="G1046" s="2" t="s">
        <v>8335</v>
      </c>
      <c r="H1046" s="2" t="s">
        <v>22</v>
      </c>
      <c r="I1046" s="2" t="s">
        <v>8336</v>
      </c>
      <c r="J1046" s="2" t="s">
        <v>24</v>
      </c>
      <c r="K1046">
        <v>1228.58</v>
      </c>
      <c r="L1046">
        <v>122858000</v>
      </c>
      <c r="M1046" s="2" t="s">
        <v>8348</v>
      </c>
      <c r="N1046" s="2" t="s">
        <v>8352</v>
      </c>
      <c r="O1046" s="2" t="s">
        <v>9278</v>
      </c>
      <c r="P1046" s="2" t="s">
        <v>175</v>
      </c>
      <c r="Q1046" s="2" t="s">
        <v>8445</v>
      </c>
      <c r="R1046" s="2" t="s">
        <v>30</v>
      </c>
    </row>
    <row r="1047" spans="1:18">
      <c r="A1047" s="1">
        <v>46204</v>
      </c>
      <c r="B1047" s="1">
        <v>46204</v>
      </c>
      <c r="C1047">
        <v>2026</v>
      </c>
      <c r="D1047">
        <v>7</v>
      </c>
      <c r="E1047" s="2" t="s">
        <v>8456</v>
      </c>
      <c r="F1047" s="2" t="s">
        <v>8457</v>
      </c>
      <c r="G1047" s="2" t="s">
        <v>8335</v>
      </c>
      <c r="H1047" s="2" t="s">
        <v>22</v>
      </c>
      <c r="I1047" s="2" t="s">
        <v>8336</v>
      </c>
      <c r="J1047" s="2" t="s">
        <v>24</v>
      </c>
      <c r="K1047">
        <v>10333.11</v>
      </c>
      <c r="L1047">
        <v>1033311000</v>
      </c>
      <c r="M1047" s="2" t="s">
        <v>8355</v>
      </c>
      <c r="N1047" s="2" t="s">
        <v>8359</v>
      </c>
      <c r="O1047" s="2" t="s">
        <v>9279</v>
      </c>
      <c r="P1047" s="2" t="s">
        <v>175</v>
      </c>
      <c r="Q1047" s="2" t="s">
        <v>8445</v>
      </c>
      <c r="R1047" s="2" t="s">
        <v>30</v>
      </c>
    </row>
    <row r="1048" spans="1:18">
      <c r="A1048" s="1">
        <v>46204</v>
      </c>
      <c r="B1048" s="1">
        <v>46204</v>
      </c>
      <c r="C1048">
        <v>2026</v>
      </c>
      <c r="D1048">
        <v>7</v>
      </c>
      <c r="E1048" s="2" t="s">
        <v>8459</v>
      </c>
      <c r="F1048" s="2" t="s">
        <v>8460</v>
      </c>
      <c r="G1048" s="2" t="s">
        <v>8335</v>
      </c>
      <c r="H1048" s="2" t="s">
        <v>22</v>
      </c>
      <c r="I1048" s="2" t="s">
        <v>8336</v>
      </c>
      <c r="J1048" s="2" t="s">
        <v>59</v>
      </c>
      <c r="K1048">
        <v>11561.69</v>
      </c>
      <c r="L1048">
        <v>1156169000</v>
      </c>
      <c r="M1048" s="2" t="s">
        <v>8331</v>
      </c>
      <c r="N1048" s="2" t="s">
        <v>8341</v>
      </c>
      <c r="O1048" s="2" t="s">
        <v>9280</v>
      </c>
      <c r="P1048" s="2" t="s">
        <v>175</v>
      </c>
      <c r="Q1048" s="2" t="s">
        <v>8445</v>
      </c>
      <c r="R1048" s="2" t="s">
        <v>30</v>
      </c>
    </row>
    <row r="1049" spans="1:18">
      <c r="A1049" s="1">
        <v>46204</v>
      </c>
      <c r="B1049" s="1">
        <v>46204</v>
      </c>
      <c r="C1049">
        <v>2026</v>
      </c>
      <c r="D1049">
        <v>7</v>
      </c>
      <c r="E1049" s="2" t="s">
        <v>8462</v>
      </c>
      <c r="F1049" s="2" t="s">
        <v>8463</v>
      </c>
      <c r="G1049" s="2" t="s">
        <v>8335</v>
      </c>
      <c r="H1049" s="2" t="s">
        <v>22</v>
      </c>
      <c r="I1049" s="2" t="s">
        <v>8409</v>
      </c>
      <c r="J1049" s="2" t="s">
        <v>24</v>
      </c>
      <c r="K1049">
        <v>13.28</v>
      </c>
      <c r="L1049">
        <v>1328000</v>
      </c>
      <c r="M1049" s="2" t="s">
        <v>8406</v>
      </c>
      <c r="N1049" s="2" t="s">
        <v>8411</v>
      </c>
      <c r="O1049" s="2" t="s">
        <v>9281</v>
      </c>
      <c r="P1049" s="2" t="s">
        <v>175</v>
      </c>
      <c r="Q1049" s="2" t="s">
        <v>8445</v>
      </c>
      <c r="R1049" s="2" t="s">
        <v>30</v>
      </c>
    </row>
    <row r="1050" spans="1:18">
      <c r="A1050" s="1">
        <v>46204</v>
      </c>
      <c r="B1050" s="1">
        <v>46204</v>
      </c>
      <c r="C1050">
        <v>2026</v>
      </c>
      <c r="D1050">
        <v>7</v>
      </c>
      <c r="E1050" s="2" t="s">
        <v>8464</v>
      </c>
      <c r="F1050" s="2" t="s">
        <v>8465</v>
      </c>
      <c r="G1050" s="2" t="s">
        <v>8335</v>
      </c>
      <c r="H1050" s="2" t="s">
        <v>22</v>
      </c>
      <c r="I1050" s="2" t="s">
        <v>8417</v>
      </c>
      <c r="J1050" s="2" t="s">
        <v>24</v>
      </c>
      <c r="K1050">
        <v>100.28</v>
      </c>
      <c r="L1050">
        <v>10028000</v>
      </c>
      <c r="M1050" s="2" t="s">
        <v>8414</v>
      </c>
      <c r="N1050" s="2" t="s">
        <v>8419</v>
      </c>
      <c r="O1050" s="2" t="s">
        <v>9282</v>
      </c>
      <c r="P1050" s="2" t="s">
        <v>175</v>
      </c>
      <c r="Q1050" s="2" t="s">
        <v>8445</v>
      </c>
      <c r="R1050" s="2" t="s">
        <v>30</v>
      </c>
    </row>
    <row r="1051" spans="1:18">
      <c r="A1051" s="1">
        <v>46204</v>
      </c>
      <c r="B1051" s="1">
        <v>46204</v>
      </c>
      <c r="C1051">
        <v>2026</v>
      </c>
      <c r="D1051">
        <v>7</v>
      </c>
      <c r="E1051" s="2" t="s">
        <v>8467</v>
      </c>
      <c r="F1051" s="2" t="s">
        <v>8468</v>
      </c>
      <c r="G1051" s="2" t="s">
        <v>8335</v>
      </c>
      <c r="H1051" s="2" t="s">
        <v>22</v>
      </c>
      <c r="I1051" s="2" t="s">
        <v>8365</v>
      </c>
      <c r="J1051" s="2" t="s">
        <v>24</v>
      </c>
      <c r="K1051">
        <v>4782.05</v>
      </c>
      <c r="L1051">
        <v>478205000</v>
      </c>
      <c r="M1051" s="2" t="s">
        <v>8377</v>
      </c>
      <c r="N1051" s="2" t="s">
        <v>8381</v>
      </c>
      <c r="O1051" s="2" t="s">
        <v>9283</v>
      </c>
      <c r="P1051" s="2" t="s">
        <v>175</v>
      </c>
      <c r="Q1051" s="2" t="s">
        <v>8445</v>
      </c>
      <c r="R1051" s="2" t="s">
        <v>30</v>
      </c>
    </row>
    <row r="1052" spans="1:18">
      <c r="A1052" s="1">
        <v>46204</v>
      </c>
      <c r="B1052" s="1">
        <v>46204</v>
      </c>
      <c r="C1052">
        <v>2026</v>
      </c>
      <c r="D1052">
        <v>7</v>
      </c>
      <c r="E1052" s="2" t="s">
        <v>8470</v>
      </c>
      <c r="F1052" s="2" t="s">
        <v>8471</v>
      </c>
      <c r="G1052" s="2" t="s">
        <v>8335</v>
      </c>
      <c r="H1052" s="2" t="s">
        <v>22</v>
      </c>
      <c r="I1052" s="2" t="s">
        <v>8365</v>
      </c>
      <c r="J1052" s="2" t="s">
        <v>59</v>
      </c>
      <c r="K1052">
        <v>22885.19</v>
      </c>
      <c r="L1052">
        <v>2288519000</v>
      </c>
      <c r="M1052" s="2" t="s">
        <v>8362</v>
      </c>
      <c r="N1052" s="2" t="s">
        <v>8367</v>
      </c>
      <c r="O1052" s="2" t="s">
        <v>9284</v>
      </c>
      <c r="P1052" s="2" t="s">
        <v>175</v>
      </c>
      <c r="Q1052" s="2" t="s">
        <v>8445</v>
      </c>
      <c r="R1052" s="2" t="s">
        <v>30</v>
      </c>
    </row>
    <row r="1053" spans="1:18">
      <c r="A1053" s="1">
        <v>46204</v>
      </c>
      <c r="B1053" s="1">
        <v>46204</v>
      </c>
      <c r="C1053">
        <v>2026</v>
      </c>
      <c r="D1053">
        <v>7</v>
      </c>
      <c r="E1053" s="2" t="s">
        <v>8473</v>
      </c>
      <c r="F1053" s="2" t="s">
        <v>8474</v>
      </c>
      <c r="G1053" s="2" t="s">
        <v>8335</v>
      </c>
      <c r="H1053" s="2" t="s">
        <v>22</v>
      </c>
      <c r="I1053" s="2" t="s">
        <v>8365</v>
      </c>
      <c r="J1053" s="2" t="s">
        <v>24</v>
      </c>
      <c r="K1053">
        <v>18103.14</v>
      </c>
      <c r="L1053">
        <v>1810314000</v>
      </c>
      <c r="M1053" s="2" t="s">
        <v>8370</v>
      </c>
      <c r="N1053" s="2" t="s">
        <v>8374</v>
      </c>
      <c r="O1053" s="2" t="s">
        <v>9285</v>
      </c>
      <c r="P1053" s="2" t="s">
        <v>175</v>
      </c>
      <c r="Q1053" s="2" t="s">
        <v>8445</v>
      </c>
      <c r="R1053" s="2" t="s">
        <v>30</v>
      </c>
    </row>
    <row r="1054" spans="1:18">
      <c r="A1054" s="1">
        <v>46204</v>
      </c>
      <c r="B1054" s="1">
        <v>46204</v>
      </c>
      <c r="C1054">
        <v>2026</v>
      </c>
      <c r="D1054">
        <v>7</v>
      </c>
      <c r="E1054" s="2" t="s">
        <v>7890</v>
      </c>
      <c r="F1054" s="2" t="s">
        <v>7891</v>
      </c>
      <c r="G1054" s="2" t="s">
        <v>8335</v>
      </c>
      <c r="H1054" s="2" t="s">
        <v>22</v>
      </c>
      <c r="I1054" s="2" t="s">
        <v>8417</v>
      </c>
      <c r="J1054" s="2" t="s">
        <v>24</v>
      </c>
      <c r="K1054">
        <v>8030.48</v>
      </c>
      <c r="L1054">
        <v>803048000</v>
      </c>
      <c r="M1054" s="2" t="s">
        <v>7889</v>
      </c>
      <c r="N1054" s="2" t="s">
        <v>7911</v>
      </c>
      <c r="O1054" s="2" t="s">
        <v>9286</v>
      </c>
      <c r="P1054" s="2" t="s">
        <v>175</v>
      </c>
      <c r="Q1054" s="2" t="s">
        <v>8445</v>
      </c>
      <c r="R1054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754B-29A5-4AA9-9C76-EB509BBD7337}">
  <dimension ref="A1:P146"/>
  <sheetViews>
    <sheetView workbookViewId="0"/>
  </sheetViews>
  <sheetFormatPr defaultRowHeight="14.5"/>
  <cols>
    <col min="1" max="1" width="11.81640625" bestFit="1" customWidth="1"/>
    <col min="2" max="2" width="14.81640625" bestFit="1" customWidth="1"/>
    <col min="3" max="3" width="44.453125" bestFit="1" customWidth="1"/>
    <col min="4" max="4" width="71.1796875" bestFit="1" customWidth="1"/>
    <col min="5" max="5" width="15.6328125" bestFit="1" customWidth="1"/>
    <col min="6" max="6" width="27.6328125" bestFit="1" customWidth="1"/>
    <col min="7" max="7" width="34.6328125" bestFit="1" customWidth="1"/>
    <col min="8" max="8" width="31" bestFit="1" customWidth="1"/>
    <col min="9" max="9" width="15.81640625" bestFit="1" customWidth="1"/>
    <col min="10" max="10" width="28.08984375" bestFit="1" customWidth="1"/>
    <col min="11" max="11" width="33.54296875" bestFit="1" customWidth="1"/>
    <col min="12" max="12" width="12.453125" bestFit="1" customWidth="1"/>
    <col min="13" max="13" width="18.453125" bestFit="1" customWidth="1"/>
    <col min="14" max="14" width="79" bestFit="1" customWidth="1"/>
    <col min="15" max="15" width="67.36328125" bestFit="1" customWidth="1"/>
    <col min="16" max="16" width="79" bestFit="1" customWidth="1"/>
  </cols>
  <sheetData>
    <row r="1" spans="1:16">
      <c r="A1" t="s">
        <v>7989</v>
      </c>
      <c r="B1" t="s">
        <v>7990</v>
      </c>
      <c r="C1" t="s">
        <v>4</v>
      </c>
      <c r="D1" t="s">
        <v>5</v>
      </c>
      <c r="E1" t="s">
        <v>7991</v>
      </c>
      <c r="F1" t="s">
        <v>6</v>
      </c>
      <c r="G1" t="s">
        <v>7</v>
      </c>
      <c r="H1" t="s">
        <v>8</v>
      </c>
      <c r="I1" t="s">
        <v>9</v>
      </c>
      <c r="J1" t="s">
        <v>7992</v>
      </c>
      <c r="K1" t="s">
        <v>7993</v>
      </c>
      <c r="L1" t="s">
        <v>7994</v>
      </c>
      <c r="M1" t="s">
        <v>7995</v>
      </c>
      <c r="N1" t="s">
        <v>7996</v>
      </c>
      <c r="O1" t="s">
        <v>7997</v>
      </c>
      <c r="P1" t="s">
        <v>7998</v>
      </c>
    </row>
    <row r="2" spans="1:16">
      <c r="A2" s="2" t="s">
        <v>7999</v>
      </c>
      <c r="B2">
        <v>0</v>
      </c>
      <c r="C2" s="2" t="s">
        <v>8000</v>
      </c>
      <c r="D2" s="2" t="s">
        <v>8001</v>
      </c>
      <c r="E2" s="2" t="s">
        <v>8002</v>
      </c>
      <c r="F2" s="2" t="s">
        <v>8003</v>
      </c>
      <c r="G2" s="2" t="s">
        <v>8004</v>
      </c>
      <c r="H2" s="2" t="s">
        <v>8005</v>
      </c>
      <c r="I2" s="2" t="s">
        <v>8005</v>
      </c>
      <c r="J2" s="2" t="s">
        <v>8006</v>
      </c>
      <c r="K2" s="2" t="s">
        <v>8007</v>
      </c>
      <c r="L2" t="b">
        <v>0</v>
      </c>
      <c r="M2" s="2" t="s">
        <v>30</v>
      </c>
      <c r="N2" s="2" t="s">
        <v>7999</v>
      </c>
      <c r="O2" s="2" t="s">
        <v>8008</v>
      </c>
      <c r="P2" s="2" t="s">
        <v>8009</v>
      </c>
    </row>
    <row r="3" spans="1:16">
      <c r="A3" s="2" t="s">
        <v>8010</v>
      </c>
      <c r="B3">
        <v>1</v>
      </c>
      <c r="C3" s="2" t="s">
        <v>8011</v>
      </c>
      <c r="D3" s="2" t="s">
        <v>8012</v>
      </c>
      <c r="E3" s="2" t="s">
        <v>8002</v>
      </c>
      <c r="F3" s="2" t="s">
        <v>8003</v>
      </c>
      <c r="G3" s="2" t="s">
        <v>8004</v>
      </c>
      <c r="H3" s="2" t="s">
        <v>8005</v>
      </c>
      <c r="I3" s="2" t="s">
        <v>8005</v>
      </c>
      <c r="J3" s="2" t="s">
        <v>8006</v>
      </c>
      <c r="K3" s="2" t="s">
        <v>8013</v>
      </c>
      <c r="L3" t="b">
        <v>0</v>
      </c>
      <c r="M3" s="2" t="s">
        <v>30</v>
      </c>
      <c r="N3" s="2" t="s">
        <v>8010</v>
      </c>
      <c r="O3" s="2" t="s">
        <v>8008</v>
      </c>
      <c r="P3" s="2" t="s">
        <v>8009</v>
      </c>
    </row>
    <row r="4" spans="1:16">
      <c r="A4" s="2" t="s">
        <v>8014</v>
      </c>
      <c r="B4">
        <v>2</v>
      </c>
      <c r="C4" s="2" t="s">
        <v>8015</v>
      </c>
      <c r="D4" s="2" t="s">
        <v>8016</v>
      </c>
      <c r="E4" s="2" t="s">
        <v>8002</v>
      </c>
      <c r="F4" s="2" t="s">
        <v>8003</v>
      </c>
      <c r="G4" s="2" t="s">
        <v>8004</v>
      </c>
      <c r="H4" s="2" t="s">
        <v>8005</v>
      </c>
      <c r="I4" s="2" t="s">
        <v>8005</v>
      </c>
      <c r="J4" s="2" t="s">
        <v>8006</v>
      </c>
      <c r="K4" s="2" t="s">
        <v>8017</v>
      </c>
      <c r="L4" t="b">
        <v>0</v>
      </c>
      <c r="M4" s="2" t="s">
        <v>30</v>
      </c>
      <c r="N4" s="2" t="s">
        <v>8014</v>
      </c>
      <c r="O4" s="2" t="s">
        <v>8008</v>
      </c>
      <c r="P4" s="2" t="s">
        <v>8009</v>
      </c>
    </row>
    <row r="5" spans="1:16">
      <c r="A5" s="2" t="s">
        <v>8018</v>
      </c>
      <c r="B5">
        <v>3</v>
      </c>
      <c r="C5" s="2" t="s">
        <v>8019</v>
      </c>
      <c r="D5" s="2" t="s">
        <v>8020</v>
      </c>
      <c r="E5" s="2" t="s">
        <v>8002</v>
      </c>
      <c r="F5" s="2" t="s">
        <v>8003</v>
      </c>
      <c r="G5" s="2" t="s">
        <v>8004</v>
      </c>
      <c r="H5" s="2" t="s">
        <v>8005</v>
      </c>
      <c r="I5" s="2" t="s">
        <v>8005</v>
      </c>
      <c r="J5" s="2" t="s">
        <v>8006</v>
      </c>
      <c r="K5" s="2" t="s">
        <v>8021</v>
      </c>
      <c r="L5" t="b">
        <v>0</v>
      </c>
      <c r="M5" s="2" t="s">
        <v>30</v>
      </c>
      <c r="N5" s="2" t="s">
        <v>8018</v>
      </c>
      <c r="O5" s="2" t="s">
        <v>8008</v>
      </c>
      <c r="P5" s="2" t="s">
        <v>8009</v>
      </c>
    </row>
    <row r="6" spans="1:16">
      <c r="A6" s="2" t="s">
        <v>8022</v>
      </c>
      <c r="B6">
        <v>4</v>
      </c>
      <c r="C6" s="2" t="s">
        <v>8023</v>
      </c>
      <c r="D6" s="2" t="s">
        <v>8024</v>
      </c>
      <c r="E6" s="2" t="s">
        <v>8025</v>
      </c>
      <c r="F6" s="2" t="s">
        <v>8026</v>
      </c>
      <c r="G6" s="2" t="s">
        <v>8004</v>
      </c>
      <c r="H6" s="2" t="s">
        <v>8027</v>
      </c>
      <c r="I6" s="2" t="s">
        <v>8028</v>
      </c>
      <c r="J6" s="2" t="s">
        <v>8029</v>
      </c>
      <c r="K6" s="2" t="s">
        <v>8030</v>
      </c>
      <c r="L6" t="b">
        <v>0</v>
      </c>
      <c r="M6" s="2" t="s">
        <v>30</v>
      </c>
      <c r="N6" s="2" t="s">
        <v>8031</v>
      </c>
      <c r="O6" s="2" t="s">
        <v>8032</v>
      </c>
      <c r="P6" s="2" t="s">
        <v>8033</v>
      </c>
    </row>
    <row r="7" spans="1:16">
      <c r="A7" s="2" t="s">
        <v>119</v>
      </c>
      <c r="B7">
        <v>5</v>
      </c>
      <c r="C7" s="2" t="s">
        <v>8034</v>
      </c>
      <c r="D7" s="2" t="s">
        <v>8035</v>
      </c>
      <c r="E7" s="2" t="s">
        <v>8036</v>
      </c>
      <c r="F7" s="2" t="s">
        <v>80</v>
      </c>
      <c r="G7" s="2" t="s">
        <v>81</v>
      </c>
      <c r="H7" s="2" t="s">
        <v>82</v>
      </c>
      <c r="I7" s="2" t="s">
        <v>59</v>
      </c>
      <c r="J7" s="2" t="s">
        <v>8037</v>
      </c>
      <c r="K7" s="2" t="s">
        <v>8038</v>
      </c>
      <c r="L7" t="b">
        <v>1</v>
      </c>
      <c r="M7" s="2" t="s">
        <v>30</v>
      </c>
      <c r="N7" s="2" t="s">
        <v>8039</v>
      </c>
      <c r="O7" s="2" t="s">
        <v>8040</v>
      </c>
      <c r="P7" s="2" t="s">
        <v>8009</v>
      </c>
    </row>
    <row r="8" spans="1:16">
      <c r="A8" s="2" t="s">
        <v>120</v>
      </c>
      <c r="B8">
        <v>6</v>
      </c>
      <c r="C8" s="2" t="s">
        <v>8041</v>
      </c>
      <c r="D8" s="2" t="s">
        <v>8042</v>
      </c>
      <c r="E8" s="2" t="s">
        <v>8036</v>
      </c>
      <c r="F8" s="2" t="s">
        <v>80</v>
      </c>
      <c r="G8" s="2" t="s">
        <v>81</v>
      </c>
      <c r="H8" s="2" t="s">
        <v>82</v>
      </c>
      <c r="I8" s="2" t="s">
        <v>59</v>
      </c>
      <c r="J8" s="2" t="s">
        <v>8043</v>
      </c>
      <c r="K8" s="2" t="s">
        <v>8044</v>
      </c>
      <c r="L8" t="b">
        <v>1</v>
      </c>
      <c r="M8" s="2" t="s">
        <v>30</v>
      </c>
      <c r="N8" s="2" t="s">
        <v>8045</v>
      </c>
      <c r="O8" s="2" t="s">
        <v>8046</v>
      </c>
      <c r="P8" s="2" t="s">
        <v>8009</v>
      </c>
    </row>
    <row r="9" spans="1:16">
      <c r="A9" s="2" t="s">
        <v>102</v>
      </c>
      <c r="B9">
        <v>7</v>
      </c>
      <c r="C9" s="2" t="s">
        <v>8047</v>
      </c>
      <c r="D9" s="2" t="s">
        <v>8048</v>
      </c>
      <c r="E9" s="2" t="s">
        <v>8036</v>
      </c>
      <c r="F9" s="2" t="s">
        <v>80</v>
      </c>
      <c r="G9" s="2" t="s">
        <v>81</v>
      </c>
      <c r="H9" s="2" t="s">
        <v>82</v>
      </c>
      <c r="I9" s="2" t="s">
        <v>101</v>
      </c>
      <c r="J9" s="2" t="s">
        <v>8037</v>
      </c>
      <c r="K9" s="2" t="s">
        <v>8038</v>
      </c>
      <c r="L9" t="b">
        <v>1</v>
      </c>
      <c r="M9" s="2" t="s">
        <v>30</v>
      </c>
      <c r="N9" s="2" t="s">
        <v>8049</v>
      </c>
      <c r="O9" s="2" t="s">
        <v>8040</v>
      </c>
      <c r="P9" s="2" t="s">
        <v>8009</v>
      </c>
    </row>
    <row r="10" spans="1:16">
      <c r="A10" s="2" t="s">
        <v>103</v>
      </c>
      <c r="B10">
        <v>8</v>
      </c>
      <c r="C10" s="2" t="s">
        <v>8050</v>
      </c>
      <c r="D10" s="2" t="s">
        <v>8051</v>
      </c>
      <c r="E10" s="2" t="s">
        <v>8036</v>
      </c>
      <c r="F10" s="2" t="s">
        <v>80</v>
      </c>
      <c r="G10" s="2" t="s">
        <v>81</v>
      </c>
      <c r="H10" s="2" t="s">
        <v>82</v>
      </c>
      <c r="I10" s="2" t="s">
        <v>101</v>
      </c>
      <c r="J10" s="2" t="s">
        <v>8043</v>
      </c>
      <c r="K10" s="2" t="s">
        <v>8044</v>
      </c>
      <c r="L10" t="b">
        <v>1</v>
      </c>
      <c r="M10" s="2" t="s">
        <v>30</v>
      </c>
      <c r="N10" s="2" t="s">
        <v>8045</v>
      </c>
      <c r="O10" s="2" t="s">
        <v>8046</v>
      </c>
      <c r="P10" s="2" t="s">
        <v>8009</v>
      </c>
    </row>
    <row r="11" spans="1:16">
      <c r="A11" s="2" t="s">
        <v>89</v>
      </c>
      <c r="B11">
        <v>9</v>
      </c>
      <c r="C11" s="2" t="s">
        <v>8052</v>
      </c>
      <c r="D11" s="2" t="s">
        <v>8053</v>
      </c>
      <c r="E11" s="2" t="s">
        <v>8036</v>
      </c>
      <c r="F11" s="2" t="s">
        <v>80</v>
      </c>
      <c r="G11" s="2" t="s">
        <v>81</v>
      </c>
      <c r="H11" s="2" t="s">
        <v>82</v>
      </c>
      <c r="I11" s="2" t="s">
        <v>24</v>
      </c>
      <c r="J11" s="2" t="s">
        <v>8037</v>
      </c>
      <c r="K11" s="2" t="s">
        <v>8038</v>
      </c>
      <c r="L11" t="b">
        <v>1</v>
      </c>
      <c r="M11" s="2" t="s">
        <v>30</v>
      </c>
      <c r="N11" s="2" t="s">
        <v>8054</v>
      </c>
      <c r="O11" s="2" t="s">
        <v>8040</v>
      </c>
      <c r="P11" s="2" t="s">
        <v>8009</v>
      </c>
    </row>
    <row r="12" spans="1:16">
      <c r="A12" s="2" t="s">
        <v>90</v>
      </c>
      <c r="B12">
        <v>10</v>
      </c>
      <c r="C12" s="2" t="s">
        <v>8055</v>
      </c>
      <c r="D12" s="2" t="s">
        <v>8056</v>
      </c>
      <c r="E12" s="2" t="s">
        <v>8036</v>
      </c>
      <c r="F12" s="2" t="s">
        <v>80</v>
      </c>
      <c r="G12" s="2" t="s">
        <v>81</v>
      </c>
      <c r="H12" s="2" t="s">
        <v>82</v>
      </c>
      <c r="I12" s="2" t="s">
        <v>24</v>
      </c>
      <c r="J12" s="2" t="s">
        <v>8043</v>
      </c>
      <c r="K12" s="2" t="s">
        <v>8044</v>
      </c>
      <c r="L12" t="b">
        <v>1</v>
      </c>
      <c r="M12" s="2" t="s">
        <v>30</v>
      </c>
      <c r="N12" s="2" t="s">
        <v>8045</v>
      </c>
      <c r="O12" s="2" t="s">
        <v>8046</v>
      </c>
      <c r="P12" s="2" t="s">
        <v>8009</v>
      </c>
    </row>
    <row r="13" spans="1:16">
      <c r="A13" s="2" t="s">
        <v>95</v>
      </c>
      <c r="B13">
        <v>11</v>
      </c>
      <c r="C13" s="2" t="s">
        <v>8057</v>
      </c>
      <c r="D13" s="2" t="s">
        <v>8058</v>
      </c>
      <c r="E13" s="2" t="s">
        <v>8036</v>
      </c>
      <c r="F13" s="2" t="s">
        <v>80</v>
      </c>
      <c r="G13" s="2" t="s">
        <v>81</v>
      </c>
      <c r="H13" s="2" t="s">
        <v>82</v>
      </c>
      <c r="I13" s="2" t="s">
        <v>24</v>
      </c>
      <c r="J13" s="2" t="s">
        <v>8037</v>
      </c>
      <c r="K13" s="2" t="s">
        <v>8038</v>
      </c>
      <c r="L13" t="b">
        <v>1</v>
      </c>
      <c r="M13" s="2" t="s">
        <v>30</v>
      </c>
      <c r="N13" s="2" t="s">
        <v>8059</v>
      </c>
      <c r="O13" s="2" t="s">
        <v>8040</v>
      </c>
      <c r="P13" s="2" t="s">
        <v>8009</v>
      </c>
    </row>
    <row r="14" spans="1:16">
      <c r="A14" s="2" t="s">
        <v>96</v>
      </c>
      <c r="B14">
        <v>12</v>
      </c>
      <c r="C14" s="2" t="s">
        <v>8060</v>
      </c>
      <c r="D14" s="2" t="s">
        <v>8061</v>
      </c>
      <c r="E14" s="2" t="s">
        <v>8036</v>
      </c>
      <c r="F14" s="2" t="s">
        <v>80</v>
      </c>
      <c r="G14" s="2" t="s">
        <v>81</v>
      </c>
      <c r="H14" s="2" t="s">
        <v>82</v>
      </c>
      <c r="I14" s="2" t="s">
        <v>24</v>
      </c>
      <c r="J14" s="2" t="s">
        <v>8043</v>
      </c>
      <c r="K14" s="2" t="s">
        <v>8044</v>
      </c>
      <c r="L14" t="b">
        <v>1</v>
      </c>
      <c r="M14" s="2" t="s">
        <v>30</v>
      </c>
      <c r="N14" s="2" t="s">
        <v>8045</v>
      </c>
      <c r="O14" s="2" t="s">
        <v>8046</v>
      </c>
      <c r="P14" s="2" t="s">
        <v>8009</v>
      </c>
    </row>
    <row r="15" spans="1:16">
      <c r="A15" s="2" t="s">
        <v>108</v>
      </c>
      <c r="B15">
        <v>13</v>
      </c>
      <c r="C15" s="2" t="s">
        <v>8062</v>
      </c>
      <c r="D15" s="2" t="s">
        <v>8063</v>
      </c>
      <c r="E15" s="2" t="s">
        <v>8036</v>
      </c>
      <c r="F15" s="2" t="s">
        <v>80</v>
      </c>
      <c r="G15" s="2" t="s">
        <v>81</v>
      </c>
      <c r="H15" s="2" t="s">
        <v>82</v>
      </c>
      <c r="I15" s="2" t="s">
        <v>24</v>
      </c>
      <c r="J15" s="2" t="s">
        <v>8037</v>
      </c>
      <c r="K15" s="2" t="s">
        <v>8038</v>
      </c>
      <c r="L15" t="b">
        <v>1</v>
      </c>
      <c r="M15" s="2" t="s">
        <v>30</v>
      </c>
      <c r="N15" s="2" t="s">
        <v>8064</v>
      </c>
      <c r="O15" s="2" t="s">
        <v>8040</v>
      </c>
      <c r="P15" s="2" t="s">
        <v>8009</v>
      </c>
    </row>
    <row r="16" spans="1:16">
      <c r="A16" s="2" t="s">
        <v>109</v>
      </c>
      <c r="B16">
        <v>14</v>
      </c>
      <c r="C16" s="2" t="s">
        <v>8065</v>
      </c>
      <c r="D16" s="2" t="s">
        <v>8066</v>
      </c>
      <c r="E16" s="2" t="s">
        <v>8036</v>
      </c>
      <c r="F16" s="2" t="s">
        <v>80</v>
      </c>
      <c r="G16" s="2" t="s">
        <v>81</v>
      </c>
      <c r="H16" s="2" t="s">
        <v>82</v>
      </c>
      <c r="I16" s="2" t="s">
        <v>24</v>
      </c>
      <c r="J16" s="2" t="s">
        <v>8043</v>
      </c>
      <c r="K16" s="2" t="s">
        <v>8044</v>
      </c>
      <c r="L16" t="b">
        <v>1</v>
      </c>
      <c r="M16" s="2" t="s">
        <v>30</v>
      </c>
      <c r="N16" s="2" t="s">
        <v>8045</v>
      </c>
      <c r="O16" s="2" t="s">
        <v>8046</v>
      </c>
      <c r="P16" s="2" t="s">
        <v>8009</v>
      </c>
    </row>
    <row r="17" spans="1:16">
      <c r="A17" s="2" t="s">
        <v>83</v>
      </c>
      <c r="B17">
        <v>15</v>
      </c>
      <c r="C17" s="2" t="s">
        <v>8067</v>
      </c>
      <c r="D17" s="2" t="s">
        <v>8068</v>
      </c>
      <c r="E17" s="2" t="s">
        <v>8036</v>
      </c>
      <c r="F17" s="2" t="s">
        <v>80</v>
      </c>
      <c r="G17" s="2" t="s">
        <v>81</v>
      </c>
      <c r="H17" s="2" t="s">
        <v>82</v>
      </c>
      <c r="I17" s="2" t="s">
        <v>24</v>
      </c>
      <c r="J17" s="2" t="s">
        <v>8037</v>
      </c>
      <c r="K17" s="2" t="s">
        <v>8038</v>
      </c>
      <c r="L17" t="b">
        <v>1</v>
      </c>
      <c r="M17" s="2" t="s">
        <v>30</v>
      </c>
      <c r="N17" s="2" t="s">
        <v>8069</v>
      </c>
      <c r="O17" s="2" t="s">
        <v>8040</v>
      </c>
      <c r="P17" s="2" t="s">
        <v>8009</v>
      </c>
    </row>
    <row r="18" spans="1:16">
      <c r="A18" s="2" t="s">
        <v>84</v>
      </c>
      <c r="B18">
        <v>16</v>
      </c>
      <c r="C18" s="2" t="s">
        <v>8070</v>
      </c>
      <c r="D18" s="2" t="s">
        <v>8071</v>
      </c>
      <c r="E18" s="2" t="s">
        <v>8036</v>
      </c>
      <c r="F18" s="2" t="s">
        <v>80</v>
      </c>
      <c r="G18" s="2" t="s">
        <v>81</v>
      </c>
      <c r="H18" s="2" t="s">
        <v>82</v>
      </c>
      <c r="I18" s="2" t="s">
        <v>24</v>
      </c>
      <c r="J18" s="2" t="s">
        <v>8043</v>
      </c>
      <c r="K18" s="2" t="s">
        <v>8044</v>
      </c>
      <c r="L18" t="b">
        <v>1</v>
      </c>
      <c r="M18" s="2" t="s">
        <v>30</v>
      </c>
      <c r="N18" s="2" t="s">
        <v>8045</v>
      </c>
      <c r="O18" s="2" t="s">
        <v>8046</v>
      </c>
      <c r="P18" s="2" t="s">
        <v>8009</v>
      </c>
    </row>
    <row r="19" spans="1:16">
      <c r="A19" s="2" t="s">
        <v>113</v>
      </c>
      <c r="B19">
        <v>17</v>
      </c>
      <c r="C19" s="2" t="s">
        <v>8072</v>
      </c>
      <c r="D19" s="2" t="s">
        <v>8073</v>
      </c>
      <c r="E19" s="2" t="s">
        <v>8036</v>
      </c>
      <c r="F19" s="2" t="s">
        <v>80</v>
      </c>
      <c r="G19" s="2" t="s">
        <v>81</v>
      </c>
      <c r="H19" s="2" t="s">
        <v>82</v>
      </c>
      <c r="I19" s="2" t="s">
        <v>24</v>
      </c>
      <c r="J19" s="2" t="s">
        <v>8037</v>
      </c>
      <c r="K19" s="2" t="s">
        <v>8038</v>
      </c>
      <c r="L19" t="b">
        <v>1</v>
      </c>
      <c r="M19" s="2" t="s">
        <v>8074</v>
      </c>
      <c r="N19" s="2" t="s">
        <v>8075</v>
      </c>
      <c r="O19" s="2" t="s">
        <v>8040</v>
      </c>
      <c r="P19" s="2" t="s">
        <v>8009</v>
      </c>
    </row>
    <row r="20" spans="1:16">
      <c r="A20" s="2" t="s">
        <v>114</v>
      </c>
      <c r="B20">
        <v>18</v>
      </c>
      <c r="C20" s="2" t="s">
        <v>8076</v>
      </c>
      <c r="D20" s="2" t="s">
        <v>8077</v>
      </c>
      <c r="E20" s="2" t="s">
        <v>8036</v>
      </c>
      <c r="F20" s="2" t="s">
        <v>80</v>
      </c>
      <c r="G20" s="2" t="s">
        <v>81</v>
      </c>
      <c r="H20" s="2" t="s">
        <v>82</v>
      </c>
      <c r="I20" s="2" t="s">
        <v>24</v>
      </c>
      <c r="J20" s="2" t="s">
        <v>8043</v>
      </c>
      <c r="K20" s="2" t="s">
        <v>8044</v>
      </c>
      <c r="L20" t="b">
        <v>1</v>
      </c>
      <c r="M20" s="2" t="s">
        <v>8074</v>
      </c>
      <c r="N20" s="2" t="s">
        <v>8045</v>
      </c>
      <c r="O20" s="2" t="s">
        <v>8046</v>
      </c>
      <c r="P20" s="2" t="s">
        <v>8009</v>
      </c>
    </row>
    <row r="21" spans="1:16">
      <c r="A21" s="2" t="s">
        <v>346</v>
      </c>
      <c r="B21">
        <v>19</v>
      </c>
      <c r="C21" s="2" t="s">
        <v>8078</v>
      </c>
      <c r="D21" s="2" t="s">
        <v>8079</v>
      </c>
      <c r="E21" s="2" t="s">
        <v>8036</v>
      </c>
      <c r="F21" s="2" t="s">
        <v>21</v>
      </c>
      <c r="G21" s="2" t="s">
        <v>332</v>
      </c>
      <c r="H21" s="2" t="s">
        <v>333</v>
      </c>
      <c r="I21" s="2" t="s">
        <v>59</v>
      </c>
      <c r="J21" s="2" t="s">
        <v>8037</v>
      </c>
      <c r="K21" s="2" t="s">
        <v>8038</v>
      </c>
      <c r="L21" t="b">
        <v>1</v>
      </c>
      <c r="M21" s="2" t="s">
        <v>30</v>
      </c>
      <c r="N21" s="2" t="s">
        <v>8080</v>
      </c>
      <c r="O21" s="2" t="s">
        <v>8040</v>
      </c>
      <c r="P21" s="2" t="s">
        <v>8009</v>
      </c>
    </row>
    <row r="22" spans="1:16">
      <c r="A22" s="2" t="s">
        <v>347</v>
      </c>
      <c r="B22">
        <v>20</v>
      </c>
      <c r="C22" s="2" t="s">
        <v>8081</v>
      </c>
      <c r="D22" s="2" t="s">
        <v>8082</v>
      </c>
      <c r="E22" s="2" t="s">
        <v>8036</v>
      </c>
      <c r="F22" s="2" t="s">
        <v>21</v>
      </c>
      <c r="G22" s="2" t="s">
        <v>332</v>
      </c>
      <c r="H22" s="2" t="s">
        <v>333</v>
      </c>
      <c r="I22" s="2" t="s">
        <v>59</v>
      </c>
      <c r="J22" s="2" t="s">
        <v>8043</v>
      </c>
      <c r="K22" s="2" t="s">
        <v>8044</v>
      </c>
      <c r="L22" t="b">
        <v>1</v>
      </c>
      <c r="M22" s="2" t="s">
        <v>30</v>
      </c>
      <c r="N22" s="2" t="s">
        <v>8045</v>
      </c>
      <c r="O22" s="2" t="s">
        <v>8046</v>
      </c>
      <c r="P22" s="2" t="s">
        <v>8009</v>
      </c>
    </row>
    <row r="23" spans="1:16">
      <c r="A23" s="2" t="s">
        <v>334</v>
      </c>
      <c r="B23">
        <v>21</v>
      </c>
      <c r="C23" s="2" t="s">
        <v>8083</v>
      </c>
      <c r="D23" s="2" t="s">
        <v>8084</v>
      </c>
      <c r="E23" s="2" t="s">
        <v>8036</v>
      </c>
      <c r="F23" s="2" t="s">
        <v>21</v>
      </c>
      <c r="G23" s="2" t="s">
        <v>332</v>
      </c>
      <c r="H23" s="2" t="s">
        <v>333</v>
      </c>
      <c r="I23" s="2" t="s">
        <v>24</v>
      </c>
      <c r="J23" s="2" t="s">
        <v>8037</v>
      </c>
      <c r="K23" s="2" t="s">
        <v>8038</v>
      </c>
      <c r="L23" t="b">
        <v>1</v>
      </c>
      <c r="M23" s="2" t="s">
        <v>30</v>
      </c>
      <c r="N23" s="2" t="s">
        <v>8085</v>
      </c>
      <c r="O23" s="2" t="s">
        <v>8040</v>
      </c>
      <c r="P23" s="2" t="s">
        <v>8009</v>
      </c>
    </row>
    <row r="24" spans="1:16">
      <c r="A24" s="2" t="s">
        <v>335</v>
      </c>
      <c r="B24">
        <v>22</v>
      </c>
      <c r="C24" s="2" t="s">
        <v>8086</v>
      </c>
      <c r="D24" s="2" t="s">
        <v>8087</v>
      </c>
      <c r="E24" s="2" t="s">
        <v>8036</v>
      </c>
      <c r="F24" s="2" t="s">
        <v>21</v>
      </c>
      <c r="G24" s="2" t="s">
        <v>332</v>
      </c>
      <c r="H24" s="2" t="s">
        <v>333</v>
      </c>
      <c r="I24" s="2" t="s">
        <v>24</v>
      </c>
      <c r="J24" s="2" t="s">
        <v>8043</v>
      </c>
      <c r="K24" s="2" t="s">
        <v>8044</v>
      </c>
      <c r="L24" t="b">
        <v>1</v>
      </c>
      <c r="M24" s="2" t="s">
        <v>30</v>
      </c>
      <c r="N24" s="2" t="s">
        <v>8045</v>
      </c>
      <c r="O24" s="2" t="s">
        <v>8046</v>
      </c>
      <c r="P24" s="2" t="s">
        <v>8009</v>
      </c>
    </row>
    <row r="25" spans="1:16">
      <c r="A25" s="2" t="s">
        <v>340</v>
      </c>
      <c r="B25">
        <v>23</v>
      </c>
      <c r="C25" s="2" t="s">
        <v>8088</v>
      </c>
      <c r="D25" s="2" t="s">
        <v>8089</v>
      </c>
      <c r="E25" s="2" t="s">
        <v>8036</v>
      </c>
      <c r="F25" s="2" t="s">
        <v>21</v>
      </c>
      <c r="G25" s="2" t="s">
        <v>332</v>
      </c>
      <c r="H25" s="2" t="s">
        <v>333</v>
      </c>
      <c r="I25" s="2" t="s">
        <v>24</v>
      </c>
      <c r="J25" s="2" t="s">
        <v>8037</v>
      </c>
      <c r="K25" s="2" t="s">
        <v>8038</v>
      </c>
      <c r="L25" t="b">
        <v>1</v>
      </c>
      <c r="M25" s="2" t="s">
        <v>30</v>
      </c>
      <c r="N25" s="2" t="s">
        <v>8090</v>
      </c>
      <c r="O25" s="2" t="s">
        <v>8040</v>
      </c>
      <c r="P25" s="2" t="s">
        <v>8009</v>
      </c>
    </row>
    <row r="26" spans="1:16">
      <c r="A26" s="2" t="s">
        <v>341</v>
      </c>
      <c r="B26">
        <v>24</v>
      </c>
      <c r="C26" s="2" t="s">
        <v>8091</v>
      </c>
      <c r="D26" s="2" t="s">
        <v>8092</v>
      </c>
      <c r="E26" s="2" t="s">
        <v>8036</v>
      </c>
      <c r="F26" s="2" t="s">
        <v>21</v>
      </c>
      <c r="G26" s="2" t="s">
        <v>332</v>
      </c>
      <c r="H26" s="2" t="s">
        <v>333</v>
      </c>
      <c r="I26" s="2" t="s">
        <v>24</v>
      </c>
      <c r="J26" s="2" t="s">
        <v>8043</v>
      </c>
      <c r="K26" s="2" t="s">
        <v>8044</v>
      </c>
      <c r="L26" t="b">
        <v>1</v>
      </c>
      <c r="M26" s="2" t="s">
        <v>30</v>
      </c>
      <c r="N26" s="2" t="s">
        <v>8045</v>
      </c>
      <c r="O26" s="2" t="s">
        <v>8046</v>
      </c>
      <c r="P26" s="2" t="s">
        <v>8009</v>
      </c>
    </row>
    <row r="27" spans="1:16">
      <c r="A27" s="2" t="s">
        <v>326</v>
      </c>
      <c r="B27">
        <v>25</v>
      </c>
      <c r="C27" s="2" t="s">
        <v>8093</v>
      </c>
      <c r="D27" s="2" t="s">
        <v>8094</v>
      </c>
      <c r="E27" s="2" t="s">
        <v>8036</v>
      </c>
      <c r="F27" s="2" t="s">
        <v>21</v>
      </c>
      <c r="G27" s="2" t="s">
        <v>22</v>
      </c>
      <c r="H27" s="2" t="s">
        <v>23</v>
      </c>
      <c r="I27" s="2" t="s">
        <v>59</v>
      </c>
      <c r="J27" s="2" t="s">
        <v>8037</v>
      </c>
      <c r="K27" s="2" t="s">
        <v>8038</v>
      </c>
      <c r="L27" t="b">
        <v>1</v>
      </c>
      <c r="M27" s="2" t="s">
        <v>30</v>
      </c>
      <c r="N27" s="2" t="s">
        <v>8095</v>
      </c>
      <c r="O27" s="2" t="s">
        <v>8040</v>
      </c>
      <c r="P27" s="2" t="s">
        <v>8009</v>
      </c>
    </row>
    <row r="28" spans="1:16">
      <c r="A28" s="2" t="s">
        <v>327</v>
      </c>
      <c r="B28">
        <v>26</v>
      </c>
      <c r="C28" s="2" t="s">
        <v>8096</v>
      </c>
      <c r="D28" s="2" t="s">
        <v>8097</v>
      </c>
      <c r="E28" s="2" t="s">
        <v>8036</v>
      </c>
      <c r="F28" s="2" t="s">
        <v>21</v>
      </c>
      <c r="G28" s="2" t="s">
        <v>22</v>
      </c>
      <c r="H28" s="2" t="s">
        <v>23</v>
      </c>
      <c r="I28" s="2" t="s">
        <v>59</v>
      </c>
      <c r="J28" s="2" t="s">
        <v>8043</v>
      </c>
      <c r="K28" s="2" t="s">
        <v>8044</v>
      </c>
      <c r="L28" t="b">
        <v>1</v>
      </c>
      <c r="M28" s="2" t="s">
        <v>30</v>
      </c>
      <c r="N28" s="2" t="s">
        <v>8045</v>
      </c>
      <c r="O28" s="2" t="s">
        <v>8046</v>
      </c>
      <c r="P28" s="2" t="s">
        <v>8009</v>
      </c>
    </row>
    <row r="29" spans="1:16">
      <c r="A29" s="2" t="s">
        <v>25</v>
      </c>
      <c r="B29">
        <v>27</v>
      </c>
      <c r="C29" s="2" t="s">
        <v>8098</v>
      </c>
      <c r="D29" s="2" t="s">
        <v>8099</v>
      </c>
      <c r="E29" s="2" t="s">
        <v>8036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8037</v>
      </c>
      <c r="K29" s="2" t="s">
        <v>8038</v>
      </c>
      <c r="L29" t="b">
        <v>1</v>
      </c>
      <c r="M29" s="2" t="s">
        <v>8074</v>
      </c>
      <c r="N29" s="2" t="s">
        <v>8100</v>
      </c>
      <c r="O29" s="2" t="s">
        <v>8040</v>
      </c>
      <c r="P29" s="2" t="s">
        <v>8009</v>
      </c>
    </row>
    <row r="30" spans="1:16">
      <c r="A30" s="2" t="s">
        <v>26</v>
      </c>
      <c r="B30">
        <v>28</v>
      </c>
      <c r="C30" s="2" t="s">
        <v>8101</v>
      </c>
      <c r="D30" s="2" t="s">
        <v>8102</v>
      </c>
      <c r="E30" s="2" t="s">
        <v>8036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8043</v>
      </c>
      <c r="K30" s="2" t="s">
        <v>8044</v>
      </c>
      <c r="L30" t="b">
        <v>1</v>
      </c>
      <c r="M30" s="2" t="s">
        <v>8074</v>
      </c>
      <c r="N30" s="2" t="s">
        <v>8045</v>
      </c>
      <c r="O30" s="2" t="s">
        <v>8046</v>
      </c>
      <c r="P30" s="2" t="s">
        <v>8009</v>
      </c>
    </row>
    <row r="31" spans="1:16">
      <c r="A31" s="2" t="s">
        <v>33</v>
      </c>
      <c r="B31">
        <v>29</v>
      </c>
      <c r="C31" s="2" t="s">
        <v>8103</v>
      </c>
      <c r="D31" s="2" t="s">
        <v>8104</v>
      </c>
      <c r="E31" s="2" t="s">
        <v>8036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8037</v>
      </c>
      <c r="K31" s="2" t="s">
        <v>8038</v>
      </c>
      <c r="L31" t="b">
        <v>1</v>
      </c>
      <c r="M31" s="2" t="s">
        <v>8105</v>
      </c>
      <c r="N31" s="2" t="s">
        <v>8106</v>
      </c>
      <c r="O31" s="2" t="s">
        <v>8040</v>
      </c>
      <c r="P31" s="2" t="s">
        <v>8009</v>
      </c>
    </row>
    <row r="32" spans="1:16">
      <c r="A32" s="2" t="s">
        <v>34</v>
      </c>
      <c r="B32">
        <v>30</v>
      </c>
      <c r="C32" s="2" t="s">
        <v>8107</v>
      </c>
      <c r="D32" s="2" t="s">
        <v>8108</v>
      </c>
      <c r="E32" s="2" t="s">
        <v>8036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8043</v>
      </c>
      <c r="K32" s="2" t="s">
        <v>8044</v>
      </c>
      <c r="L32" t="b">
        <v>1</v>
      </c>
      <c r="M32" s="2" t="s">
        <v>8105</v>
      </c>
      <c r="N32" s="2" t="s">
        <v>8045</v>
      </c>
      <c r="O32" s="2" t="s">
        <v>8046</v>
      </c>
      <c r="P32" s="2" t="s">
        <v>8009</v>
      </c>
    </row>
    <row r="33" spans="1:16">
      <c r="A33" s="2" t="s">
        <v>167</v>
      </c>
      <c r="B33">
        <v>31</v>
      </c>
      <c r="C33" s="2" t="s">
        <v>8109</v>
      </c>
      <c r="D33" s="2" t="s">
        <v>8110</v>
      </c>
      <c r="E33" s="2" t="s">
        <v>8036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8037</v>
      </c>
      <c r="K33" s="2" t="s">
        <v>8038</v>
      </c>
      <c r="L33" t="b">
        <v>1</v>
      </c>
      <c r="M33" s="2" t="s">
        <v>30</v>
      </c>
      <c r="N33" s="2" t="s">
        <v>8111</v>
      </c>
      <c r="O33" s="2" t="s">
        <v>8040</v>
      </c>
      <c r="P33" s="2" t="s">
        <v>8112</v>
      </c>
    </row>
    <row r="34" spans="1:16">
      <c r="A34" s="2" t="s">
        <v>168</v>
      </c>
      <c r="B34">
        <v>32</v>
      </c>
      <c r="C34" s="2" t="s">
        <v>8113</v>
      </c>
      <c r="D34" s="2" t="s">
        <v>8114</v>
      </c>
      <c r="E34" s="2" t="s">
        <v>8036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8043</v>
      </c>
      <c r="K34" s="2" t="s">
        <v>8044</v>
      </c>
      <c r="L34" t="b">
        <v>1</v>
      </c>
      <c r="M34" s="2" t="s">
        <v>30</v>
      </c>
      <c r="N34" s="2" t="s">
        <v>8045</v>
      </c>
      <c r="O34" s="2" t="s">
        <v>8046</v>
      </c>
      <c r="P34" s="2" t="s">
        <v>8112</v>
      </c>
    </row>
    <row r="35" spans="1:16">
      <c r="A35" s="2" t="s">
        <v>179</v>
      </c>
      <c r="B35">
        <v>33</v>
      </c>
      <c r="C35" s="2" t="s">
        <v>8115</v>
      </c>
      <c r="D35" s="2" t="s">
        <v>8116</v>
      </c>
      <c r="E35" s="2" t="s">
        <v>8036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8037</v>
      </c>
      <c r="K35" s="2" t="s">
        <v>8038</v>
      </c>
      <c r="L35" t="b">
        <v>1</v>
      </c>
      <c r="M35" s="2" t="s">
        <v>30</v>
      </c>
      <c r="N35" s="2" t="s">
        <v>8117</v>
      </c>
      <c r="O35" s="2" t="s">
        <v>8040</v>
      </c>
      <c r="P35" s="2" t="s">
        <v>8009</v>
      </c>
    </row>
    <row r="36" spans="1:16">
      <c r="A36" s="2" t="s">
        <v>180</v>
      </c>
      <c r="B36">
        <v>34</v>
      </c>
      <c r="C36" s="2" t="s">
        <v>8118</v>
      </c>
      <c r="D36" s="2" t="s">
        <v>8119</v>
      </c>
      <c r="E36" s="2" t="s">
        <v>8036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8043</v>
      </c>
      <c r="K36" s="2" t="s">
        <v>8044</v>
      </c>
      <c r="L36" t="b">
        <v>1</v>
      </c>
      <c r="M36" s="2" t="s">
        <v>30</v>
      </c>
      <c r="N36" s="2" t="s">
        <v>8045</v>
      </c>
      <c r="O36" s="2" t="s">
        <v>8046</v>
      </c>
      <c r="P36" s="2" t="s">
        <v>8009</v>
      </c>
    </row>
    <row r="37" spans="1:16">
      <c r="A37" s="2" t="s">
        <v>234</v>
      </c>
      <c r="B37">
        <v>35</v>
      </c>
      <c r="C37" s="2" t="s">
        <v>8120</v>
      </c>
      <c r="D37" s="2" t="s">
        <v>8121</v>
      </c>
      <c r="E37" s="2" t="s">
        <v>8036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8037</v>
      </c>
      <c r="K37" s="2" t="s">
        <v>8038</v>
      </c>
      <c r="L37" t="b">
        <v>1</v>
      </c>
      <c r="M37" s="2" t="s">
        <v>8105</v>
      </c>
      <c r="N37" s="2" t="s">
        <v>8122</v>
      </c>
      <c r="O37" s="2" t="s">
        <v>8040</v>
      </c>
      <c r="P37" s="2" t="s">
        <v>8009</v>
      </c>
    </row>
    <row r="38" spans="1:16">
      <c r="A38" s="2" t="s">
        <v>235</v>
      </c>
      <c r="B38">
        <v>36</v>
      </c>
      <c r="C38" s="2" t="s">
        <v>8123</v>
      </c>
      <c r="D38" s="2" t="s">
        <v>8124</v>
      </c>
      <c r="E38" s="2" t="s">
        <v>8036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8043</v>
      </c>
      <c r="K38" s="2" t="s">
        <v>8044</v>
      </c>
      <c r="L38" t="b">
        <v>1</v>
      </c>
      <c r="M38" s="2" t="s">
        <v>8105</v>
      </c>
      <c r="N38" s="2" t="s">
        <v>8045</v>
      </c>
      <c r="O38" s="2" t="s">
        <v>8046</v>
      </c>
      <c r="P38" s="2" t="s">
        <v>8009</v>
      </c>
    </row>
    <row r="39" spans="1:16">
      <c r="A39" s="2" t="s">
        <v>246</v>
      </c>
      <c r="B39">
        <v>37</v>
      </c>
      <c r="C39" s="2" t="s">
        <v>8125</v>
      </c>
      <c r="D39" s="2" t="s">
        <v>8126</v>
      </c>
      <c r="E39" s="2" t="s">
        <v>8036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8037</v>
      </c>
      <c r="K39" s="2" t="s">
        <v>8038</v>
      </c>
      <c r="L39" t="b">
        <v>1</v>
      </c>
      <c r="M39" s="2" t="s">
        <v>30</v>
      </c>
      <c r="N39" s="2" t="s">
        <v>8127</v>
      </c>
      <c r="O39" s="2" t="s">
        <v>8040</v>
      </c>
      <c r="P39" s="2" t="s">
        <v>8009</v>
      </c>
    </row>
    <row r="40" spans="1:16">
      <c r="A40" s="2" t="s">
        <v>247</v>
      </c>
      <c r="B40">
        <v>38</v>
      </c>
      <c r="C40" s="2" t="s">
        <v>8128</v>
      </c>
      <c r="D40" s="2" t="s">
        <v>8129</v>
      </c>
      <c r="E40" s="2" t="s">
        <v>8036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8043</v>
      </c>
      <c r="K40" s="2" t="s">
        <v>8044</v>
      </c>
      <c r="L40" t="b">
        <v>1</v>
      </c>
      <c r="M40" s="2" t="s">
        <v>30</v>
      </c>
      <c r="N40" s="2" t="s">
        <v>8045</v>
      </c>
      <c r="O40" s="2" t="s">
        <v>8046</v>
      </c>
      <c r="P40" s="2" t="s">
        <v>8009</v>
      </c>
    </row>
    <row r="41" spans="1:16">
      <c r="A41" s="2" t="s">
        <v>372</v>
      </c>
      <c r="B41">
        <v>39</v>
      </c>
      <c r="C41" s="2" t="s">
        <v>8130</v>
      </c>
      <c r="D41" s="2" t="s">
        <v>8131</v>
      </c>
      <c r="E41" s="2" t="s">
        <v>8036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8037</v>
      </c>
      <c r="K41" s="2" t="s">
        <v>8038</v>
      </c>
      <c r="L41" t="b">
        <v>1</v>
      </c>
      <c r="M41" s="2" t="s">
        <v>8074</v>
      </c>
      <c r="N41" s="2" t="s">
        <v>8132</v>
      </c>
      <c r="O41" s="2" t="s">
        <v>8040</v>
      </c>
      <c r="P41" s="2" t="s">
        <v>8009</v>
      </c>
    </row>
    <row r="42" spans="1:16">
      <c r="A42" s="2" t="s">
        <v>373</v>
      </c>
      <c r="B42">
        <v>40</v>
      </c>
      <c r="C42" s="2" t="s">
        <v>8133</v>
      </c>
      <c r="D42" s="2" t="s">
        <v>8134</v>
      </c>
      <c r="E42" s="2" t="s">
        <v>8036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8043</v>
      </c>
      <c r="K42" s="2" t="s">
        <v>8044</v>
      </c>
      <c r="L42" t="b">
        <v>1</v>
      </c>
      <c r="M42" s="2" t="s">
        <v>8074</v>
      </c>
      <c r="N42" s="2" t="s">
        <v>8045</v>
      </c>
      <c r="O42" s="2" t="s">
        <v>8046</v>
      </c>
      <c r="P42" s="2" t="s">
        <v>8009</v>
      </c>
    </row>
    <row r="43" spans="1:16">
      <c r="A43" s="2" t="s">
        <v>379</v>
      </c>
      <c r="B43">
        <v>41</v>
      </c>
      <c r="C43" s="2" t="s">
        <v>8135</v>
      </c>
      <c r="D43" s="2" t="s">
        <v>8136</v>
      </c>
      <c r="E43" s="2" t="s">
        <v>8036</v>
      </c>
      <c r="F43" s="2" t="s">
        <v>21</v>
      </c>
      <c r="G43" s="2" t="s">
        <v>22</v>
      </c>
      <c r="H43" s="2" t="s">
        <v>23</v>
      </c>
      <c r="I43" s="2" t="s">
        <v>378</v>
      </c>
      <c r="J43" s="2" t="s">
        <v>8037</v>
      </c>
      <c r="K43" s="2" t="s">
        <v>8038</v>
      </c>
      <c r="L43" t="b">
        <v>1</v>
      </c>
      <c r="M43" s="2" t="s">
        <v>8074</v>
      </c>
      <c r="N43" s="2" t="s">
        <v>8137</v>
      </c>
      <c r="O43" s="2" t="s">
        <v>8040</v>
      </c>
      <c r="P43" s="2" t="s">
        <v>8009</v>
      </c>
    </row>
    <row r="44" spans="1:16">
      <c r="A44" s="2" t="s">
        <v>380</v>
      </c>
      <c r="B44">
        <v>42</v>
      </c>
      <c r="C44" s="2" t="s">
        <v>8138</v>
      </c>
      <c r="D44" s="2" t="s">
        <v>8139</v>
      </c>
      <c r="E44" s="2" t="s">
        <v>8036</v>
      </c>
      <c r="F44" s="2" t="s">
        <v>21</v>
      </c>
      <c r="G44" s="2" t="s">
        <v>22</v>
      </c>
      <c r="H44" s="2" t="s">
        <v>23</v>
      </c>
      <c r="I44" s="2" t="s">
        <v>378</v>
      </c>
      <c r="J44" s="2" t="s">
        <v>8043</v>
      </c>
      <c r="K44" s="2" t="s">
        <v>8044</v>
      </c>
      <c r="L44" t="b">
        <v>1</v>
      </c>
      <c r="M44" s="2" t="s">
        <v>8074</v>
      </c>
      <c r="N44" s="2" t="s">
        <v>8045</v>
      </c>
      <c r="O44" s="2" t="s">
        <v>8046</v>
      </c>
      <c r="P44" s="2" t="s">
        <v>8009</v>
      </c>
    </row>
    <row r="45" spans="1:16">
      <c r="A45" s="2" t="s">
        <v>161</v>
      </c>
      <c r="B45">
        <v>43</v>
      </c>
      <c r="C45" s="2" t="s">
        <v>8140</v>
      </c>
      <c r="D45" s="2" t="s">
        <v>8141</v>
      </c>
      <c r="E45" s="2" t="s">
        <v>8036</v>
      </c>
      <c r="F45" s="2" t="s">
        <v>21</v>
      </c>
      <c r="G45" s="2" t="s">
        <v>22</v>
      </c>
      <c r="H45" s="2" t="s">
        <v>66</v>
      </c>
      <c r="I45" s="2" t="s">
        <v>59</v>
      </c>
      <c r="J45" s="2" t="s">
        <v>8037</v>
      </c>
      <c r="K45" s="2" t="s">
        <v>8038</v>
      </c>
      <c r="L45" t="b">
        <v>1</v>
      </c>
      <c r="M45" s="2" t="s">
        <v>30</v>
      </c>
      <c r="N45" s="2" t="s">
        <v>8142</v>
      </c>
      <c r="O45" s="2" t="s">
        <v>8040</v>
      </c>
      <c r="P45" s="2" t="s">
        <v>8009</v>
      </c>
    </row>
    <row r="46" spans="1:16">
      <c r="A46" s="2" t="s">
        <v>162</v>
      </c>
      <c r="B46">
        <v>44</v>
      </c>
      <c r="C46" s="2" t="s">
        <v>8143</v>
      </c>
      <c r="D46" s="2" t="s">
        <v>8144</v>
      </c>
      <c r="E46" s="2" t="s">
        <v>8036</v>
      </c>
      <c r="F46" s="2" t="s">
        <v>21</v>
      </c>
      <c r="G46" s="2" t="s">
        <v>22</v>
      </c>
      <c r="H46" s="2" t="s">
        <v>66</v>
      </c>
      <c r="I46" s="2" t="s">
        <v>59</v>
      </c>
      <c r="J46" s="2" t="s">
        <v>8043</v>
      </c>
      <c r="K46" s="2" t="s">
        <v>8044</v>
      </c>
      <c r="L46" t="b">
        <v>1</v>
      </c>
      <c r="M46" s="2" t="s">
        <v>30</v>
      </c>
      <c r="N46" s="2" t="s">
        <v>8045</v>
      </c>
      <c r="O46" s="2" t="s">
        <v>8046</v>
      </c>
      <c r="P46" s="2" t="s">
        <v>8009</v>
      </c>
    </row>
    <row r="47" spans="1:16">
      <c r="A47" s="2" t="s">
        <v>67</v>
      </c>
      <c r="B47">
        <v>45</v>
      </c>
      <c r="C47" s="2" t="s">
        <v>8145</v>
      </c>
      <c r="D47" s="2" t="s">
        <v>8146</v>
      </c>
      <c r="E47" s="2" t="s">
        <v>8036</v>
      </c>
      <c r="F47" s="2" t="s">
        <v>21</v>
      </c>
      <c r="G47" s="2" t="s">
        <v>22</v>
      </c>
      <c r="H47" s="2" t="s">
        <v>66</v>
      </c>
      <c r="I47" s="2" t="s">
        <v>24</v>
      </c>
      <c r="J47" s="2" t="s">
        <v>8037</v>
      </c>
      <c r="K47" s="2" t="s">
        <v>8038</v>
      </c>
      <c r="L47" t="b">
        <v>1</v>
      </c>
      <c r="M47" s="2" t="s">
        <v>8074</v>
      </c>
      <c r="N47" s="2" t="s">
        <v>8147</v>
      </c>
      <c r="O47" s="2" t="s">
        <v>8040</v>
      </c>
      <c r="P47" s="2" t="s">
        <v>8009</v>
      </c>
    </row>
    <row r="48" spans="1:16">
      <c r="A48" s="2" t="s">
        <v>68</v>
      </c>
      <c r="B48">
        <v>46</v>
      </c>
      <c r="C48" s="2" t="s">
        <v>8148</v>
      </c>
      <c r="D48" s="2" t="s">
        <v>8149</v>
      </c>
      <c r="E48" s="2" t="s">
        <v>8036</v>
      </c>
      <c r="F48" s="2" t="s">
        <v>21</v>
      </c>
      <c r="G48" s="2" t="s">
        <v>22</v>
      </c>
      <c r="H48" s="2" t="s">
        <v>66</v>
      </c>
      <c r="I48" s="2" t="s">
        <v>24</v>
      </c>
      <c r="J48" s="2" t="s">
        <v>8043</v>
      </c>
      <c r="K48" s="2" t="s">
        <v>8044</v>
      </c>
      <c r="L48" t="b">
        <v>1</v>
      </c>
      <c r="M48" s="2" t="s">
        <v>8074</v>
      </c>
      <c r="N48" s="2" t="s">
        <v>8045</v>
      </c>
      <c r="O48" s="2" t="s">
        <v>8046</v>
      </c>
      <c r="P48" s="2" t="s">
        <v>8009</v>
      </c>
    </row>
    <row r="49" spans="1:16">
      <c r="A49" s="2" t="s">
        <v>173</v>
      </c>
      <c r="B49">
        <v>47</v>
      </c>
      <c r="C49" s="2" t="s">
        <v>8150</v>
      </c>
      <c r="D49" s="2" t="s">
        <v>8151</v>
      </c>
      <c r="E49" s="2" t="s">
        <v>8036</v>
      </c>
      <c r="F49" s="2" t="s">
        <v>21</v>
      </c>
      <c r="G49" s="2" t="s">
        <v>22</v>
      </c>
      <c r="H49" s="2" t="s">
        <v>66</v>
      </c>
      <c r="I49" s="2" t="s">
        <v>24</v>
      </c>
      <c r="J49" s="2" t="s">
        <v>8037</v>
      </c>
      <c r="K49" s="2" t="s">
        <v>8038</v>
      </c>
      <c r="L49" t="b">
        <v>1</v>
      </c>
      <c r="M49" s="2" t="s">
        <v>30</v>
      </c>
      <c r="N49" s="2" t="s">
        <v>8152</v>
      </c>
      <c r="O49" s="2" t="s">
        <v>8040</v>
      </c>
      <c r="P49" s="2" t="s">
        <v>8112</v>
      </c>
    </row>
    <row r="50" spans="1:16">
      <c r="A50" s="2" t="s">
        <v>174</v>
      </c>
      <c r="B50">
        <v>48</v>
      </c>
      <c r="C50" s="2" t="s">
        <v>8153</v>
      </c>
      <c r="D50" s="2" t="s">
        <v>8154</v>
      </c>
      <c r="E50" s="2" t="s">
        <v>8036</v>
      </c>
      <c r="F50" s="2" t="s">
        <v>21</v>
      </c>
      <c r="G50" s="2" t="s">
        <v>22</v>
      </c>
      <c r="H50" s="2" t="s">
        <v>66</v>
      </c>
      <c r="I50" s="2" t="s">
        <v>24</v>
      </c>
      <c r="J50" s="2" t="s">
        <v>8043</v>
      </c>
      <c r="K50" s="2" t="s">
        <v>8044</v>
      </c>
      <c r="L50" t="b">
        <v>1</v>
      </c>
      <c r="M50" s="2" t="s">
        <v>30</v>
      </c>
      <c r="N50" s="2" t="s">
        <v>8045</v>
      </c>
      <c r="O50" s="2" t="s">
        <v>8046</v>
      </c>
      <c r="P50" s="2" t="s">
        <v>8112</v>
      </c>
    </row>
    <row r="51" spans="1:16">
      <c r="A51" s="2" t="s">
        <v>240</v>
      </c>
      <c r="B51">
        <v>49</v>
      </c>
      <c r="C51" s="2" t="s">
        <v>8155</v>
      </c>
      <c r="D51" s="2" t="s">
        <v>8156</v>
      </c>
      <c r="E51" s="2" t="s">
        <v>8036</v>
      </c>
      <c r="F51" s="2" t="s">
        <v>21</v>
      </c>
      <c r="G51" s="2" t="s">
        <v>22</v>
      </c>
      <c r="H51" s="2" t="s">
        <v>66</v>
      </c>
      <c r="I51" s="2" t="s">
        <v>24</v>
      </c>
      <c r="J51" s="2" t="s">
        <v>8037</v>
      </c>
      <c r="K51" s="2" t="s">
        <v>8038</v>
      </c>
      <c r="L51" t="b">
        <v>1</v>
      </c>
      <c r="M51" s="2" t="s">
        <v>8105</v>
      </c>
      <c r="N51" s="2" t="s">
        <v>8157</v>
      </c>
      <c r="O51" s="2" t="s">
        <v>8040</v>
      </c>
      <c r="P51" s="2" t="s">
        <v>8009</v>
      </c>
    </row>
    <row r="52" spans="1:16">
      <c r="A52" s="2" t="s">
        <v>241</v>
      </c>
      <c r="B52">
        <v>50</v>
      </c>
      <c r="C52" s="2" t="s">
        <v>8158</v>
      </c>
      <c r="D52" s="2" t="s">
        <v>8159</v>
      </c>
      <c r="E52" s="2" t="s">
        <v>8036</v>
      </c>
      <c r="F52" s="2" t="s">
        <v>21</v>
      </c>
      <c r="G52" s="2" t="s">
        <v>22</v>
      </c>
      <c r="H52" s="2" t="s">
        <v>66</v>
      </c>
      <c r="I52" s="2" t="s">
        <v>24</v>
      </c>
      <c r="J52" s="2" t="s">
        <v>8043</v>
      </c>
      <c r="K52" s="2" t="s">
        <v>8044</v>
      </c>
      <c r="L52" t="b">
        <v>1</v>
      </c>
      <c r="M52" s="2" t="s">
        <v>8105</v>
      </c>
      <c r="N52" s="2" t="s">
        <v>8045</v>
      </c>
      <c r="O52" s="2" t="s">
        <v>8046</v>
      </c>
      <c r="P52" s="2" t="s">
        <v>8009</v>
      </c>
    </row>
    <row r="53" spans="1:16">
      <c r="A53" s="2" t="s">
        <v>252</v>
      </c>
      <c r="B53">
        <v>51</v>
      </c>
      <c r="C53" s="2" t="s">
        <v>8160</v>
      </c>
      <c r="D53" s="2" t="s">
        <v>8161</v>
      </c>
      <c r="E53" s="2" t="s">
        <v>8036</v>
      </c>
      <c r="F53" s="2" t="s">
        <v>21</v>
      </c>
      <c r="G53" s="2" t="s">
        <v>22</v>
      </c>
      <c r="H53" s="2" t="s">
        <v>66</v>
      </c>
      <c r="I53" s="2" t="s">
        <v>24</v>
      </c>
      <c r="J53" s="2" t="s">
        <v>8037</v>
      </c>
      <c r="K53" s="2" t="s">
        <v>8038</v>
      </c>
      <c r="L53" t="b">
        <v>1</v>
      </c>
      <c r="M53" s="2" t="s">
        <v>8074</v>
      </c>
      <c r="N53" s="2" t="s">
        <v>8162</v>
      </c>
      <c r="O53" s="2" t="s">
        <v>8040</v>
      </c>
      <c r="P53" s="2" t="s">
        <v>8009</v>
      </c>
    </row>
    <row r="54" spans="1:16">
      <c r="A54" s="2" t="s">
        <v>253</v>
      </c>
      <c r="B54">
        <v>52</v>
      </c>
      <c r="C54" s="2" t="s">
        <v>8163</v>
      </c>
      <c r="D54" s="2" t="s">
        <v>8164</v>
      </c>
      <c r="E54" s="2" t="s">
        <v>8036</v>
      </c>
      <c r="F54" s="2" t="s">
        <v>21</v>
      </c>
      <c r="G54" s="2" t="s">
        <v>22</v>
      </c>
      <c r="H54" s="2" t="s">
        <v>66</v>
      </c>
      <c r="I54" s="2" t="s">
        <v>24</v>
      </c>
      <c r="J54" s="2" t="s">
        <v>8043</v>
      </c>
      <c r="K54" s="2" t="s">
        <v>8044</v>
      </c>
      <c r="L54" t="b">
        <v>1</v>
      </c>
      <c r="M54" s="2" t="s">
        <v>8074</v>
      </c>
      <c r="N54" s="2" t="s">
        <v>8045</v>
      </c>
      <c r="O54" s="2" t="s">
        <v>8046</v>
      </c>
      <c r="P54" s="2" t="s">
        <v>8009</v>
      </c>
    </row>
    <row r="55" spans="1:16">
      <c r="A55" s="2" t="s">
        <v>74</v>
      </c>
      <c r="B55">
        <v>53</v>
      </c>
      <c r="C55" s="2" t="s">
        <v>8165</v>
      </c>
      <c r="D55" s="2" t="s">
        <v>8166</v>
      </c>
      <c r="E55" s="2" t="s">
        <v>8036</v>
      </c>
      <c r="F55" s="2" t="s">
        <v>21</v>
      </c>
      <c r="G55" s="2" t="s">
        <v>22</v>
      </c>
      <c r="H55" s="2" t="s">
        <v>73</v>
      </c>
      <c r="I55" s="2" t="s">
        <v>59</v>
      </c>
      <c r="J55" s="2" t="s">
        <v>8037</v>
      </c>
      <c r="K55" s="2" t="s">
        <v>8038</v>
      </c>
      <c r="L55" t="b">
        <v>1</v>
      </c>
      <c r="M55" s="2" t="s">
        <v>30</v>
      </c>
      <c r="N55" s="2" t="s">
        <v>8167</v>
      </c>
      <c r="O55" s="2" t="s">
        <v>8040</v>
      </c>
      <c r="P55" s="2" t="s">
        <v>8009</v>
      </c>
    </row>
    <row r="56" spans="1:16">
      <c r="A56" s="2" t="s">
        <v>75</v>
      </c>
      <c r="B56">
        <v>54</v>
      </c>
      <c r="C56" s="2" t="s">
        <v>8168</v>
      </c>
      <c r="D56" s="2" t="s">
        <v>8169</v>
      </c>
      <c r="E56" s="2" t="s">
        <v>8036</v>
      </c>
      <c r="F56" s="2" t="s">
        <v>21</v>
      </c>
      <c r="G56" s="2" t="s">
        <v>22</v>
      </c>
      <c r="H56" s="2" t="s">
        <v>73</v>
      </c>
      <c r="I56" s="2" t="s">
        <v>59</v>
      </c>
      <c r="J56" s="2" t="s">
        <v>8043</v>
      </c>
      <c r="K56" s="2" t="s">
        <v>8044</v>
      </c>
      <c r="L56" t="b">
        <v>1</v>
      </c>
      <c r="M56" s="2" t="s">
        <v>30</v>
      </c>
      <c r="N56" s="2" t="s">
        <v>8045</v>
      </c>
      <c r="O56" s="2" t="s">
        <v>8046</v>
      </c>
      <c r="P56" s="2" t="s">
        <v>8009</v>
      </c>
    </row>
    <row r="57" spans="1:16">
      <c r="A57" s="2" t="s">
        <v>137</v>
      </c>
      <c r="B57">
        <v>55</v>
      </c>
      <c r="C57" s="2" t="s">
        <v>8170</v>
      </c>
      <c r="D57" s="2" t="s">
        <v>8171</v>
      </c>
      <c r="E57" s="2" t="s">
        <v>8036</v>
      </c>
      <c r="F57" s="2" t="s">
        <v>21</v>
      </c>
      <c r="G57" s="2" t="s">
        <v>22</v>
      </c>
      <c r="H57" s="2" t="s">
        <v>73</v>
      </c>
      <c r="I57" s="2" t="s">
        <v>101</v>
      </c>
      <c r="J57" s="2" t="s">
        <v>8037</v>
      </c>
      <c r="K57" s="2" t="s">
        <v>8038</v>
      </c>
      <c r="L57" t="b">
        <v>1</v>
      </c>
      <c r="M57" s="2" t="s">
        <v>30</v>
      </c>
      <c r="N57" s="2" t="s">
        <v>8172</v>
      </c>
      <c r="O57" s="2" t="s">
        <v>8040</v>
      </c>
      <c r="P57" s="2" t="s">
        <v>8009</v>
      </c>
    </row>
    <row r="58" spans="1:16">
      <c r="A58" s="2" t="s">
        <v>138</v>
      </c>
      <c r="B58">
        <v>56</v>
      </c>
      <c r="C58" s="2" t="s">
        <v>8173</v>
      </c>
      <c r="D58" s="2" t="s">
        <v>8174</v>
      </c>
      <c r="E58" s="2" t="s">
        <v>8036</v>
      </c>
      <c r="F58" s="2" t="s">
        <v>21</v>
      </c>
      <c r="G58" s="2" t="s">
        <v>22</v>
      </c>
      <c r="H58" s="2" t="s">
        <v>73</v>
      </c>
      <c r="I58" s="2" t="s">
        <v>101</v>
      </c>
      <c r="J58" s="2" t="s">
        <v>8043</v>
      </c>
      <c r="K58" s="2" t="s">
        <v>8044</v>
      </c>
      <c r="L58" t="b">
        <v>1</v>
      </c>
      <c r="M58" s="2" t="s">
        <v>30</v>
      </c>
      <c r="N58" s="2" t="s">
        <v>8045</v>
      </c>
      <c r="O58" s="2" t="s">
        <v>8046</v>
      </c>
      <c r="P58" s="2" t="s">
        <v>8009</v>
      </c>
    </row>
    <row r="59" spans="1:16">
      <c r="A59" s="2" t="s">
        <v>131</v>
      </c>
      <c r="B59">
        <v>57</v>
      </c>
      <c r="C59" s="2" t="s">
        <v>8175</v>
      </c>
      <c r="D59" s="2" t="s">
        <v>8176</v>
      </c>
      <c r="E59" s="2" t="s">
        <v>8036</v>
      </c>
      <c r="F59" s="2" t="s">
        <v>21</v>
      </c>
      <c r="G59" s="2" t="s">
        <v>22</v>
      </c>
      <c r="H59" s="2" t="s">
        <v>73</v>
      </c>
      <c r="I59" s="2" t="s">
        <v>24</v>
      </c>
      <c r="J59" s="2" t="s">
        <v>8037</v>
      </c>
      <c r="K59" s="2" t="s">
        <v>8038</v>
      </c>
      <c r="L59" t="b">
        <v>1</v>
      </c>
      <c r="M59" s="2" t="s">
        <v>8105</v>
      </c>
      <c r="N59" s="2" t="s">
        <v>8177</v>
      </c>
      <c r="O59" s="2" t="s">
        <v>8040</v>
      </c>
      <c r="P59" s="2" t="s">
        <v>8009</v>
      </c>
    </row>
    <row r="60" spans="1:16">
      <c r="A60" s="2" t="s">
        <v>132</v>
      </c>
      <c r="B60">
        <v>58</v>
      </c>
      <c r="C60" s="2" t="s">
        <v>8178</v>
      </c>
      <c r="D60" s="2" t="s">
        <v>8179</v>
      </c>
      <c r="E60" s="2" t="s">
        <v>8036</v>
      </c>
      <c r="F60" s="2" t="s">
        <v>21</v>
      </c>
      <c r="G60" s="2" t="s">
        <v>22</v>
      </c>
      <c r="H60" s="2" t="s">
        <v>73</v>
      </c>
      <c r="I60" s="2" t="s">
        <v>24</v>
      </c>
      <c r="J60" s="2" t="s">
        <v>8043</v>
      </c>
      <c r="K60" s="2" t="s">
        <v>8044</v>
      </c>
      <c r="L60" t="b">
        <v>1</v>
      </c>
      <c r="M60" s="2" t="s">
        <v>8105</v>
      </c>
      <c r="N60" s="2" t="s">
        <v>8045</v>
      </c>
      <c r="O60" s="2" t="s">
        <v>8046</v>
      </c>
      <c r="P60" s="2" t="s">
        <v>8009</v>
      </c>
    </row>
    <row r="61" spans="1:16">
      <c r="A61" s="2" t="s">
        <v>125</v>
      </c>
      <c r="B61">
        <v>59</v>
      </c>
      <c r="C61" s="2" t="s">
        <v>8180</v>
      </c>
      <c r="D61" s="2" t="s">
        <v>8181</v>
      </c>
      <c r="E61" s="2" t="s">
        <v>8036</v>
      </c>
      <c r="F61" s="2" t="s">
        <v>21</v>
      </c>
      <c r="G61" s="2" t="s">
        <v>22</v>
      </c>
      <c r="H61" s="2" t="s">
        <v>73</v>
      </c>
      <c r="I61" s="2" t="s">
        <v>24</v>
      </c>
      <c r="J61" s="2" t="s">
        <v>8037</v>
      </c>
      <c r="K61" s="2" t="s">
        <v>8038</v>
      </c>
      <c r="L61" t="b">
        <v>1</v>
      </c>
      <c r="M61" s="2" t="s">
        <v>8105</v>
      </c>
      <c r="N61" s="2" t="s">
        <v>8182</v>
      </c>
      <c r="O61" s="2" t="s">
        <v>8040</v>
      </c>
      <c r="P61" s="2" t="s">
        <v>8009</v>
      </c>
    </row>
    <row r="62" spans="1:16">
      <c r="A62" s="2" t="s">
        <v>126</v>
      </c>
      <c r="B62">
        <v>60</v>
      </c>
      <c r="C62" s="2" t="s">
        <v>8183</v>
      </c>
      <c r="D62" s="2" t="s">
        <v>8184</v>
      </c>
      <c r="E62" s="2" t="s">
        <v>8036</v>
      </c>
      <c r="F62" s="2" t="s">
        <v>21</v>
      </c>
      <c r="G62" s="2" t="s">
        <v>22</v>
      </c>
      <c r="H62" s="2" t="s">
        <v>73</v>
      </c>
      <c r="I62" s="2" t="s">
        <v>24</v>
      </c>
      <c r="J62" s="2" t="s">
        <v>8043</v>
      </c>
      <c r="K62" s="2" t="s">
        <v>8044</v>
      </c>
      <c r="L62" t="b">
        <v>1</v>
      </c>
      <c r="M62" s="2" t="s">
        <v>8105</v>
      </c>
      <c r="N62" s="2" t="s">
        <v>8045</v>
      </c>
      <c r="O62" s="2" t="s">
        <v>8046</v>
      </c>
      <c r="P62" s="2" t="s">
        <v>8009</v>
      </c>
    </row>
    <row r="63" spans="1:16">
      <c r="A63" s="2" t="s">
        <v>155</v>
      </c>
      <c r="B63">
        <v>61</v>
      </c>
      <c r="C63" s="2" t="s">
        <v>8185</v>
      </c>
      <c r="D63" s="2" t="s">
        <v>8186</v>
      </c>
      <c r="E63" s="2" t="s">
        <v>8036</v>
      </c>
      <c r="F63" s="2" t="s">
        <v>21</v>
      </c>
      <c r="G63" s="2" t="s">
        <v>22</v>
      </c>
      <c r="H63" s="2" t="s">
        <v>73</v>
      </c>
      <c r="I63" s="2" t="s">
        <v>101</v>
      </c>
      <c r="J63" s="2" t="s">
        <v>8037</v>
      </c>
      <c r="K63" s="2" t="s">
        <v>8038</v>
      </c>
      <c r="L63" t="b">
        <v>1</v>
      </c>
      <c r="M63" s="2" t="s">
        <v>30</v>
      </c>
      <c r="N63" s="2" t="s">
        <v>8187</v>
      </c>
      <c r="O63" s="2" t="s">
        <v>8040</v>
      </c>
      <c r="P63" s="2" t="s">
        <v>8009</v>
      </c>
    </row>
    <row r="64" spans="1:16">
      <c r="A64" s="2" t="s">
        <v>156</v>
      </c>
      <c r="B64">
        <v>62</v>
      </c>
      <c r="C64" s="2" t="s">
        <v>8188</v>
      </c>
      <c r="D64" s="2" t="s">
        <v>8189</v>
      </c>
      <c r="E64" s="2" t="s">
        <v>8036</v>
      </c>
      <c r="F64" s="2" t="s">
        <v>21</v>
      </c>
      <c r="G64" s="2" t="s">
        <v>22</v>
      </c>
      <c r="H64" s="2" t="s">
        <v>73</v>
      </c>
      <c r="I64" s="2" t="s">
        <v>101</v>
      </c>
      <c r="J64" s="2" t="s">
        <v>8043</v>
      </c>
      <c r="K64" s="2" t="s">
        <v>8044</v>
      </c>
      <c r="L64" t="b">
        <v>1</v>
      </c>
      <c r="M64" s="2" t="s">
        <v>30</v>
      </c>
      <c r="N64" s="2" t="s">
        <v>8045</v>
      </c>
      <c r="O64" s="2" t="s">
        <v>8046</v>
      </c>
      <c r="P64" s="2" t="s">
        <v>8009</v>
      </c>
    </row>
    <row r="65" spans="1:16">
      <c r="A65" s="2" t="s">
        <v>149</v>
      </c>
      <c r="B65">
        <v>63</v>
      </c>
      <c r="C65" s="2" t="s">
        <v>8190</v>
      </c>
      <c r="D65" s="2" t="s">
        <v>8191</v>
      </c>
      <c r="E65" s="2" t="s">
        <v>8036</v>
      </c>
      <c r="F65" s="2" t="s">
        <v>21</v>
      </c>
      <c r="G65" s="2" t="s">
        <v>22</v>
      </c>
      <c r="H65" s="2" t="s">
        <v>73</v>
      </c>
      <c r="I65" s="2" t="s">
        <v>24</v>
      </c>
      <c r="J65" s="2" t="s">
        <v>8037</v>
      </c>
      <c r="K65" s="2" t="s">
        <v>8038</v>
      </c>
      <c r="L65" t="b">
        <v>1</v>
      </c>
      <c r="M65" s="2" t="s">
        <v>8105</v>
      </c>
      <c r="N65" s="2" t="s">
        <v>8192</v>
      </c>
      <c r="O65" s="2" t="s">
        <v>8040</v>
      </c>
      <c r="P65" s="2" t="s">
        <v>8009</v>
      </c>
    </row>
    <row r="66" spans="1:16">
      <c r="A66" s="2" t="s">
        <v>150</v>
      </c>
      <c r="B66">
        <v>64</v>
      </c>
      <c r="C66" s="2" t="s">
        <v>8193</v>
      </c>
      <c r="D66" s="2" t="s">
        <v>8194</v>
      </c>
      <c r="E66" s="2" t="s">
        <v>8036</v>
      </c>
      <c r="F66" s="2" t="s">
        <v>21</v>
      </c>
      <c r="G66" s="2" t="s">
        <v>22</v>
      </c>
      <c r="H66" s="2" t="s">
        <v>73</v>
      </c>
      <c r="I66" s="2" t="s">
        <v>24</v>
      </c>
      <c r="J66" s="2" t="s">
        <v>8043</v>
      </c>
      <c r="K66" s="2" t="s">
        <v>8044</v>
      </c>
      <c r="L66" t="b">
        <v>1</v>
      </c>
      <c r="M66" s="2" t="s">
        <v>8105</v>
      </c>
      <c r="N66" s="2" t="s">
        <v>8045</v>
      </c>
      <c r="O66" s="2" t="s">
        <v>8046</v>
      </c>
      <c r="P66" s="2" t="s">
        <v>8009</v>
      </c>
    </row>
    <row r="67" spans="1:16">
      <c r="A67" s="2" t="s">
        <v>143</v>
      </c>
      <c r="B67">
        <v>65</v>
      </c>
      <c r="C67" s="2" t="s">
        <v>8195</v>
      </c>
      <c r="D67" s="2" t="s">
        <v>8196</v>
      </c>
      <c r="E67" s="2" t="s">
        <v>8036</v>
      </c>
      <c r="F67" s="2" t="s">
        <v>21</v>
      </c>
      <c r="G67" s="2" t="s">
        <v>22</v>
      </c>
      <c r="H67" s="2" t="s">
        <v>73</v>
      </c>
      <c r="I67" s="2" t="s">
        <v>24</v>
      </c>
      <c r="J67" s="2" t="s">
        <v>8037</v>
      </c>
      <c r="K67" s="2" t="s">
        <v>8038</v>
      </c>
      <c r="L67" t="b">
        <v>1</v>
      </c>
      <c r="M67" s="2" t="s">
        <v>8105</v>
      </c>
      <c r="N67" s="2" t="s">
        <v>8197</v>
      </c>
      <c r="O67" s="2" t="s">
        <v>8040</v>
      </c>
      <c r="P67" s="2" t="s">
        <v>8009</v>
      </c>
    </row>
    <row r="68" spans="1:16">
      <c r="A68" s="2" t="s">
        <v>144</v>
      </c>
      <c r="B68">
        <v>66</v>
      </c>
      <c r="C68" s="2" t="s">
        <v>8198</v>
      </c>
      <c r="D68" s="2" t="s">
        <v>8199</v>
      </c>
      <c r="E68" s="2" t="s">
        <v>8036</v>
      </c>
      <c r="F68" s="2" t="s">
        <v>21</v>
      </c>
      <c r="G68" s="2" t="s">
        <v>22</v>
      </c>
      <c r="H68" s="2" t="s">
        <v>73</v>
      </c>
      <c r="I68" s="2" t="s">
        <v>24</v>
      </c>
      <c r="J68" s="2" t="s">
        <v>8043</v>
      </c>
      <c r="K68" s="2" t="s">
        <v>8044</v>
      </c>
      <c r="L68" t="b">
        <v>1</v>
      </c>
      <c r="M68" s="2" t="s">
        <v>8105</v>
      </c>
      <c r="N68" s="2" t="s">
        <v>8045</v>
      </c>
      <c r="O68" s="2" t="s">
        <v>8046</v>
      </c>
      <c r="P68" s="2" t="s">
        <v>8009</v>
      </c>
    </row>
    <row r="69" spans="1:16">
      <c r="A69" s="2" t="s">
        <v>314</v>
      </c>
      <c r="B69">
        <v>67</v>
      </c>
      <c r="C69" s="2" t="s">
        <v>8200</v>
      </c>
      <c r="D69" s="2" t="s">
        <v>8201</v>
      </c>
      <c r="E69" s="2" t="s">
        <v>8036</v>
      </c>
      <c r="F69" s="2" t="s">
        <v>21</v>
      </c>
      <c r="G69" s="2" t="s">
        <v>22</v>
      </c>
      <c r="H69" s="2" t="s">
        <v>295</v>
      </c>
      <c r="I69" s="2" t="s">
        <v>59</v>
      </c>
      <c r="J69" s="2" t="s">
        <v>8037</v>
      </c>
      <c r="K69" s="2" t="s">
        <v>8038</v>
      </c>
      <c r="L69" t="b">
        <v>1</v>
      </c>
      <c r="M69" s="2" t="s">
        <v>30</v>
      </c>
      <c r="N69" s="2" t="s">
        <v>8202</v>
      </c>
      <c r="O69" s="2" t="s">
        <v>8040</v>
      </c>
      <c r="P69" s="2" t="s">
        <v>8203</v>
      </c>
    </row>
    <row r="70" spans="1:16">
      <c r="A70" s="2" t="s">
        <v>315</v>
      </c>
      <c r="B70">
        <v>68</v>
      </c>
      <c r="C70" s="2" t="s">
        <v>8204</v>
      </c>
      <c r="D70" s="2" t="s">
        <v>8205</v>
      </c>
      <c r="E70" s="2" t="s">
        <v>8036</v>
      </c>
      <c r="F70" s="2" t="s">
        <v>21</v>
      </c>
      <c r="G70" s="2" t="s">
        <v>22</v>
      </c>
      <c r="H70" s="2" t="s">
        <v>295</v>
      </c>
      <c r="I70" s="2" t="s">
        <v>59</v>
      </c>
      <c r="J70" s="2" t="s">
        <v>8043</v>
      </c>
      <c r="K70" s="2" t="s">
        <v>8044</v>
      </c>
      <c r="L70" t="b">
        <v>1</v>
      </c>
      <c r="M70" s="2" t="s">
        <v>30</v>
      </c>
      <c r="N70" s="2" t="s">
        <v>8045</v>
      </c>
      <c r="O70" s="2" t="s">
        <v>8046</v>
      </c>
      <c r="P70" s="2" t="s">
        <v>8203</v>
      </c>
    </row>
    <row r="71" spans="1:16">
      <c r="A71" s="2" t="s">
        <v>320</v>
      </c>
      <c r="B71">
        <v>69</v>
      </c>
      <c r="C71" s="2" t="s">
        <v>8206</v>
      </c>
      <c r="D71" s="2" t="s">
        <v>8207</v>
      </c>
      <c r="E71" s="2" t="s">
        <v>8036</v>
      </c>
      <c r="F71" s="2" t="s">
        <v>21</v>
      </c>
      <c r="G71" s="2" t="s">
        <v>22</v>
      </c>
      <c r="H71" s="2" t="s">
        <v>295</v>
      </c>
      <c r="I71" s="2" t="s">
        <v>24</v>
      </c>
      <c r="J71" s="2" t="s">
        <v>8037</v>
      </c>
      <c r="K71" s="2" t="s">
        <v>8038</v>
      </c>
      <c r="L71" t="b">
        <v>1</v>
      </c>
      <c r="M71" s="2" t="s">
        <v>30</v>
      </c>
      <c r="N71" s="2" t="s">
        <v>8208</v>
      </c>
      <c r="O71" s="2" t="s">
        <v>8040</v>
      </c>
      <c r="P71" s="2" t="s">
        <v>8009</v>
      </c>
    </row>
    <row r="72" spans="1:16">
      <c r="A72" s="2" t="s">
        <v>321</v>
      </c>
      <c r="B72">
        <v>70</v>
      </c>
      <c r="C72" s="2" t="s">
        <v>8209</v>
      </c>
      <c r="D72" s="2" t="s">
        <v>8210</v>
      </c>
      <c r="E72" s="2" t="s">
        <v>8036</v>
      </c>
      <c r="F72" s="2" t="s">
        <v>21</v>
      </c>
      <c r="G72" s="2" t="s">
        <v>22</v>
      </c>
      <c r="H72" s="2" t="s">
        <v>295</v>
      </c>
      <c r="I72" s="2" t="s">
        <v>24</v>
      </c>
      <c r="J72" s="2" t="s">
        <v>8043</v>
      </c>
      <c r="K72" s="2" t="s">
        <v>8044</v>
      </c>
      <c r="L72" t="b">
        <v>1</v>
      </c>
      <c r="M72" s="2" t="s">
        <v>30</v>
      </c>
      <c r="N72" s="2" t="s">
        <v>8045</v>
      </c>
      <c r="O72" s="2" t="s">
        <v>8046</v>
      </c>
      <c r="P72" s="2" t="s">
        <v>8009</v>
      </c>
    </row>
    <row r="73" spans="1:16">
      <c r="A73" s="2" t="s">
        <v>308</v>
      </c>
      <c r="B73">
        <v>71</v>
      </c>
      <c r="C73" s="2" t="s">
        <v>8211</v>
      </c>
      <c r="D73" s="2" t="s">
        <v>8212</v>
      </c>
      <c r="E73" s="2" t="s">
        <v>8036</v>
      </c>
      <c r="F73" s="2" t="s">
        <v>21</v>
      </c>
      <c r="G73" s="2" t="s">
        <v>22</v>
      </c>
      <c r="H73" s="2" t="s">
        <v>295</v>
      </c>
      <c r="I73" s="2" t="s">
        <v>101</v>
      </c>
      <c r="J73" s="2" t="s">
        <v>8037</v>
      </c>
      <c r="K73" s="2" t="s">
        <v>8038</v>
      </c>
      <c r="L73" t="b">
        <v>1</v>
      </c>
      <c r="M73" s="2" t="s">
        <v>30</v>
      </c>
      <c r="N73" s="2" t="s">
        <v>8213</v>
      </c>
      <c r="O73" s="2" t="s">
        <v>8040</v>
      </c>
      <c r="P73" s="2" t="s">
        <v>8009</v>
      </c>
    </row>
    <row r="74" spans="1:16">
      <c r="A74" s="2" t="s">
        <v>309</v>
      </c>
      <c r="B74">
        <v>72</v>
      </c>
      <c r="C74" s="2" t="s">
        <v>8214</v>
      </c>
      <c r="D74" s="2" t="s">
        <v>8215</v>
      </c>
      <c r="E74" s="2" t="s">
        <v>8036</v>
      </c>
      <c r="F74" s="2" t="s">
        <v>21</v>
      </c>
      <c r="G74" s="2" t="s">
        <v>22</v>
      </c>
      <c r="H74" s="2" t="s">
        <v>295</v>
      </c>
      <c r="I74" s="2" t="s">
        <v>101</v>
      </c>
      <c r="J74" s="2" t="s">
        <v>8043</v>
      </c>
      <c r="K74" s="2" t="s">
        <v>8044</v>
      </c>
      <c r="L74" t="b">
        <v>1</v>
      </c>
      <c r="M74" s="2" t="s">
        <v>30</v>
      </c>
      <c r="N74" s="2" t="s">
        <v>8045</v>
      </c>
      <c r="O74" s="2" t="s">
        <v>8046</v>
      </c>
      <c r="P74" s="2" t="s">
        <v>8009</v>
      </c>
    </row>
    <row r="75" spans="1:16">
      <c r="A75" s="2" t="s">
        <v>302</v>
      </c>
      <c r="B75">
        <v>73</v>
      </c>
      <c r="C75" s="2" t="s">
        <v>8216</v>
      </c>
      <c r="D75" s="2" t="s">
        <v>8217</v>
      </c>
      <c r="E75" s="2" t="s">
        <v>8036</v>
      </c>
      <c r="F75" s="2" t="s">
        <v>21</v>
      </c>
      <c r="G75" s="2" t="s">
        <v>22</v>
      </c>
      <c r="H75" s="2" t="s">
        <v>295</v>
      </c>
      <c r="I75" s="2" t="s">
        <v>24</v>
      </c>
      <c r="J75" s="2" t="s">
        <v>8037</v>
      </c>
      <c r="K75" s="2" t="s">
        <v>8038</v>
      </c>
      <c r="L75" t="b">
        <v>1</v>
      </c>
      <c r="M75" s="2" t="s">
        <v>8105</v>
      </c>
      <c r="N75" s="2" t="s">
        <v>8218</v>
      </c>
      <c r="O75" s="2" t="s">
        <v>8040</v>
      </c>
      <c r="P75" s="2" t="s">
        <v>8009</v>
      </c>
    </row>
    <row r="76" spans="1:16">
      <c r="A76" s="2" t="s">
        <v>303</v>
      </c>
      <c r="B76">
        <v>74</v>
      </c>
      <c r="C76" s="2" t="s">
        <v>8219</v>
      </c>
      <c r="D76" s="2" t="s">
        <v>8220</v>
      </c>
      <c r="E76" s="2" t="s">
        <v>8036</v>
      </c>
      <c r="F76" s="2" t="s">
        <v>21</v>
      </c>
      <c r="G76" s="2" t="s">
        <v>22</v>
      </c>
      <c r="H76" s="2" t="s">
        <v>295</v>
      </c>
      <c r="I76" s="2" t="s">
        <v>24</v>
      </c>
      <c r="J76" s="2" t="s">
        <v>8043</v>
      </c>
      <c r="K76" s="2" t="s">
        <v>8044</v>
      </c>
      <c r="L76" t="b">
        <v>1</v>
      </c>
      <c r="M76" s="2" t="s">
        <v>8105</v>
      </c>
      <c r="N76" s="2" t="s">
        <v>8045</v>
      </c>
      <c r="O76" s="2" t="s">
        <v>8046</v>
      </c>
      <c r="P76" s="2" t="s">
        <v>8009</v>
      </c>
    </row>
    <row r="77" spans="1:16">
      <c r="A77" s="2" t="s">
        <v>296</v>
      </c>
      <c r="B77">
        <v>75</v>
      </c>
      <c r="C77" s="2" t="s">
        <v>8221</v>
      </c>
      <c r="D77" s="2" t="s">
        <v>8222</v>
      </c>
      <c r="E77" s="2" t="s">
        <v>8036</v>
      </c>
      <c r="F77" s="2" t="s">
        <v>21</v>
      </c>
      <c r="G77" s="2" t="s">
        <v>22</v>
      </c>
      <c r="H77" s="2" t="s">
        <v>295</v>
      </c>
      <c r="I77" s="2" t="s">
        <v>24</v>
      </c>
      <c r="J77" s="2" t="s">
        <v>8037</v>
      </c>
      <c r="K77" s="2" t="s">
        <v>8038</v>
      </c>
      <c r="L77" t="b">
        <v>1</v>
      </c>
      <c r="M77" s="2" t="s">
        <v>8105</v>
      </c>
      <c r="N77" s="2" t="s">
        <v>8223</v>
      </c>
      <c r="O77" s="2" t="s">
        <v>8040</v>
      </c>
      <c r="P77" s="2" t="s">
        <v>8009</v>
      </c>
    </row>
    <row r="78" spans="1:16">
      <c r="A78" s="2" t="s">
        <v>297</v>
      </c>
      <c r="B78">
        <v>76</v>
      </c>
      <c r="C78" s="2" t="s">
        <v>8224</v>
      </c>
      <c r="D78" s="2" t="s">
        <v>8225</v>
      </c>
      <c r="E78" s="2" t="s">
        <v>8036</v>
      </c>
      <c r="F78" s="2" t="s">
        <v>21</v>
      </c>
      <c r="G78" s="2" t="s">
        <v>22</v>
      </c>
      <c r="H78" s="2" t="s">
        <v>295</v>
      </c>
      <c r="I78" s="2" t="s">
        <v>24</v>
      </c>
      <c r="J78" s="2" t="s">
        <v>8043</v>
      </c>
      <c r="K78" s="2" t="s">
        <v>8044</v>
      </c>
      <c r="L78" t="b">
        <v>1</v>
      </c>
      <c r="M78" s="2" t="s">
        <v>8105</v>
      </c>
      <c r="N78" s="2" t="s">
        <v>8045</v>
      </c>
      <c r="O78" s="2" t="s">
        <v>8046</v>
      </c>
      <c r="P78" s="2" t="s">
        <v>8009</v>
      </c>
    </row>
    <row r="79" spans="1:16">
      <c r="A79" s="2" t="s">
        <v>271</v>
      </c>
      <c r="B79">
        <v>77</v>
      </c>
      <c r="C79" s="2" t="s">
        <v>8226</v>
      </c>
      <c r="D79" s="2" t="s">
        <v>8227</v>
      </c>
      <c r="E79" s="2" t="s">
        <v>8036</v>
      </c>
      <c r="F79" s="2" t="s">
        <v>21</v>
      </c>
      <c r="G79" s="2" t="s">
        <v>22</v>
      </c>
      <c r="H79" s="2" t="s">
        <v>258</v>
      </c>
      <c r="I79" s="2" t="s">
        <v>59</v>
      </c>
      <c r="J79" s="2" t="s">
        <v>8037</v>
      </c>
      <c r="K79" s="2" t="s">
        <v>8038</v>
      </c>
      <c r="L79" t="b">
        <v>1</v>
      </c>
      <c r="M79" s="2" t="s">
        <v>30</v>
      </c>
      <c r="N79" s="2" t="s">
        <v>8228</v>
      </c>
      <c r="O79" s="2" t="s">
        <v>8040</v>
      </c>
      <c r="P79" s="2" t="s">
        <v>8009</v>
      </c>
    </row>
    <row r="80" spans="1:16">
      <c r="A80" s="2" t="s">
        <v>272</v>
      </c>
      <c r="B80">
        <v>78</v>
      </c>
      <c r="C80" s="2" t="s">
        <v>8229</v>
      </c>
      <c r="D80" s="2" t="s">
        <v>8230</v>
      </c>
      <c r="E80" s="2" t="s">
        <v>8036</v>
      </c>
      <c r="F80" s="2" t="s">
        <v>21</v>
      </c>
      <c r="G80" s="2" t="s">
        <v>22</v>
      </c>
      <c r="H80" s="2" t="s">
        <v>258</v>
      </c>
      <c r="I80" s="2" t="s">
        <v>59</v>
      </c>
      <c r="J80" s="2" t="s">
        <v>8043</v>
      </c>
      <c r="K80" s="2" t="s">
        <v>8044</v>
      </c>
      <c r="L80" t="b">
        <v>1</v>
      </c>
      <c r="M80" s="2" t="s">
        <v>30</v>
      </c>
      <c r="N80" s="2" t="s">
        <v>8045</v>
      </c>
      <c r="O80" s="2" t="s">
        <v>8046</v>
      </c>
      <c r="P80" s="2" t="s">
        <v>8009</v>
      </c>
    </row>
    <row r="81" spans="1:16">
      <c r="A81" s="2" t="s">
        <v>259</v>
      </c>
      <c r="B81">
        <v>79</v>
      </c>
      <c r="C81" s="2" t="s">
        <v>8231</v>
      </c>
      <c r="D81" s="2" t="s">
        <v>8232</v>
      </c>
      <c r="E81" s="2" t="s">
        <v>8036</v>
      </c>
      <c r="F81" s="2" t="s">
        <v>21</v>
      </c>
      <c r="G81" s="2" t="s">
        <v>22</v>
      </c>
      <c r="H81" s="2" t="s">
        <v>258</v>
      </c>
      <c r="I81" s="2" t="s">
        <v>24</v>
      </c>
      <c r="J81" s="2" t="s">
        <v>8037</v>
      </c>
      <c r="K81" s="2" t="s">
        <v>8038</v>
      </c>
      <c r="L81" t="b">
        <v>1</v>
      </c>
      <c r="M81" s="2" t="s">
        <v>30</v>
      </c>
      <c r="N81" s="2" t="s">
        <v>8233</v>
      </c>
      <c r="O81" s="2" t="s">
        <v>8040</v>
      </c>
      <c r="P81" s="2" t="s">
        <v>8009</v>
      </c>
    </row>
    <row r="82" spans="1:16">
      <c r="A82" s="2" t="s">
        <v>260</v>
      </c>
      <c r="B82">
        <v>80</v>
      </c>
      <c r="C82" s="2" t="s">
        <v>8234</v>
      </c>
      <c r="D82" s="2" t="s">
        <v>8235</v>
      </c>
      <c r="E82" s="2" t="s">
        <v>8036</v>
      </c>
      <c r="F82" s="2" t="s">
        <v>21</v>
      </c>
      <c r="G82" s="2" t="s">
        <v>22</v>
      </c>
      <c r="H82" s="2" t="s">
        <v>258</v>
      </c>
      <c r="I82" s="2" t="s">
        <v>24</v>
      </c>
      <c r="J82" s="2" t="s">
        <v>8043</v>
      </c>
      <c r="K82" s="2" t="s">
        <v>8044</v>
      </c>
      <c r="L82" t="b">
        <v>1</v>
      </c>
      <c r="M82" s="2" t="s">
        <v>30</v>
      </c>
      <c r="N82" s="2" t="s">
        <v>8045</v>
      </c>
      <c r="O82" s="2" t="s">
        <v>8046</v>
      </c>
      <c r="P82" s="2" t="s">
        <v>8009</v>
      </c>
    </row>
    <row r="83" spans="1:16">
      <c r="A83" s="2" t="s">
        <v>265</v>
      </c>
      <c r="B83">
        <v>81</v>
      </c>
      <c r="C83" s="2" t="s">
        <v>8236</v>
      </c>
      <c r="D83" s="2" t="s">
        <v>8237</v>
      </c>
      <c r="E83" s="2" t="s">
        <v>8036</v>
      </c>
      <c r="F83" s="2" t="s">
        <v>21</v>
      </c>
      <c r="G83" s="2" t="s">
        <v>22</v>
      </c>
      <c r="H83" s="2" t="s">
        <v>258</v>
      </c>
      <c r="I83" s="2" t="s">
        <v>24</v>
      </c>
      <c r="J83" s="2" t="s">
        <v>8037</v>
      </c>
      <c r="K83" s="2" t="s">
        <v>8038</v>
      </c>
      <c r="L83" t="b">
        <v>1</v>
      </c>
      <c r="M83" s="2" t="s">
        <v>30</v>
      </c>
      <c r="N83" s="2" t="s">
        <v>8238</v>
      </c>
      <c r="O83" s="2" t="s">
        <v>8040</v>
      </c>
      <c r="P83" s="2" t="s">
        <v>8009</v>
      </c>
    </row>
    <row r="84" spans="1:16">
      <c r="A84" s="2" t="s">
        <v>266</v>
      </c>
      <c r="B84">
        <v>82</v>
      </c>
      <c r="C84" s="2" t="s">
        <v>8239</v>
      </c>
      <c r="D84" s="2" t="s">
        <v>8240</v>
      </c>
      <c r="E84" s="2" t="s">
        <v>8036</v>
      </c>
      <c r="F84" s="2" t="s">
        <v>21</v>
      </c>
      <c r="G84" s="2" t="s">
        <v>22</v>
      </c>
      <c r="H84" s="2" t="s">
        <v>258</v>
      </c>
      <c r="I84" s="2" t="s">
        <v>24</v>
      </c>
      <c r="J84" s="2" t="s">
        <v>8043</v>
      </c>
      <c r="K84" s="2" t="s">
        <v>8044</v>
      </c>
      <c r="L84" t="b">
        <v>1</v>
      </c>
      <c r="M84" s="2" t="s">
        <v>30</v>
      </c>
      <c r="N84" s="2" t="s">
        <v>8045</v>
      </c>
      <c r="O84" s="2" t="s">
        <v>8046</v>
      </c>
      <c r="P84" s="2" t="s">
        <v>8009</v>
      </c>
    </row>
    <row r="85" spans="1:16">
      <c r="A85" s="2" t="s">
        <v>366</v>
      </c>
      <c r="B85">
        <v>83</v>
      </c>
      <c r="C85" s="2" t="s">
        <v>8241</v>
      </c>
      <c r="D85" s="2" t="s">
        <v>8242</v>
      </c>
      <c r="E85" s="2" t="s">
        <v>8036</v>
      </c>
      <c r="F85" s="2" t="s">
        <v>21</v>
      </c>
      <c r="G85" s="2" t="s">
        <v>22</v>
      </c>
      <c r="H85" s="2" t="s">
        <v>352</v>
      </c>
      <c r="I85" s="2" t="s">
        <v>353</v>
      </c>
      <c r="J85" s="2" t="s">
        <v>8037</v>
      </c>
      <c r="K85" s="2" t="s">
        <v>8038</v>
      </c>
      <c r="L85" t="b">
        <v>1</v>
      </c>
      <c r="M85" s="2" t="s">
        <v>30</v>
      </c>
      <c r="N85" s="2" t="s">
        <v>8243</v>
      </c>
      <c r="O85" s="2" t="s">
        <v>8040</v>
      </c>
      <c r="P85" s="2" t="s">
        <v>8009</v>
      </c>
    </row>
    <row r="86" spans="1:16">
      <c r="A86" s="2" t="s">
        <v>367</v>
      </c>
      <c r="B86">
        <v>84</v>
      </c>
      <c r="C86" s="2" t="s">
        <v>8244</v>
      </c>
      <c r="D86" s="2" t="s">
        <v>8245</v>
      </c>
      <c r="E86" s="2" t="s">
        <v>8036</v>
      </c>
      <c r="F86" s="2" t="s">
        <v>21</v>
      </c>
      <c r="G86" s="2" t="s">
        <v>22</v>
      </c>
      <c r="H86" s="2" t="s">
        <v>352</v>
      </c>
      <c r="I86" s="2" t="s">
        <v>353</v>
      </c>
      <c r="J86" s="2" t="s">
        <v>8043</v>
      </c>
      <c r="K86" s="2" t="s">
        <v>8044</v>
      </c>
      <c r="L86" t="b">
        <v>1</v>
      </c>
      <c r="M86" s="2" t="s">
        <v>30</v>
      </c>
      <c r="N86" s="2" t="s">
        <v>8045</v>
      </c>
      <c r="O86" s="2" t="s">
        <v>8046</v>
      </c>
      <c r="P86" s="2" t="s">
        <v>8009</v>
      </c>
    </row>
    <row r="87" spans="1:16">
      <c r="A87" s="2" t="s">
        <v>360</v>
      </c>
      <c r="B87">
        <v>85</v>
      </c>
      <c r="C87" s="2" t="s">
        <v>8246</v>
      </c>
      <c r="D87" s="2" t="s">
        <v>8247</v>
      </c>
      <c r="E87" s="2" t="s">
        <v>8036</v>
      </c>
      <c r="F87" s="2" t="s">
        <v>21</v>
      </c>
      <c r="G87" s="2" t="s">
        <v>22</v>
      </c>
      <c r="H87" s="2" t="s">
        <v>352</v>
      </c>
      <c r="I87" s="2" t="s">
        <v>353</v>
      </c>
      <c r="J87" s="2" t="s">
        <v>8037</v>
      </c>
      <c r="K87" s="2" t="s">
        <v>8038</v>
      </c>
      <c r="L87" t="b">
        <v>1</v>
      </c>
      <c r="M87" s="2" t="s">
        <v>30</v>
      </c>
      <c r="N87" s="2" t="s">
        <v>8248</v>
      </c>
      <c r="O87" s="2" t="s">
        <v>8040</v>
      </c>
      <c r="P87" s="2" t="s">
        <v>8009</v>
      </c>
    </row>
    <row r="88" spans="1:16">
      <c r="A88" s="2" t="s">
        <v>361</v>
      </c>
      <c r="B88">
        <v>86</v>
      </c>
      <c r="C88" s="2" t="s">
        <v>8249</v>
      </c>
      <c r="D88" s="2" t="s">
        <v>8250</v>
      </c>
      <c r="E88" s="2" t="s">
        <v>8036</v>
      </c>
      <c r="F88" s="2" t="s">
        <v>21</v>
      </c>
      <c r="G88" s="2" t="s">
        <v>22</v>
      </c>
      <c r="H88" s="2" t="s">
        <v>352</v>
      </c>
      <c r="I88" s="2" t="s">
        <v>353</v>
      </c>
      <c r="J88" s="2" t="s">
        <v>8043</v>
      </c>
      <c r="K88" s="2" t="s">
        <v>8044</v>
      </c>
      <c r="L88" t="b">
        <v>1</v>
      </c>
      <c r="M88" s="2" t="s">
        <v>30</v>
      </c>
      <c r="N88" s="2" t="s">
        <v>8045</v>
      </c>
      <c r="O88" s="2" t="s">
        <v>8046</v>
      </c>
      <c r="P88" s="2" t="s">
        <v>8009</v>
      </c>
    </row>
    <row r="89" spans="1:16">
      <c r="A89" s="2" t="s">
        <v>354</v>
      </c>
      <c r="B89">
        <v>87</v>
      </c>
      <c r="C89" s="2" t="s">
        <v>8251</v>
      </c>
      <c r="D89" s="2" t="s">
        <v>8252</v>
      </c>
      <c r="E89" s="2" t="s">
        <v>8036</v>
      </c>
      <c r="F89" s="2" t="s">
        <v>21</v>
      </c>
      <c r="G89" s="2" t="s">
        <v>22</v>
      </c>
      <c r="H89" s="2" t="s">
        <v>352</v>
      </c>
      <c r="I89" s="2" t="s">
        <v>353</v>
      </c>
      <c r="J89" s="2" t="s">
        <v>8037</v>
      </c>
      <c r="K89" s="2" t="s">
        <v>8038</v>
      </c>
      <c r="L89" t="b">
        <v>1</v>
      </c>
      <c r="M89" s="2" t="s">
        <v>30</v>
      </c>
      <c r="N89" s="2" t="s">
        <v>8253</v>
      </c>
      <c r="O89" s="2" t="s">
        <v>8040</v>
      </c>
      <c r="P89" s="2" t="s">
        <v>8009</v>
      </c>
    </row>
    <row r="90" spans="1:16">
      <c r="A90" s="2" t="s">
        <v>355</v>
      </c>
      <c r="B90">
        <v>88</v>
      </c>
      <c r="C90" s="2" t="s">
        <v>8254</v>
      </c>
      <c r="D90" s="2" t="s">
        <v>8255</v>
      </c>
      <c r="E90" s="2" t="s">
        <v>8036</v>
      </c>
      <c r="F90" s="2" t="s">
        <v>21</v>
      </c>
      <c r="G90" s="2" t="s">
        <v>22</v>
      </c>
      <c r="H90" s="2" t="s">
        <v>352</v>
      </c>
      <c r="I90" s="2" t="s">
        <v>353</v>
      </c>
      <c r="J90" s="2" t="s">
        <v>8043</v>
      </c>
      <c r="K90" s="2" t="s">
        <v>8044</v>
      </c>
      <c r="L90" t="b">
        <v>1</v>
      </c>
      <c r="M90" s="2" t="s">
        <v>30</v>
      </c>
      <c r="N90" s="2" t="s">
        <v>8045</v>
      </c>
      <c r="O90" s="2" t="s">
        <v>8046</v>
      </c>
      <c r="P90" s="2" t="s">
        <v>8009</v>
      </c>
    </row>
    <row r="91" spans="1:16">
      <c r="A91" s="2" t="s">
        <v>228</v>
      </c>
      <c r="B91">
        <v>89</v>
      </c>
      <c r="C91" s="2" t="s">
        <v>8256</v>
      </c>
      <c r="D91" s="2" t="s">
        <v>8257</v>
      </c>
      <c r="E91" s="2" t="s">
        <v>8036</v>
      </c>
      <c r="F91" s="2" t="s">
        <v>185</v>
      </c>
      <c r="G91" s="2" t="s">
        <v>22</v>
      </c>
      <c r="H91" s="2" t="s">
        <v>215</v>
      </c>
      <c r="I91" s="2" t="s">
        <v>59</v>
      </c>
      <c r="J91" s="2" t="s">
        <v>8037</v>
      </c>
      <c r="K91" s="2" t="s">
        <v>8038</v>
      </c>
      <c r="L91" t="b">
        <v>1</v>
      </c>
      <c r="M91" s="2" t="s">
        <v>30</v>
      </c>
      <c r="N91" s="2" t="s">
        <v>8258</v>
      </c>
      <c r="O91" s="2" t="s">
        <v>8040</v>
      </c>
      <c r="P91" s="2" t="s">
        <v>8009</v>
      </c>
    </row>
    <row r="92" spans="1:16">
      <c r="A92" s="2" t="s">
        <v>229</v>
      </c>
      <c r="B92">
        <v>90</v>
      </c>
      <c r="C92" s="2" t="s">
        <v>8259</v>
      </c>
      <c r="D92" s="2" t="s">
        <v>8260</v>
      </c>
      <c r="E92" s="2" t="s">
        <v>8036</v>
      </c>
      <c r="F92" s="2" t="s">
        <v>185</v>
      </c>
      <c r="G92" s="2" t="s">
        <v>22</v>
      </c>
      <c r="H92" s="2" t="s">
        <v>215</v>
      </c>
      <c r="I92" s="2" t="s">
        <v>59</v>
      </c>
      <c r="J92" s="2" t="s">
        <v>8043</v>
      </c>
      <c r="K92" s="2" t="s">
        <v>8044</v>
      </c>
      <c r="L92" t="b">
        <v>1</v>
      </c>
      <c r="M92" s="2" t="s">
        <v>30</v>
      </c>
      <c r="N92" s="2" t="s">
        <v>8045</v>
      </c>
      <c r="O92" s="2" t="s">
        <v>8046</v>
      </c>
      <c r="P92" s="2" t="s">
        <v>8009</v>
      </c>
    </row>
    <row r="93" spans="1:16">
      <c r="A93" s="2" t="s">
        <v>222</v>
      </c>
      <c r="B93">
        <v>91</v>
      </c>
      <c r="C93" s="2" t="s">
        <v>8261</v>
      </c>
      <c r="D93" s="2" t="s">
        <v>8262</v>
      </c>
      <c r="E93" s="2" t="s">
        <v>8036</v>
      </c>
      <c r="F93" s="2" t="s">
        <v>185</v>
      </c>
      <c r="G93" s="2" t="s">
        <v>22</v>
      </c>
      <c r="H93" s="2" t="s">
        <v>215</v>
      </c>
      <c r="I93" s="2" t="s">
        <v>24</v>
      </c>
      <c r="J93" s="2" t="s">
        <v>8037</v>
      </c>
      <c r="K93" s="2" t="s">
        <v>8038</v>
      </c>
      <c r="L93" t="b">
        <v>1</v>
      </c>
      <c r="M93" s="2" t="s">
        <v>8105</v>
      </c>
      <c r="N93" s="2" t="s">
        <v>8263</v>
      </c>
      <c r="O93" s="2" t="s">
        <v>8040</v>
      </c>
      <c r="P93" s="2" t="s">
        <v>8009</v>
      </c>
    </row>
    <row r="94" spans="1:16">
      <c r="A94" s="2" t="s">
        <v>223</v>
      </c>
      <c r="B94">
        <v>92</v>
      </c>
      <c r="C94" s="2" t="s">
        <v>8264</v>
      </c>
      <c r="D94" s="2" t="s">
        <v>8265</v>
      </c>
      <c r="E94" s="2" t="s">
        <v>8036</v>
      </c>
      <c r="F94" s="2" t="s">
        <v>185</v>
      </c>
      <c r="G94" s="2" t="s">
        <v>22</v>
      </c>
      <c r="H94" s="2" t="s">
        <v>215</v>
      </c>
      <c r="I94" s="2" t="s">
        <v>24</v>
      </c>
      <c r="J94" s="2" t="s">
        <v>8043</v>
      </c>
      <c r="K94" s="2" t="s">
        <v>8044</v>
      </c>
      <c r="L94" t="b">
        <v>1</v>
      </c>
      <c r="M94" s="2" t="s">
        <v>8105</v>
      </c>
      <c r="N94" s="2" t="s">
        <v>8045</v>
      </c>
      <c r="O94" s="2" t="s">
        <v>8046</v>
      </c>
      <c r="P94" s="2" t="s">
        <v>8009</v>
      </c>
    </row>
    <row r="95" spans="1:16">
      <c r="A95" s="2" t="s">
        <v>216</v>
      </c>
      <c r="B95">
        <v>93</v>
      </c>
      <c r="C95" s="2" t="s">
        <v>8266</v>
      </c>
      <c r="D95" s="2" t="s">
        <v>8267</v>
      </c>
      <c r="E95" s="2" t="s">
        <v>8036</v>
      </c>
      <c r="F95" s="2" t="s">
        <v>185</v>
      </c>
      <c r="G95" s="2" t="s">
        <v>22</v>
      </c>
      <c r="H95" s="2" t="s">
        <v>215</v>
      </c>
      <c r="I95" s="2" t="s">
        <v>24</v>
      </c>
      <c r="J95" s="2" t="s">
        <v>8037</v>
      </c>
      <c r="K95" s="2" t="s">
        <v>8038</v>
      </c>
      <c r="L95" t="b">
        <v>1</v>
      </c>
      <c r="M95" s="2" t="s">
        <v>8105</v>
      </c>
      <c r="N95" s="2" t="s">
        <v>8268</v>
      </c>
      <c r="O95" s="2" t="s">
        <v>8040</v>
      </c>
      <c r="P95" s="2" t="s">
        <v>8009</v>
      </c>
    </row>
    <row r="96" spans="1:16">
      <c r="A96" s="2" t="s">
        <v>217</v>
      </c>
      <c r="B96">
        <v>94</v>
      </c>
      <c r="C96" s="2" t="s">
        <v>8269</v>
      </c>
      <c r="D96" s="2" t="s">
        <v>8270</v>
      </c>
      <c r="E96" s="2" t="s">
        <v>8036</v>
      </c>
      <c r="F96" s="2" t="s">
        <v>185</v>
      </c>
      <c r="G96" s="2" t="s">
        <v>22</v>
      </c>
      <c r="H96" s="2" t="s">
        <v>215</v>
      </c>
      <c r="I96" s="2" t="s">
        <v>24</v>
      </c>
      <c r="J96" s="2" t="s">
        <v>8043</v>
      </c>
      <c r="K96" s="2" t="s">
        <v>8044</v>
      </c>
      <c r="L96" t="b">
        <v>1</v>
      </c>
      <c r="M96" s="2" t="s">
        <v>8105</v>
      </c>
      <c r="N96" s="2" t="s">
        <v>8045</v>
      </c>
      <c r="O96" s="2" t="s">
        <v>8046</v>
      </c>
      <c r="P96" s="2" t="s">
        <v>8009</v>
      </c>
    </row>
    <row r="97" spans="1:16">
      <c r="A97" s="2" t="s">
        <v>199</v>
      </c>
      <c r="B97">
        <v>95</v>
      </c>
      <c r="C97" s="2" t="s">
        <v>8271</v>
      </c>
      <c r="D97" s="2" t="s">
        <v>8272</v>
      </c>
      <c r="E97" s="2" t="s">
        <v>8036</v>
      </c>
      <c r="F97" s="2" t="s">
        <v>185</v>
      </c>
      <c r="G97" s="2" t="s">
        <v>22</v>
      </c>
      <c r="H97" s="2" t="s">
        <v>186</v>
      </c>
      <c r="I97" s="2" t="s">
        <v>59</v>
      </c>
      <c r="J97" s="2" t="s">
        <v>8037</v>
      </c>
      <c r="K97" s="2" t="s">
        <v>8038</v>
      </c>
      <c r="L97" t="b">
        <v>1</v>
      </c>
      <c r="M97" s="2" t="s">
        <v>8074</v>
      </c>
      <c r="N97" s="2" t="s">
        <v>8273</v>
      </c>
      <c r="O97" s="2" t="s">
        <v>8040</v>
      </c>
      <c r="P97" s="2" t="s">
        <v>8009</v>
      </c>
    </row>
    <row r="98" spans="1:16">
      <c r="A98" s="2" t="s">
        <v>200</v>
      </c>
      <c r="B98">
        <v>96</v>
      </c>
      <c r="C98" s="2" t="s">
        <v>8274</v>
      </c>
      <c r="D98" s="2" t="s">
        <v>8275</v>
      </c>
      <c r="E98" s="2" t="s">
        <v>8036</v>
      </c>
      <c r="F98" s="2" t="s">
        <v>185</v>
      </c>
      <c r="G98" s="2" t="s">
        <v>22</v>
      </c>
      <c r="H98" s="2" t="s">
        <v>186</v>
      </c>
      <c r="I98" s="2" t="s">
        <v>59</v>
      </c>
      <c r="J98" s="2" t="s">
        <v>8043</v>
      </c>
      <c r="K98" s="2" t="s">
        <v>8044</v>
      </c>
      <c r="L98" t="b">
        <v>1</v>
      </c>
      <c r="M98" s="2" t="s">
        <v>8074</v>
      </c>
      <c r="N98" s="2" t="s">
        <v>8045</v>
      </c>
      <c r="O98" s="2" t="s">
        <v>8046</v>
      </c>
      <c r="P98" s="2" t="s">
        <v>8009</v>
      </c>
    </row>
    <row r="99" spans="1:16">
      <c r="A99" s="2" t="s">
        <v>193</v>
      </c>
      <c r="B99">
        <v>97</v>
      </c>
      <c r="C99" s="2" t="s">
        <v>8276</v>
      </c>
      <c r="D99" s="2" t="s">
        <v>8277</v>
      </c>
      <c r="E99" s="2" t="s">
        <v>8036</v>
      </c>
      <c r="F99" s="2" t="s">
        <v>185</v>
      </c>
      <c r="G99" s="2" t="s">
        <v>22</v>
      </c>
      <c r="H99" s="2" t="s">
        <v>186</v>
      </c>
      <c r="I99" s="2" t="s">
        <v>24</v>
      </c>
      <c r="J99" s="2" t="s">
        <v>8037</v>
      </c>
      <c r="K99" s="2" t="s">
        <v>8038</v>
      </c>
      <c r="L99" t="b">
        <v>1</v>
      </c>
      <c r="M99" s="2" t="s">
        <v>8074</v>
      </c>
      <c r="N99" s="2" t="s">
        <v>8278</v>
      </c>
      <c r="O99" s="2" t="s">
        <v>8040</v>
      </c>
      <c r="P99" s="2" t="s">
        <v>8009</v>
      </c>
    </row>
    <row r="100" spans="1:16">
      <c r="A100" s="2" t="s">
        <v>194</v>
      </c>
      <c r="B100">
        <v>98</v>
      </c>
      <c r="C100" s="2" t="s">
        <v>8279</v>
      </c>
      <c r="D100" s="2" t="s">
        <v>8280</v>
      </c>
      <c r="E100" s="2" t="s">
        <v>8036</v>
      </c>
      <c r="F100" s="2" t="s">
        <v>185</v>
      </c>
      <c r="G100" s="2" t="s">
        <v>22</v>
      </c>
      <c r="H100" s="2" t="s">
        <v>186</v>
      </c>
      <c r="I100" s="2" t="s">
        <v>24</v>
      </c>
      <c r="J100" s="2" t="s">
        <v>8043</v>
      </c>
      <c r="K100" s="2" t="s">
        <v>8044</v>
      </c>
      <c r="L100" t="b">
        <v>1</v>
      </c>
      <c r="M100" s="2" t="s">
        <v>8074</v>
      </c>
      <c r="N100" s="2" t="s">
        <v>8045</v>
      </c>
      <c r="O100" s="2" t="s">
        <v>8046</v>
      </c>
      <c r="P100" s="2" t="s">
        <v>8009</v>
      </c>
    </row>
    <row r="101" spans="1:16">
      <c r="A101" s="2" t="s">
        <v>187</v>
      </c>
      <c r="B101">
        <v>99</v>
      </c>
      <c r="C101" s="2" t="s">
        <v>8281</v>
      </c>
      <c r="D101" s="2" t="s">
        <v>8282</v>
      </c>
      <c r="E101" s="2" t="s">
        <v>8036</v>
      </c>
      <c r="F101" s="2" t="s">
        <v>185</v>
      </c>
      <c r="G101" s="2" t="s">
        <v>22</v>
      </c>
      <c r="H101" s="2" t="s">
        <v>186</v>
      </c>
      <c r="I101" s="2" t="s">
        <v>24</v>
      </c>
      <c r="J101" s="2" t="s">
        <v>8037</v>
      </c>
      <c r="K101" s="2" t="s">
        <v>8038</v>
      </c>
      <c r="L101" t="b">
        <v>1</v>
      </c>
      <c r="M101" s="2" t="s">
        <v>8074</v>
      </c>
      <c r="N101" s="2" t="s">
        <v>8283</v>
      </c>
      <c r="O101" s="2" t="s">
        <v>8040</v>
      </c>
      <c r="P101" s="2" t="s">
        <v>8009</v>
      </c>
    </row>
    <row r="102" spans="1:16">
      <c r="A102" s="2" t="s">
        <v>188</v>
      </c>
      <c r="B102">
        <v>100</v>
      </c>
      <c r="C102" s="2" t="s">
        <v>8284</v>
      </c>
      <c r="D102" s="2" t="s">
        <v>8285</v>
      </c>
      <c r="E102" s="2" t="s">
        <v>8036</v>
      </c>
      <c r="F102" s="2" t="s">
        <v>185</v>
      </c>
      <c r="G102" s="2" t="s">
        <v>22</v>
      </c>
      <c r="H102" s="2" t="s">
        <v>186</v>
      </c>
      <c r="I102" s="2" t="s">
        <v>24</v>
      </c>
      <c r="J102" s="2" t="s">
        <v>8043</v>
      </c>
      <c r="K102" s="2" t="s">
        <v>8044</v>
      </c>
      <c r="L102" t="b">
        <v>1</v>
      </c>
      <c r="M102" s="2" t="s">
        <v>8074</v>
      </c>
      <c r="N102" s="2" t="s">
        <v>8045</v>
      </c>
      <c r="O102" s="2" t="s">
        <v>8046</v>
      </c>
      <c r="P102" s="2" t="s">
        <v>8009</v>
      </c>
    </row>
    <row r="103" spans="1:16">
      <c r="A103" s="2" t="s">
        <v>60</v>
      </c>
      <c r="B103">
        <v>101</v>
      </c>
      <c r="C103" s="2" t="s">
        <v>8286</v>
      </c>
      <c r="D103" s="2" t="s">
        <v>8287</v>
      </c>
      <c r="E103" s="2" t="s">
        <v>8036</v>
      </c>
      <c r="F103" s="2" t="s">
        <v>39</v>
      </c>
      <c r="G103" s="2" t="s">
        <v>22</v>
      </c>
      <c r="H103" s="2" t="s">
        <v>40</v>
      </c>
      <c r="I103" s="2" t="s">
        <v>59</v>
      </c>
      <c r="J103" s="2" t="s">
        <v>8037</v>
      </c>
      <c r="K103" s="2" t="s">
        <v>8038</v>
      </c>
      <c r="L103" t="b">
        <v>1</v>
      </c>
      <c r="M103" s="2" t="s">
        <v>8105</v>
      </c>
      <c r="N103" s="2" t="s">
        <v>8288</v>
      </c>
      <c r="O103" s="2" t="s">
        <v>8040</v>
      </c>
      <c r="P103" s="2" t="s">
        <v>8009</v>
      </c>
    </row>
    <row r="104" spans="1:16">
      <c r="A104" s="2" t="s">
        <v>61</v>
      </c>
      <c r="B104">
        <v>102</v>
      </c>
      <c r="C104" s="2" t="s">
        <v>8289</v>
      </c>
      <c r="D104" s="2" t="s">
        <v>8290</v>
      </c>
      <c r="E104" s="2" t="s">
        <v>8036</v>
      </c>
      <c r="F104" s="2" t="s">
        <v>39</v>
      </c>
      <c r="G104" s="2" t="s">
        <v>22</v>
      </c>
      <c r="H104" s="2" t="s">
        <v>40</v>
      </c>
      <c r="I104" s="2" t="s">
        <v>59</v>
      </c>
      <c r="J104" s="2" t="s">
        <v>8043</v>
      </c>
      <c r="K104" s="2" t="s">
        <v>8044</v>
      </c>
      <c r="L104" t="b">
        <v>1</v>
      </c>
      <c r="M104" s="2" t="s">
        <v>8105</v>
      </c>
      <c r="N104" s="2" t="s">
        <v>8045</v>
      </c>
      <c r="O104" s="2" t="s">
        <v>8046</v>
      </c>
      <c r="P104" s="2" t="s">
        <v>8009</v>
      </c>
    </row>
    <row r="105" spans="1:16">
      <c r="A105" s="2" t="s">
        <v>41</v>
      </c>
      <c r="B105">
        <v>103</v>
      </c>
      <c r="C105" s="2" t="s">
        <v>8291</v>
      </c>
      <c r="D105" s="2" t="s">
        <v>8292</v>
      </c>
      <c r="E105" s="2" t="s">
        <v>8036</v>
      </c>
      <c r="F105" s="2" t="s">
        <v>39</v>
      </c>
      <c r="G105" s="2" t="s">
        <v>22</v>
      </c>
      <c r="H105" s="2" t="s">
        <v>40</v>
      </c>
      <c r="I105" s="2" t="s">
        <v>24</v>
      </c>
      <c r="J105" s="2" t="s">
        <v>8037</v>
      </c>
      <c r="K105" s="2" t="s">
        <v>8038</v>
      </c>
      <c r="L105" t="b">
        <v>1</v>
      </c>
      <c r="M105" s="2" t="s">
        <v>8105</v>
      </c>
      <c r="N105" s="2" t="s">
        <v>8293</v>
      </c>
      <c r="O105" s="2" t="s">
        <v>8040</v>
      </c>
      <c r="P105" s="2" t="s">
        <v>8009</v>
      </c>
    </row>
    <row r="106" spans="1:16">
      <c r="A106" s="2" t="s">
        <v>42</v>
      </c>
      <c r="B106">
        <v>104</v>
      </c>
      <c r="C106" s="2" t="s">
        <v>8294</v>
      </c>
      <c r="D106" s="2" t="s">
        <v>8295</v>
      </c>
      <c r="E106" s="2" t="s">
        <v>8036</v>
      </c>
      <c r="F106" s="2" t="s">
        <v>39</v>
      </c>
      <c r="G106" s="2" t="s">
        <v>22</v>
      </c>
      <c r="H106" s="2" t="s">
        <v>40</v>
      </c>
      <c r="I106" s="2" t="s">
        <v>24</v>
      </c>
      <c r="J106" s="2" t="s">
        <v>8043</v>
      </c>
      <c r="K106" s="2" t="s">
        <v>8044</v>
      </c>
      <c r="L106" t="b">
        <v>1</v>
      </c>
      <c r="M106" s="2" t="s">
        <v>8105</v>
      </c>
      <c r="N106" s="2" t="s">
        <v>8045</v>
      </c>
      <c r="O106" s="2" t="s">
        <v>8046</v>
      </c>
      <c r="P106" s="2" t="s">
        <v>8009</v>
      </c>
    </row>
    <row r="107" spans="1:16">
      <c r="A107" s="2" t="s">
        <v>47</v>
      </c>
      <c r="B107">
        <v>105</v>
      </c>
      <c r="C107" s="2" t="s">
        <v>8296</v>
      </c>
      <c r="D107" s="2" t="s">
        <v>8297</v>
      </c>
      <c r="E107" s="2" t="s">
        <v>8036</v>
      </c>
      <c r="F107" s="2" t="s">
        <v>39</v>
      </c>
      <c r="G107" s="2" t="s">
        <v>22</v>
      </c>
      <c r="H107" s="2" t="s">
        <v>40</v>
      </c>
      <c r="I107" s="2" t="s">
        <v>24</v>
      </c>
      <c r="J107" s="2" t="s">
        <v>8037</v>
      </c>
      <c r="K107" s="2" t="s">
        <v>8038</v>
      </c>
      <c r="L107" t="b">
        <v>1</v>
      </c>
      <c r="M107" s="2" t="s">
        <v>8105</v>
      </c>
      <c r="N107" s="2" t="s">
        <v>8298</v>
      </c>
      <c r="O107" s="2" t="s">
        <v>8040</v>
      </c>
      <c r="P107" s="2" t="s">
        <v>8009</v>
      </c>
    </row>
    <row r="108" spans="1:16">
      <c r="A108" s="2" t="s">
        <v>48</v>
      </c>
      <c r="B108">
        <v>106</v>
      </c>
      <c r="C108" s="2" t="s">
        <v>8299</v>
      </c>
      <c r="D108" s="2" t="s">
        <v>8300</v>
      </c>
      <c r="E108" s="2" t="s">
        <v>8036</v>
      </c>
      <c r="F108" s="2" t="s">
        <v>39</v>
      </c>
      <c r="G108" s="2" t="s">
        <v>22</v>
      </c>
      <c r="H108" s="2" t="s">
        <v>40</v>
      </c>
      <c r="I108" s="2" t="s">
        <v>24</v>
      </c>
      <c r="J108" s="2" t="s">
        <v>8043</v>
      </c>
      <c r="K108" s="2" t="s">
        <v>8044</v>
      </c>
      <c r="L108" t="b">
        <v>1</v>
      </c>
      <c r="M108" s="2" t="s">
        <v>8105</v>
      </c>
      <c r="N108" s="2" t="s">
        <v>8045</v>
      </c>
      <c r="O108" s="2" t="s">
        <v>8046</v>
      </c>
      <c r="P108" s="2" t="s">
        <v>8009</v>
      </c>
    </row>
    <row r="109" spans="1:16">
      <c r="A109" s="2" t="s">
        <v>53</v>
      </c>
      <c r="B109">
        <v>107</v>
      </c>
      <c r="C109" s="2" t="s">
        <v>8301</v>
      </c>
      <c r="D109" s="2" t="s">
        <v>8302</v>
      </c>
      <c r="E109" s="2" t="s">
        <v>8036</v>
      </c>
      <c r="F109" s="2" t="s">
        <v>39</v>
      </c>
      <c r="G109" s="2" t="s">
        <v>22</v>
      </c>
      <c r="H109" s="2" t="s">
        <v>40</v>
      </c>
      <c r="I109" s="2" t="s">
        <v>24</v>
      </c>
      <c r="J109" s="2" t="s">
        <v>8037</v>
      </c>
      <c r="K109" s="2" t="s">
        <v>8038</v>
      </c>
      <c r="L109" t="b">
        <v>1</v>
      </c>
      <c r="M109" s="2" t="s">
        <v>8105</v>
      </c>
      <c r="N109" s="2" t="s">
        <v>8303</v>
      </c>
      <c r="O109" s="2" t="s">
        <v>8040</v>
      </c>
      <c r="P109" s="2" t="s">
        <v>8009</v>
      </c>
    </row>
    <row r="110" spans="1:16">
      <c r="A110" s="2" t="s">
        <v>54</v>
      </c>
      <c r="B110">
        <v>108</v>
      </c>
      <c r="C110" s="2" t="s">
        <v>8304</v>
      </c>
      <c r="D110" s="2" t="s">
        <v>8305</v>
      </c>
      <c r="E110" s="2" t="s">
        <v>8036</v>
      </c>
      <c r="F110" s="2" t="s">
        <v>39</v>
      </c>
      <c r="G110" s="2" t="s">
        <v>22</v>
      </c>
      <c r="H110" s="2" t="s">
        <v>40</v>
      </c>
      <c r="I110" s="2" t="s">
        <v>24</v>
      </c>
      <c r="J110" s="2" t="s">
        <v>8043</v>
      </c>
      <c r="K110" s="2" t="s">
        <v>8044</v>
      </c>
      <c r="L110" t="b">
        <v>1</v>
      </c>
      <c r="M110" s="2" t="s">
        <v>8105</v>
      </c>
      <c r="N110" s="2" t="s">
        <v>8045</v>
      </c>
      <c r="O110" s="2" t="s">
        <v>8046</v>
      </c>
      <c r="P110" s="2" t="s">
        <v>8009</v>
      </c>
    </row>
    <row r="111" spans="1:16">
      <c r="A111" s="2" t="s">
        <v>289</v>
      </c>
      <c r="B111">
        <v>109</v>
      </c>
      <c r="C111" s="2" t="s">
        <v>8306</v>
      </c>
      <c r="D111" s="2" t="s">
        <v>8307</v>
      </c>
      <c r="E111" s="2" t="s">
        <v>8036</v>
      </c>
      <c r="F111" s="2" t="s">
        <v>39</v>
      </c>
      <c r="G111" s="2" t="s">
        <v>22</v>
      </c>
      <c r="H111" s="2" t="s">
        <v>40</v>
      </c>
      <c r="I111" s="2" t="s">
        <v>59</v>
      </c>
      <c r="J111" s="2" t="s">
        <v>8037</v>
      </c>
      <c r="K111" s="2" t="s">
        <v>8038</v>
      </c>
      <c r="L111" t="b">
        <v>1</v>
      </c>
      <c r="M111" s="2" t="s">
        <v>8105</v>
      </c>
      <c r="N111" s="2" t="s">
        <v>8308</v>
      </c>
      <c r="O111" s="2" t="s">
        <v>8040</v>
      </c>
      <c r="P111" s="2" t="s">
        <v>8009</v>
      </c>
    </row>
    <row r="112" spans="1:16">
      <c r="A112" s="2" t="s">
        <v>290</v>
      </c>
      <c r="B112">
        <v>110</v>
      </c>
      <c r="C112" s="2" t="s">
        <v>8309</v>
      </c>
      <c r="D112" s="2" t="s">
        <v>8310</v>
      </c>
      <c r="E112" s="2" t="s">
        <v>8036</v>
      </c>
      <c r="F112" s="2" t="s">
        <v>39</v>
      </c>
      <c r="G112" s="2" t="s">
        <v>22</v>
      </c>
      <c r="H112" s="2" t="s">
        <v>40</v>
      </c>
      <c r="I112" s="2" t="s">
        <v>59</v>
      </c>
      <c r="J112" s="2" t="s">
        <v>8043</v>
      </c>
      <c r="K112" s="2" t="s">
        <v>8044</v>
      </c>
      <c r="L112" t="b">
        <v>1</v>
      </c>
      <c r="M112" s="2" t="s">
        <v>8105</v>
      </c>
      <c r="N112" s="2" t="s">
        <v>8045</v>
      </c>
      <c r="O112" s="2" t="s">
        <v>8046</v>
      </c>
      <c r="P112" s="2" t="s">
        <v>8009</v>
      </c>
    </row>
    <row r="113" spans="1:16">
      <c r="A113" s="2" t="s">
        <v>277</v>
      </c>
      <c r="B113">
        <v>111</v>
      </c>
      <c r="C113" s="2" t="s">
        <v>8311</v>
      </c>
      <c r="D113" s="2" t="s">
        <v>8312</v>
      </c>
      <c r="E113" s="2" t="s">
        <v>8036</v>
      </c>
      <c r="F113" s="2" t="s">
        <v>39</v>
      </c>
      <c r="G113" s="2" t="s">
        <v>22</v>
      </c>
      <c r="H113" s="2" t="s">
        <v>40</v>
      </c>
      <c r="I113" s="2" t="s">
        <v>24</v>
      </c>
      <c r="J113" s="2" t="s">
        <v>8037</v>
      </c>
      <c r="K113" s="2" t="s">
        <v>8038</v>
      </c>
      <c r="L113" t="b">
        <v>1</v>
      </c>
      <c r="M113" s="2" t="s">
        <v>8105</v>
      </c>
      <c r="N113" s="2" t="s">
        <v>8313</v>
      </c>
      <c r="O113" s="2" t="s">
        <v>8040</v>
      </c>
      <c r="P113" s="2" t="s">
        <v>8009</v>
      </c>
    </row>
    <row r="114" spans="1:16">
      <c r="A114" s="2" t="s">
        <v>278</v>
      </c>
      <c r="B114">
        <v>112</v>
      </c>
      <c r="C114" s="2" t="s">
        <v>8314</v>
      </c>
      <c r="D114" s="2" t="s">
        <v>8315</v>
      </c>
      <c r="E114" s="2" t="s">
        <v>8036</v>
      </c>
      <c r="F114" s="2" t="s">
        <v>39</v>
      </c>
      <c r="G114" s="2" t="s">
        <v>22</v>
      </c>
      <c r="H114" s="2" t="s">
        <v>40</v>
      </c>
      <c r="I114" s="2" t="s">
        <v>24</v>
      </c>
      <c r="J114" s="2" t="s">
        <v>8043</v>
      </c>
      <c r="K114" s="2" t="s">
        <v>8044</v>
      </c>
      <c r="L114" t="b">
        <v>1</v>
      </c>
      <c r="M114" s="2" t="s">
        <v>8105</v>
      </c>
      <c r="N114" s="2" t="s">
        <v>8045</v>
      </c>
      <c r="O114" s="2" t="s">
        <v>8046</v>
      </c>
      <c r="P114" s="2" t="s">
        <v>8009</v>
      </c>
    </row>
    <row r="115" spans="1:16">
      <c r="A115" s="2" t="s">
        <v>283</v>
      </c>
      <c r="B115">
        <v>113</v>
      </c>
      <c r="C115" s="2" t="s">
        <v>8316</v>
      </c>
      <c r="D115" s="2" t="s">
        <v>8317</v>
      </c>
      <c r="E115" s="2" t="s">
        <v>8036</v>
      </c>
      <c r="F115" s="2" t="s">
        <v>39</v>
      </c>
      <c r="G115" s="2" t="s">
        <v>22</v>
      </c>
      <c r="H115" s="2" t="s">
        <v>40</v>
      </c>
      <c r="I115" s="2" t="s">
        <v>24</v>
      </c>
      <c r="J115" s="2" t="s">
        <v>8037</v>
      </c>
      <c r="K115" s="2" t="s">
        <v>8038</v>
      </c>
      <c r="L115" t="b">
        <v>1</v>
      </c>
      <c r="M115" s="2" t="s">
        <v>8105</v>
      </c>
      <c r="N115" s="2" t="s">
        <v>8318</v>
      </c>
      <c r="O115" s="2" t="s">
        <v>8040</v>
      </c>
      <c r="P115" s="2" t="s">
        <v>8009</v>
      </c>
    </row>
    <row r="116" spans="1:16">
      <c r="A116" s="2" t="s">
        <v>284</v>
      </c>
      <c r="B116">
        <v>114</v>
      </c>
      <c r="C116" s="2" t="s">
        <v>8319</v>
      </c>
      <c r="D116" s="2" t="s">
        <v>8320</v>
      </c>
      <c r="E116" s="2" t="s">
        <v>8036</v>
      </c>
      <c r="F116" s="2" t="s">
        <v>39</v>
      </c>
      <c r="G116" s="2" t="s">
        <v>22</v>
      </c>
      <c r="H116" s="2" t="s">
        <v>40</v>
      </c>
      <c r="I116" s="2" t="s">
        <v>24</v>
      </c>
      <c r="J116" s="2" t="s">
        <v>8043</v>
      </c>
      <c r="K116" s="2" t="s">
        <v>8044</v>
      </c>
      <c r="L116" t="b">
        <v>1</v>
      </c>
      <c r="M116" s="2" t="s">
        <v>8105</v>
      </c>
      <c r="N116" s="2" t="s">
        <v>8045</v>
      </c>
      <c r="O116" s="2" t="s">
        <v>8046</v>
      </c>
      <c r="P116" s="2" t="s">
        <v>8009</v>
      </c>
    </row>
    <row r="117" spans="1:16">
      <c r="A117" s="2" t="s">
        <v>211</v>
      </c>
      <c r="B117">
        <v>115</v>
      </c>
      <c r="C117" s="2" t="s">
        <v>8321</v>
      </c>
      <c r="D117" s="2" t="s">
        <v>8322</v>
      </c>
      <c r="E117" s="2" t="s">
        <v>8036</v>
      </c>
      <c r="F117" s="2" t="s">
        <v>39</v>
      </c>
      <c r="G117" s="2" t="s">
        <v>22</v>
      </c>
      <c r="H117" s="2" t="s">
        <v>40</v>
      </c>
      <c r="I117" s="2" t="s">
        <v>59</v>
      </c>
      <c r="J117" s="2" t="s">
        <v>8037</v>
      </c>
      <c r="K117" s="2" t="s">
        <v>8038</v>
      </c>
      <c r="L117" t="b">
        <v>1</v>
      </c>
      <c r="M117" s="2" t="s">
        <v>8074</v>
      </c>
      <c r="N117" s="2" t="s">
        <v>8323</v>
      </c>
      <c r="O117" s="2" t="s">
        <v>8040</v>
      </c>
      <c r="P117" s="2" t="s">
        <v>8009</v>
      </c>
    </row>
    <row r="118" spans="1:16">
      <c r="A118" s="2" t="s">
        <v>212</v>
      </c>
      <c r="B118">
        <v>116</v>
      </c>
      <c r="C118" s="2" t="s">
        <v>8324</v>
      </c>
      <c r="D118" s="2" t="s">
        <v>8325</v>
      </c>
      <c r="E118" s="2" t="s">
        <v>8036</v>
      </c>
      <c r="F118" s="2" t="s">
        <v>39</v>
      </c>
      <c r="G118" s="2" t="s">
        <v>22</v>
      </c>
      <c r="H118" s="2" t="s">
        <v>40</v>
      </c>
      <c r="I118" s="2" t="s">
        <v>59</v>
      </c>
      <c r="J118" s="2" t="s">
        <v>8043</v>
      </c>
      <c r="K118" s="2" t="s">
        <v>8044</v>
      </c>
      <c r="L118" t="b">
        <v>1</v>
      </c>
      <c r="M118" s="2" t="s">
        <v>8074</v>
      </c>
      <c r="N118" s="2" t="s">
        <v>8045</v>
      </c>
      <c r="O118" s="2" t="s">
        <v>8046</v>
      </c>
      <c r="P118" s="2" t="s">
        <v>8009</v>
      </c>
    </row>
    <row r="119" spans="1:16">
      <c r="A119" s="2" t="s">
        <v>205</v>
      </c>
      <c r="B119">
        <v>117</v>
      </c>
      <c r="C119" s="2" t="s">
        <v>8326</v>
      </c>
      <c r="D119" s="2" t="s">
        <v>8327</v>
      </c>
      <c r="E119" s="2" t="s">
        <v>8036</v>
      </c>
      <c r="F119" s="2" t="s">
        <v>39</v>
      </c>
      <c r="G119" s="2" t="s">
        <v>22</v>
      </c>
      <c r="H119" s="2" t="s">
        <v>40</v>
      </c>
      <c r="I119" s="2" t="s">
        <v>24</v>
      </c>
      <c r="J119" s="2" t="s">
        <v>8037</v>
      </c>
      <c r="K119" s="2" t="s">
        <v>8038</v>
      </c>
      <c r="L119" t="b">
        <v>1</v>
      </c>
      <c r="M119" s="2" t="s">
        <v>8074</v>
      </c>
      <c r="N119" s="2" t="s">
        <v>8328</v>
      </c>
      <c r="O119" s="2" t="s">
        <v>8040</v>
      </c>
      <c r="P119" s="2" t="s">
        <v>8009</v>
      </c>
    </row>
    <row r="120" spans="1:16">
      <c r="A120" s="2" t="s">
        <v>206</v>
      </c>
      <c r="B120">
        <v>118</v>
      </c>
      <c r="C120" s="2" t="s">
        <v>8329</v>
      </c>
      <c r="D120" s="2" t="s">
        <v>8330</v>
      </c>
      <c r="E120" s="2" t="s">
        <v>8036</v>
      </c>
      <c r="F120" s="2" t="s">
        <v>39</v>
      </c>
      <c r="G120" s="2" t="s">
        <v>22</v>
      </c>
      <c r="H120" s="2" t="s">
        <v>40</v>
      </c>
      <c r="I120" s="2" t="s">
        <v>24</v>
      </c>
      <c r="J120" s="2" t="s">
        <v>8043</v>
      </c>
      <c r="K120" s="2" t="s">
        <v>8044</v>
      </c>
      <c r="L120" t="b">
        <v>1</v>
      </c>
      <c r="M120" s="2" t="s">
        <v>8074</v>
      </c>
      <c r="N120" s="2" t="s">
        <v>8045</v>
      </c>
      <c r="O120" s="2" t="s">
        <v>8046</v>
      </c>
      <c r="P120" s="2" t="s">
        <v>8009</v>
      </c>
    </row>
    <row r="121" spans="1:16">
      <c r="A121" s="2" t="s">
        <v>8331</v>
      </c>
      <c r="B121">
        <v>119</v>
      </c>
      <c r="C121" s="2" t="s">
        <v>8332</v>
      </c>
      <c r="D121" s="2" t="s">
        <v>8333</v>
      </c>
      <c r="E121" s="2" t="s">
        <v>8334</v>
      </c>
      <c r="F121" s="2" t="s">
        <v>8335</v>
      </c>
      <c r="G121" s="2" t="s">
        <v>22</v>
      </c>
      <c r="H121" s="2" t="s">
        <v>8336</v>
      </c>
      <c r="I121" s="2" t="s">
        <v>59</v>
      </c>
      <c r="J121" s="2" t="s">
        <v>8337</v>
      </c>
      <c r="K121" s="2" t="s">
        <v>8338</v>
      </c>
      <c r="L121" t="b">
        <v>0</v>
      </c>
      <c r="M121" s="2" t="s">
        <v>30</v>
      </c>
      <c r="N121" s="2" t="s">
        <v>8339</v>
      </c>
      <c r="O121" s="2" t="s">
        <v>8340</v>
      </c>
      <c r="P121" s="2" t="s">
        <v>8009</v>
      </c>
    </row>
    <row r="122" spans="1:16">
      <c r="A122" s="2" t="s">
        <v>8341</v>
      </c>
      <c r="B122">
        <v>120</v>
      </c>
      <c r="C122" s="2" t="s">
        <v>8342</v>
      </c>
      <c r="D122" s="2" t="s">
        <v>8343</v>
      </c>
      <c r="E122" s="2" t="s">
        <v>8334</v>
      </c>
      <c r="F122" s="2" t="s">
        <v>8335</v>
      </c>
      <c r="G122" s="2" t="s">
        <v>22</v>
      </c>
      <c r="H122" s="2" t="s">
        <v>8336</v>
      </c>
      <c r="I122" s="2" t="s">
        <v>59</v>
      </c>
      <c r="J122" s="2" t="s">
        <v>8344</v>
      </c>
      <c r="K122" s="2" t="s">
        <v>8345</v>
      </c>
      <c r="L122" t="b">
        <v>0</v>
      </c>
      <c r="M122" s="2" t="s">
        <v>30</v>
      </c>
      <c r="N122" s="2" t="s">
        <v>8045</v>
      </c>
      <c r="O122" s="2" t="s">
        <v>8346</v>
      </c>
      <c r="P122" s="2" t="s">
        <v>8347</v>
      </c>
    </row>
    <row r="123" spans="1:16">
      <c r="A123" s="2" t="s">
        <v>8348</v>
      </c>
      <c r="B123">
        <v>121</v>
      </c>
      <c r="C123" s="2" t="s">
        <v>8349</v>
      </c>
      <c r="D123" s="2" t="s">
        <v>8350</v>
      </c>
      <c r="E123" s="2" t="s">
        <v>8334</v>
      </c>
      <c r="F123" s="2" t="s">
        <v>8335</v>
      </c>
      <c r="G123" s="2" t="s">
        <v>22</v>
      </c>
      <c r="H123" s="2" t="s">
        <v>8336</v>
      </c>
      <c r="I123" s="2" t="s">
        <v>24</v>
      </c>
      <c r="J123" s="2" t="s">
        <v>8337</v>
      </c>
      <c r="K123" s="2" t="s">
        <v>8338</v>
      </c>
      <c r="L123" t="b">
        <v>0</v>
      </c>
      <c r="M123" s="2" t="s">
        <v>30</v>
      </c>
      <c r="N123" s="2" t="s">
        <v>8351</v>
      </c>
      <c r="O123" s="2" t="s">
        <v>8340</v>
      </c>
      <c r="P123" s="2" t="s">
        <v>8009</v>
      </c>
    </row>
    <row r="124" spans="1:16">
      <c r="A124" s="2" t="s">
        <v>8352</v>
      </c>
      <c r="B124">
        <v>122</v>
      </c>
      <c r="C124" s="2" t="s">
        <v>8353</v>
      </c>
      <c r="D124" s="2" t="s">
        <v>8354</v>
      </c>
      <c r="E124" s="2" t="s">
        <v>8334</v>
      </c>
      <c r="F124" s="2" t="s">
        <v>8335</v>
      </c>
      <c r="G124" s="2" t="s">
        <v>22</v>
      </c>
      <c r="H124" s="2" t="s">
        <v>8336</v>
      </c>
      <c r="I124" s="2" t="s">
        <v>24</v>
      </c>
      <c r="J124" s="2" t="s">
        <v>8344</v>
      </c>
      <c r="K124" s="2" t="s">
        <v>8345</v>
      </c>
      <c r="L124" t="b">
        <v>0</v>
      </c>
      <c r="M124" s="2" t="s">
        <v>30</v>
      </c>
      <c r="N124" s="2" t="s">
        <v>8045</v>
      </c>
      <c r="O124" s="2" t="s">
        <v>8346</v>
      </c>
      <c r="P124" s="2" t="s">
        <v>8347</v>
      </c>
    </row>
    <row r="125" spans="1:16">
      <c r="A125" s="2" t="s">
        <v>8355</v>
      </c>
      <c r="B125">
        <v>123</v>
      </c>
      <c r="C125" s="2" t="s">
        <v>8356</v>
      </c>
      <c r="D125" s="2" t="s">
        <v>8357</v>
      </c>
      <c r="E125" s="2" t="s">
        <v>8334</v>
      </c>
      <c r="F125" s="2" t="s">
        <v>8335</v>
      </c>
      <c r="G125" s="2" t="s">
        <v>22</v>
      </c>
      <c r="H125" s="2" t="s">
        <v>8336</v>
      </c>
      <c r="I125" s="2" t="s">
        <v>24</v>
      </c>
      <c r="J125" s="2" t="s">
        <v>8337</v>
      </c>
      <c r="K125" s="2" t="s">
        <v>8338</v>
      </c>
      <c r="L125" t="b">
        <v>0</v>
      </c>
      <c r="M125" s="2" t="s">
        <v>30</v>
      </c>
      <c r="N125" s="2" t="s">
        <v>8358</v>
      </c>
      <c r="O125" s="2" t="s">
        <v>8340</v>
      </c>
      <c r="P125" s="2" t="s">
        <v>8009</v>
      </c>
    </row>
    <row r="126" spans="1:16">
      <c r="A126" s="2" t="s">
        <v>8359</v>
      </c>
      <c r="B126">
        <v>124</v>
      </c>
      <c r="C126" s="2" t="s">
        <v>8360</v>
      </c>
      <c r="D126" s="2" t="s">
        <v>8361</v>
      </c>
      <c r="E126" s="2" t="s">
        <v>8334</v>
      </c>
      <c r="F126" s="2" t="s">
        <v>8335</v>
      </c>
      <c r="G126" s="2" t="s">
        <v>22</v>
      </c>
      <c r="H126" s="2" t="s">
        <v>8336</v>
      </c>
      <c r="I126" s="2" t="s">
        <v>24</v>
      </c>
      <c r="J126" s="2" t="s">
        <v>8344</v>
      </c>
      <c r="K126" s="2" t="s">
        <v>8345</v>
      </c>
      <c r="L126" t="b">
        <v>0</v>
      </c>
      <c r="M126" s="2" t="s">
        <v>30</v>
      </c>
      <c r="N126" s="2" t="s">
        <v>8045</v>
      </c>
      <c r="O126" s="2" t="s">
        <v>8346</v>
      </c>
      <c r="P126" s="2" t="s">
        <v>8347</v>
      </c>
    </row>
    <row r="127" spans="1:16">
      <c r="A127" s="2" t="s">
        <v>8362</v>
      </c>
      <c r="B127">
        <v>125</v>
      </c>
      <c r="C127" s="2" t="s">
        <v>8363</v>
      </c>
      <c r="D127" s="2" t="s">
        <v>8364</v>
      </c>
      <c r="E127" s="2" t="s">
        <v>8334</v>
      </c>
      <c r="F127" s="2" t="s">
        <v>8335</v>
      </c>
      <c r="G127" s="2" t="s">
        <v>22</v>
      </c>
      <c r="H127" s="2" t="s">
        <v>8365</v>
      </c>
      <c r="I127" s="2" t="s">
        <v>59</v>
      </c>
      <c r="J127" s="2" t="s">
        <v>8337</v>
      </c>
      <c r="K127" s="2" t="s">
        <v>8338</v>
      </c>
      <c r="L127" t="b">
        <v>0</v>
      </c>
      <c r="M127" s="2" t="s">
        <v>8074</v>
      </c>
      <c r="N127" s="2" t="s">
        <v>8366</v>
      </c>
      <c r="O127" s="2" t="s">
        <v>8340</v>
      </c>
      <c r="P127" s="2" t="s">
        <v>8009</v>
      </c>
    </row>
    <row r="128" spans="1:16">
      <c r="A128" s="2" t="s">
        <v>8367</v>
      </c>
      <c r="B128">
        <v>126</v>
      </c>
      <c r="C128" s="2" t="s">
        <v>8368</v>
      </c>
      <c r="D128" s="2" t="s">
        <v>8369</v>
      </c>
      <c r="E128" s="2" t="s">
        <v>8334</v>
      </c>
      <c r="F128" s="2" t="s">
        <v>8335</v>
      </c>
      <c r="G128" s="2" t="s">
        <v>22</v>
      </c>
      <c r="H128" s="2" t="s">
        <v>8365</v>
      </c>
      <c r="I128" s="2" t="s">
        <v>59</v>
      </c>
      <c r="J128" s="2" t="s">
        <v>8344</v>
      </c>
      <c r="K128" s="2" t="s">
        <v>8345</v>
      </c>
      <c r="L128" t="b">
        <v>0</v>
      </c>
      <c r="M128" s="2" t="s">
        <v>8074</v>
      </c>
      <c r="N128" s="2" t="s">
        <v>8045</v>
      </c>
      <c r="O128" s="2" t="s">
        <v>8346</v>
      </c>
      <c r="P128" s="2" t="s">
        <v>8347</v>
      </c>
    </row>
    <row r="129" spans="1:16">
      <c r="A129" s="2" t="s">
        <v>8370</v>
      </c>
      <c r="B129">
        <v>127</v>
      </c>
      <c r="C129" s="2" t="s">
        <v>8371</v>
      </c>
      <c r="D129" s="2" t="s">
        <v>8372</v>
      </c>
      <c r="E129" s="2" t="s">
        <v>8334</v>
      </c>
      <c r="F129" s="2" t="s">
        <v>8335</v>
      </c>
      <c r="G129" s="2" t="s">
        <v>22</v>
      </c>
      <c r="H129" s="2" t="s">
        <v>8365</v>
      </c>
      <c r="I129" s="2" t="s">
        <v>24</v>
      </c>
      <c r="J129" s="2" t="s">
        <v>8337</v>
      </c>
      <c r="K129" s="2" t="s">
        <v>8338</v>
      </c>
      <c r="L129" t="b">
        <v>0</v>
      </c>
      <c r="M129" s="2" t="s">
        <v>8074</v>
      </c>
      <c r="N129" s="2" t="s">
        <v>8373</v>
      </c>
      <c r="O129" s="2" t="s">
        <v>8340</v>
      </c>
      <c r="P129" s="2" t="s">
        <v>8009</v>
      </c>
    </row>
    <row r="130" spans="1:16">
      <c r="A130" s="2" t="s">
        <v>8374</v>
      </c>
      <c r="B130">
        <v>128</v>
      </c>
      <c r="C130" s="2" t="s">
        <v>8375</v>
      </c>
      <c r="D130" s="2" t="s">
        <v>8376</v>
      </c>
      <c r="E130" s="2" t="s">
        <v>8334</v>
      </c>
      <c r="F130" s="2" t="s">
        <v>8335</v>
      </c>
      <c r="G130" s="2" t="s">
        <v>22</v>
      </c>
      <c r="H130" s="2" t="s">
        <v>8365</v>
      </c>
      <c r="I130" s="2" t="s">
        <v>24</v>
      </c>
      <c r="J130" s="2" t="s">
        <v>8344</v>
      </c>
      <c r="K130" s="2" t="s">
        <v>8345</v>
      </c>
      <c r="L130" t="b">
        <v>0</v>
      </c>
      <c r="M130" s="2" t="s">
        <v>8074</v>
      </c>
      <c r="N130" s="2" t="s">
        <v>8045</v>
      </c>
      <c r="O130" s="2" t="s">
        <v>8346</v>
      </c>
      <c r="P130" s="2" t="s">
        <v>8347</v>
      </c>
    </row>
    <row r="131" spans="1:16">
      <c r="A131" s="2" t="s">
        <v>8377</v>
      </c>
      <c r="B131">
        <v>129</v>
      </c>
      <c r="C131" s="2" t="s">
        <v>8378</v>
      </c>
      <c r="D131" s="2" t="s">
        <v>8379</v>
      </c>
      <c r="E131" s="2" t="s">
        <v>8334</v>
      </c>
      <c r="F131" s="2" t="s">
        <v>8335</v>
      </c>
      <c r="G131" s="2" t="s">
        <v>22</v>
      </c>
      <c r="H131" s="2" t="s">
        <v>8365</v>
      </c>
      <c r="I131" s="2" t="s">
        <v>24</v>
      </c>
      <c r="J131" s="2" t="s">
        <v>8337</v>
      </c>
      <c r="K131" s="2" t="s">
        <v>8338</v>
      </c>
      <c r="L131" t="b">
        <v>0</v>
      </c>
      <c r="M131" s="2" t="s">
        <v>8074</v>
      </c>
      <c r="N131" s="2" t="s">
        <v>8380</v>
      </c>
      <c r="O131" s="2" t="s">
        <v>8340</v>
      </c>
      <c r="P131" s="2" t="s">
        <v>8009</v>
      </c>
    </row>
    <row r="132" spans="1:16">
      <c r="A132" s="2" t="s">
        <v>8381</v>
      </c>
      <c r="B132">
        <v>130</v>
      </c>
      <c r="C132" s="2" t="s">
        <v>8382</v>
      </c>
      <c r="D132" s="2" t="s">
        <v>8383</v>
      </c>
      <c r="E132" s="2" t="s">
        <v>8334</v>
      </c>
      <c r="F132" s="2" t="s">
        <v>8335</v>
      </c>
      <c r="G132" s="2" t="s">
        <v>22</v>
      </c>
      <c r="H132" s="2" t="s">
        <v>8365</v>
      </c>
      <c r="I132" s="2" t="s">
        <v>24</v>
      </c>
      <c r="J132" s="2" t="s">
        <v>8344</v>
      </c>
      <c r="K132" s="2" t="s">
        <v>8345</v>
      </c>
      <c r="L132" t="b">
        <v>0</v>
      </c>
      <c r="M132" s="2" t="s">
        <v>8074</v>
      </c>
      <c r="N132" s="2" t="s">
        <v>8045</v>
      </c>
      <c r="O132" s="2" t="s">
        <v>8346</v>
      </c>
      <c r="P132" s="2" t="s">
        <v>8347</v>
      </c>
    </row>
    <row r="133" spans="1:16">
      <c r="A133" s="2" t="s">
        <v>8384</v>
      </c>
      <c r="B133">
        <v>131</v>
      </c>
      <c r="C133" s="2" t="s">
        <v>8385</v>
      </c>
      <c r="D133" s="2" t="s">
        <v>8386</v>
      </c>
      <c r="E133" s="2" t="s">
        <v>8334</v>
      </c>
      <c r="F133" s="2" t="s">
        <v>8335</v>
      </c>
      <c r="G133" s="2" t="s">
        <v>22</v>
      </c>
      <c r="H133" s="2" t="s">
        <v>8387</v>
      </c>
      <c r="I133" s="2" t="s">
        <v>59</v>
      </c>
      <c r="J133" s="2" t="s">
        <v>8337</v>
      </c>
      <c r="K133" s="2" t="s">
        <v>8338</v>
      </c>
      <c r="L133" t="b">
        <v>0</v>
      </c>
      <c r="M133" s="2" t="s">
        <v>30</v>
      </c>
      <c r="N133" s="2" t="s">
        <v>8388</v>
      </c>
      <c r="O133" s="2" t="s">
        <v>8340</v>
      </c>
      <c r="P133" s="2" t="s">
        <v>8009</v>
      </c>
    </row>
    <row r="134" spans="1:16">
      <c r="A134" s="2" t="s">
        <v>8389</v>
      </c>
      <c r="B134">
        <v>132</v>
      </c>
      <c r="C134" s="2" t="s">
        <v>8390</v>
      </c>
      <c r="D134" s="2" t="s">
        <v>8391</v>
      </c>
      <c r="E134" s="2" t="s">
        <v>8334</v>
      </c>
      <c r="F134" s="2" t="s">
        <v>8335</v>
      </c>
      <c r="G134" s="2" t="s">
        <v>22</v>
      </c>
      <c r="H134" s="2" t="s">
        <v>8387</v>
      </c>
      <c r="I134" s="2" t="s">
        <v>59</v>
      </c>
      <c r="J134" s="2" t="s">
        <v>8344</v>
      </c>
      <c r="K134" s="2" t="s">
        <v>8345</v>
      </c>
      <c r="L134" t="b">
        <v>0</v>
      </c>
      <c r="M134" s="2" t="s">
        <v>30</v>
      </c>
      <c r="N134" s="2" t="s">
        <v>8045</v>
      </c>
      <c r="O134" s="2" t="s">
        <v>8346</v>
      </c>
      <c r="P134" s="2" t="s">
        <v>8347</v>
      </c>
    </row>
    <row r="135" spans="1:16">
      <c r="A135" s="2" t="s">
        <v>8392</v>
      </c>
      <c r="B135">
        <v>133</v>
      </c>
      <c r="C135" s="2" t="s">
        <v>8393</v>
      </c>
      <c r="D135" s="2" t="s">
        <v>8394</v>
      </c>
      <c r="E135" s="2" t="s">
        <v>8334</v>
      </c>
      <c r="F135" s="2" t="s">
        <v>8335</v>
      </c>
      <c r="G135" s="2" t="s">
        <v>22</v>
      </c>
      <c r="H135" s="2" t="s">
        <v>8387</v>
      </c>
      <c r="I135" s="2" t="s">
        <v>24</v>
      </c>
      <c r="J135" s="2" t="s">
        <v>8337</v>
      </c>
      <c r="K135" s="2" t="s">
        <v>8338</v>
      </c>
      <c r="L135" t="b">
        <v>0</v>
      </c>
      <c r="M135" s="2" t="s">
        <v>8105</v>
      </c>
      <c r="N135" s="2" t="s">
        <v>8395</v>
      </c>
      <c r="O135" s="2" t="s">
        <v>8340</v>
      </c>
      <c r="P135" s="2" t="s">
        <v>8009</v>
      </c>
    </row>
    <row r="136" spans="1:16">
      <c r="A136" s="2" t="s">
        <v>8396</v>
      </c>
      <c r="B136">
        <v>134</v>
      </c>
      <c r="C136" s="2" t="s">
        <v>8397</v>
      </c>
      <c r="D136" s="2" t="s">
        <v>8398</v>
      </c>
      <c r="E136" s="2" t="s">
        <v>8334</v>
      </c>
      <c r="F136" s="2" t="s">
        <v>8335</v>
      </c>
      <c r="G136" s="2" t="s">
        <v>22</v>
      </c>
      <c r="H136" s="2" t="s">
        <v>8387</v>
      </c>
      <c r="I136" s="2" t="s">
        <v>24</v>
      </c>
      <c r="J136" s="2" t="s">
        <v>8344</v>
      </c>
      <c r="K136" s="2" t="s">
        <v>8345</v>
      </c>
      <c r="L136" t="b">
        <v>0</v>
      </c>
      <c r="M136" s="2" t="s">
        <v>8105</v>
      </c>
      <c r="N136" s="2" t="s">
        <v>8045</v>
      </c>
      <c r="O136" s="2" t="s">
        <v>8346</v>
      </c>
      <c r="P136" s="2" t="s">
        <v>8347</v>
      </c>
    </row>
    <row r="137" spans="1:16">
      <c r="A137" s="2" t="s">
        <v>8399</v>
      </c>
      <c r="B137">
        <v>135</v>
      </c>
      <c r="C137" s="2" t="s">
        <v>8400</v>
      </c>
      <c r="D137" s="2" t="s">
        <v>8401</v>
      </c>
      <c r="E137" s="2" t="s">
        <v>8334</v>
      </c>
      <c r="F137" s="2" t="s">
        <v>8335</v>
      </c>
      <c r="G137" s="2" t="s">
        <v>22</v>
      </c>
      <c r="H137" s="2" t="s">
        <v>8387</v>
      </c>
      <c r="I137" s="2" t="s">
        <v>24</v>
      </c>
      <c r="J137" s="2" t="s">
        <v>8337</v>
      </c>
      <c r="K137" s="2" t="s">
        <v>8338</v>
      </c>
      <c r="L137" t="b">
        <v>0</v>
      </c>
      <c r="M137" s="2" t="s">
        <v>8105</v>
      </c>
      <c r="N137" s="2" t="s">
        <v>8402</v>
      </c>
      <c r="O137" s="2" t="s">
        <v>8340</v>
      </c>
      <c r="P137" s="2" t="s">
        <v>8009</v>
      </c>
    </row>
    <row r="138" spans="1:16">
      <c r="A138" s="2" t="s">
        <v>8403</v>
      </c>
      <c r="B138">
        <v>136</v>
      </c>
      <c r="C138" s="2" t="s">
        <v>8404</v>
      </c>
      <c r="D138" s="2" t="s">
        <v>8405</v>
      </c>
      <c r="E138" s="2" t="s">
        <v>8334</v>
      </c>
      <c r="F138" s="2" t="s">
        <v>8335</v>
      </c>
      <c r="G138" s="2" t="s">
        <v>22</v>
      </c>
      <c r="H138" s="2" t="s">
        <v>8387</v>
      </c>
      <c r="I138" s="2" t="s">
        <v>24</v>
      </c>
      <c r="J138" s="2" t="s">
        <v>8344</v>
      </c>
      <c r="K138" s="2" t="s">
        <v>8345</v>
      </c>
      <c r="L138" t="b">
        <v>0</v>
      </c>
      <c r="M138" s="2" t="s">
        <v>8105</v>
      </c>
      <c r="N138" s="2" t="s">
        <v>8045</v>
      </c>
      <c r="O138" s="2" t="s">
        <v>8346</v>
      </c>
      <c r="P138" s="2" t="s">
        <v>8347</v>
      </c>
    </row>
    <row r="139" spans="1:16">
      <c r="A139" s="2" t="s">
        <v>8406</v>
      </c>
      <c r="B139">
        <v>137</v>
      </c>
      <c r="C139" s="2" t="s">
        <v>8407</v>
      </c>
      <c r="D139" s="2" t="s">
        <v>8408</v>
      </c>
      <c r="E139" s="2" t="s">
        <v>8334</v>
      </c>
      <c r="F139" s="2" t="s">
        <v>8335</v>
      </c>
      <c r="G139" s="2" t="s">
        <v>22</v>
      </c>
      <c r="H139" s="2" t="s">
        <v>8409</v>
      </c>
      <c r="I139" s="2" t="s">
        <v>24</v>
      </c>
      <c r="J139" s="2" t="s">
        <v>8337</v>
      </c>
      <c r="K139" s="2" t="s">
        <v>8338</v>
      </c>
      <c r="L139" t="b">
        <v>0</v>
      </c>
      <c r="M139" s="2" t="s">
        <v>8074</v>
      </c>
      <c r="N139" s="2" t="s">
        <v>8410</v>
      </c>
      <c r="O139" s="2" t="s">
        <v>8340</v>
      </c>
      <c r="P139" s="2" t="s">
        <v>8009</v>
      </c>
    </row>
    <row r="140" spans="1:16">
      <c r="A140" s="2" t="s">
        <v>8411</v>
      </c>
      <c r="B140">
        <v>138</v>
      </c>
      <c r="C140" s="2" t="s">
        <v>8412</v>
      </c>
      <c r="D140" s="2" t="s">
        <v>8413</v>
      </c>
      <c r="E140" s="2" t="s">
        <v>8334</v>
      </c>
      <c r="F140" s="2" t="s">
        <v>8335</v>
      </c>
      <c r="G140" s="2" t="s">
        <v>22</v>
      </c>
      <c r="H140" s="2" t="s">
        <v>8409</v>
      </c>
      <c r="I140" s="2" t="s">
        <v>24</v>
      </c>
      <c r="J140" s="2" t="s">
        <v>8344</v>
      </c>
      <c r="K140" s="2" t="s">
        <v>8345</v>
      </c>
      <c r="L140" t="b">
        <v>0</v>
      </c>
      <c r="M140" s="2" t="s">
        <v>8074</v>
      </c>
      <c r="N140" s="2" t="s">
        <v>8045</v>
      </c>
      <c r="O140" s="2" t="s">
        <v>8346</v>
      </c>
      <c r="P140" s="2" t="s">
        <v>8347</v>
      </c>
    </row>
    <row r="141" spans="1:16">
      <c r="A141" s="2" t="s">
        <v>8414</v>
      </c>
      <c r="B141">
        <v>139</v>
      </c>
      <c r="C141" s="2" t="s">
        <v>8415</v>
      </c>
      <c r="D141" s="2" t="s">
        <v>8416</v>
      </c>
      <c r="E141" s="2" t="s">
        <v>8334</v>
      </c>
      <c r="F141" s="2" t="s">
        <v>8335</v>
      </c>
      <c r="G141" s="2" t="s">
        <v>22</v>
      </c>
      <c r="H141" s="2" t="s">
        <v>8417</v>
      </c>
      <c r="I141" s="2" t="s">
        <v>24</v>
      </c>
      <c r="J141" s="2" t="s">
        <v>8337</v>
      </c>
      <c r="K141" s="2" t="s">
        <v>8338</v>
      </c>
      <c r="L141" t="b">
        <v>0</v>
      </c>
      <c r="M141" s="2" t="s">
        <v>30</v>
      </c>
      <c r="N141" s="2" t="s">
        <v>8418</v>
      </c>
      <c r="O141" s="2" t="s">
        <v>8340</v>
      </c>
      <c r="P141" s="2" t="s">
        <v>8009</v>
      </c>
    </row>
    <row r="142" spans="1:16">
      <c r="A142" s="2" t="s">
        <v>8419</v>
      </c>
      <c r="B142">
        <v>140</v>
      </c>
      <c r="C142" s="2" t="s">
        <v>8420</v>
      </c>
      <c r="D142" s="2" t="s">
        <v>8421</v>
      </c>
      <c r="E142" s="2" t="s">
        <v>8334</v>
      </c>
      <c r="F142" s="2" t="s">
        <v>8335</v>
      </c>
      <c r="G142" s="2" t="s">
        <v>22</v>
      </c>
      <c r="H142" s="2" t="s">
        <v>8417</v>
      </c>
      <c r="I142" s="2" t="s">
        <v>24</v>
      </c>
      <c r="J142" s="2" t="s">
        <v>8344</v>
      </c>
      <c r="K142" s="2" t="s">
        <v>8345</v>
      </c>
      <c r="L142" t="b">
        <v>0</v>
      </c>
      <c r="M142" s="2" t="s">
        <v>30</v>
      </c>
      <c r="N142" s="2" t="s">
        <v>8045</v>
      </c>
      <c r="O142" s="2" t="s">
        <v>8346</v>
      </c>
      <c r="P142" s="2" t="s">
        <v>8347</v>
      </c>
    </row>
    <row r="143" spans="1:16">
      <c r="A143" s="2" t="s">
        <v>8422</v>
      </c>
      <c r="B143">
        <v>141</v>
      </c>
      <c r="C143" s="2" t="s">
        <v>8423</v>
      </c>
      <c r="D143" s="2" t="s">
        <v>8424</v>
      </c>
      <c r="E143" s="2" t="s">
        <v>8334</v>
      </c>
      <c r="F143" s="2" t="s">
        <v>8335</v>
      </c>
      <c r="G143" s="2" t="s">
        <v>22</v>
      </c>
      <c r="H143" s="2" t="s">
        <v>8417</v>
      </c>
      <c r="I143" s="2" t="s">
        <v>24</v>
      </c>
      <c r="J143" s="2" t="s">
        <v>8337</v>
      </c>
      <c r="K143" s="2" t="s">
        <v>8338</v>
      </c>
      <c r="L143" t="b">
        <v>0</v>
      </c>
      <c r="M143" s="2" t="s">
        <v>8074</v>
      </c>
      <c r="N143" s="2" t="s">
        <v>8425</v>
      </c>
      <c r="O143" s="2" t="s">
        <v>8340</v>
      </c>
      <c r="P143" s="2" t="s">
        <v>8009</v>
      </c>
    </row>
    <row r="144" spans="1:16">
      <c r="A144" s="2" t="s">
        <v>8426</v>
      </c>
      <c r="B144">
        <v>142</v>
      </c>
      <c r="C144" s="2" t="s">
        <v>8427</v>
      </c>
      <c r="D144" s="2" t="s">
        <v>8428</v>
      </c>
      <c r="E144" s="2" t="s">
        <v>8334</v>
      </c>
      <c r="F144" s="2" t="s">
        <v>8335</v>
      </c>
      <c r="G144" s="2" t="s">
        <v>22</v>
      </c>
      <c r="H144" s="2" t="s">
        <v>8417</v>
      </c>
      <c r="I144" s="2" t="s">
        <v>24</v>
      </c>
      <c r="J144" s="2" t="s">
        <v>8344</v>
      </c>
      <c r="K144" s="2" t="s">
        <v>8345</v>
      </c>
      <c r="L144" t="b">
        <v>0</v>
      </c>
      <c r="M144" s="2" t="s">
        <v>8074</v>
      </c>
      <c r="N144" s="2" t="s">
        <v>8045</v>
      </c>
      <c r="O144" s="2" t="s">
        <v>8346</v>
      </c>
      <c r="P144" s="2" t="s">
        <v>8347</v>
      </c>
    </row>
    <row r="145" spans="1:16">
      <c r="A145" s="2" t="s">
        <v>7889</v>
      </c>
      <c r="B145">
        <v>143</v>
      </c>
      <c r="C145" s="2" t="s">
        <v>8429</v>
      </c>
      <c r="D145" s="2" t="s">
        <v>8430</v>
      </c>
      <c r="E145" s="2" t="s">
        <v>8334</v>
      </c>
      <c r="F145" s="2" t="s">
        <v>8335</v>
      </c>
      <c r="G145" s="2" t="s">
        <v>22</v>
      </c>
      <c r="H145" s="2" t="s">
        <v>8417</v>
      </c>
      <c r="I145" s="2" t="s">
        <v>24</v>
      </c>
      <c r="J145" s="2" t="s">
        <v>8337</v>
      </c>
      <c r="K145" s="2" t="s">
        <v>8338</v>
      </c>
      <c r="L145" t="b">
        <v>0</v>
      </c>
      <c r="M145" s="2" t="s">
        <v>8431</v>
      </c>
      <c r="N145" s="2" t="s">
        <v>8432</v>
      </c>
      <c r="O145" s="2" t="s">
        <v>8340</v>
      </c>
      <c r="P145" s="2" t="s">
        <v>8433</v>
      </c>
    </row>
    <row r="146" spans="1:16">
      <c r="A146" s="2" t="s">
        <v>7911</v>
      </c>
      <c r="B146">
        <v>144</v>
      </c>
      <c r="C146" s="2" t="s">
        <v>8434</v>
      </c>
      <c r="D146" s="2" t="s">
        <v>8435</v>
      </c>
      <c r="E146" s="2" t="s">
        <v>8334</v>
      </c>
      <c r="F146" s="2" t="s">
        <v>8335</v>
      </c>
      <c r="G146" s="2" t="s">
        <v>22</v>
      </c>
      <c r="H146" s="2" t="s">
        <v>8417</v>
      </c>
      <c r="I146" s="2" t="s">
        <v>24</v>
      </c>
      <c r="J146" s="2" t="s">
        <v>8344</v>
      </c>
      <c r="K146" s="2" t="s">
        <v>8345</v>
      </c>
      <c r="L146" t="b">
        <v>0</v>
      </c>
      <c r="M146" s="2" t="s">
        <v>8431</v>
      </c>
      <c r="N146" s="2" t="s">
        <v>8045</v>
      </c>
      <c r="O146" s="2" t="s">
        <v>8346</v>
      </c>
      <c r="P146" s="2" t="s">
        <v>8436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685A-5BCB-46A0-B687-ACEED8F4FD06}">
  <dimension ref="A1:L37"/>
  <sheetViews>
    <sheetView workbookViewId="0"/>
  </sheetViews>
  <sheetFormatPr defaultRowHeight="14.5"/>
  <cols>
    <col min="1" max="1" width="13.81640625" bestFit="1" customWidth="1"/>
    <col min="2" max="2" width="13.54296875" bestFit="1" customWidth="1"/>
    <col min="3" max="3" width="13.7265625" bestFit="1" customWidth="1"/>
    <col min="4" max="4" width="15.90625" bestFit="1" customWidth="1"/>
    <col min="5" max="5" width="23.81640625" bestFit="1" customWidth="1"/>
    <col min="6" max="6" width="36.90625" bestFit="1" customWidth="1"/>
    <col min="7" max="7" width="11.7265625" bestFit="1" customWidth="1"/>
    <col min="8" max="8" width="15" bestFit="1" customWidth="1"/>
    <col min="9" max="9" width="32.453125" bestFit="1" customWidth="1"/>
    <col min="10" max="10" width="9.6328125" bestFit="1" customWidth="1"/>
    <col min="11" max="11" width="70.90625" bestFit="1" customWidth="1"/>
    <col min="12" max="12" width="79" bestFit="1" customWidth="1"/>
  </cols>
  <sheetData>
    <row r="1" spans="1:12">
      <c r="A1" t="s">
        <v>7880</v>
      </c>
      <c r="B1" t="s">
        <v>0</v>
      </c>
      <c r="C1" t="s">
        <v>1</v>
      </c>
      <c r="D1" t="s">
        <v>7881</v>
      </c>
      <c r="E1" t="s">
        <v>4</v>
      </c>
      <c r="F1" t="s">
        <v>5</v>
      </c>
      <c r="G1" t="s">
        <v>7882</v>
      </c>
      <c r="H1" t="s">
        <v>7883</v>
      </c>
      <c r="I1" t="s">
        <v>7884</v>
      </c>
      <c r="J1" t="s">
        <v>7885</v>
      </c>
      <c r="K1" t="s">
        <v>7886</v>
      </c>
      <c r="L1" t="s">
        <v>7887</v>
      </c>
    </row>
    <row r="2" spans="1:12">
      <c r="A2" s="2" t="s">
        <v>7888</v>
      </c>
      <c r="B2" s="1">
        <v>43770</v>
      </c>
      <c r="C2" s="1">
        <v>43770</v>
      </c>
      <c r="D2" s="2" t="s">
        <v>7889</v>
      </c>
      <c r="E2" s="2" t="s">
        <v>7890</v>
      </c>
      <c r="F2" s="2" t="s">
        <v>7891</v>
      </c>
      <c r="G2" s="2" t="s">
        <v>175</v>
      </c>
      <c r="I2" s="2" t="s">
        <v>7892</v>
      </c>
      <c r="J2" s="2" t="s">
        <v>7893</v>
      </c>
      <c r="K2" s="2" t="s">
        <v>7894</v>
      </c>
      <c r="L2" s="2" t="s">
        <v>7895</v>
      </c>
    </row>
    <row r="3" spans="1:12">
      <c r="A3" s="2" t="s">
        <v>7896</v>
      </c>
      <c r="B3" s="1">
        <v>43800</v>
      </c>
      <c r="C3" s="1">
        <v>43800</v>
      </c>
      <c r="D3" s="2" t="s">
        <v>7889</v>
      </c>
      <c r="E3" s="2" t="s">
        <v>7890</v>
      </c>
      <c r="F3" s="2" t="s">
        <v>7891</v>
      </c>
      <c r="G3" s="2" t="s">
        <v>175</v>
      </c>
      <c r="I3" s="2" t="s">
        <v>7892</v>
      </c>
      <c r="J3" s="2" t="s">
        <v>7893</v>
      </c>
      <c r="K3" s="2" t="s">
        <v>7894</v>
      </c>
      <c r="L3" s="2" t="s">
        <v>7895</v>
      </c>
    </row>
    <row r="4" spans="1:12">
      <c r="A4" s="2" t="s">
        <v>7897</v>
      </c>
      <c r="B4" s="1">
        <v>43831</v>
      </c>
      <c r="C4" s="1">
        <v>43831</v>
      </c>
      <c r="D4" s="2" t="s">
        <v>7889</v>
      </c>
      <c r="E4" s="2" t="s">
        <v>7890</v>
      </c>
      <c r="F4" s="2" t="s">
        <v>7891</v>
      </c>
      <c r="G4" s="2" t="s">
        <v>175</v>
      </c>
      <c r="I4" s="2" t="s">
        <v>7892</v>
      </c>
      <c r="J4" s="2" t="s">
        <v>7893</v>
      </c>
      <c r="K4" s="2" t="s">
        <v>7894</v>
      </c>
      <c r="L4" s="2" t="s">
        <v>7895</v>
      </c>
    </row>
    <row r="5" spans="1:12">
      <c r="A5" s="2" t="s">
        <v>7898</v>
      </c>
      <c r="B5" s="1">
        <v>43862</v>
      </c>
      <c r="C5" s="1">
        <v>43862</v>
      </c>
      <c r="D5" s="2" t="s">
        <v>7889</v>
      </c>
      <c r="E5" s="2" t="s">
        <v>7890</v>
      </c>
      <c r="F5" s="2" t="s">
        <v>7891</v>
      </c>
      <c r="G5" s="2" t="s">
        <v>175</v>
      </c>
      <c r="I5" s="2" t="s">
        <v>7892</v>
      </c>
      <c r="J5" s="2" t="s">
        <v>7893</v>
      </c>
      <c r="K5" s="2" t="s">
        <v>7894</v>
      </c>
      <c r="L5" s="2" t="s">
        <v>7895</v>
      </c>
    </row>
    <row r="6" spans="1:12">
      <c r="A6" s="2" t="s">
        <v>7899</v>
      </c>
      <c r="B6" s="1">
        <v>43891</v>
      </c>
      <c r="C6" s="1">
        <v>43891</v>
      </c>
      <c r="D6" s="2" t="s">
        <v>7889</v>
      </c>
      <c r="E6" s="2" t="s">
        <v>7890</v>
      </c>
      <c r="F6" s="2" t="s">
        <v>7891</v>
      </c>
      <c r="G6" s="2" t="s">
        <v>175</v>
      </c>
      <c r="I6" s="2" t="s">
        <v>7892</v>
      </c>
      <c r="J6" s="2" t="s">
        <v>7893</v>
      </c>
      <c r="K6" s="2" t="s">
        <v>7894</v>
      </c>
      <c r="L6" s="2" t="s">
        <v>7895</v>
      </c>
    </row>
    <row r="7" spans="1:12">
      <c r="A7" s="2" t="s">
        <v>7900</v>
      </c>
      <c r="B7" s="1">
        <v>43922</v>
      </c>
      <c r="C7" s="1">
        <v>43922</v>
      </c>
      <c r="D7" s="2" t="s">
        <v>7889</v>
      </c>
      <c r="E7" s="2" t="s">
        <v>7890</v>
      </c>
      <c r="F7" s="2" t="s">
        <v>7891</v>
      </c>
      <c r="G7" s="2" t="s">
        <v>175</v>
      </c>
      <c r="I7" s="2" t="s">
        <v>7892</v>
      </c>
      <c r="J7" s="2" t="s">
        <v>7893</v>
      </c>
      <c r="K7" s="2" t="s">
        <v>7894</v>
      </c>
      <c r="L7" s="2" t="s">
        <v>7895</v>
      </c>
    </row>
    <row r="8" spans="1:12">
      <c r="A8" s="2" t="s">
        <v>7901</v>
      </c>
      <c r="B8" s="1">
        <v>43952</v>
      </c>
      <c r="C8" s="1">
        <v>43952</v>
      </c>
      <c r="D8" s="2" t="s">
        <v>7889</v>
      </c>
      <c r="E8" s="2" t="s">
        <v>7890</v>
      </c>
      <c r="F8" s="2" t="s">
        <v>7891</v>
      </c>
      <c r="G8" s="2" t="s">
        <v>175</v>
      </c>
      <c r="I8" s="2" t="s">
        <v>7892</v>
      </c>
      <c r="J8" s="2" t="s">
        <v>7893</v>
      </c>
      <c r="K8" s="2" t="s">
        <v>7894</v>
      </c>
      <c r="L8" s="2" t="s">
        <v>7895</v>
      </c>
    </row>
    <row r="9" spans="1:12">
      <c r="A9" s="2" t="s">
        <v>7902</v>
      </c>
      <c r="B9" s="1">
        <v>43983</v>
      </c>
      <c r="C9" s="1">
        <v>43983</v>
      </c>
      <c r="D9" s="2" t="s">
        <v>7889</v>
      </c>
      <c r="E9" s="2" t="s">
        <v>7890</v>
      </c>
      <c r="F9" s="2" t="s">
        <v>7891</v>
      </c>
      <c r="G9" s="2" t="s">
        <v>175</v>
      </c>
      <c r="I9" s="2" t="s">
        <v>7892</v>
      </c>
      <c r="J9" s="2" t="s">
        <v>7893</v>
      </c>
      <c r="K9" s="2" t="s">
        <v>7894</v>
      </c>
      <c r="L9" s="2" t="s">
        <v>7895</v>
      </c>
    </row>
    <row r="10" spans="1:12">
      <c r="A10" s="2" t="s">
        <v>7903</v>
      </c>
      <c r="B10" s="1">
        <v>44013</v>
      </c>
      <c r="C10" s="1">
        <v>44013</v>
      </c>
      <c r="D10" s="2" t="s">
        <v>7889</v>
      </c>
      <c r="E10" s="2" t="s">
        <v>7890</v>
      </c>
      <c r="F10" s="2" t="s">
        <v>7891</v>
      </c>
      <c r="G10" s="2" t="s">
        <v>175</v>
      </c>
      <c r="I10" s="2" t="s">
        <v>7892</v>
      </c>
      <c r="J10" s="2" t="s">
        <v>7893</v>
      </c>
      <c r="K10" s="2" t="s">
        <v>7894</v>
      </c>
      <c r="L10" s="2" t="s">
        <v>7895</v>
      </c>
    </row>
    <row r="11" spans="1:12">
      <c r="A11" s="2" t="s">
        <v>7904</v>
      </c>
      <c r="B11" s="1">
        <v>44044</v>
      </c>
      <c r="C11" s="1">
        <v>44044</v>
      </c>
      <c r="D11" s="2" t="s">
        <v>7889</v>
      </c>
      <c r="E11" s="2" t="s">
        <v>7890</v>
      </c>
      <c r="F11" s="2" t="s">
        <v>7891</v>
      </c>
      <c r="G11" s="2" t="s">
        <v>175</v>
      </c>
      <c r="I11" s="2" t="s">
        <v>7892</v>
      </c>
      <c r="J11" s="2" t="s">
        <v>7893</v>
      </c>
      <c r="K11" s="2" t="s">
        <v>7894</v>
      </c>
      <c r="L11" s="2" t="s">
        <v>7895</v>
      </c>
    </row>
    <row r="12" spans="1:12">
      <c r="A12" s="2" t="s">
        <v>7905</v>
      </c>
      <c r="B12" s="1">
        <v>45170</v>
      </c>
      <c r="C12" s="1">
        <v>45170</v>
      </c>
      <c r="D12" s="2" t="s">
        <v>314</v>
      </c>
      <c r="E12" s="2" t="s">
        <v>312</v>
      </c>
      <c r="F12" s="2" t="s">
        <v>313</v>
      </c>
      <c r="G12" s="2" t="s">
        <v>175</v>
      </c>
      <c r="H12">
        <v>6143.17</v>
      </c>
      <c r="I12" s="2" t="s">
        <v>7906</v>
      </c>
      <c r="J12" s="2" t="s">
        <v>7907</v>
      </c>
      <c r="K12" s="2" t="s">
        <v>7908</v>
      </c>
      <c r="L12" s="2" t="s">
        <v>7909</v>
      </c>
    </row>
    <row r="13" spans="1:12">
      <c r="A13" s="2" t="s">
        <v>7910</v>
      </c>
      <c r="B13" s="1">
        <v>45292</v>
      </c>
      <c r="C13" s="1">
        <v>45292</v>
      </c>
      <c r="D13" s="2" t="s">
        <v>7911</v>
      </c>
      <c r="E13" s="2" t="s">
        <v>7890</v>
      </c>
      <c r="F13" s="2" t="s">
        <v>7891</v>
      </c>
      <c r="G13" s="2" t="s">
        <v>7912</v>
      </c>
      <c r="H13">
        <v>3379.94</v>
      </c>
      <c r="I13" s="2" t="s">
        <v>7913</v>
      </c>
      <c r="J13" s="2" t="s">
        <v>7914</v>
      </c>
      <c r="K13" s="2" t="s">
        <v>7915</v>
      </c>
      <c r="L13" s="2" t="s">
        <v>7916</v>
      </c>
    </row>
    <row r="14" spans="1:12">
      <c r="A14" s="2" t="s">
        <v>7917</v>
      </c>
      <c r="B14" s="1">
        <v>45323</v>
      </c>
      <c r="C14" s="1">
        <v>45323</v>
      </c>
      <c r="D14" s="2" t="s">
        <v>7911</v>
      </c>
      <c r="E14" s="2" t="s">
        <v>7890</v>
      </c>
      <c r="F14" s="2" t="s">
        <v>7891</v>
      </c>
      <c r="G14" s="2" t="s">
        <v>7918</v>
      </c>
      <c r="H14">
        <v>3540.62</v>
      </c>
      <c r="I14" s="2" t="s">
        <v>7913</v>
      </c>
      <c r="J14" s="2" t="s">
        <v>7914</v>
      </c>
      <c r="K14" s="2" t="s">
        <v>7915</v>
      </c>
      <c r="L14" s="2" t="s">
        <v>7919</v>
      </c>
    </row>
    <row r="15" spans="1:12">
      <c r="A15" s="2" t="s">
        <v>7920</v>
      </c>
      <c r="B15" s="1">
        <v>45352</v>
      </c>
      <c r="C15" s="1">
        <v>45352</v>
      </c>
      <c r="D15" s="2" t="s">
        <v>7911</v>
      </c>
      <c r="E15" s="2" t="s">
        <v>7890</v>
      </c>
      <c r="F15" s="2" t="s">
        <v>7891</v>
      </c>
      <c r="G15" s="2" t="s">
        <v>7921</v>
      </c>
      <c r="H15">
        <v>3606.58</v>
      </c>
      <c r="I15" s="2" t="s">
        <v>7913</v>
      </c>
      <c r="J15" s="2" t="s">
        <v>7914</v>
      </c>
      <c r="K15" s="2" t="s">
        <v>7915</v>
      </c>
      <c r="L15" s="2" t="s">
        <v>7922</v>
      </c>
    </row>
    <row r="16" spans="1:12">
      <c r="A16" s="2" t="s">
        <v>7923</v>
      </c>
      <c r="B16" s="1">
        <v>45383</v>
      </c>
      <c r="C16" s="1">
        <v>45383</v>
      </c>
      <c r="D16" s="2" t="s">
        <v>7911</v>
      </c>
      <c r="E16" s="2" t="s">
        <v>7890</v>
      </c>
      <c r="F16" s="2" t="s">
        <v>7891</v>
      </c>
      <c r="G16" s="2" t="s">
        <v>7924</v>
      </c>
      <c r="H16">
        <v>5766.33</v>
      </c>
      <c r="I16" s="2" t="s">
        <v>7913</v>
      </c>
      <c r="J16" s="2" t="s">
        <v>7914</v>
      </c>
      <c r="K16" s="2" t="s">
        <v>7915</v>
      </c>
      <c r="L16" s="2" t="s">
        <v>7925</v>
      </c>
    </row>
    <row r="17" spans="1:12">
      <c r="A17" s="2" t="s">
        <v>7926</v>
      </c>
      <c r="B17" s="1">
        <v>45413</v>
      </c>
      <c r="C17" s="1">
        <v>45413</v>
      </c>
      <c r="D17" s="2" t="s">
        <v>7911</v>
      </c>
      <c r="E17" s="2" t="s">
        <v>7890</v>
      </c>
      <c r="F17" s="2" t="s">
        <v>7891</v>
      </c>
      <c r="G17" s="2" t="s">
        <v>7927</v>
      </c>
      <c r="H17">
        <v>5858.35</v>
      </c>
      <c r="I17" s="2" t="s">
        <v>7913</v>
      </c>
      <c r="J17" s="2" t="s">
        <v>7914</v>
      </c>
      <c r="K17" s="2" t="s">
        <v>7915</v>
      </c>
      <c r="L17" s="2" t="s">
        <v>7928</v>
      </c>
    </row>
    <row r="18" spans="1:12">
      <c r="A18" s="2" t="s">
        <v>7929</v>
      </c>
      <c r="B18" s="1">
        <v>45444</v>
      </c>
      <c r="C18" s="1">
        <v>45444</v>
      </c>
      <c r="D18" s="2" t="s">
        <v>7911</v>
      </c>
      <c r="E18" s="2" t="s">
        <v>7890</v>
      </c>
      <c r="F18" s="2" t="s">
        <v>7891</v>
      </c>
      <c r="G18" s="2" t="s">
        <v>7930</v>
      </c>
      <c r="H18">
        <v>5939.27</v>
      </c>
      <c r="I18" s="2" t="s">
        <v>7913</v>
      </c>
      <c r="J18" s="2" t="s">
        <v>7914</v>
      </c>
      <c r="K18" s="2" t="s">
        <v>7915</v>
      </c>
      <c r="L18" s="2" t="s">
        <v>7931</v>
      </c>
    </row>
    <row r="19" spans="1:12">
      <c r="A19" s="2" t="s">
        <v>7932</v>
      </c>
      <c r="B19" s="1">
        <v>45474</v>
      </c>
      <c r="C19" s="1">
        <v>45474</v>
      </c>
      <c r="D19" s="2" t="s">
        <v>7911</v>
      </c>
      <c r="E19" s="2" t="s">
        <v>7890</v>
      </c>
      <c r="F19" s="2" t="s">
        <v>7891</v>
      </c>
      <c r="G19" s="2" t="s">
        <v>7933</v>
      </c>
      <c r="H19">
        <v>6020.06</v>
      </c>
      <c r="I19" s="2" t="s">
        <v>7913</v>
      </c>
      <c r="J19" s="2" t="s">
        <v>7914</v>
      </c>
      <c r="K19" s="2" t="s">
        <v>7915</v>
      </c>
      <c r="L19" s="2" t="s">
        <v>7934</v>
      </c>
    </row>
    <row r="20" spans="1:12">
      <c r="A20" s="2" t="s">
        <v>7935</v>
      </c>
      <c r="B20" s="1">
        <v>45505</v>
      </c>
      <c r="C20" s="1">
        <v>45505</v>
      </c>
      <c r="D20" s="2" t="s">
        <v>7911</v>
      </c>
      <c r="E20" s="2" t="s">
        <v>7890</v>
      </c>
      <c r="F20" s="2" t="s">
        <v>7891</v>
      </c>
      <c r="G20" s="2" t="s">
        <v>7936</v>
      </c>
      <c r="H20">
        <v>6086.94</v>
      </c>
      <c r="I20" s="2" t="s">
        <v>7913</v>
      </c>
      <c r="J20" s="2" t="s">
        <v>7914</v>
      </c>
      <c r="K20" s="2" t="s">
        <v>7915</v>
      </c>
      <c r="L20" s="2" t="s">
        <v>7937</v>
      </c>
    </row>
    <row r="21" spans="1:12">
      <c r="A21" s="2" t="s">
        <v>7938</v>
      </c>
      <c r="B21" s="1">
        <v>45536</v>
      </c>
      <c r="C21" s="1">
        <v>45536</v>
      </c>
      <c r="D21" s="2" t="s">
        <v>7911</v>
      </c>
      <c r="E21" s="2" t="s">
        <v>7890</v>
      </c>
      <c r="F21" s="2" t="s">
        <v>7891</v>
      </c>
      <c r="G21" s="2" t="s">
        <v>7939</v>
      </c>
      <c r="H21">
        <v>6245.46</v>
      </c>
      <c r="I21" s="2" t="s">
        <v>7913</v>
      </c>
      <c r="J21" s="2" t="s">
        <v>7914</v>
      </c>
      <c r="K21" s="2" t="s">
        <v>7915</v>
      </c>
      <c r="L21" s="2" t="s">
        <v>7940</v>
      </c>
    </row>
    <row r="22" spans="1:12">
      <c r="A22" s="2" t="s">
        <v>7941</v>
      </c>
      <c r="B22" s="1">
        <v>45566</v>
      </c>
      <c r="C22" s="1">
        <v>45566</v>
      </c>
      <c r="D22" s="2" t="s">
        <v>7911</v>
      </c>
      <c r="E22" s="2" t="s">
        <v>7890</v>
      </c>
      <c r="F22" s="2" t="s">
        <v>7891</v>
      </c>
      <c r="G22" s="2" t="s">
        <v>7942</v>
      </c>
      <c r="H22">
        <v>6344.98</v>
      </c>
      <c r="I22" s="2" t="s">
        <v>7913</v>
      </c>
      <c r="J22" s="2" t="s">
        <v>7914</v>
      </c>
      <c r="K22" s="2" t="s">
        <v>7915</v>
      </c>
      <c r="L22" s="2" t="s">
        <v>7943</v>
      </c>
    </row>
    <row r="23" spans="1:12">
      <c r="A23" s="2" t="s">
        <v>7944</v>
      </c>
      <c r="B23" s="1">
        <v>45597</v>
      </c>
      <c r="C23" s="1">
        <v>45597</v>
      </c>
      <c r="D23" s="2" t="s">
        <v>7911</v>
      </c>
      <c r="E23" s="2" t="s">
        <v>7890</v>
      </c>
      <c r="F23" s="2" t="s">
        <v>7891</v>
      </c>
      <c r="G23" s="2" t="s">
        <v>7945</v>
      </c>
      <c r="H23">
        <v>6439.37</v>
      </c>
      <c r="I23" s="2" t="s">
        <v>7913</v>
      </c>
      <c r="J23" s="2" t="s">
        <v>7914</v>
      </c>
      <c r="K23" s="2" t="s">
        <v>7915</v>
      </c>
      <c r="L23" s="2" t="s">
        <v>7946</v>
      </c>
    </row>
    <row r="24" spans="1:12">
      <c r="A24" s="2" t="s">
        <v>7947</v>
      </c>
      <c r="B24" s="1">
        <v>45627</v>
      </c>
      <c r="C24" s="1">
        <v>45627</v>
      </c>
      <c r="D24" s="2" t="s">
        <v>7911</v>
      </c>
      <c r="E24" s="2" t="s">
        <v>7890</v>
      </c>
      <c r="F24" s="2" t="s">
        <v>7891</v>
      </c>
      <c r="G24" s="2" t="s">
        <v>7948</v>
      </c>
      <c r="H24">
        <v>6516.44</v>
      </c>
      <c r="I24" s="2" t="s">
        <v>7913</v>
      </c>
      <c r="J24" s="2" t="s">
        <v>7914</v>
      </c>
      <c r="K24" s="2" t="s">
        <v>7915</v>
      </c>
      <c r="L24" s="2" t="s">
        <v>7949</v>
      </c>
    </row>
    <row r="25" spans="1:12">
      <c r="A25" s="2" t="s">
        <v>7950</v>
      </c>
      <c r="B25" s="1">
        <v>45658</v>
      </c>
      <c r="C25" s="1">
        <v>45658</v>
      </c>
      <c r="D25" s="2" t="s">
        <v>7911</v>
      </c>
      <c r="E25" s="2" t="s">
        <v>7890</v>
      </c>
      <c r="F25" s="2" t="s">
        <v>7891</v>
      </c>
      <c r="G25" s="2" t="s">
        <v>7951</v>
      </c>
      <c r="H25">
        <v>6586.92</v>
      </c>
      <c r="I25" s="2" t="s">
        <v>7913</v>
      </c>
      <c r="J25" s="2" t="s">
        <v>7914</v>
      </c>
      <c r="K25" s="2" t="s">
        <v>7915</v>
      </c>
      <c r="L25" s="2" t="s">
        <v>7952</v>
      </c>
    </row>
    <row r="26" spans="1:12">
      <c r="A26" s="2" t="s">
        <v>7953</v>
      </c>
      <c r="B26" s="1">
        <v>45689</v>
      </c>
      <c r="C26" s="1">
        <v>45689</v>
      </c>
      <c r="D26" s="2" t="s">
        <v>7911</v>
      </c>
      <c r="E26" s="2" t="s">
        <v>7890</v>
      </c>
      <c r="F26" s="2" t="s">
        <v>7891</v>
      </c>
      <c r="G26" s="2" t="s">
        <v>7954</v>
      </c>
      <c r="H26">
        <v>6686.82</v>
      </c>
      <c r="I26" s="2" t="s">
        <v>7913</v>
      </c>
      <c r="J26" s="2" t="s">
        <v>7914</v>
      </c>
      <c r="K26" s="2" t="s">
        <v>7915</v>
      </c>
      <c r="L26" s="2" t="s">
        <v>7955</v>
      </c>
    </row>
    <row r="27" spans="1:12">
      <c r="A27" s="2" t="s">
        <v>7956</v>
      </c>
      <c r="B27" s="1">
        <v>45717</v>
      </c>
      <c r="C27" s="1">
        <v>45717</v>
      </c>
      <c r="D27" s="2" t="s">
        <v>7911</v>
      </c>
      <c r="E27" s="2" t="s">
        <v>7890</v>
      </c>
      <c r="F27" s="2" t="s">
        <v>7891</v>
      </c>
      <c r="G27" s="2" t="s">
        <v>7957</v>
      </c>
      <c r="H27">
        <v>6774.83</v>
      </c>
      <c r="I27" s="2" t="s">
        <v>7913</v>
      </c>
      <c r="J27" s="2" t="s">
        <v>7914</v>
      </c>
      <c r="K27" s="2" t="s">
        <v>7915</v>
      </c>
      <c r="L27" s="2" t="s">
        <v>7958</v>
      </c>
    </row>
    <row r="28" spans="1:12">
      <c r="A28" s="2" t="s">
        <v>7959</v>
      </c>
      <c r="B28" s="1">
        <v>45748</v>
      </c>
      <c r="C28" s="1">
        <v>45748</v>
      </c>
      <c r="D28" s="2" t="s">
        <v>7911</v>
      </c>
      <c r="E28" s="2" t="s">
        <v>7890</v>
      </c>
      <c r="F28" s="2" t="s">
        <v>7891</v>
      </c>
      <c r="G28" s="2" t="s">
        <v>7960</v>
      </c>
      <c r="H28">
        <v>6820.61</v>
      </c>
      <c r="I28" s="2" t="s">
        <v>7913</v>
      </c>
      <c r="J28" s="2" t="s">
        <v>7914</v>
      </c>
      <c r="K28" s="2" t="s">
        <v>7915</v>
      </c>
      <c r="L28" s="2" t="s">
        <v>7961</v>
      </c>
    </row>
    <row r="29" spans="1:12">
      <c r="A29" s="2" t="s">
        <v>7962</v>
      </c>
      <c r="B29" s="1">
        <v>45778</v>
      </c>
      <c r="C29" s="1">
        <v>45778</v>
      </c>
      <c r="D29" s="2" t="s">
        <v>7911</v>
      </c>
      <c r="E29" s="2" t="s">
        <v>7890</v>
      </c>
      <c r="F29" s="2" t="s">
        <v>7891</v>
      </c>
      <c r="G29" s="2" t="s">
        <v>7963</v>
      </c>
      <c r="H29">
        <v>6896.88</v>
      </c>
      <c r="I29" s="2" t="s">
        <v>7913</v>
      </c>
      <c r="J29" s="2" t="s">
        <v>7914</v>
      </c>
      <c r="K29" s="2" t="s">
        <v>7915</v>
      </c>
      <c r="L29" s="2" t="s">
        <v>7964</v>
      </c>
    </row>
    <row r="30" spans="1:12">
      <c r="A30" s="2" t="s">
        <v>7965</v>
      </c>
      <c r="B30" s="1">
        <v>45809</v>
      </c>
      <c r="C30" s="1">
        <v>45809</v>
      </c>
      <c r="D30" s="2" t="s">
        <v>7911</v>
      </c>
      <c r="E30" s="2" t="s">
        <v>7890</v>
      </c>
      <c r="F30" s="2" t="s">
        <v>7891</v>
      </c>
      <c r="G30" s="2" t="s">
        <v>7966</v>
      </c>
      <c r="H30">
        <v>6983.53</v>
      </c>
      <c r="I30" s="2" t="s">
        <v>7913</v>
      </c>
      <c r="J30" s="2" t="s">
        <v>7914</v>
      </c>
      <c r="K30" s="2" t="s">
        <v>7915</v>
      </c>
      <c r="L30" s="2" t="s">
        <v>7967</v>
      </c>
    </row>
    <row r="31" spans="1:12">
      <c r="A31" s="2" t="s">
        <v>7968</v>
      </c>
      <c r="B31" s="1">
        <v>45839</v>
      </c>
      <c r="C31" s="1">
        <v>45839</v>
      </c>
      <c r="D31" s="2" t="s">
        <v>7911</v>
      </c>
      <c r="E31" s="2" t="s">
        <v>7890</v>
      </c>
      <c r="F31" s="2" t="s">
        <v>7891</v>
      </c>
      <c r="G31" s="2" t="s">
        <v>7969</v>
      </c>
      <c r="H31">
        <v>7083.01</v>
      </c>
      <c r="I31" s="2" t="s">
        <v>7913</v>
      </c>
      <c r="J31" s="2" t="s">
        <v>7914</v>
      </c>
      <c r="K31" s="2" t="s">
        <v>7915</v>
      </c>
      <c r="L31" s="2" t="s">
        <v>7970</v>
      </c>
    </row>
    <row r="32" spans="1:12">
      <c r="A32" s="2" t="s">
        <v>7971</v>
      </c>
      <c r="B32" s="1">
        <v>45870</v>
      </c>
      <c r="C32" s="1">
        <v>45870</v>
      </c>
      <c r="D32" s="2" t="s">
        <v>7911</v>
      </c>
      <c r="E32" s="2" t="s">
        <v>7890</v>
      </c>
      <c r="F32" s="2" t="s">
        <v>7891</v>
      </c>
      <c r="G32" s="2" t="s">
        <v>7972</v>
      </c>
      <c r="H32">
        <v>7180.05</v>
      </c>
      <c r="I32" s="2" t="s">
        <v>7913</v>
      </c>
      <c r="J32" s="2" t="s">
        <v>7914</v>
      </c>
      <c r="K32" s="2" t="s">
        <v>7915</v>
      </c>
      <c r="L32" s="2" t="s">
        <v>7973</v>
      </c>
    </row>
    <row r="33" spans="1:12">
      <c r="A33" s="2" t="s">
        <v>7974</v>
      </c>
      <c r="B33" s="1">
        <v>45901</v>
      </c>
      <c r="C33" s="1">
        <v>45901</v>
      </c>
      <c r="D33" s="2" t="s">
        <v>7911</v>
      </c>
      <c r="E33" s="2" t="s">
        <v>7890</v>
      </c>
      <c r="F33" s="2" t="s">
        <v>7891</v>
      </c>
      <c r="G33" s="2" t="s">
        <v>7975</v>
      </c>
      <c r="H33">
        <v>7288.7</v>
      </c>
      <c r="I33" s="2" t="s">
        <v>7913</v>
      </c>
      <c r="J33" s="2" t="s">
        <v>7914</v>
      </c>
      <c r="K33" s="2" t="s">
        <v>7915</v>
      </c>
      <c r="L33" s="2" t="s">
        <v>7976</v>
      </c>
    </row>
    <row r="34" spans="1:12">
      <c r="A34" s="2" t="s">
        <v>7977</v>
      </c>
      <c r="B34" s="1">
        <v>45931</v>
      </c>
      <c r="C34" s="1">
        <v>45931</v>
      </c>
      <c r="D34" s="2" t="s">
        <v>7911</v>
      </c>
      <c r="E34" s="2" t="s">
        <v>7890</v>
      </c>
      <c r="F34" s="2" t="s">
        <v>7891</v>
      </c>
      <c r="G34" s="2" t="s">
        <v>7978</v>
      </c>
      <c r="H34">
        <v>7375.04</v>
      </c>
      <c r="I34" s="2" t="s">
        <v>7913</v>
      </c>
      <c r="J34" s="2" t="s">
        <v>7914</v>
      </c>
      <c r="K34" s="2" t="s">
        <v>7915</v>
      </c>
      <c r="L34" s="2" t="s">
        <v>7979</v>
      </c>
    </row>
    <row r="35" spans="1:12">
      <c r="A35" s="2" t="s">
        <v>7980</v>
      </c>
      <c r="B35" s="1">
        <v>45962</v>
      </c>
      <c r="C35" s="1">
        <v>45962</v>
      </c>
      <c r="D35" s="2" t="s">
        <v>7911</v>
      </c>
      <c r="E35" s="2" t="s">
        <v>7890</v>
      </c>
      <c r="F35" s="2" t="s">
        <v>7891</v>
      </c>
      <c r="G35" s="2" t="s">
        <v>7981</v>
      </c>
      <c r="H35">
        <v>7470.83</v>
      </c>
      <c r="I35" s="2" t="s">
        <v>7913</v>
      </c>
      <c r="J35" s="2" t="s">
        <v>7914</v>
      </c>
      <c r="K35" s="2" t="s">
        <v>7915</v>
      </c>
      <c r="L35" s="2" t="s">
        <v>7982</v>
      </c>
    </row>
    <row r="36" spans="1:12">
      <c r="A36" s="2" t="s">
        <v>7983</v>
      </c>
      <c r="B36" s="1">
        <v>45992</v>
      </c>
      <c r="C36" s="1">
        <v>45992</v>
      </c>
      <c r="D36" s="2" t="s">
        <v>7911</v>
      </c>
      <c r="E36" s="2" t="s">
        <v>7890</v>
      </c>
      <c r="F36" s="2" t="s">
        <v>7891</v>
      </c>
      <c r="G36" s="2" t="s">
        <v>7984</v>
      </c>
      <c r="H36">
        <v>7503.95</v>
      </c>
      <c r="I36" s="2" t="s">
        <v>7913</v>
      </c>
      <c r="J36" s="2" t="s">
        <v>7914</v>
      </c>
      <c r="K36" s="2" t="s">
        <v>7915</v>
      </c>
      <c r="L36" s="2" t="s">
        <v>7985</v>
      </c>
    </row>
    <row r="37" spans="1:12">
      <c r="A37" s="2" t="s">
        <v>7986</v>
      </c>
      <c r="B37" s="1">
        <v>46023</v>
      </c>
      <c r="C37" s="1">
        <v>46023</v>
      </c>
      <c r="D37" s="2" t="s">
        <v>7911</v>
      </c>
      <c r="E37" s="2" t="s">
        <v>7890</v>
      </c>
      <c r="F37" s="2" t="s">
        <v>7891</v>
      </c>
      <c r="G37" s="2" t="s">
        <v>7987</v>
      </c>
      <c r="H37">
        <v>7574.12</v>
      </c>
      <c r="I37" s="2" t="s">
        <v>7913</v>
      </c>
      <c r="J37" s="2" t="s">
        <v>7914</v>
      </c>
      <c r="K37" s="2" t="s">
        <v>7915</v>
      </c>
      <c r="L37" s="2" t="s">
        <v>7988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809D-3DEB-478F-A0D3-E53F6463581D}">
  <dimension ref="A1:S4618"/>
  <sheetViews>
    <sheetView workbookViewId="0"/>
  </sheetViews>
  <sheetFormatPr defaultRowHeight="14.5"/>
  <cols>
    <col min="1" max="1" width="13.54296875" bestFit="1" customWidth="1"/>
    <col min="2" max="2" width="13.7265625" bestFit="1" customWidth="1"/>
    <col min="3" max="3" width="6.7265625" bestFit="1" customWidth="1"/>
    <col min="5" max="5" width="30.6328125" bestFit="1" customWidth="1"/>
    <col min="6" max="6" width="62.90625" bestFit="1" customWidth="1"/>
    <col min="7" max="7" width="23.90625" bestFit="1" customWidth="1"/>
    <col min="8" max="8" width="34.6328125" bestFit="1" customWidth="1"/>
    <col min="9" max="9" width="31" bestFit="1" customWidth="1"/>
    <col min="10" max="10" width="15.81640625" bestFit="1" customWidth="1"/>
    <col min="11" max="11" width="13.81640625" bestFit="1" customWidth="1"/>
    <col min="12" max="12" width="16.26953125" bestFit="1" customWidth="1"/>
    <col min="13" max="13" width="19.08984375" bestFit="1" customWidth="1"/>
    <col min="14" max="14" width="19.36328125" bestFit="1" customWidth="1"/>
    <col min="15" max="15" width="17.54296875" bestFit="1" customWidth="1"/>
    <col min="16" max="16" width="16.81640625" bestFit="1" customWidth="1"/>
    <col min="17" max="17" width="15" bestFit="1" customWidth="1"/>
    <col min="18" max="18" width="25.26953125" bestFit="1" customWidth="1"/>
    <col min="19" max="19" width="76.089843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>
        <v>43770</v>
      </c>
      <c r="B2" s="1">
        <v>43770</v>
      </c>
      <c r="C2">
        <v>2019</v>
      </c>
      <c r="D2">
        <v>11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>
        <v>0.64</v>
      </c>
      <c r="L2">
        <v>33.1</v>
      </c>
      <c r="M2">
        <v>5171.88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</row>
    <row r="3" spans="1:19">
      <c r="A3" s="1">
        <v>43770</v>
      </c>
      <c r="B3" s="1">
        <v>43770</v>
      </c>
      <c r="C3">
        <v>2019</v>
      </c>
      <c r="D3">
        <v>11</v>
      </c>
      <c r="E3" s="2" t="s">
        <v>31</v>
      </c>
      <c r="F3" s="2" t="s">
        <v>32</v>
      </c>
      <c r="G3" s="2" t="s">
        <v>21</v>
      </c>
      <c r="H3" s="2" t="s">
        <v>22</v>
      </c>
      <c r="I3" s="2" t="s">
        <v>23</v>
      </c>
      <c r="J3" s="2" t="s">
        <v>24</v>
      </c>
      <c r="K3">
        <v>1361.27</v>
      </c>
      <c r="L3">
        <v>6882.85</v>
      </c>
      <c r="M3">
        <v>505.62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29</v>
      </c>
      <c r="S3" s="2" t="s">
        <v>30</v>
      </c>
    </row>
    <row r="4" spans="1:19">
      <c r="A4" s="1">
        <v>43770</v>
      </c>
      <c r="B4" s="1">
        <v>43770</v>
      </c>
      <c r="C4">
        <v>2019</v>
      </c>
      <c r="D4">
        <v>11</v>
      </c>
      <c r="E4" s="2" t="s">
        <v>37</v>
      </c>
      <c r="F4" s="2" t="s">
        <v>38</v>
      </c>
      <c r="G4" s="2" t="s">
        <v>39</v>
      </c>
      <c r="H4" s="2" t="s">
        <v>22</v>
      </c>
      <c r="I4" s="2" t="s">
        <v>40</v>
      </c>
      <c r="J4" s="2" t="s">
        <v>24</v>
      </c>
      <c r="K4">
        <v>7.99</v>
      </c>
      <c r="L4">
        <v>381.17</v>
      </c>
      <c r="M4">
        <v>4770.59</v>
      </c>
      <c r="N4" s="2" t="s">
        <v>41</v>
      </c>
      <c r="O4" s="2" t="s">
        <v>42</v>
      </c>
      <c r="P4" s="2" t="s">
        <v>43</v>
      </c>
      <c r="Q4" s="2" t="s">
        <v>44</v>
      </c>
      <c r="R4" s="2" t="s">
        <v>29</v>
      </c>
      <c r="S4" s="2" t="s">
        <v>30</v>
      </c>
    </row>
    <row r="5" spans="1:19">
      <c r="A5" s="1">
        <v>43770</v>
      </c>
      <c r="B5" s="1">
        <v>43770</v>
      </c>
      <c r="C5">
        <v>2019</v>
      </c>
      <c r="D5">
        <v>11</v>
      </c>
      <c r="E5" s="2" t="s">
        <v>45</v>
      </c>
      <c r="F5" s="2" t="s">
        <v>46</v>
      </c>
      <c r="G5" s="2" t="s">
        <v>39</v>
      </c>
      <c r="H5" s="2" t="s">
        <v>22</v>
      </c>
      <c r="I5" s="2" t="s">
        <v>40</v>
      </c>
      <c r="J5" s="2" t="s">
        <v>24</v>
      </c>
      <c r="K5">
        <v>6236.89</v>
      </c>
      <c r="L5">
        <v>281337.84999999998</v>
      </c>
      <c r="M5">
        <v>4510.87</v>
      </c>
      <c r="N5" s="2" t="s">
        <v>47</v>
      </c>
      <c r="O5" s="2" t="s">
        <v>48</v>
      </c>
      <c r="P5" s="2" t="s">
        <v>49</v>
      </c>
      <c r="Q5" s="2" t="s">
        <v>50</v>
      </c>
      <c r="R5" s="2" t="s">
        <v>29</v>
      </c>
      <c r="S5" s="2" t="s">
        <v>30</v>
      </c>
    </row>
    <row r="6" spans="1:19">
      <c r="A6" s="1">
        <v>43770</v>
      </c>
      <c r="B6" s="1">
        <v>43770</v>
      </c>
      <c r="C6">
        <v>2019</v>
      </c>
      <c r="D6">
        <v>11</v>
      </c>
      <c r="E6" s="2" t="s">
        <v>51</v>
      </c>
      <c r="F6" s="2" t="s">
        <v>52</v>
      </c>
      <c r="G6" s="2" t="s">
        <v>39</v>
      </c>
      <c r="H6" s="2" t="s">
        <v>22</v>
      </c>
      <c r="I6" s="2" t="s">
        <v>40</v>
      </c>
      <c r="J6" s="2" t="s">
        <v>24</v>
      </c>
      <c r="K6">
        <v>27.68</v>
      </c>
      <c r="L6">
        <v>911.57</v>
      </c>
      <c r="M6">
        <v>3293.24</v>
      </c>
      <c r="N6" s="2" t="s">
        <v>53</v>
      </c>
      <c r="O6" s="2" t="s">
        <v>54</v>
      </c>
      <c r="P6" s="2" t="s">
        <v>55</v>
      </c>
      <c r="Q6" s="2" t="s">
        <v>56</v>
      </c>
      <c r="R6" s="2" t="s">
        <v>29</v>
      </c>
      <c r="S6" s="2" t="s">
        <v>30</v>
      </c>
    </row>
    <row r="7" spans="1:19">
      <c r="A7" s="1">
        <v>43770</v>
      </c>
      <c r="B7" s="1">
        <v>43770</v>
      </c>
      <c r="C7">
        <v>2019</v>
      </c>
      <c r="D7">
        <v>11</v>
      </c>
      <c r="E7" s="2" t="s">
        <v>57</v>
      </c>
      <c r="F7" s="2" t="s">
        <v>58</v>
      </c>
      <c r="G7" s="2" t="s">
        <v>39</v>
      </c>
      <c r="H7" s="2" t="s">
        <v>22</v>
      </c>
      <c r="I7" s="2" t="s">
        <v>40</v>
      </c>
      <c r="J7" s="2" t="s">
        <v>59</v>
      </c>
      <c r="K7">
        <v>6272.56</v>
      </c>
      <c r="L7">
        <v>282630.59000000003</v>
      </c>
      <c r="M7">
        <v>4505.83</v>
      </c>
      <c r="N7" s="2" t="s">
        <v>60</v>
      </c>
      <c r="O7" s="2" t="s">
        <v>61</v>
      </c>
      <c r="P7" s="2" t="s">
        <v>62</v>
      </c>
      <c r="Q7" s="2" t="s">
        <v>63</v>
      </c>
      <c r="R7" s="2" t="s">
        <v>29</v>
      </c>
      <c r="S7" s="2" t="s">
        <v>30</v>
      </c>
    </row>
    <row r="8" spans="1:19">
      <c r="A8" s="1">
        <v>43770</v>
      </c>
      <c r="B8" s="1">
        <v>43770</v>
      </c>
      <c r="C8">
        <v>2019</v>
      </c>
      <c r="D8">
        <v>11</v>
      </c>
      <c r="E8" s="2" t="s">
        <v>64</v>
      </c>
      <c r="F8" s="2" t="s">
        <v>65</v>
      </c>
      <c r="G8" s="2" t="s">
        <v>21</v>
      </c>
      <c r="H8" s="2" t="s">
        <v>22</v>
      </c>
      <c r="I8" s="2" t="s">
        <v>66</v>
      </c>
      <c r="J8" s="2" t="s">
        <v>24</v>
      </c>
      <c r="K8">
        <v>6.46</v>
      </c>
      <c r="L8">
        <v>96.68</v>
      </c>
      <c r="M8">
        <v>1496.59</v>
      </c>
      <c r="N8" s="2" t="s">
        <v>67</v>
      </c>
      <c r="O8" s="2" t="s">
        <v>68</v>
      </c>
      <c r="P8" s="2" t="s">
        <v>69</v>
      </c>
      <c r="Q8" s="2" t="s">
        <v>70</v>
      </c>
      <c r="R8" s="2" t="s">
        <v>29</v>
      </c>
      <c r="S8" s="2" t="s">
        <v>30</v>
      </c>
    </row>
    <row r="9" spans="1:19">
      <c r="A9" s="1">
        <v>43770</v>
      </c>
      <c r="B9" s="1">
        <v>43770</v>
      </c>
      <c r="C9">
        <v>2019</v>
      </c>
      <c r="D9">
        <v>11</v>
      </c>
      <c r="E9" s="2" t="s">
        <v>71</v>
      </c>
      <c r="F9" s="2" t="s">
        <v>72</v>
      </c>
      <c r="G9" s="2" t="s">
        <v>21</v>
      </c>
      <c r="H9" s="2" t="s">
        <v>22</v>
      </c>
      <c r="I9" s="2" t="s">
        <v>73</v>
      </c>
      <c r="J9" s="2" t="s">
        <v>59</v>
      </c>
      <c r="K9">
        <v>5942.96</v>
      </c>
      <c r="L9">
        <v>118338.93</v>
      </c>
      <c r="M9">
        <v>1991.25</v>
      </c>
      <c r="N9" s="2" t="s">
        <v>74</v>
      </c>
      <c r="O9" s="2" t="s">
        <v>75</v>
      </c>
      <c r="P9" s="2" t="s">
        <v>76</v>
      </c>
      <c r="Q9" s="2" t="s">
        <v>77</v>
      </c>
      <c r="R9" s="2" t="s">
        <v>29</v>
      </c>
      <c r="S9" s="2" t="s">
        <v>30</v>
      </c>
    </row>
    <row r="10" spans="1:19">
      <c r="A10" s="1">
        <v>43770</v>
      </c>
      <c r="B10" s="1">
        <v>43770</v>
      </c>
      <c r="C10">
        <v>2019</v>
      </c>
      <c r="D10">
        <v>11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82</v>
      </c>
      <c r="J10" s="2" t="s">
        <v>24</v>
      </c>
      <c r="K10">
        <v>1.74</v>
      </c>
      <c r="L10">
        <v>3525359.16</v>
      </c>
      <c r="M10">
        <v>202606848.28</v>
      </c>
      <c r="N10" s="2" t="s">
        <v>83</v>
      </c>
      <c r="O10" s="2" t="s">
        <v>84</v>
      </c>
      <c r="P10" s="2" t="s">
        <v>85</v>
      </c>
      <c r="Q10" s="2" t="s">
        <v>86</v>
      </c>
      <c r="R10" s="2" t="s">
        <v>29</v>
      </c>
      <c r="S10" s="2" t="s">
        <v>30</v>
      </c>
    </row>
    <row r="11" spans="1:19">
      <c r="A11" s="1">
        <v>43770</v>
      </c>
      <c r="B11" s="1">
        <v>43770</v>
      </c>
      <c r="C11">
        <v>2019</v>
      </c>
      <c r="D11">
        <v>11</v>
      </c>
      <c r="E11" s="2" t="s">
        <v>87</v>
      </c>
      <c r="F11" s="2" t="s">
        <v>88</v>
      </c>
      <c r="G11" s="2" t="s">
        <v>80</v>
      </c>
      <c r="H11" s="2" t="s">
        <v>81</v>
      </c>
      <c r="I11" s="2" t="s">
        <v>82</v>
      </c>
      <c r="J11" s="2" t="s">
        <v>24</v>
      </c>
      <c r="K11">
        <v>0.63</v>
      </c>
      <c r="L11">
        <v>862103.55</v>
      </c>
      <c r="M11">
        <v>136841833.33000001</v>
      </c>
      <c r="N11" s="2" t="s">
        <v>89</v>
      </c>
      <c r="O11" s="2" t="s">
        <v>90</v>
      </c>
      <c r="P11" s="2" t="s">
        <v>91</v>
      </c>
      <c r="Q11" s="2" t="s">
        <v>92</v>
      </c>
      <c r="R11" s="2" t="s">
        <v>29</v>
      </c>
      <c r="S11" s="2" t="s">
        <v>30</v>
      </c>
    </row>
    <row r="12" spans="1:19">
      <c r="A12" s="1">
        <v>43770</v>
      </c>
      <c r="B12" s="1">
        <v>43770</v>
      </c>
      <c r="C12">
        <v>2019</v>
      </c>
      <c r="D12">
        <v>11</v>
      </c>
      <c r="E12" s="2" t="s">
        <v>93</v>
      </c>
      <c r="F12" s="2" t="s">
        <v>94</v>
      </c>
      <c r="G12" s="2" t="s">
        <v>80</v>
      </c>
      <c r="H12" s="2" t="s">
        <v>81</v>
      </c>
      <c r="I12" s="2" t="s">
        <v>82</v>
      </c>
      <c r="J12" s="2" t="s">
        <v>24</v>
      </c>
      <c r="K12">
        <v>0.19</v>
      </c>
      <c r="L12">
        <v>2359754.73</v>
      </c>
      <c r="M12">
        <v>1241976173.6800001</v>
      </c>
      <c r="N12" s="2" t="s">
        <v>95</v>
      </c>
      <c r="O12" s="2" t="s">
        <v>96</v>
      </c>
      <c r="P12" s="2" t="s">
        <v>97</v>
      </c>
      <c r="Q12" s="2" t="s">
        <v>98</v>
      </c>
      <c r="R12" s="2" t="s">
        <v>29</v>
      </c>
      <c r="S12" s="2" t="s">
        <v>30</v>
      </c>
    </row>
    <row r="13" spans="1:19">
      <c r="A13" s="1">
        <v>43770</v>
      </c>
      <c r="B13" s="1">
        <v>43770</v>
      </c>
      <c r="C13">
        <v>2019</v>
      </c>
      <c r="D13">
        <v>11</v>
      </c>
      <c r="E13" s="2" t="s">
        <v>99</v>
      </c>
      <c r="F13" s="2" t="s">
        <v>100</v>
      </c>
      <c r="G13" s="2" t="s">
        <v>80</v>
      </c>
      <c r="H13" s="2" t="s">
        <v>81</v>
      </c>
      <c r="I13" s="2" t="s">
        <v>82</v>
      </c>
      <c r="J13" s="2" t="s">
        <v>101</v>
      </c>
      <c r="K13">
        <v>1.01</v>
      </c>
      <c r="L13">
        <v>6869044.5800000001</v>
      </c>
      <c r="M13">
        <v>680103423.75999999</v>
      </c>
      <c r="N13" s="2" t="s">
        <v>102</v>
      </c>
      <c r="O13" s="2" t="s">
        <v>103</v>
      </c>
      <c r="P13" s="2" t="s">
        <v>104</v>
      </c>
      <c r="Q13" s="2" t="s">
        <v>105</v>
      </c>
      <c r="R13" s="2" t="s">
        <v>29</v>
      </c>
      <c r="S13" s="2" t="s">
        <v>30</v>
      </c>
    </row>
    <row r="14" spans="1:19">
      <c r="A14" s="1">
        <v>43770</v>
      </c>
      <c r="B14" s="1">
        <v>43770</v>
      </c>
      <c r="C14">
        <v>2019</v>
      </c>
      <c r="D14">
        <v>11</v>
      </c>
      <c r="E14" s="2" t="s">
        <v>106</v>
      </c>
      <c r="F14" s="2" t="s">
        <v>107</v>
      </c>
      <c r="G14" s="2" t="s">
        <v>80</v>
      </c>
      <c r="H14" s="2" t="s">
        <v>81</v>
      </c>
      <c r="I14" s="2" t="s">
        <v>82</v>
      </c>
      <c r="J14" s="2" t="s">
        <v>24</v>
      </c>
      <c r="K14">
        <v>0.19</v>
      </c>
      <c r="L14">
        <v>3647186.3</v>
      </c>
      <c r="M14">
        <v>1919571736.8399999</v>
      </c>
      <c r="N14" s="2" t="s">
        <v>108</v>
      </c>
      <c r="O14" s="2" t="s">
        <v>109</v>
      </c>
      <c r="P14" s="2" t="s">
        <v>97</v>
      </c>
      <c r="Q14" s="2" t="s">
        <v>110</v>
      </c>
      <c r="R14" s="2" t="s">
        <v>29</v>
      </c>
      <c r="S14" s="2" t="s">
        <v>30</v>
      </c>
    </row>
    <row r="15" spans="1:19">
      <c r="A15" s="1">
        <v>43770</v>
      </c>
      <c r="B15" s="1">
        <v>43770</v>
      </c>
      <c r="C15">
        <v>2019</v>
      </c>
      <c r="D15">
        <v>11</v>
      </c>
      <c r="E15" s="2" t="s">
        <v>111</v>
      </c>
      <c r="F15" s="2" t="s">
        <v>112</v>
      </c>
      <c r="G15" s="2" t="s">
        <v>80</v>
      </c>
      <c r="H15" s="2" t="s">
        <v>81</v>
      </c>
      <c r="I15" s="2" t="s">
        <v>82</v>
      </c>
      <c r="J15" s="2" t="s">
        <v>24</v>
      </c>
      <c r="K15">
        <v>0.04</v>
      </c>
      <c r="L15">
        <v>261245</v>
      </c>
      <c r="M15">
        <v>653112500</v>
      </c>
      <c r="N15" s="2" t="s">
        <v>113</v>
      </c>
      <c r="O15" s="2" t="s">
        <v>114</v>
      </c>
      <c r="P15" s="2" t="s">
        <v>115</v>
      </c>
      <c r="Q15" s="2" t="s">
        <v>116</v>
      </c>
      <c r="R15" s="2" t="s">
        <v>29</v>
      </c>
      <c r="S15" s="2" t="s">
        <v>30</v>
      </c>
    </row>
    <row r="16" spans="1:19">
      <c r="A16" s="1">
        <v>43770</v>
      </c>
      <c r="B16" s="1">
        <v>43770</v>
      </c>
      <c r="C16">
        <v>2019</v>
      </c>
      <c r="D16">
        <v>11</v>
      </c>
      <c r="E16" s="2" t="s">
        <v>117</v>
      </c>
      <c r="F16" s="2" t="s">
        <v>118</v>
      </c>
      <c r="G16" s="2" t="s">
        <v>80</v>
      </c>
      <c r="H16" s="2" t="s">
        <v>81</v>
      </c>
      <c r="I16" s="2" t="s">
        <v>82</v>
      </c>
      <c r="J16" s="2" t="s">
        <v>59</v>
      </c>
      <c r="K16">
        <v>2.78</v>
      </c>
      <c r="L16">
        <v>10655648.74</v>
      </c>
      <c r="M16">
        <v>383296717.26999998</v>
      </c>
      <c r="N16" s="2" t="s">
        <v>119</v>
      </c>
      <c r="O16" s="2" t="s">
        <v>120</v>
      </c>
      <c r="P16" s="2" t="s">
        <v>121</v>
      </c>
      <c r="Q16" s="2" t="s">
        <v>122</v>
      </c>
      <c r="R16" s="2" t="s">
        <v>29</v>
      </c>
      <c r="S16" s="2" t="s">
        <v>30</v>
      </c>
    </row>
    <row r="17" spans="1:19">
      <c r="A17" s="1">
        <v>43770</v>
      </c>
      <c r="B17" s="1">
        <v>43770</v>
      </c>
      <c r="C17">
        <v>2019</v>
      </c>
      <c r="D17">
        <v>11</v>
      </c>
      <c r="E17" s="2" t="s">
        <v>123</v>
      </c>
      <c r="F17" s="2" t="s">
        <v>124</v>
      </c>
      <c r="G17" s="2" t="s">
        <v>21</v>
      </c>
      <c r="H17" s="2" t="s">
        <v>22</v>
      </c>
      <c r="I17" s="2" t="s">
        <v>73</v>
      </c>
      <c r="J17" s="2" t="s">
        <v>24</v>
      </c>
      <c r="K17">
        <v>728.6</v>
      </c>
      <c r="L17">
        <v>28400.61</v>
      </c>
      <c r="M17">
        <v>3897.97</v>
      </c>
      <c r="N17" s="2" t="s">
        <v>125</v>
      </c>
      <c r="O17" s="2" t="s">
        <v>126</v>
      </c>
      <c r="P17" s="2" t="s">
        <v>127</v>
      </c>
      <c r="Q17" s="2" t="s">
        <v>128</v>
      </c>
      <c r="R17" s="2" t="s">
        <v>29</v>
      </c>
      <c r="S17" s="2" t="s">
        <v>30</v>
      </c>
    </row>
    <row r="18" spans="1:19">
      <c r="A18" s="1">
        <v>43770</v>
      </c>
      <c r="B18" s="1">
        <v>43770</v>
      </c>
      <c r="C18">
        <v>2019</v>
      </c>
      <c r="D18">
        <v>11</v>
      </c>
      <c r="E18" s="2" t="s">
        <v>129</v>
      </c>
      <c r="F18" s="2" t="s">
        <v>130</v>
      </c>
      <c r="G18" s="2" t="s">
        <v>21</v>
      </c>
      <c r="H18" s="2" t="s">
        <v>22</v>
      </c>
      <c r="I18" s="2" t="s">
        <v>73</v>
      </c>
      <c r="J18" s="2" t="s">
        <v>24</v>
      </c>
      <c r="K18">
        <v>1033.52</v>
      </c>
      <c r="L18">
        <v>31729.63</v>
      </c>
      <c r="M18">
        <v>3070.05</v>
      </c>
      <c r="N18" s="2" t="s">
        <v>131</v>
      </c>
      <c r="O18" s="2" t="s">
        <v>132</v>
      </c>
      <c r="P18" s="2" t="s">
        <v>133</v>
      </c>
      <c r="Q18" s="2" t="s">
        <v>134</v>
      </c>
      <c r="R18" s="2" t="s">
        <v>29</v>
      </c>
      <c r="S18" s="2" t="s">
        <v>30</v>
      </c>
    </row>
    <row r="19" spans="1:19">
      <c r="A19" s="1">
        <v>43770</v>
      </c>
      <c r="B19" s="1">
        <v>43770</v>
      </c>
      <c r="C19">
        <v>2019</v>
      </c>
      <c r="D19">
        <v>11</v>
      </c>
      <c r="E19" s="2" t="s">
        <v>135</v>
      </c>
      <c r="F19" s="2" t="s">
        <v>136</v>
      </c>
      <c r="G19" s="2" t="s">
        <v>21</v>
      </c>
      <c r="H19" s="2" t="s">
        <v>22</v>
      </c>
      <c r="I19" s="2" t="s">
        <v>73</v>
      </c>
      <c r="J19" s="2" t="s">
        <v>101</v>
      </c>
      <c r="K19">
        <v>1762.12</v>
      </c>
      <c r="L19">
        <v>60130.25</v>
      </c>
      <c r="M19">
        <v>3412.38</v>
      </c>
      <c r="N19" s="2" t="s">
        <v>137</v>
      </c>
      <c r="O19" s="2" t="s">
        <v>138</v>
      </c>
      <c r="P19" s="2" t="s">
        <v>139</v>
      </c>
      <c r="Q19" s="2" t="s">
        <v>140</v>
      </c>
      <c r="R19" s="2" t="s">
        <v>29</v>
      </c>
      <c r="S19" s="2" t="s">
        <v>30</v>
      </c>
    </row>
    <row r="20" spans="1:19">
      <c r="A20" s="1">
        <v>43770</v>
      </c>
      <c r="B20" s="1">
        <v>43770</v>
      </c>
      <c r="C20">
        <v>2019</v>
      </c>
      <c r="D20">
        <v>11</v>
      </c>
      <c r="E20" s="2" t="s">
        <v>141</v>
      </c>
      <c r="F20" s="2" t="s">
        <v>142</v>
      </c>
      <c r="G20" s="2" t="s">
        <v>21</v>
      </c>
      <c r="H20" s="2" t="s">
        <v>22</v>
      </c>
      <c r="I20" s="2" t="s">
        <v>73</v>
      </c>
      <c r="J20" s="2" t="s">
        <v>24</v>
      </c>
      <c r="K20">
        <v>1697.66</v>
      </c>
      <c r="L20">
        <v>21201.33</v>
      </c>
      <c r="M20">
        <v>1248.8599999999999</v>
      </c>
      <c r="N20" s="2" t="s">
        <v>143</v>
      </c>
      <c r="O20" s="2" t="s">
        <v>144</v>
      </c>
      <c r="P20" s="2" t="s">
        <v>145</v>
      </c>
      <c r="Q20" s="2" t="s">
        <v>146</v>
      </c>
      <c r="R20" s="2" t="s">
        <v>29</v>
      </c>
      <c r="S20" s="2" t="s">
        <v>30</v>
      </c>
    </row>
    <row r="21" spans="1:19">
      <c r="A21" s="1">
        <v>43770</v>
      </c>
      <c r="B21" s="1">
        <v>43770</v>
      </c>
      <c r="C21">
        <v>2019</v>
      </c>
      <c r="D21">
        <v>11</v>
      </c>
      <c r="E21" s="2" t="s">
        <v>147</v>
      </c>
      <c r="F21" s="2" t="s">
        <v>148</v>
      </c>
      <c r="G21" s="2" t="s">
        <v>21</v>
      </c>
      <c r="H21" s="2" t="s">
        <v>22</v>
      </c>
      <c r="I21" s="2" t="s">
        <v>73</v>
      </c>
      <c r="J21" s="2" t="s">
        <v>24</v>
      </c>
      <c r="K21">
        <v>2483.1799999999998</v>
      </c>
      <c r="L21">
        <v>37007.360000000001</v>
      </c>
      <c r="M21">
        <v>1490.32</v>
      </c>
      <c r="N21" s="2" t="s">
        <v>149</v>
      </c>
      <c r="O21" s="2" t="s">
        <v>150</v>
      </c>
      <c r="P21" s="2" t="s">
        <v>151</v>
      </c>
      <c r="Q21" s="2" t="s">
        <v>152</v>
      </c>
      <c r="R21" s="2" t="s">
        <v>29</v>
      </c>
      <c r="S21" s="2" t="s">
        <v>30</v>
      </c>
    </row>
    <row r="22" spans="1:19">
      <c r="A22" s="1">
        <v>43770</v>
      </c>
      <c r="B22" s="1">
        <v>43770</v>
      </c>
      <c r="C22">
        <v>2019</v>
      </c>
      <c r="D22">
        <v>11</v>
      </c>
      <c r="E22" s="2" t="s">
        <v>153</v>
      </c>
      <c r="F22" s="2" t="s">
        <v>154</v>
      </c>
      <c r="G22" s="2" t="s">
        <v>21</v>
      </c>
      <c r="H22" s="2" t="s">
        <v>22</v>
      </c>
      <c r="I22" s="2" t="s">
        <v>73</v>
      </c>
      <c r="J22" s="2" t="s">
        <v>101</v>
      </c>
      <c r="K22">
        <v>4180.84</v>
      </c>
      <c r="L22">
        <v>58208.69</v>
      </c>
      <c r="M22">
        <v>1392.27</v>
      </c>
      <c r="N22" s="2" t="s">
        <v>155</v>
      </c>
      <c r="O22" s="2" t="s">
        <v>156</v>
      </c>
      <c r="P22" s="2" t="s">
        <v>157</v>
      </c>
      <c r="Q22" s="2" t="s">
        <v>158</v>
      </c>
      <c r="R22" s="2" t="s">
        <v>29</v>
      </c>
      <c r="S22" s="2" t="s">
        <v>30</v>
      </c>
    </row>
    <row r="23" spans="1:19">
      <c r="A23" s="1">
        <v>43770</v>
      </c>
      <c r="B23" s="1">
        <v>43770</v>
      </c>
      <c r="C23">
        <v>2019</v>
      </c>
      <c r="D23">
        <v>11</v>
      </c>
      <c r="E23" s="2" t="s">
        <v>159</v>
      </c>
      <c r="F23" s="2" t="s">
        <v>160</v>
      </c>
      <c r="G23" s="2" t="s">
        <v>21</v>
      </c>
      <c r="H23" s="2" t="s">
        <v>22</v>
      </c>
      <c r="I23" s="2" t="s">
        <v>66</v>
      </c>
      <c r="J23" s="2" t="s">
        <v>59</v>
      </c>
      <c r="K23">
        <v>530.54</v>
      </c>
      <c r="L23">
        <v>52894.13</v>
      </c>
      <c r="M23">
        <v>9969.8700000000008</v>
      </c>
      <c r="N23" s="2" t="s">
        <v>161</v>
      </c>
      <c r="O23" s="2" t="s">
        <v>162</v>
      </c>
      <c r="P23" s="2" t="s">
        <v>163</v>
      </c>
      <c r="Q23" s="2" t="s">
        <v>164</v>
      </c>
      <c r="R23" s="2" t="s">
        <v>29</v>
      </c>
      <c r="S23" s="2" t="s">
        <v>30</v>
      </c>
    </row>
    <row r="24" spans="1:19">
      <c r="A24" s="1">
        <v>43770</v>
      </c>
      <c r="B24" s="1">
        <v>43770</v>
      </c>
      <c r="C24">
        <v>2019</v>
      </c>
      <c r="D24">
        <v>11</v>
      </c>
      <c r="E24" s="2" t="s">
        <v>165</v>
      </c>
      <c r="F24" s="2" t="s">
        <v>166</v>
      </c>
      <c r="G24" s="2" t="s">
        <v>21</v>
      </c>
      <c r="H24" s="2" t="s">
        <v>22</v>
      </c>
      <c r="I24" s="2" t="s">
        <v>23</v>
      </c>
      <c r="J24" s="2" t="s">
        <v>24</v>
      </c>
      <c r="K24">
        <v>0.17</v>
      </c>
      <c r="L24">
        <v>61.41</v>
      </c>
      <c r="M24">
        <v>36123.53</v>
      </c>
      <c r="N24" s="2" t="s">
        <v>167</v>
      </c>
      <c r="O24" s="2" t="s">
        <v>168</v>
      </c>
      <c r="P24" s="2" t="s">
        <v>169</v>
      </c>
      <c r="Q24" s="2" t="s">
        <v>170</v>
      </c>
      <c r="R24" s="2" t="s">
        <v>29</v>
      </c>
      <c r="S24" s="2" t="s">
        <v>30</v>
      </c>
    </row>
    <row r="25" spans="1:19">
      <c r="A25" s="1">
        <v>43770</v>
      </c>
      <c r="B25" s="1">
        <v>43770</v>
      </c>
      <c r="C25">
        <v>2019</v>
      </c>
      <c r="D25">
        <v>11</v>
      </c>
      <c r="E25" s="2" t="s">
        <v>171</v>
      </c>
      <c r="F25" s="2" t="s">
        <v>172</v>
      </c>
      <c r="G25" s="2" t="s">
        <v>21</v>
      </c>
      <c r="H25" s="2" t="s">
        <v>22</v>
      </c>
      <c r="I25" s="2" t="s">
        <v>66</v>
      </c>
      <c r="J25" s="2" t="s">
        <v>24</v>
      </c>
      <c r="N25" s="2" t="s">
        <v>173</v>
      </c>
      <c r="O25" s="2" t="s">
        <v>174</v>
      </c>
      <c r="P25" s="2" t="s">
        <v>175</v>
      </c>
      <c r="Q25" s="2" t="s">
        <v>175</v>
      </c>
      <c r="R25" s="2" t="s">
        <v>176</v>
      </c>
      <c r="S25" s="2" t="s">
        <v>30</v>
      </c>
    </row>
    <row r="26" spans="1:19">
      <c r="A26" s="1">
        <v>43770</v>
      </c>
      <c r="B26" s="1">
        <v>43770</v>
      </c>
      <c r="C26">
        <v>2019</v>
      </c>
      <c r="D26">
        <v>11</v>
      </c>
      <c r="E26" s="2" t="s">
        <v>177</v>
      </c>
      <c r="F26" s="2" t="s">
        <v>178</v>
      </c>
      <c r="G26" s="2" t="s">
        <v>21</v>
      </c>
      <c r="H26" s="2" t="s">
        <v>22</v>
      </c>
      <c r="I26" s="2" t="s">
        <v>23</v>
      </c>
      <c r="J26" s="2" t="s">
        <v>24</v>
      </c>
      <c r="K26">
        <v>2280.75</v>
      </c>
      <c r="L26">
        <v>202903.64</v>
      </c>
      <c r="M26">
        <v>8896.36</v>
      </c>
      <c r="N26" s="2" t="s">
        <v>179</v>
      </c>
      <c r="O26" s="2" t="s">
        <v>180</v>
      </c>
      <c r="P26" s="2" t="s">
        <v>181</v>
      </c>
      <c r="Q26" s="2" t="s">
        <v>182</v>
      </c>
      <c r="R26" s="2" t="s">
        <v>29</v>
      </c>
      <c r="S26" s="2" t="s">
        <v>30</v>
      </c>
    </row>
    <row r="27" spans="1:19">
      <c r="A27" s="1">
        <v>43770</v>
      </c>
      <c r="B27" s="1">
        <v>43770</v>
      </c>
      <c r="C27">
        <v>2019</v>
      </c>
      <c r="D27">
        <v>11</v>
      </c>
      <c r="E27" s="2" t="s">
        <v>183</v>
      </c>
      <c r="F27" s="2" t="s">
        <v>184</v>
      </c>
      <c r="G27" s="2" t="s">
        <v>185</v>
      </c>
      <c r="H27" s="2" t="s">
        <v>22</v>
      </c>
      <c r="I27" s="2" t="s">
        <v>186</v>
      </c>
      <c r="J27" s="2" t="s">
        <v>24</v>
      </c>
      <c r="K27">
        <v>2304.7199999999998</v>
      </c>
      <c r="L27">
        <v>1819547.47</v>
      </c>
      <c r="M27">
        <v>78948.740000000005</v>
      </c>
      <c r="N27" s="2" t="s">
        <v>187</v>
      </c>
      <c r="O27" s="2" t="s">
        <v>188</v>
      </c>
      <c r="P27" s="2" t="s">
        <v>189</v>
      </c>
      <c r="Q27" s="2" t="s">
        <v>190</v>
      </c>
      <c r="R27" s="2" t="s">
        <v>29</v>
      </c>
      <c r="S27" s="2" t="s">
        <v>30</v>
      </c>
    </row>
    <row r="28" spans="1:19">
      <c r="A28" s="1">
        <v>43770</v>
      </c>
      <c r="B28" s="1">
        <v>43770</v>
      </c>
      <c r="C28">
        <v>2019</v>
      </c>
      <c r="D28">
        <v>11</v>
      </c>
      <c r="E28" s="2" t="s">
        <v>191</v>
      </c>
      <c r="F28" s="2" t="s">
        <v>192</v>
      </c>
      <c r="G28" s="2" t="s">
        <v>185</v>
      </c>
      <c r="H28" s="2" t="s">
        <v>22</v>
      </c>
      <c r="I28" s="2" t="s">
        <v>186</v>
      </c>
      <c r="J28" s="2" t="s">
        <v>24</v>
      </c>
      <c r="K28">
        <v>646.76</v>
      </c>
      <c r="L28">
        <v>2584753.67</v>
      </c>
      <c r="M28">
        <v>399646.49</v>
      </c>
      <c r="N28" s="2" t="s">
        <v>193</v>
      </c>
      <c r="O28" s="2" t="s">
        <v>194</v>
      </c>
      <c r="P28" s="2" t="s">
        <v>195</v>
      </c>
      <c r="Q28" s="2" t="s">
        <v>196</v>
      </c>
      <c r="R28" s="2" t="s">
        <v>29</v>
      </c>
      <c r="S28" s="2" t="s">
        <v>30</v>
      </c>
    </row>
    <row r="29" spans="1:19">
      <c r="A29" s="1">
        <v>43770</v>
      </c>
      <c r="B29" s="1">
        <v>43770</v>
      </c>
      <c r="C29">
        <v>2019</v>
      </c>
      <c r="D29">
        <v>11</v>
      </c>
      <c r="E29" s="2" t="s">
        <v>197</v>
      </c>
      <c r="F29" s="2" t="s">
        <v>198</v>
      </c>
      <c r="G29" s="2" t="s">
        <v>185</v>
      </c>
      <c r="H29" s="2" t="s">
        <v>22</v>
      </c>
      <c r="I29" s="2" t="s">
        <v>186</v>
      </c>
      <c r="J29" s="2" t="s">
        <v>59</v>
      </c>
      <c r="K29">
        <v>2951.47</v>
      </c>
      <c r="L29">
        <v>4404301.13</v>
      </c>
      <c r="M29">
        <v>149223.98000000001</v>
      </c>
      <c r="N29" s="2" t="s">
        <v>199</v>
      </c>
      <c r="O29" s="2" t="s">
        <v>200</v>
      </c>
      <c r="P29" s="2" t="s">
        <v>201</v>
      </c>
      <c r="Q29" s="2" t="s">
        <v>202</v>
      </c>
      <c r="R29" s="2" t="s">
        <v>29</v>
      </c>
      <c r="S29" s="2" t="s">
        <v>30</v>
      </c>
    </row>
    <row r="30" spans="1:19">
      <c r="A30" s="1">
        <v>43770</v>
      </c>
      <c r="B30" s="1">
        <v>43770</v>
      </c>
      <c r="C30">
        <v>2019</v>
      </c>
      <c r="D30">
        <v>11</v>
      </c>
      <c r="E30" s="2" t="s">
        <v>203</v>
      </c>
      <c r="F30" s="2" t="s">
        <v>204</v>
      </c>
      <c r="G30" s="2" t="s">
        <v>39</v>
      </c>
      <c r="H30" s="2" t="s">
        <v>22</v>
      </c>
      <c r="I30" s="2" t="s">
        <v>40</v>
      </c>
      <c r="J30" s="2" t="s">
        <v>24</v>
      </c>
      <c r="K30">
        <v>339.83</v>
      </c>
      <c r="L30">
        <v>9648.11</v>
      </c>
      <c r="M30">
        <v>2839.1</v>
      </c>
      <c r="N30" s="2" t="s">
        <v>205</v>
      </c>
      <c r="O30" s="2" t="s">
        <v>206</v>
      </c>
      <c r="P30" s="2" t="s">
        <v>207</v>
      </c>
      <c r="Q30" s="2" t="s">
        <v>208</v>
      </c>
      <c r="R30" s="2" t="s">
        <v>29</v>
      </c>
      <c r="S30" s="2" t="s">
        <v>30</v>
      </c>
    </row>
    <row r="31" spans="1:19">
      <c r="A31" s="1">
        <v>43770</v>
      </c>
      <c r="B31" s="1">
        <v>43770</v>
      </c>
      <c r="C31">
        <v>2019</v>
      </c>
      <c r="D31">
        <v>11</v>
      </c>
      <c r="E31" s="2" t="s">
        <v>209</v>
      </c>
      <c r="F31" s="2" t="s">
        <v>210</v>
      </c>
      <c r="G31" s="2" t="s">
        <v>39</v>
      </c>
      <c r="H31" s="2" t="s">
        <v>22</v>
      </c>
      <c r="I31" s="2" t="s">
        <v>40</v>
      </c>
      <c r="J31" s="2" t="s">
        <v>59</v>
      </c>
      <c r="K31">
        <v>339.83</v>
      </c>
      <c r="L31">
        <v>9648.11</v>
      </c>
      <c r="M31">
        <v>2839.1</v>
      </c>
      <c r="N31" s="2" t="s">
        <v>211</v>
      </c>
      <c r="O31" s="2" t="s">
        <v>212</v>
      </c>
      <c r="P31" s="2" t="s">
        <v>207</v>
      </c>
      <c r="Q31" s="2" t="s">
        <v>208</v>
      </c>
      <c r="R31" s="2" t="s">
        <v>29</v>
      </c>
      <c r="S31" s="2" t="s">
        <v>30</v>
      </c>
    </row>
    <row r="32" spans="1:19">
      <c r="A32" s="1">
        <v>43770</v>
      </c>
      <c r="B32" s="1">
        <v>43770</v>
      </c>
      <c r="C32">
        <v>2019</v>
      </c>
      <c r="D32">
        <v>11</v>
      </c>
      <c r="E32" s="2" t="s">
        <v>213</v>
      </c>
      <c r="F32" s="2" t="s">
        <v>214</v>
      </c>
      <c r="G32" s="2" t="s">
        <v>185</v>
      </c>
      <c r="H32" s="2" t="s">
        <v>22</v>
      </c>
      <c r="I32" s="2" t="s">
        <v>215</v>
      </c>
      <c r="J32" s="2" t="s">
        <v>24</v>
      </c>
      <c r="K32">
        <v>12299.4</v>
      </c>
      <c r="L32">
        <v>374493.58</v>
      </c>
      <c r="M32">
        <v>3044.81</v>
      </c>
      <c r="N32" s="2" t="s">
        <v>216</v>
      </c>
      <c r="O32" s="2" t="s">
        <v>217</v>
      </c>
      <c r="P32" s="2" t="s">
        <v>218</v>
      </c>
      <c r="Q32" s="2" t="s">
        <v>219</v>
      </c>
      <c r="R32" s="2" t="s">
        <v>29</v>
      </c>
      <c r="S32" s="2" t="s">
        <v>30</v>
      </c>
    </row>
    <row r="33" spans="1:19">
      <c r="A33" s="1">
        <v>43770</v>
      </c>
      <c r="B33" s="1">
        <v>43770</v>
      </c>
      <c r="C33">
        <v>2019</v>
      </c>
      <c r="D33">
        <v>11</v>
      </c>
      <c r="E33" s="2" t="s">
        <v>220</v>
      </c>
      <c r="F33" s="2" t="s">
        <v>221</v>
      </c>
      <c r="G33" s="2" t="s">
        <v>185</v>
      </c>
      <c r="H33" s="2" t="s">
        <v>22</v>
      </c>
      <c r="I33" s="2" t="s">
        <v>215</v>
      </c>
      <c r="J33" s="2" t="s">
        <v>24</v>
      </c>
      <c r="K33">
        <v>1234.8399999999999</v>
      </c>
      <c r="L33">
        <v>96801.74</v>
      </c>
      <c r="M33">
        <v>7839.21</v>
      </c>
      <c r="N33" s="2" t="s">
        <v>222</v>
      </c>
      <c r="O33" s="2" t="s">
        <v>223</v>
      </c>
      <c r="P33" s="2" t="s">
        <v>224</v>
      </c>
      <c r="Q33" s="2" t="s">
        <v>225</v>
      </c>
      <c r="R33" s="2" t="s">
        <v>29</v>
      </c>
      <c r="S33" s="2" t="s">
        <v>30</v>
      </c>
    </row>
    <row r="34" spans="1:19">
      <c r="A34" s="1">
        <v>43770</v>
      </c>
      <c r="B34" s="1">
        <v>43770</v>
      </c>
      <c r="C34">
        <v>2019</v>
      </c>
      <c r="D34">
        <v>11</v>
      </c>
      <c r="E34" s="2" t="s">
        <v>226</v>
      </c>
      <c r="F34" s="2" t="s">
        <v>227</v>
      </c>
      <c r="G34" s="2" t="s">
        <v>185</v>
      </c>
      <c r="H34" s="2" t="s">
        <v>22</v>
      </c>
      <c r="I34" s="2" t="s">
        <v>215</v>
      </c>
      <c r="J34" s="2" t="s">
        <v>59</v>
      </c>
      <c r="K34">
        <v>13534.23</v>
      </c>
      <c r="L34">
        <v>471295.32</v>
      </c>
      <c r="M34">
        <v>3482.25</v>
      </c>
      <c r="N34" s="2" t="s">
        <v>228</v>
      </c>
      <c r="O34" s="2" t="s">
        <v>229</v>
      </c>
      <c r="P34" s="2" t="s">
        <v>230</v>
      </c>
      <c r="Q34" s="2" t="s">
        <v>231</v>
      </c>
      <c r="R34" s="2" t="s">
        <v>29</v>
      </c>
      <c r="S34" s="2" t="s">
        <v>30</v>
      </c>
    </row>
    <row r="35" spans="1:19">
      <c r="A35" s="1">
        <v>43770</v>
      </c>
      <c r="B35" s="1">
        <v>43770</v>
      </c>
      <c r="C35">
        <v>2019</v>
      </c>
      <c r="D35">
        <v>11</v>
      </c>
      <c r="E35" s="2" t="s">
        <v>232</v>
      </c>
      <c r="F35" s="2" t="s">
        <v>233</v>
      </c>
      <c r="G35" s="2" t="s">
        <v>21</v>
      </c>
      <c r="H35" s="2" t="s">
        <v>22</v>
      </c>
      <c r="I35" s="2" t="s">
        <v>23</v>
      </c>
      <c r="J35" s="2" t="s">
        <v>24</v>
      </c>
      <c r="K35">
        <v>706.05</v>
      </c>
      <c r="L35">
        <v>90940.69</v>
      </c>
      <c r="M35">
        <v>12880.21</v>
      </c>
      <c r="N35" s="2" t="s">
        <v>234</v>
      </c>
      <c r="O35" s="2" t="s">
        <v>235</v>
      </c>
      <c r="P35" s="2" t="s">
        <v>236</v>
      </c>
      <c r="Q35" s="2" t="s">
        <v>237</v>
      </c>
      <c r="R35" s="2" t="s">
        <v>29</v>
      </c>
      <c r="S35" s="2" t="s">
        <v>30</v>
      </c>
    </row>
    <row r="36" spans="1:19">
      <c r="A36" s="1">
        <v>43770</v>
      </c>
      <c r="B36" s="1">
        <v>43770</v>
      </c>
      <c r="C36">
        <v>2019</v>
      </c>
      <c r="D36">
        <v>11</v>
      </c>
      <c r="E36" s="2" t="s">
        <v>238</v>
      </c>
      <c r="F36" s="2" t="s">
        <v>239</v>
      </c>
      <c r="G36" s="2" t="s">
        <v>21</v>
      </c>
      <c r="H36" s="2" t="s">
        <v>22</v>
      </c>
      <c r="I36" s="2" t="s">
        <v>66</v>
      </c>
      <c r="J36" s="2" t="s">
        <v>24</v>
      </c>
      <c r="K36">
        <v>522.30999999999995</v>
      </c>
      <c r="L36">
        <v>52792.19</v>
      </c>
      <c r="M36">
        <v>10107.44</v>
      </c>
      <c r="N36" s="2" t="s">
        <v>240</v>
      </c>
      <c r="O36" s="2" t="s">
        <v>241</v>
      </c>
      <c r="P36" s="2" t="s">
        <v>242</v>
      </c>
      <c r="Q36" s="2" t="s">
        <v>243</v>
      </c>
      <c r="R36" s="2" t="s">
        <v>29</v>
      </c>
      <c r="S36" s="2" t="s">
        <v>30</v>
      </c>
    </row>
    <row r="37" spans="1:19">
      <c r="A37" s="1">
        <v>43770</v>
      </c>
      <c r="B37" s="1">
        <v>43770</v>
      </c>
      <c r="C37">
        <v>2019</v>
      </c>
      <c r="D37">
        <v>11</v>
      </c>
      <c r="E37" s="2" t="s">
        <v>244</v>
      </c>
      <c r="F37" s="2" t="s">
        <v>245</v>
      </c>
      <c r="G37" s="2" t="s">
        <v>21</v>
      </c>
      <c r="H37" s="2" t="s">
        <v>22</v>
      </c>
      <c r="I37" s="2" t="s">
        <v>23</v>
      </c>
      <c r="J37" s="2" t="s">
        <v>24</v>
      </c>
      <c r="K37">
        <v>2194.59</v>
      </c>
      <c r="L37">
        <v>1734651.23</v>
      </c>
      <c r="M37">
        <v>79042.16</v>
      </c>
      <c r="N37" s="2" t="s">
        <v>246</v>
      </c>
      <c r="O37" s="2" t="s">
        <v>247</v>
      </c>
      <c r="P37" s="2" t="s">
        <v>248</v>
      </c>
      <c r="Q37" s="2" t="s">
        <v>249</v>
      </c>
      <c r="R37" s="2" t="s">
        <v>29</v>
      </c>
      <c r="S37" s="2" t="s">
        <v>30</v>
      </c>
    </row>
    <row r="38" spans="1:19">
      <c r="A38" s="1">
        <v>43770</v>
      </c>
      <c r="B38" s="1">
        <v>43770</v>
      </c>
      <c r="C38">
        <v>2019</v>
      </c>
      <c r="D38">
        <v>11</v>
      </c>
      <c r="E38" s="2" t="s">
        <v>250</v>
      </c>
      <c r="F38" s="2" t="s">
        <v>251</v>
      </c>
      <c r="G38" s="2" t="s">
        <v>21</v>
      </c>
      <c r="H38" s="2" t="s">
        <v>22</v>
      </c>
      <c r="I38" s="2" t="s">
        <v>66</v>
      </c>
      <c r="J38" s="2" t="s">
        <v>24</v>
      </c>
      <c r="K38">
        <v>1.77</v>
      </c>
      <c r="L38">
        <v>5.26</v>
      </c>
      <c r="M38">
        <v>297.18</v>
      </c>
      <c r="N38" s="2" t="s">
        <v>252</v>
      </c>
      <c r="O38" s="2" t="s">
        <v>253</v>
      </c>
      <c r="P38" s="2" t="s">
        <v>254</v>
      </c>
      <c r="Q38" s="2" t="s">
        <v>255</v>
      </c>
      <c r="R38" s="2" t="s">
        <v>29</v>
      </c>
      <c r="S38" s="2" t="s">
        <v>30</v>
      </c>
    </row>
    <row r="39" spans="1:19">
      <c r="A39" s="1">
        <v>43770</v>
      </c>
      <c r="B39" s="1">
        <v>43770</v>
      </c>
      <c r="C39">
        <v>2019</v>
      </c>
      <c r="D39">
        <v>11</v>
      </c>
      <c r="E39" s="2" t="s">
        <v>256</v>
      </c>
      <c r="F39" s="2" t="s">
        <v>257</v>
      </c>
      <c r="G39" s="2" t="s">
        <v>21</v>
      </c>
      <c r="H39" s="2" t="s">
        <v>22</v>
      </c>
      <c r="I39" s="2" t="s">
        <v>258</v>
      </c>
      <c r="J39" s="2" t="s">
        <v>24</v>
      </c>
      <c r="K39">
        <v>864.86</v>
      </c>
      <c r="L39">
        <v>643678.36</v>
      </c>
      <c r="M39">
        <v>74425.73</v>
      </c>
      <c r="N39" s="2" t="s">
        <v>259</v>
      </c>
      <c r="O39" s="2" t="s">
        <v>260</v>
      </c>
      <c r="P39" s="2" t="s">
        <v>261</v>
      </c>
      <c r="Q39" s="2" t="s">
        <v>262</v>
      </c>
      <c r="R39" s="2" t="s">
        <v>29</v>
      </c>
      <c r="S39" s="2" t="s">
        <v>30</v>
      </c>
    </row>
    <row r="40" spans="1:19">
      <c r="A40" s="1">
        <v>43770</v>
      </c>
      <c r="B40" s="1">
        <v>43770</v>
      </c>
      <c r="C40">
        <v>2019</v>
      </c>
      <c r="D40">
        <v>11</v>
      </c>
      <c r="E40" s="2" t="s">
        <v>263</v>
      </c>
      <c r="F40" s="2" t="s">
        <v>264</v>
      </c>
      <c r="G40" s="2" t="s">
        <v>21</v>
      </c>
      <c r="H40" s="2" t="s">
        <v>22</v>
      </c>
      <c r="I40" s="2" t="s">
        <v>258</v>
      </c>
      <c r="J40" s="2" t="s">
        <v>24</v>
      </c>
      <c r="K40">
        <v>1.26</v>
      </c>
      <c r="L40">
        <v>1124.1099999999999</v>
      </c>
      <c r="M40">
        <v>89215.08</v>
      </c>
      <c r="N40" s="2" t="s">
        <v>265</v>
      </c>
      <c r="O40" s="2" t="s">
        <v>266</v>
      </c>
      <c r="P40" s="2" t="s">
        <v>267</v>
      </c>
      <c r="Q40" s="2" t="s">
        <v>268</v>
      </c>
      <c r="R40" s="2" t="s">
        <v>29</v>
      </c>
      <c r="S40" s="2" t="s">
        <v>30</v>
      </c>
    </row>
    <row r="41" spans="1:19">
      <c r="A41" s="1">
        <v>43770</v>
      </c>
      <c r="B41" s="1">
        <v>43770</v>
      </c>
      <c r="C41">
        <v>2019</v>
      </c>
      <c r="D41">
        <v>11</v>
      </c>
      <c r="E41" s="2" t="s">
        <v>269</v>
      </c>
      <c r="F41" s="2" t="s">
        <v>270</v>
      </c>
      <c r="G41" s="2" t="s">
        <v>21</v>
      </c>
      <c r="H41" s="2" t="s">
        <v>22</v>
      </c>
      <c r="I41" s="2" t="s">
        <v>258</v>
      </c>
      <c r="J41" s="2" t="s">
        <v>59</v>
      </c>
      <c r="K41">
        <v>866.12</v>
      </c>
      <c r="L41">
        <v>644802.46</v>
      </c>
      <c r="M41">
        <v>74447.240000000005</v>
      </c>
      <c r="N41" s="2" t="s">
        <v>271</v>
      </c>
      <c r="O41" s="2" t="s">
        <v>272</v>
      </c>
      <c r="P41" s="2" t="s">
        <v>273</v>
      </c>
      <c r="Q41" s="2" t="s">
        <v>274</v>
      </c>
      <c r="R41" s="2" t="s">
        <v>29</v>
      </c>
      <c r="S41" s="2" t="s">
        <v>30</v>
      </c>
    </row>
    <row r="42" spans="1:19">
      <c r="A42" s="1">
        <v>43770</v>
      </c>
      <c r="B42" s="1">
        <v>43770</v>
      </c>
      <c r="C42">
        <v>2019</v>
      </c>
      <c r="D42">
        <v>11</v>
      </c>
      <c r="E42" s="2" t="s">
        <v>275</v>
      </c>
      <c r="F42" s="2" t="s">
        <v>276</v>
      </c>
      <c r="G42" s="2" t="s">
        <v>39</v>
      </c>
      <c r="H42" s="2" t="s">
        <v>22</v>
      </c>
      <c r="I42" s="2" t="s">
        <v>40</v>
      </c>
      <c r="J42" s="2" t="s">
        <v>24</v>
      </c>
      <c r="K42">
        <v>62.7</v>
      </c>
      <c r="L42">
        <v>129</v>
      </c>
      <c r="M42">
        <v>205.74</v>
      </c>
      <c r="N42" s="2" t="s">
        <v>277</v>
      </c>
      <c r="O42" s="2" t="s">
        <v>278</v>
      </c>
      <c r="P42" s="2" t="s">
        <v>279</v>
      </c>
      <c r="Q42" s="2" t="s">
        <v>280</v>
      </c>
      <c r="R42" s="2" t="s">
        <v>29</v>
      </c>
      <c r="S42" s="2" t="s">
        <v>30</v>
      </c>
    </row>
    <row r="43" spans="1:19">
      <c r="A43" s="1">
        <v>43770</v>
      </c>
      <c r="B43" s="1">
        <v>43770</v>
      </c>
      <c r="C43">
        <v>2019</v>
      </c>
      <c r="D43">
        <v>11</v>
      </c>
      <c r="E43" s="2" t="s">
        <v>281</v>
      </c>
      <c r="F43" s="2" t="s">
        <v>282</v>
      </c>
      <c r="G43" s="2" t="s">
        <v>39</v>
      </c>
      <c r="H43" s="2" t="s">
        <v>22</v>
      </c>
      <c r="I43" s="2" t="s">
        <v>40</v>
      </c>
      <c r="J43" s="2" t="s">
        <v>24</v>
      </c>
      <c r="K43">
        <v>4.32</v>
      </c>
      <c r="L43">
        <v>4.7699999999999996</v>
      </c>
      <c r="M43">
        <v>110.42</v>
      </c>
      <c r="N43" s="2" t="s">
        <v>283</v>
      </c>
      <c r="O43" s="2" t="s">
        <v>284</v>
      </c>
      <c r="P43" s="2" t="s">
        <v>285</v>
      </c>
      <c r="Q43" s="2" t="s">
        <v>286</v>
      </c>
      <c r="R43" s="2" t="s">
        <v>29</v>
      </c>
      <c r="S43" s="2" t="s">
        <v>30</v>
      </c>
    </row>
    <row r="44" spans="1:19">
      <c r="A44" s="1">
        <v>43770</v>
      </c>
      <c r="B44" s="1">
        <v>43770</v>
      </c>
      <c r="C44">
        <v>2019</v>
      </c>
      <c r="D44">
        <v>11</v>
      </c>
      <c r="E44" s="2" t="s">
        <v>287</v>
      </c>
      <c r="F44" s="2" t="s">
        <v>288</v>
      </c>
      <c r="G44" s="2" t="s">
        <v>39</v>
      </c>
      <c r="H44" s="2" t="s">
        <v>22</v>
      </c>
      <c r="I44" s="2" t="s">
        <v>40</v>
      </c>
      <c r="J44" s="2" t="s">
        <v>59</v>
      </c>
      <c r="K44">
        <v>67.02</v>
      </c>
      <c r="L44">
        <v>133.77000000000001</v>
      </c>
      <c r="M44">
        <v>199.6</v>
      </c>
      <c r="N44" s="2" t="s">
        <v>289</v>
      </c>
      <c r="O44" s="2" t="s">
        <v>290</v>
      </c>
      <c r="P44" s="2" t="s">
        <v>291</v>
      </c>
      <c r="Q44" s="2" t="s">
        <v>292</v>
      </c>
      <c r="R44" s="2" t="s">
        <v>29</v>
      </c>
      <c r="S44" s="2" t="s">
        <v>30</v>
      </c>
    </row>
    <row r="45" spans="1:19">
      <c r="A45" s="1">
        <v>43770</v>
      </c>
      <c r="B45" s="1">
        <v>43770</v>
      </c>
      <c r="C45">
        <v>2019</v>
      </c>
      <c r="D45">
        <v>11</v>
      </c>
      <c r="E45" s="2" t="s">
        <v>293</v>
      </c>
      <c r="F45" s="2" t="s">
        <v>294</v>
      </c>
      <c r="G45" s="2" t="s">
        <v>21</v>
      </c>
      <c r="H45" s="2" t="s">
        <v>22</v>
      </c>
      <c r="I45" s="2" t="s">
        <v>295</v>
      </c>
      <c r="J45" s="2" t="s">
        <v>24</v>
      </c>
      <c r="K45">
        <v>1166.45</v>
      </c>
      <c r="L45">
        <v>1541.96</v>
      </c>
      <c r="M45">
        <v>132.19</v>
      </c>
      <c r="N45" s="2" t="s">
        <v>296</v>
      </c>
      <c r="O45" s="2" t="s">
        <v>297</v>
      </c>
      <c r="P45" s="2" t="s">
        <v>298</v>
      </c>
      <c r="Q45" s="2" t="s">
        <v>299</v>
      </c>
      <c r="R45" s="2" t="s">
        <v>29</v>
      </c>
      <c r="S45" s="2" t="s">
        <v>30</v>
      </c>
    </row>
    <row r="46" spans="1:19">
      <c r="A46" s="1">
        <v>43770</v>
      </c>
      <c r="B46" s="1">
        <v>43770</v>
      </c>
      <c r="C46">
        <v>2019</v>
      </c>
      <c r="D46">
        <v>11</v>
      </c>
      <c r="E46" s="2" t="s">
        <v>300</v>
      </c>
      <c r="F46" s="2" t="s">
        <v>301</v>
      </c>
      <c r="G46" s="2" t="s">
        <v>21</v>
      </c>
      <c r="H46" s="2" t="s">
        <v>22</v>
      </c>
      <c r="I46" s="2" t="s">
        <v>295</v>
      </c>
      <c r="J46" s="2" t="s">
        <v>24</v>
      </c>
      <c r="K46">
        <v>119.53</v>
      </c>
      <c r="L46">
        <v>733.47</v>
      </c>
      <c r="M46">
        <v>613.63</v>
      </c>
      <c r="N46" s="2" t="s">
        <v>302</v>
      </c>
      <c r="O46" s="2" t="s">
        <v>303</v>
      </c>
      <c r="P46" s="2" t="s">
        <v>304</v>
      </c>
      <c r="Q46" s="2" t="s">
        <v>305</v>
      </c>
      <c r="R46" s="2" t="s">
        <v>29</v>
      </c>
      <c r="S46" s="2" t="s">
        <v>30</v>
      </c>
    </row>
    <row r="47" spans="1:19">
      <c r="A47" s="1">
        <v>43770</v>
      </c>
      <c r="B47" s="1">
        <v>43770</v>
      </c>
      <c r="C47">
        <v>2019</v>
      </c>
      <c r="D47">
        <v>11</v>
      </c>
      <c r="E47" s="2" t="s">
        <v>306</v>
      </c>
      <c r="F47" s="2" t="s">
        <v>307</v>
      </c>
      <c r="G47" s="2" t="s">
        <v>21</v>
      </c>
      <c r="H47" s="2" t="s">
        <v>22</v>
      </c>
      <c r="I47" s="2" t="s">
        <v>295</v>
      </c>
      <c r="J47" s="2" t="s">
        <v>101</v>
      </c>
      <c r="K47">
        <v>1285.99</v>
      </c>
      <c r="L47">
        <v>2275.4299999999998</v>
      </c>
      <c r="M47">
        <v>176.94</v>
      </c>
      <c r="N47" s="2" t="s">
        <v>308</v>
      </c>
      <c r="O47" s="2" t="s">
        <v>309</v>
      </c>
      <c r="P47" s="2" t="s">
        <v>310</v>
      </c>
      <c r="Q47" s="2" t="s">
        <v>311</v>
      </c>
      <c r="R47" s="2" t="s">
        <v>29</v>
      </c>
      <c r="S47" s="2" t="s">
        <v>30</v>
      </c>
    </row>
    <row r="48" spans="1:19">
      <c r="A48" s="1">
        <v>43770</v>
      </c>
      <c r="B48" s="1">
        <v>43770</v>
      </c>
      <c r="C48">
        <v>2019</v>
      </c>
      <c r="D48">
        <v>11</v>
      </c>
      <c r="E48" s="2" t="s">
        <v>312</v>
      </c>
      <c r="F48" s="2" t="s">
        <v>313</v>
      </c>
      <c r="G48" s="2" t="s">
        <v>21</v>
      </c>
      <c r="H48" s="2" t="s">
        <v>22</v>
      </c>
      <c r="I48" s="2" t="s">
        <v>295</v>
      </c>
      <c r="J48" s="2" t="s">
        <v>59</v>
      </c>
      <c r="K48">
        <v>4640.07</v>
      </c>
      <c r="L48">
        <v>16927.86</v>
      </c>
      <c r="M48">
        <v>364.82</v>
      </c>
      <c r="N48" s="2" t="s">
        <v>314</v>
      </c>
      <c r="O48" s="2" t="s">
        <v>315</v>
      </c>
      <c r="P48" s="2" t="s">
        <v>316</v>
      </c>
      <c r="Q48" s="2" t="s">
        <v>317</v>
      </c>
      <c r="R48" s="2" t="s">
        <v>29</v>
      </c>
      <c r="S48" s="2" t="s">
        <v>30</v>
      </c>
    </row>
    <row r="49" spans="1:19">
      <c r="A49" s="1">
        <v>43770</v>
      </c>
      <c r="B49" s="1">
        <v>43770</v>
      </c>
      <c r="C49">
        <v>2019</v>
      </c>
      <c r="D49">
        <v>11</v>
      </c>
      <c r="E49" s="2" t="s">
        <v>318</v>
      </c>
      <c r="F49" s="2" t="s">
        <v>319</v>
      </c>
      <c r="G49" s="2" t="s">
        <v>21</v>
      </c>
      <c r="H49" s="2" t="s">
        <v>22</v>
      </c>
      <c r="I49" s="2" t="s">
        <v>295</v>
      </c>
      <c r="J49" s="2" t="s">
        <v>24</v>
      </c>
      <c r="K49">
        <v>3354.08</v>
      </c>
      <c r="L49">
        <v>14652.43</v>
      </c>
      <c r="M49">
        <v>436.85</v>
      </c>
      <c r="N49" s="2" t="s">
        <v>320</v>
      </c>
      <c r="O49" s="2" t="s">
        <v>321</v>
      </c>
      <c r="P49" s="2" t="s">
        <v>322</v>
      </c>
      <c r="Q49" s="2" t="s">
        <v>323</v>
      </c>
      <c r="R49" s="2" t="s">
        <v>29</v>
      </c>
      <c r="S49" s="2" t="s">
        <v>30</v>
      </c>
    </row>
    <row r="50" spans="1:19">
      <c r="A50" s="1">
        <v>43770</v>
      </c>
      <c r="B50" s="1">
        <v>43770</v>
      </c>
      <c r="C50">
        <v>2019</v>
      </c>
      <c r="D50">
        <v>11</v>
      </c>
      <c r="E50" s="2" t="s">
        <v>324</v>
      </c>
      <c r="F50" s="2" t="s">
        <v>325</v>
      </c>
      <c r="G50" s="2" t="s">
        <v>21</v>
      </c>
      <c r="H50" s="2" t="s">
        <v>22</v>
      </c>
      <c r="I50" s="2" t="s">
        <v>23</v>
      </c>
      <c r="J50" s="2" t="s">
        <v>59</v>
      </c>
      <c r="K50">
        <v>18731.18</v>
      </c>
      <c r="L50">
        <v>2224702.0099999998</v>
      </c>
      <c r="M50">
        <v>11877</v>
      </c>
      <c r="N50" s="2" t="s">
        <v>326</v>
      </c>
      <c r="O50" s="2" t="s">
        <v>327</v>
      </c>
      <c r="P50" s="2" t="s">
        <v>328</v>
      </c>
      <c r="Q50" s="2" t="s">
        <v>329</v>
      </c>
      <c r="R50" s="2" t="s">
        <v>29</v>
      </c>
      <c r="S50" s="2" t="s">
        <v>30</v>
      </c>
    </row>
    <row r="51" spans="1:19">
      <c r="A51" s="1">
        <v>43770</v>
      </c>
      <c r="B51" s="1">
        <v>43770</v>
      </c>
      <c r="C51">
        <v>2019</v>
      </c>
      <c r="D51">
        <v>11</v>
      </c>
      <c r="E51" s="2" t="s">
        <v>330</v>
      </c>
      <c r="F51" s="2" t="s">
        <v>331</v>
      </c>
      <c r="G51" s="2" t="s">
        <v>21</v>
      </c>
      <c r="H51" s="2" t="s">
        <v>332</v>
      </c>
      <c r="I51" s="2" t="s">
        <v>333</v>
      </c>
      <c r="J51" s="2" t="s">
        <v>24</v>
      </c>
      <c r="K51">
        <v>131.61000000000001</v>
      </c>
      <c r="L51">
        <v>7469568.8799999999</v>
      </c>
      <c r="M51">
        <v>5675532.9199999999</v>
      </c>
      <c r="N51" s="2" t="s">
        <v>334</v>
      </c>
      <c r="O51" s="2" t="s">
        <v>335</v>
      </c>
      <c r="P51" s="2" t="s">
        <v>336</v>
      </c>
      <c r="Q51" s="2" t="s">
        <v>337</v>
      </c>
      <c r="R51" s="2" t="s">
        <v>29</v>
      </c>
      <c r="S51" s="2" t="s">
        <v>30</v>
      </c>
    </row>
    <row r="52" spans="1:19">
      <c r="A52" s="1">
        <v>43770</v>
      </c>
      <c r="B52" s="1">
        <v>43770</v>
      </c>
      <c r="C52">
        <v>2019</v>
      </c>
      <c r="D52">
        <v>11</v>
      </c>
      <c r="E52" s="2" t="s">
        <v>338</v>
      </c>
      <c r="F52" s="2" t="s">
        <v>339</v>
      </c>
      <c r="G52" s="2" t="s">
        <v>21</v>
      </c>
      <c r="H52" s="2" t="s">
        <v>332</v>
      </c>
      <c r="I52" s="2" t="s">
        <v>333</v>
      </c>
      <c r="J52" s="2" t="s">
        <v>24</v>
      </c>
      <c r="K52">
        <v>2.27</v>
      </c>
      <c r="L52">
        <v>1210237.31</v>
      </c>
      <c r="M52">
        <v>53314418.939999998</v>
      </c>
      <c r="N52" s="2" t="s">
        <v>340</v>
      </c>
      <c r="O52" s="2" t="s">
        <v>341</v>
      </c>
      <c r="P52" s="2" t="s">
        <v>342</v>
      </c>
      <c r="Q52" s="2" t="s">
        <v>343</v>
      </c>
      <c r="R52" s="2" t="s">
        <v>29</v>
      </c>
      <c r="S52" s="2" t="s">
        <v>30</v>
      </c>
    </row>
    <row r="53" spans="1:19">
      <c r="A53" s="1">
        <v>43770</v>
      </c>
      <c r="B53" s="1">
        <v>43770</v>
      </c>
      <c r="C53">
        <v>2019</v>
      </c>
      <c r="D53">
        <v>11</v>
      </c>
      <c r="E53" s="2" t="s">
        <v>344</v>
      </c>
      <c r="F53" s="2" t="s">
        <v>345</v>
      </c>
      <c r="G53" s="2" t="s">
        <v>21</v>
      </c>
      <c r="H53" s="2" t="s">
        <v>332</v>
      </c>
      <c r="I53" s="2" t="s">
        <v>333</v>
      </c>
      <c r="J53" s="2" t="s">
        <v>59</v>
      </c>
      <c r="K53">
        <v>133.87</v>
      </c>
      <c r="L53">
        <v>8679806.1899999995</v>
      </c>
      <c r="M53">
        <v>6483757.5199999996</v>
      </c>
      <c r="N53" s="2" t="s">
        <v>346</v>
      </c>
      <c r="O53" s="2" t="s">
        <v>347</v>
      </c>
      <c r="P53" s="2" t="s">
        <v>348</v>
      </c>
      <c r="Q53" s="2" t="s">
        <v>349</v>
      </c>
      <c r="R53" s="2" t="s">
        <v>29</v>
      </c>
      <c r="S53" s="2" t="s">
        <v>30</v>
      </c>
    </row>
    <row r="54" spans="1:19">
      <c r="A54" s="1">
        <v>43770</v>
      </c>
      <c r="B54" s="1">
        <v>43770</v>
      </c>
      <c r="C54">
        <v>2019</v>
      </c>
      <c r="D54">
        <v>11</v>
      </c>
      <c r="E54" s="2" t="s">
        <v>350</v>
      </c>
      <c r="F54" s="2" t="s">
        <v>351</v>
      </c>
      <c r="G54" s="2" t="s">
        <v>21</v>
      </c>
      <c r="H54" s="2" t="s">
        <v>22</v>
      </c>
      <c r="I54" s="2" t="s">
        <v>352</v>
      </c>
      <c r="J54" s="2" t="s">
        <v>353</v>
      </c>
      <c r="K54">
        <v>29978.63</v>
      </c>
      <c r="L54">
        <v>11092669.119999999</v>
      </c>
      <c r="M54">
        <v>37001.919999999998</v>
      </c>
      <c r="N54" s="2" t="s">
        <v>354</v>
      </c>
      <c r="O54" s="2" t="s">
        <v>355</v>
      </c>
      <c r="P54" s="2" t="s">
        <v>356</v>
      </c>
      <c r="Q54" s="2" t="s">
        <v>357</v>
      </c>
      <c r="R54" s="2" t="s">
        <v>29</v>
      </c>
      <c r="S54" s="2" t="s">
        <v>30</v>
      </c>
    </row>
    <row r="55" spans="1:19">
      <c r="A55" s="1">
        <v>43770</v>
      </c>
      <c r="B55" s="1">
        <v>43770</v>
      </c>
      <c r="C55">
        <v>2019</v>
      </c>
      <c r="D55">
        <v>11</v>
      </c>
      <c r="E55" s="2" t="s">
        <v>358</v>
      </c>
      <c r="F55" s="2" t="s">
        <v>359</v>
      </c>
      <c r="G55" s="2" t="s">
        <v>21</v>
      </c>
      <c r="H55" s="2" t="s">
        <v>22</v>
      </c>
      <c r="I55" s="2" t="s">
        <v>352</v>
      </c>
      <c r="J55" s="2" t="s">
        <v>353</v>
      </c>
      <c r="K55">
        <v>30844.75</v>
      </c>
      <c r="L55">
        <v>11737471.58</v>
      </c>
      <c r="M55">
        <v>38053.39</v>
      </c>
      <c r="N55" s="2" t="s">
        <v>360</v>
      </c>
      <c r="O55" s="2" t="s">
        <v>361</v>
      </c>
      <c r="P55" s="2" t="s">
        <v>362</v>
      </c>
      <c r="Q55" s="2" t="s">
        <v>363</v>
      </c>
      <c r="R55" s="2" t="s">
        <v>29</v>
      </c>
      <c r="S55" s="2" t="s">
        <v>30</v>
      </c>
    </row>
    <row r="56" spans="1:19">
      <c r="A56" s="1">
        <v>43770</v>
      </c>
      <c r="B56" s="1">
        <v>43770</v>
      </c>
      <c r="C56">
        <v>2019</v>
      </c>
      <c r="D56">
        <v>11</v>
      </c>
      <c r="E56" s="2" t="s">
        <v>364</v>
      </c>
      <c r="F56" s="2" t="s">
        <v>365</v>
      </c>
      <c r="G56" s="2" t="s">
        <v>21</v>
      </c>
      <c r="H56" s="2" t="s">
        <v>22</v>
      </c>
      <c r="I56" s="2" t="s">
        <v>352</v>
      </c>
      <c r="J56" s="2" t="s">
        <v>353</v>
      </c>
      <c r="K56">
        <v>30710.880000000001</v>
      </c>
      <c r="L56">
        <v>3057665.39</v>
      </c>
      <c r="M56">
        <v>9956.2900000000009</v>
      </c>
      <c r="N56" s="2" t="s">
        <v>366</v>
      </c>
      <c r="O56" s="2" t="s">
        <v>367</v>
      </c>
      <c r="P56" s="2" t="s">
        <v>368</v>
      </c>
      <c r="Q56" s="2" t="s">
        <v>369</v>
      </c>
      <c r="R56" s="2" t="s">
        <v>29</v>
      </c>
      <c r="S56" s="2" t="s">
        <v>30</v>
      </c>
    </row>
    <row r="57" spans="1:19">
      <c r="A57" s="1">
        <v>43770</v>
      </c>
      <c r="B57" s="1">
        <v>43770</v>
      </c>
      <c r="C57">
        <v>2019</v>
      </c>
      <c r="D57">
        <v>11</v>
      </c>
      <c r="E57" s="2" t="s">
        <v>370</v>
      </c>
      <c r="F57" s="2" t="s">
        <v>371</v>
      </c>
      <c r="G57" s="2" t="s">
        <v>21</v>
      </c>
      <c r="H57" s="2" t="s">
        <v>22</v>
      </c>
      <c r="I57" s="2" t="s">
        <v>23</v>
      </c>
      <c r="J57" s="2" t="s">
        <v>24</v>
      </c>
      <c r="K57">
        <v>12187.71</v>
      </c>
      <c r="L57">
        <v>189229.09</v>
      </c>
      <c r="M57">
        <v>1552.62</v>
      </c>
      <c r="N57" s="2" t="s">
        <v>372</v>
      </c>
      <c r="O57" s="2" t="s">
        <v>373</v>
      </c>
      <c r="P57" s="2" t="s">
        <v>374</v>
      </c>
      <c r="Q57" s="2" t="s">
        <v>375</v>
      </c>
      <c r="R57" s="2" t="s">
        <v>29</v>
      </c>
      <c r="S57" s="2" t="s">
        <v>30</v>
      </c>
    </row>
    <row r="58" spans="1:19">
      <c r="A58" s="1">
        <v>43770</v>
      </c>
      <c r="B58" s="1">
        <v>43770</v>
      </c>
      <c r="C58">
        <v>2019</v>
      </c>
      <c r="D58">
        <v>11</v>
      </c>
      <c r="E58" s="2" t="s">
        <v>376</v>
      </c>
      <c r="F58" s="2" t="s">
        <v>377</v>
      </c>
      <c r="G58" s="2" t="s">
        <v>21</v>
      </c>
      <c r="H58" s="2" t="s">
        <v>22</v>
      </c>
      <c r="I58" s="2" t="s">
        <v>23</v>
      </c>
      <c r="J58" s="2" t="s">
        <v>378</v>
      </c>
      <c r="K58">
        <v>0.74</v>
      </c>
      <c r="L58">
        <v>12.95</v>
      </c>
      <c r="M58">
        <v>1750</v>
      </c>
      <c r="N58" s="2" t="s">
        <v>379</v>
      </c>
      <c r="O58" s="2" t="s">
        <v>380</v>
      </c>
      <c r="P58" s="2" t="s">
        <v>381</v>
      </c>
      <c r="Q58" s="2" t="s">
        <v>382</v>
      </c>
      <c r="R58" s="2" t="s">
        <v>29</v>
      </c>
      <c r="S58" s="2" t="s">
        <v>30</v>
      </c>
    </row>
    <row r="59" spans="1:19">
      <c r="A59" s="1">
        <v>43800</v>
      </c>
      <c r="B59" s="1">
        <v>43800</v>
      </c>
      <c r="C59">
        <v>2019</v>
      </c>
      <c r="D59">
        <v>12</v>
      </c>
      <c r="E59" s="2" t="s">
        <v>19</v>
      </c>
      <c r="F59" s="2" t="s">
        <v>20</v>
      </c>
      <c r="G59" s="2" t="s">
        <v>21</v>
      </c>
      <c r="H59" s="2" t="s">
        <v>22</v>
      </c>
      <c r="I59" s="2" t="s">
        <v>23</v>
      </c>
      <c r="J59" s="2" t="s">
        <v>24</v>
      </c>
      <c r="K59">
        <v>0.84</v>
      </c>
      <c r="L59">
        <v>35.36</v>
      </c>
      <c r="M59">
        <v>4209.5200000000004</v>
      </c>
      <c r="N59" s="2" t="s">
        <v>25</v>
      </c>
      <c r="O59" s="2" t="s">
        <v>26</v>
      </c>
      <c r="P59" s="2" t="s">
        <v>383</v>
      </c>
      <c r="Q59" s="2" t="s">
        <v>384</v>
      </c>
      <c r="R59" s="2" t="s">
        <v>29</v>
      </c>
      <c r="S59" s="2" t="s">
        <v>30</v>
      </c>
    </row>
    <row r="60" spans="1:19">
      <c r="A60" s="1">
        <v>43800</v>
      </c>
      <c r="B60" s="1">
        <v>43800</v>
      </c>
      <c r="C60">
        <v>2019</v>
      </c>
      <c r="D60">
        <v>12</v>
      </c>
      <c r="E60" s="2" t="s">
        <v>31</v>
      </c>
      <c r="F60" s="2" t="s">
        <v>32</v>
      </c>
      <c r="G60" s="2" t="s">
        <v>21</v>
      </c>
      <c r="H60" s="2" t="s">
        <v>22</v>
      </c>
      <c r="I60" s="2" t="s">
        <v>23</v>
      </c>
      <c r="J60" s="2" t="s">
        <v>24</v>
      </c>
      <c r="K60">
        <v>1366.78</v>
      </c>
      <c r="L60">
        <v>5984.94</v>
      </c>
      <c r="M60">
        <v>437.89</v>
      </c>
      <c r="N60" s="2" t="s">
        <v>33</v>
      </c>
      <c r="O60" s="2" t="s">
        <v>34</v>
      </c>
      <c r="P60" s="2" t="s">
        <v>385</v>
      </c>
      <c r="Q60" s="2" t="s">
        <v>386</v>
      </c>
      <c r="R60" s="2" t="s">
        <v>29</v>
      </c>
      <c r="S60" s="2" t="s">
        <v>30</v>
      </c>
    </row>
    <row r="61" spans="1:19">
      <c r="A61" s="1">
        <v>43800</v>
      </c>
      <c r="B61" s="1">
        <v>43800</v>
      </c>
      <c r="C61">
        <v>2019</v>
      </c>
      <c r="D61">
        <v>12</v>
      </c>
      <c r="E61" s="2" t="s">
        <v>37</v>
      </c>
      <c r="F61" s="2" t="s">
        <v>38</v>
      </c>
      <c r="G61" s="2" t="s">
        <v>39</v>
      </c>
      <c r="H61" s="2" t="s">
        <v>22</v>
      </c>
      <c r="I61" s="2" t="s">
        <v>40</v>
      </c>
      <c r="J61" s="2" t="s">
        <v>24</v>
      </c>
      <c r="K61">
        <v>8.91</v>
      </c>
      <c r="L61">
        <v>421.95</v>
      </c>
      <c r="M61">
        <v>4735.6899999999996</v>
      </c>
      <c r="N61" s="2" t="s">
        <v>41</v>
      </c>
      <c r="O61" s="2" t="s">
        <v>42</v>
      </c>
      <c r="P61" s="2" t="s">
        <v>387</v>
      </c>
      <c r="Q61" s="2" t="s">
        <v>388</v>
      </c>
      <c r="R61" s="2" t="s">
        <v>29</v>
      </c>
      <c r="S61" s="2" t="s">
        <v>30</v>
      </c>
    </row>
    <row r="62" spans="1:19">
      <c r="A62" s="1">
        <v>43800</v>
      </c>
      <c r="B62" s="1">
        <v>43800</v>
      </c>
      <c r="C62">
        <v>2019</v>
      </c>
      <c r="D62">
        <v>12</v>
      </c>
      <c r="E62" s="2" t="s">
        <v>45</v>
      </c>
      <c r="F62" s="2" t="s">
        <v>46</v>
      </c>
      <c r="G62" s="2" t="s">
        <v>39</v>
      </c>
      <c r="H62" s="2" t="s">
        <v>22</v>
      </c>
      <c r="I62" s="2" t="s">
        <v>40</v>
      </c>
      <c r="J62" s="2" t="s">
        <v>24</v>
      </c>
      <c r="K62">
        <v>6453.5</v>
      </c>
      <c r="L62">
        <v>289534.90000000002</v>
      </c>
      <c r="M62">
        <v>4486.4799999999996</v>
      </c>
      <c r="N62" s="2" t="s">
        <v>47</v>
      </c>
      <c r="O62" s="2" t="s">
        <v>48</v>
      </c>
      <c r="P62" s="2" t="s">
        <v>389</v>
      </c>
      <c r="Q62" s="2" t="s">
        <v>390</v>
      </c>
      <c r="R62" s="2" t="s">
        <v>29</v>
      </c>
      <c r="S62" s="2" t="s">
        <v>30</v>
      </c>
    </row>
    <row r="63" spans="1:19">
      <c r="A63" s="1">
        <v>43800</v>
      </c>
      <c r="B63" s="1">
        <v>43800</v>
      </c>
      <c r="C63">
        <v>2019</v>
      </c>
      <c r="D63">
        <v>12</v>
      </c>
      <c r="E63" s="2" t="s">
        <v>51</v>
      </c>
      <c r="F63" s="2" t="s">
        <v>52</v>
      </c>
      <c r="G63" s="2" t="s">
        <v>39</v>
      </c>
      <c r="H63" s="2" t="s">
        <v>22</v>
      </c>
      <c r="I63" s="2" t="s">
        <v>40</v>
      </c>
      <c r="J63" s="2" t="s">
        <v>24</v>
      </c>
      <c r="K63">
        <v>28.25</v>
      </c>
      <c r="L63">
        <v>961.47</v>
      </c>
      <c r="M63">
        <v>3403.43</v>
      </c>
      <c r="N63" s="2" t="s">
        <v>53</v>
      </c>
      <c r="O63" s="2" t="s">
        <v>54</v>
      </c>
      <c r="P63" s="2" t="s">
        <v>391</v>
      </c>
      <c r="Q63" s="2" t="s">
        <v>392</v>
      </c>
      <c r="R63" s="2" t="s">
        <v>29</v>
      </c>
      <c r="S63" s="2" t="s">
        <v>30</v>
      </c>
    </row>
    <row r="64" spans="1:19">
      <c r="A64" s="1">
        <v>43800</v>
      </c>
      <c r="B64" s="1">
        <v>43800</v>
      </c>
      <c r="C64">
        <v>2019</v>
      </c>
      <c r="D64">
        <v>12</v>
      </c>
      <c r="E64" s="2" t="s">
        <v>57</v>
      </c>
      <c r="F64" s="2" t="s">
        <v>58</v>
      </c>
      <c r="G64" s="2" t="s">
        <v>39</v>
      </c>
      <c r="H64" s="2" t="s">
        <v>22</v>
      </c>
      <c r="I64" s="2" t="s">
        <v>40</v>
      </c>
      <c r="J64" s="2" t="s">
        <v>59</v>
      </c>
      <c r="K64">
        <v>6490.66</v>
      </c>
      <c r="L64">
        <v>290918.33</v>
      </c>
      <c r="M64">
        <v>4482.1099999999997</v>
      </c>
      <c r="N64" s="2" t="s">
        <v>60</v>
      </c>
      <c r="O64" s="2" t="s">
        <v>61</v>
      </c>
      <c r="P64" s="2" t="s">
        <v>393</v>
      </c>
      <c r="Q64" s="2" t="s">
        <v>394</v>
      </c>
      <c r="R64" s="2" t="s">
        <v>29</v>
      </c>
      <c r="S64" s="2" t="s">
        <v>30</v>
      </c>
    </row>
    <row r="65" spans="1:19">
      <c r="A65" s="1">
        <v>43800</v>
      </c>
      <c r="B65" s="1">
        <v>43800</v>
      </c>
      <c r="C65">
        <v>2019</v>
      </c>
      <c r="D65">
        <v>12</v>
      </c>
      <c r="E65" s="2" t="s">
        <v>64</v>
      </c>
      <c r="F65" s="2" t="s">
        <v>65</v>
      </c>
      <c r="G65" s="2" t="s">
        <v>21</v>
      </c>
      <c r="H65" s="2" t="s">
        <v>22</v>
      </c>
      <c r="I65" s="2" t="s">
        <v>66</v>
      </c>
      <c r="J65" s="2" t="s">
        <v>24</v>
      </c>
      <c r="K65">
        <v>7.37</v>
      </c>
      <c r="L65">
        <v>111.58</v>
      </c>
      <c r="M65">
        <v>1513.98</v>
      </c>
      <c r="N65" s="2" t="s">
        <v>67</v>
      </c>
      <c r="O65" s="2" t="s">
        <v>68</v>
      </c>
      <c r="P65" s="2" t="s">
        <v>395</v>
      </c>
      <c r="Q65" s="2" t="s">
        <v>396</v>
      </c>
      <c r="R65" s="2" t="s">
        <v>29</v>
      </c>
      <c r="S65" s="2" t="s">
        <v>30</v>
      </c>
    </row>
    <row r="66" spans="1:19">
      <c r="A66" s="1">
        <v>43800</v>
      </c>
      <c r="B66" s="1">
        <v>43800</v>
      </c>
      <c r="C66">
        <v>2019</v>
      </c>
      <c r="D66">
        <v>12</v>
      </c>
      <c r="E66" s="2" t="s">
        <v>71</v>
      </c>
      <c r="F66" s="2" t="s">
        <v>72</v>
      </c>
      <c r="G66" s="2" t="s">
        <v>21</v>
      </c>
      <c r="H66" s="2" t="s">
        <v>22</v>
      </c>
      <c r="I66" s="2" t="s">
        <v>73</v>
      </c>
      <c r="J66" s="2" t="s">
        <v>59</v>
      </c>
      <c r="K66">
        <v>6485.39</v>
      </c>
      <c r="L66">
        <v>128488.21</v>
      </c>
      <c r="M66">
        <v>1981.19</v>
      </c>
      <c r="N66" s="2" t="s">
        <v>74</v>
      </c>
      <c r="O66" s="2" t="s">
        <v>75</v>
      </c>
      <c r="P66" s="2" t="s">
        <v>397</v>
      </c>
      <c r="Q66" s="2" t="s">
        <v>398</v>
      </c>
      <c r="R66" s="2" t="s">
        <v>29</v>
      </c>
      <c r="S66" s="2" t="s">
        <v>30</v>
      </c>
    </row>
    <row r="67" spans="1:19">
      <c r="A67" s="1">
        <v>43800</v>
      </c>
      <c r="B67" s="1">
        <v>43800</v>
      </c>
      <c r="C67">
        <v>2019</v>
      </c>
      <c r="D67">
        <v>12</v>
      </c>
      <c r="E67" s="2" t="s">
        <v>78</v>
      </c>
      <c r="F67" s="2" t="s">
        <v>79</v>
      </c>
      <c r="G67" s="2" t="s">
        <v>80</v>
      </c>
      <c r="H67" s="2" t="s">
        <v>81</v>
      </c>
      <c r="I67" s="2" t="s">
        <v>82</v>
      </c>
      <c r="J67" s="2" t="s">
        <v>24</v>
      </c>
      <c r="K67">
        <v>1.75</v>
      </c>
      <c r="L67">
        <v>3831685.45</v>
      </c>
      <c r="M67">
        <v>218953454.28999999</v>
      </c>
      <c r="N67" s="2" t="s">
        <v>83</v>
      </c>
      <c r="O67" s="2" t="s">
        <v>84</v>
      </c>
      <c r="P67" s="2" t="s">
        <v>399</v>
      </c>
      <c r="Q67" s="2" t="s">
        <v>400</v>
      </c>
      <c r="R67" s="2" t="s">
        <v>29</v>
      </c>
      <c r="S67" s="2" t="s">
        <v>30</v>
      </c>
    </row>
    <row r="68" spans="1:19">
      <c r="A68" s="1">
        <v>43800</v>
      </c>
      <c r="B68" s="1">
        <v>43800</v>
      </c>
      <c r="C68">
        <v>2019</v>
      </c>
      <c r="D68">
        <v>12</v>
      </c>
      <c r="E68" s="2" t="s">
        <v>87</v>
      </c>
      <c r="F68" s="2" t="s">
        <v>88</v>
      </c>
      <c r="G68" s="2" t="s">
        <v>80</v>
      </c>
      <c r="H68" s="2" t="s">
        <v>81</v>
      </c>
      <c r="I68" s="2" t="s">
        <v>82</v>
      </c>
      <c r="J68" s="2" t="s">
        <v>24</v>
      </c>
      <c r="K68">
        <v>0.61</v>
      </c>
      <c r="L68">
        <v>853261.51</v>
      </c>
      <c r="M68">
        <v>139878936.06999999</v>
      </c>
      <c r="N68" s="2" t="s">
        <v>89</v>
      </c>
      <c r="O68" s="2" t="s">
        <v>90</v>
      </c>
      <c r="P68" s="2" t="s">
        <v>401</v>
      </c>
      <c r="Q68" s="2" t="s">
        <v>402</v>
      </c>
      <c r="R68" s="2" t="s">
        <v>29</v>
      </c>
      <c r="S68" s="2" t="s">
        <v>30</v>
      </c>
    </row>
    <row r="69" spans="1:19">
      <c r="A69" s="1">
        <v>43800</v>
      </c>
      <c r="B69" s="1">
        <v>43800</v>
      </c>
      <c r="C69">
        <v>2019</v>
      </c>
      <c r="D69">
        <v>12</v>
      </c>
      <c r="E69" s="2" t="s">
        <v>93</v>
      </c>
      <c r="F69" s="2" t="s">
        <v>94</v>
      </c>
      <c r="G69" s="2" t="s">
        <v>80</v>
      </c>
      <c r="H69" s="2" t="s">
        <v>81</v>
      </c>
      <c r="I69" s="2" t="s">
        <v>82</v>
      </c>
      <c r="J69" s="2" t="s">
        <v>24</v>
      </c>
      <c r="K69">
        <v>0.21</v>
      </c>
      <c r="L69">
        <v>2950776.39</v>
      </c>
      <c r="M69">
        <v>1405131614.29</v>
      </c>
      <c r="N69" s="2" t="s">
        <v>95</v>
      </c>
      <c r="O69" s="2" t="s">
        <v>96</v>
      </c>
      <c r="P69" s="2" t="s">
        <v>403</v>
      </c>
      <c r="Q69" s="2" t="s">
        <v>404</v>
      </c>
      <c r="R69" s="2" t="s">
        <v>29</v>
      </c>
      <c r="S69" s="2" t="s">
        <v>30</v>
      </c>
    </row>
    <row r="70" spans="1:19">
      <c r="A70" s="1">
        <v>43800</v>
      </c>
      <c r="B70" s="1">
        <v>43800</v>
      </c>
      <c r="C70">
        <v>2019</v>
      </c>
      <c r="D70">
        <v>12</v>
      </c>
      <c r="E70" s="2" t="s">
        <v>99</v>
      </c>
      <c r="F70" s="2" t="s">
        <v>100</v>
      </c>
      <c r="G70" s="2" t="s">
        <v>80</v>
      </c>
      <c r="H70" s="2" t="s">
        <v>81</v>
      </c>
      <c r="I70" s="2" t="s">
        <v>82</v>
      </c>
      <c r="J70" s="2" t="s">
        <v>101</v>
      </c>
      <c r="K70">
        <v>1.04</v>
      </c>
      <c r="L70">
        <v>8085475.25</v>
      </c>
      <c r="M70">
        <v>777449543.26999998</v>
      </c>
      <c r="N70" s="2" t="s">
        <v>102</v>
      </c>
      <c r="O70" s="2" t="s">
        <v>103</v>
      </c>
      <c r="P70" s="2" t="s">
        <v>405</v>
      </c>
      <c r="Q70" s="2" t="s">
        <v>406</v>
      </c>
      <c r="R70" s="2" t="s">
        <v>29</v>
      </c>
      <c r="S70" s="2" t="s">
        <v>30</v>
      </c>
    </row>
    <row r="71" spans="1:19">
      <c r="A71" s="1">
        <v>43800</v>
      </c>
      <c r="B71" s="1">
        <v>43800</v>
      </c>
      <c r="C71">
        <v>2019</v>
      </c>
      <c r="D71">
        <v>12</v>
      </c>
      <c r="E71" s="2" t="s">
        <v>106</v>
      </c>
      <c r="F71" s="2" t="s">
        <v>107</v>
      </c>
      <c r="G71" s="2" t="s">
        <v>80</v>
      </c>
      <c r="H71" s="2" t="s">
        <v>81</v>
      </c>
      <c r="I71" s="2" t="s">
        <v>82</v>
      </c>
      <c r="J71" s="2" t="s">
        <v>24</v>
      </c>
      <c r="K71">
        <v>0.21</v>
      </c>
      <c r="L71">
        <v>4281437.3499999996</v>
      </c>
      <c r="M71">
        <v>2038779690.48</v>
      </c>
      <c r="N71" s="2" t="s">
        <v>108</v>
      </c>
      <c r="O71" s="2" t="s">
        <v>109</v>
      </c>
      <c r="P71" s="2" t="s">
        <v>403</v>
      </c>
      <c r="Q71" s="2" t="s">
        <v>407</v>
      </c>
      <c r="R71" s="2" t="s">
        <v>29</v>
      </c>
      <c r="S71" s="2" t="s">
        <v>30</v>
      </c>
    </row>
    <row r="72" spans="1:19">
      <c r="A72" s="1">
        <v>43800</v>
      </c>
      <c r="B72" s="1">
        <v>43800</v>
      </c>
      <c r="C72">
        <v>2019</v>
      </c>
      <c r="D72">
        <v>12</v>
      </c>
      <c r="E72" s="2" t="s">
        <v>111</v>
      </c>
      <c r="F72" s="2" t="s">
        <v>112</v>
      </c>
      <c r="G72" s="2" t="s">
        <v>80</v>
      </c>
      <c r="H72" s="2" t="s">
        <v>81</v>
      </c>
      <c r="I72" s="2" t="s">
        <v>82</v>
      </c>
      <c r="J72" s="2" t="s">
        <v>24</v>
      </c>
      <c r="K72">
        <v>0.04</v>
      </c>
      <c r="L72">
        <v>279520</v>
      </c>
      <c r="M72">
        <v>698800000</v>
      </c>
      <c r="N72" s="2" t="s">
        <v>113</v>
      </c>
      <c r="O72" s="2" t="s">
        <v>114</v>
      </c>
      <c r="P72" s="2" t="s">
        <v>115</v>
      </c>
      <c r="Q72" s="2" t="s">
        <v>408</v>
      </c>
      <c r="R72" s="2" t="s">
        <v>29</v>
      </c>
      <c r="S72" s="2" t="s">
        <v>30</v>
      </c>
    </row>
    <row r="73" spans="1:19">
      <c r="A73" s="1">
        <v>43800</v>
      </c>
      <c r="B73" s="1">
        <v>43800</v>
      </c>
      <c r="C73">
        <v>2019</v>
      </c>
      <c r="D73">
        <v>12</v>
      </c>
      <c r="E73" s="2" t="s">
        <v>117</v>
      </c>
      <c r="F73" s="2" t="s">
        <v>118</v>
      </c>
      <c r="G73" s="2" t="s">
        <v>80</v>
      </c>
      <c r="H73" s="2" t="s">
        <v>81</v>
      </c>
      <c r="I73" s="2" t="s">
        <v>82</v>
      </c>
      <c r="J73" s="2" t="s">
        <v>59</v>
      </c>
      <c r="K73">
        <v>2.83</v>
      </c>
      <c r="L73">
        <v>12196680.699999999</v>
      </c>
      <c r="M73">
        <v>430978116.61000001</v>
      </c>
      <c r="N73" s="2" t="s">
        <v>119</v>
      </c>
      <c r="O73" s="2" t="s">
        <v>120</v>
      </c>
      <c r="P73" s="2" t="s">
        <v>409</v>
      </c>
      <c r="Q73" s="2" t="s">
        <v>410</v>
      </c>
      <c r="R73" s="2" t="s">
        <v>29</v>
      </c>
      <c r="S73" s="2" t="s">
        <v>30</v>
      </c>
    </row>
    <row r="74" spans="1:19">
      <c r="A74" s="1">
        <v>43800</v>
      </c>
      <c r="B74" s="1">
        <v>43800</v>
      </c>
      <c r="C74">
        <v>2019</v>
      </c>
      <c r="D74">
        <v>12</v>
      </c>
      <c r="E74" s="2" t="s">
        <v>123</v>
      </c>
      <c r="F74" s="2" t="s">
        <v>124</v>
      </c>
      <c r="G74" s="2" t="s">
        <v>21</v>
      </c>
      <c r="H74" s="2" t="s">
        <v>22</v>
      </c>
      <c r="I74" s="2" t="s">
        <v>73</v>
      </c>
      <c r="J74" s="2" t="s">
        <v>24</v>
      </c>
      <c r="K74">
        <v>855.55</v>
      </c>
      <c r="L74">
        <v>30578.53</v>
      </c>
      <c r="M74">
        <v>3574.14</v>
      </c>
      <c r="N74" s="2" t="s">
        <v>125</v>
      </c>
      <c r="O74" s="2" t="s">
        <v>126</v>
      </c>
      <c r="P74" s="2" t="s">
        <v>411</v>
      </c>
      <c r="Q74" s="2" t="s">
        <v>412</v>
      </c>
      <c r="R74" s="2" t="s">
        <v>29</v>
      </c>
      <c r="S74" s="2" t="s">
        <v>30</v>
      </c>
    </row>
    <row r="75" spans="1:19">
      <c r="A75" s="1">
        <v>43800</v>
      </c>
      <c r="B75" s="1">
        <v>43800</v>
      </c>
      <c r="C75">
        <v>2019</v>
      </c>
      <c r="D75">
        <v>12</v>
      </c>
      <c r="E75" s="2" t="s">
        <v>129</v>
      </c>
      <c r="F75" s="2" t="s">
        <v>130</v>
      </c>
      <c r="G75" s="2" t="s">
        <v>21</v>
      </c>
      <c r="H75" s="2" t="s">
        <v>22</v>
      </c>
      <c r="I75" s="2" t="s">
        <v>73</v>
      </c>
      <c r="J75" s="2" t="s">
        <v>24</v>
      </c>
      <c r="K75">
        <v>1181.0899999999999</v>
      </c>
      <c r="L75">
        <v>35157.230000000003</v>
      </c>
      <c r="M75">
        <v>2976.68</v>
      </c>
      <c r="N75" s="2" t="s">
        <v>131</v>
      </c>
      <c r="O75" s="2" t="s">
        <v>132</v>
      </c>
      <c r="P75" s="2" t="s">
        <v>413</v>
      </c>
      <c r="Q75" s="2" t="s">
        <v>414</v>
      </c>
      <c r="R75" s="2" t="s">
        <v>29</v>
      </c>
      <c r="S75" s="2" t="s">
        <v>30</v>
      </c>
    </row>
    <row r="76" spans="1:19">
      <c r="A76" s="1">
        <v>43800</v>
      </c>
      <c r="B76" s="1">
        <v>43800</v>
      </c>
      <c r="C76">
        <v>2019</v>
      </c>
      <c r="D76">
        <v>12</v>
      </c>
      <c r="E76" s="2" t="s">
        <v>135</v>
      </c>
      <c r="F76" s="2" t="s">
        <v>136</v>
      </c>
      <c r="G76" s="2" t="s">
        <v>21</v>
      </c>
      <c r="H76" s="2" t="s">
        <v>22</v>
      </c>
      <c r="I76" s="2" t="s">
        <v>73</v>
      </c>
      <c r="J76" s="2" t="s">
        <v>101</v>
      </c>
      <c r="K76">
        <v>2036.64</v>
      </c>
      <c r="L76">
        <v>65735.759999999995</v>
      </c>
      <c r="M76">
        <v>3227.66</v>
      </c>
      <c r="N76" s="2" t="s">
        <v>137</v>
      </c>
      <c r="O76" s="2" t="s">
        <v>138</v>
      </c>
      <c r="P76" s="2" t="s">
        <v>415</v>
      </c>
      <c r="Q76" s="2" t="s">
        <v>416</v>
      </c>
      <c r="R76" s="2" t="s">
        <v>29</v>
      </c>
      <c r="S76" s="2" t="s">
        <v>30</v>
      </c>
    </row>
    <row r="77" spans="1:19">
      <c r="A77" s="1">
        <v>43800</v>
      </c>
      <c r="B77" s="1">
        <v>43800</v>
      </c>
      <c r="C77">
        <v>2019</v>
      </c>
      <c r="D77">
        <v>12</v>
      </c>
      <c r="E77" s="2" t="s">
        <v>141</v>
      </c>
      <c r="F77" s="2" t="s">
        <v>142</v>
      </c>
      <c r="G77" s="2" t="s">
        <v>21</v>
      </c>
      <c r="H77" s="2" t="s">
        <v>22</v>
      </c>
      <c r="I77" s="2" t="s">
        <v>73</v>
      </c>
      <c r="J77" s="2" t="s">
        <v>24</v>
      </c>
      <c r="K77">
        <v>1814.57</v>
      </c>
      <c r="L77">
        <v>23012.94</v>
      </c>
      <c r="M77">
        <v>1268.23</v>
      </c>
      <c r="N77" s="2" t="s">
        <v>143</v>
      </c>
      <c r="O77" s="2" t="s">
        <v>144</v>
      </c>
      <c r="P77" s="2" t="s">
        <v>417</v>
      </c>
      <c r="Q77" s="2" t="s">
        <v>418</v>
      </c>
      <c r="R77" s="2" t="s">
        <v>29</v>
      </c>
      <c r="S77" s="2" t="s">
        <v>30</v>
      </c>
    </row>
    <row r="78" spans="1:19">
      <c r="A78" s="1">
        <v>43800</v>
      </c>
      <c r="B78" s="1">
        <v>43800</v>
      </c>
      <c r="C78">
        <v>2019</v>
      </c>
      <c r="D78">
        <v>12</v>
      </c>
      <c r="E78" s="2" t="s">
        <v>147</v>
      </c>
      <c r="F78" s="2" t="s">
        <v>148</v>
      </c>
      <c r="G78" s="2" t="s">
        <v>21</v>
      </c>
      <c r="H78" s="2" t="s">
        <v>22</v>
      </c>
      <c r="I78" s="2" t="s">
        <v>73</v>
      </c>
      <c r="J78" s="2" t="s">
        <v>24</v>
      </c>
      <c r="K78">
        <v>2634.18</v>
      </c>
      <c r="L78">
        <v>39739.51</v>
      </c>
      <c r="M78">
        <v>1508.61</v>
      </c>
      <c r="N78" s="2" t="s">
        <v>149</v>
      </c>
      <c r="O78" s="2" t="s">
        <v>150</v>
      </c>
      <c r="P78" s="2" t="s">
        <v>419</v>
      </c>
      <c r="Q78" s="2" t="s">
        <v>420</v>
      </c>
      <c r="R78" s="2" t="s">
        <v>29</v>
      </c>
      <c r="S78" s="2" t="s">
        <v>30</v>
      </c>
    </row>
    <row r="79" spans="1:19">
      <c r="A79" s="1">
        <v>43800</v>
      </c>
      <c r="B79" s="1">
        <v>43800</v>
      </c>
      <c r="C79">
        <v>2019</v>
      </c>
      <c r="D79">
        <v>12</v>
      </c>
      <c r="E79" s="2" t="s">
        <v>153</v>
      </c>
      <c r="F79" s="2" t="s">
        <v>154</v>
      </c>
      <c r="G79" s="2" t="s">
        <v>21</v>
      </c>
      <c r="H79" s="2" t="s">
        <v>22</v>
      </c>
      <c r="I79" s="2" t="s">
        <v>73</v>
      </c>
      <c r="J79" s="2" t="s">
        <v>101</v>
      </c>
      <c r="K79">
        <v>4448.75</v>
      </c>
      <c r="L79">
        <v>62752.45</v>
      </c>
      <c r="M79">
        <v>1410.56</v>
      </c>
      <c r="N79" s="2" t="s">
        <v>155</v>
      </c>
      <c r="O79" s="2" t="s">
        <v>156</v>
      </c>
      <c r="P79" s="2" t="s">
        <v>421</v>
      </c>
      <c r="Q79" s="2" t="s">
        <v>422</v>
      </c>
      <c r="R79" s="2" t="s">
        <v>29</v>
      </c>
      <c r="S79" s="2" t="s">
        <v>30</v>
      </c>
    </row>
    <row r="80" spans="1:19">
      <c r="A80" s="1">
        <v>43800</v>
      </c>
      <c r="B80" s="1">
        <v>43800</v>
      </c>
      <c r="C80">
        <v>2019</v>
      </c>
      <c r="D80">
        <v>12</v>
      </c>
      <c r="E80" s="2" t="s">
        <v>159</v>
      </c>
      <c r="F80" s="2" t="s">
        <v>160</v>
      </c>
      <c r="G80" s="2" t="s">
        <v>21</v>
      </c>
      <c r="H80" s="2" t="s">
        <v>22</v>
      </c>
      <c r="I80" s="2" t="s">
        <v>66</v>
      </c>
      <c r="J80" s="2" t="s">
        <v>59</v>
      </c>
      <c r="K80">
        <v>552.85</v>
      </c>
      <c r="L80">
        <v>54320.3</v>
      </c>
      <c r="M80">
        <v>9825.5</v>
      </c>
      <c r="N80" s="2" t="s">
        <v>161</v>
      </c>
      <c r="O80" s="2" t="s">
        <v>162</v>
      </c>
      <c r="P80" s="2" t="s">
        <v>423</v>
      </c>
      <c r="Q80" s="2" t="s">
        <v>424</v>
      </c>
      <c r="R80" s="2" t="s">
        <v>29</v>
      </c>
      <c r="S80" s="2" t="s">
        <v>30</v>
      </c>
    </row>
    <row r="81" spans="1:19">
      <c r="A81" s="1">
        <v>43800</v>
      </c>
      <c r="B81" s="1">
        <v>43800</v>
      </c>
      <c r="C81">
        <v>2019</v>
      </c>
      <c r="D81">
        <v>12</v>
      </c>
      <c r="E81" s="2" t="s">
        <v>165</v>
      </c>
      <c r="F81" s="2" t="s">
        <v>166</v>
      </c>
      <c r="G81" s="2" t="s">
        <v>21</v>
      </c>
      <c r="H81" s="2" t="s">
        <v>22</v>
      </c>
      <c r="I81" s="2" t="s">
        <v>23</v>
      </c>
      <c r="J81" s="2" t="s">
        <v>24</v>
      </c>
      <c r="K81">
        <v>0.1</v>
      </c>
      <c r="L81">
        <v>53.35</v>
      </c>
      <c r="M81">
        <v>53350</v>
      </c>
      <c r="N81" s="2" t="s">
        <v>167</v>
      </c>
      <c r="O81" s="2" t="s">
        <v>168</v>
      </c>
      <c r="P81" s="2" t="s">
        <v>425</v>
      </c>
      <c r="Q81" s="2" t="s">
        <v>426</v>
      </c>
      <c r="R81" s="2" t="s">
        <v>29</v>
      </c>
      <c r="S81" s="2" t="s">
        <v>30</v>
      </c>
    </row>
    <row r="82" spans="1:19">
      <c r="A82" s="1">
        <v>43800</v>
      </c>
      <c r="B82" s="1">
        <v>43800</v>
      </c>
      <c r="C82">
        <v>2019</v>
      </c>
      <c r="D82">
        <v>12</v>
      </c>
      <c r="E82" s="2" t="s">
        <v>171</v>
      </c>
      <c r="F82" s="2" t="s">
        <v>172</v>
      </c>
      <c r="G82" s="2" t="s">
        <v>21</v>
      </c>
      <c r="H82" s="2" t="s">
        <v>22</v>
      </c>
      <c r="I82" s="2" t="s">
        <v>66</v>
      </c>
      <c r="J82" s="2" t="s">
        <v>24</v>
      </c>
      <c r="N82" s="2" t="s">
        <v>173</v>
      </c>
      <c r="O82" s="2" t="s">
        <v>174</v>
      </c>
      <c r="P82" s="2" t="s">
        <v>175</v>
      </c>
      <c r="Q82" s="2" t="s">
        <v>175</v>
      </c>
      <c r="R82" s="2" t="s">
        <v>176</v>
      </c>
      <c r="S82" s="2" t="s">
        <v>30</v>
      </c>
    </row>
    <row r="83" spans="1:19">
      <c r="A83" s="1">
        <v>43800</v>
      </c>
      <c r="B83" s="1">
        <v>43800</v>
      </c>
      <c r="C83">
        <v>2019</v>
      </c>
      <c r="D83">
        <v>12</v>
      </c>
      <c r="E83" s="2" t="s">
        <v>177</v>
      </c>
      <c r="F83" s="2" t="s">
        <v>178</v>
      </c>
      <c r="G83" s="2" t="s">
        <v>21</v>
      </c>
      <c r="H83" s="2" t="s">
        <v>22</v>
      </c>
      <c r="I83" s="2" t="s">
        <v>23</v>
      </c>
      <c r="J83" s="2" t="s">
        <v>24</v>
      </c>
      <c r="K83">
        <v>2564.67</v>
      </c>
      <c r="L83">
        <v>210934.23</v>
      </c>
      <c r="M83">
        <v>8224.61</v>
      </c>
      <c r="N83" s="2" t="s">
        <v>179</v>
      </c>
      <c r="O83" s="2" t="s">
        <v>180</v>
      </c>
      <c r="P83" s="2" t="s">
        <v>427</v>
      </c>
      <c r="Q83" s="2" t="s">
        <v>428</v>
      </c>
      <c r="R83" s="2" t="s">
        <v>29</v>
      </c>
      <c r="S83" s="2" t="s">
        <v>30</v>
      </c>
    </row>
    <row r="84" spans="1:19">
      <c r="A84" s="1">
        <v>43800</v>
      </c>
      <c r="B84" s="1">
        <v>43800</v>
      </c>
      <c r="C84">
        <v>2019</v>
      </c>
      <c r="D84">
        <v>12</v>
      </c>
      <c r="E84" s="2" t="s">
        <v>183</v>
      </c>
      <c r="F84" s="2" t="s">
        <v>184</v>
      </c>
      <c r="G84" s="2" t="s">
        <v>185</v>
      </c>
      <c r="H84" s="2" t="s">
        <v>22</v>
      </c>
      <c r="I84" s="2" t="s">
        <v>186</v>
      </c>
      <c r="J84" s="2" t="s">
        <v>24</v>
      </c>
      <c r="K84">
        <v>2299.4499999999998</v>
      </c>
      <c r="L84">
        <v>2024156.94</v>
      </c>
      <c r="M84">
        <v>88027.87</v>
      </c>
      <c r="N84" s="2" t="s">
        <v>187</v>
      </c>
      <c r="O84" s="2" t="s">
        <v>188</v>
      </c>
      <c r="P84" s="2" t="s">
        <v>429</v>
      </c>
      <c r="Q84" s="2" t="s">
        <v>430</v>
      </c>
      <c r="R84" s="2" t="s">
        <v>29</v>
      </c>
      <c r="S84" s="2" t="s">
        <v>30</v>
      </c>
    </row>
    <row r="85" spans="1:19">
      <c r="A85" s="1">
        <v>43800</v>
      </c>
      <c r="B85" s="1">
        <v>43800</v>
      </c>
      <c r="C85">
        <v>2019</v>
      </c>
      <c r="D85">
        <v>12</v>
      </c>
      <c r="E85" s="2" t="s">
        <v>191</v>
      </c>
      <c r="F85" s="2" t="s">
        <v>192</v>
      </c>
      <c r="G85" s="2" t="s">
        <v>185</v>
      </c>
      <c r="H85" s="2" t="s">
        <v>22</v>
      </c>
      <c r="I85" s="2" t="s">
        <v>186</v>
      </c>
      <c r="J85" s="2" t="s">
        <v>24</v>
      </c>
      <c r="K85">
        <v>694.78</v>
      </c>
      <c r="L85">
        <v>3510638.11</v>
      </c>
      <c r="M85">
        <v>505287.73</v>
      </c>
      <c r="N85" s="2" t="s">
        <v>193</v>
      </c>
      <c r="O85" s="2" t="s">
        <v>194</v>
      </c>
      <c r="P85" s="2" t="s">
        <v>431</v>
      </c>
      <c r="Q85" s="2" t="s">
        <v>432</v>
      </c>
      <c r="R85" s="2" t="s">
        <v>29</v>
      </c>
      <c r="S85" s="2" t="s">
        <v>30</v>
      </c>
    </row>
    <row r="86" spans="1:19">
      <c r="A86" s="1">
        <v>43800</v>
      </c>
      <c r="B86" s="1">
        <v>43800</v>
      </c>
      <c r="C86">
        <v>2019</v>
      </c>
      <c r="D86">
        <v>12</v>
      </c>
      <c r="E86" s="2" t="s">
        <v>197</v>
      </c>
      <c r="F86" s="2" t="s">
        <v>198</v>
      </c>
      <c r="G86" s="2" t="s">
        <v>185</v>
      </c>
      <c r="H86" s="2" t="s">
        <v>22</v>
      </c>
      <c r="I86" s="2" t="s">
        <v>186</v>
      </c>
      <c r="J86" s="2" t="s">
        <v>59</v>
      </c>
      <c r="K86">
        <v>2994.23</v>
      </c>
      <c r="L86">
        <v>5534795.0499999998</v>
      </c>
      <c r="M86">
        <v>184848.69</v>
      </c>
      <c r="N86" s="2" t="s">
        <v>199</v>
      </c>
      <c r="O86" s="2" t="s">
        <v>200</v>
      </c>
      <c r="P86" s="2" t="s">
        <v>433</v>
      </c>
      <c r="Q86" s="2" t="s">
        <v>434</v>
      </c>
      <c r="R86" s="2" t="s">
        <v>29</v>
      </c>
      <c r="S86" s="2" t="s">
        <v>30</v>
      </c>
    </row>
    <row r="87" spans="1:19">
      <c r="A87" s="1">
        <v>43800</v>
      </c>
      <c r="B87" s="1">
        <v>43800</v>
      </c>
      <c r="C87">
        <v>2019</v>
      </c>
      <c r="D87">
        <v>12</v>
      </c>
      <c r="E87" s="2" t="s">
        <v>203</v>
      </c>
      <c r="F87" s="2" t="s">
        <v>204</v>
      </c>
      <c r="G87" s="2" t="s">
        <v>39</v>
      </c>
      <c r="H87" s="2" t="s">
        <v>22</v>
      </c>
      <c r="I87" s="2" t="s">
        <v>40</v>
      </c>
      <c r="J87" s="2" t="s">
        <v>24</v>
      </c>
      <c r="K87">
        <v>326.35000000000002</v>
      </c>
      <c r="L87">
        <v>9162.81</v>
      </c>
      <c r="M87">
        <v>2807.66</v>
      </c>
      <c r="N87" s="2" t="s">
        <v>205</v>
      </c>
      <c r="O87" s="2" t="s">
        <v>206</v>
      </c>
      <c r="P87" s="2" t="s">
        <v>435</v>
      </c>
      <c r="Q87" s="2" t="s">
        <v>436</v>
      </c>
      <c r="R87" s="2" t="s">
        <v>29</v>
      </c>
      <c r="S87" s="2" t="s">
        <v>30</v>
      </c>
    </row>
    <row r="88" spans="1:19">
      <c r="A88" s="1">
        <v>43800</v>
      </c>
      <c r="B88" s="1">
        <v>43800</v>
      </c>
      <c r="C88">
        <v>2019</v>
      </c>
      <c r="D88">
        <v>12</v>
      </c>
      <c r="E88" s="2" t="s">
        <v>209</v>
      </c>
      <c r="F88" s="2" t="s">
        <v>210</v>
      </c>
      <c r="G88" s="2" t="s">
        <v>39</v>
      </c>
      <c r="H88" s="2" t="s">
        <v>22</v>
      </c>
      <c r="I88" s="2" t="s">
        <v>40</v>
      </c>
      <c r="J88" s="2" t="s">
        <v>59</v>
      </c>
      <c r="K88">
        <v>326.35000000000002</v>
      </c>
      <c r="L88">
        <v>9162.81</v>
      </c>
      <c r="M88">
        <v>2807.66</v>
      </c>
      <c r="N88" s="2" t="s">
        <v>211</v>
      </c>
      <c r="O88" s="2" t="s">
        <v>212</v>
      </c>
      <c r="P88" s="2" t="s">
        <v>435</v>
      </c>
      <c r="Q88" s="2" t="s">
        <v>436</v>
      </c>
      <c r="R88" s="2" t="s">
        <v>29</v>
      </c>
      <c r="S88" s="2" t="s">
        <v>30</v>
      </c>
    </row>
    <row r="89" spans="1:19">
      <c r="A89" s="1">
        <v>43800</v>
      </c>
      <c r="B89" s="1">
        <v>43800</v>
      </c>
      <c r="C89">
        <v>2019</v>
      </c>
      <c r="D89">
        <v>12</v>
      </c>
      <c r="E89" s="2" t="s">
        <v>213</v>
      </c>
      <c r="F89" s="2" t="s">
        <v>214</v>
      </c>
      <c r="G89" s="2" t="s">
        <v>185</v>
      </c>
      <c r="H89" s="2" t="s">
        <v>22</v>
      </c>
      <c r="I89" s="2" t="s">
        <v>215</v>
      </c>
      <c r="J89" s="2" t="s">
        <v>24</v>
      </c>
      <c r="K89">
        <v>13041.49</v>
      </c>
      <c r="L89">
        <v>391663.33</v>
      </c>
      <c r="M89">
        <v>3003.21</v>
      </c>
      <c r="N89" s="2" t="s">
        <v>216</v>
      </c>
      <c r="O89" s="2" t="s">
        <v>217</v>
      </c>
      <c r="P89" s="2" t="s">
        <v>437</v>
      </c>
      <c r="Q89" s="2" t="s">
        <v>438</v>
      </c>
      <c r="R89" s="2" t="s">
        <v>29</v>
      </c>
      <c r="S89" s="2" t="s">
        <v>30</v>
      </c>
    </row>
    <row r="90" spans="1:19">
      <c r="A90" s="1">
        <v>43800</v>
      </c>
      <c r="B90" s="1">
        <v>43800</v>
      </c>
      <c r="C90">
        <v>2019</v>
      </c>
      <c r="D90">
        <v>12</v>
      </c>
      <c r="E90" s="2" t="s">
        <v>220</v>
      </c>
      <c r="F90" s="2" t="s">
        <v>221</v>
      </c>
      <c r="G90" s="2" t="s">
        <v>185</v>
      </c>
      <c r="H90" s="2" t="s">
        <v>22</v>
      </c>
      <c r="I90" s="2" t="s">
        <v>215</v>
      </c>
      <c r="J90" s="2" t="s">
        <v>24</v>
      </c>
      <c r="K90">
        <v>1280.6600000000001</v>
      </c>
      <c r="L90">
        <v>101678.83</v>
      </c>
      <c r="M90">
        <v>7939.56</v>
      </c>
      <c r="N90" s="2" t="s">
        <v>222</v>
      </c>
      <c r="O90" s="2" t="s">
        <v>223</v>
      </c>
      <c r="P90" s="2" t="s">
        <v>439</v>
      </c>
      <c r="Q90" s="2" t="s">
        <v>440</v>
      </c>
      <c r="R90" s="2" t="s">
        <v>29</v>
      </c>
      <c r="S90" s="2" t="s">
        <v>30</v>
      </c>
    </row>
    <row r="91" spans="1:19">
      <c r="A91" s="1">
        <v>43800</v>
      </c>
      <c r="B91" s="1">
        <v>43800</v>
      </c>
      <c r="C91">
        <v>2019</v>
      </c>
      <c r="D91">
        <v>12</v>
      </c>
      <c r="E91" s="2" t="s">
        <v>226</v>
      </c>
      <c r="F91" s="2" t="s">
        <v>227</v>
      </c>
      <c r="G91" s="2" t="s">
        <v>185</v>
      </c>
      <c r="H91" s="2" t="s">
        <v>22</v>
      </c>
      <c r="I91" s="2" t="s">
        <v>215</v>
      </c>
      <c r="J91" s="2" t="s">
        <v>59</v>
      </c>
      <c r="K91">
        <v>14322.15</v>
      </c>
      <c r="L91">
        <v>493342.16</v>
      </c>
      <c r="M91">
        <v>3444.61</v>
      </c>
      <c r="N91" s="2" t="s">
        <v>228</v>
      </c>
      <c r="O91" s="2" t="s">
        <v>229</v>
      </c>
      <c r="P91" s="2" t="s">
        <v>441</v>
      </c>
      <c r="Q91" s="2" t="s">
        <v>442</v>
      </c>
      <c r="R91" s="2" t="s">
        <v>29</v>
      </c>
      <c r="S91" s="2" t="s">
        <v>30</v>
      </c>
    </row>
    <row r="92" spans="1:19">
      <c r="A92" s="1">
        <v>43800</v>
      </c>
      <c r="B92" s="1">
        <v>43800</v>
      </c>
      <c r="C92">
        <v>2019</v>
      </c>
      <c r="D92">
        <v>12</v>
      </c>
      <c r="E92" s="2" t="s">
        <v>232</v>
      </c>
      <c r="F92" s="2" t="s">
        <v>233</v>
      </c>
      <c r="G92" s="2" t="s">
        <v>21</v>
      </c>
      <c r="H92" s="2" t="s">
        <v>22</v>
      </c>
      <c r="I92" s="2" t="s">
        <v>23</v>
      </c>
      <c r="J92" s="2" t="s">
        <v>24</v>
      </c>
      <c r="K92">
        <v>659.48</v>
      </c>
      <c r="L92">
        <v>78362.31</v>
      </c>
      <c r="M92">
        <v>11882.44</v>
      </c>
      <c r="N92" s="2" t="s">
        <v>234</v>
      </c>
      <c r="O92" s="2" t="s">
        <v>235</v>
      </c>
      <c r="P92" s="2" t="s">
        <v>443</v>
      </c>
      <c r="Q92" s="2" t="s">
        <v>444</v>
      </c>
      <c r="R92" s="2" t="s">
        <v>29</v>
      </c>
      <c r="S92" s="2" t="s">
        <v>30</v>
      </c>
    </row>
    <row r="93" spans="1:19">
      <c r="A93" s="1">
        <v>43800</v>
      </c>
      <c r="B93" s="1">
        <v>43800</v>
      </c>
      <c r="C93">
        <v>2019</v>
      </c>
      <c r="D93">
        <v>12</v>
      </c>
      <c r="E93" s="2" t="s">
        <v>238</v>
      </c>
      <c r="F93" s="2" t="s">
        <v>239</v>
      </c>
      <c r="G93" s="2" t="s">
        <v>21</v>
      </c>
      <c r="H93" s="2" t="s">
        <v>22</v>
      </c>
      <c r="I93" s="2" t="s">
        <v>66</v>
      </c>
      <c r="J93" s="2" t="s">
        <v>24</v>
      </c>
      <c r="K93">
        <v>531.45000000000005</v>
      </c>
      <c r="L93">
        <v>54171.42</v>
      </c>
      <c r="M93">
        <v>10193.14</v>
      </c>
      <c r="N93" s="2" t="s">
        <v>240</v>
      </c>
      <c r="O93" s="2" t="s">
        <v>241</v>
      </c>
      <c r="P93" s="2" t="s">
        <v>445</v>
      </c>
      <c r="Q93" s="2" t="s">
        <v>446</v>
      </c>
      <c r="R93" s="2" t="s">
        <v>29</v>
      </c>
      <c r="S93" s="2" t="s">
        <v>30</v>
      </c>
    </row>
    <row r="94" spans="1:19">
      <c r="A94" s="1">
        <v>43800</v>
      </c>
      <c r="B94" s="1">
        <v>43800</v>
      </c>
      <c r="C94">
        <v>2019</v>
      </c>
      <c r="D94">
        <v>12</v>
      </c>
      <c r="E94" s="2" t="s">
        <v>244</v>
      </c>
      <c r="F94" s="2" t="s">
        <v>245</v>
      </c>
      <c r="G94" s="2" t="s">
        <v>21</v>
      </c>
      <c r="H94" s="2" t="s">
        <v>22</v>
      </c>
      <c r="I94" s="2" t="s">
        <v>23</v>
      </c>
      <c r="J94" s="2" t="s">
        <v>24</v>
      </c>
      <c r="K94">
        <v>2336.88</v>
      </c>
      <c r="L94">
        <v>1942230.71</v>
      </c>
      <c r="M94">
        <v>83112.13</v>
      </c>
      <c r="N94" s="2" t="s">
        <v>246</v>
      </c>
      <c r="O94" s="2" t="s">
        <v>247</v>
      </c>
      <c r="P94" s="2" t="s">
        <v>447</v>
      </c>
      <c r="Q94" s="2" t="s">
        <v>448</v>
      </c>
      <c r="R94" s="2" t="s">
        <v>29</v>
      </c>
      <c r="S94" s="2" t="s">
        <v>30</v>
      </c>
    </row>
    <row r="95" spans="1:19">
      <c r="A95" s="1">
        <v>43800</v>
      </c>
      <c r="B95" s="1">
        <v>43800</v>
      </c>
      <c r="C95">
        <v>2019</v>
      </c>
      <c r="D95">
        <v>12</v>
      </c>
      <c r="E95" s="2" t="s">
        <v>250</v>
      </c>
      <c r="F95" s="2" t="s">
        <v>251</v>
      </c>
      <c r="G95" s="2" t="s">
        <v>21</v>
      </c>
      <c r="H95" s="2" t="s">
        <v>22</v>
      </c>
      <c r="I95" s="2" t="s">
        <v>66</v>
      </c>
      <c r="J95" s="2" t="s">
        <v>24</v>
      </c>
      <c r="K95">
        <v>14.02</v>
      </c>
      <c r="L95">
        <v>37.299999999999997</v>
      </c>
      <c r="M95">
        <v>266.05</v>
      </c>
      <c r="N95" s="2" t="s">
        <v>252</v>
      </c>
      <c r="O95" s="2" t="s">
        <v>253</v>
      </c>
      <c r="P95" s="2" t="s">
        <v>449</v>
      </c>
      <c r="Q95" s="2" t="s">
        <v>450</v>
      </c>
      <c r="R95" s="2" t="s">
        <v>29</v>
      </c>
      <c r="S95" s="2" t="s">
        <v>30</v>
      </c>
    </row>
    <row r="96" spans="1:19">
      <c r="A96" s="1">
        <v>43800</v>
      </c>
      <c r="B96" s="1">
        <v>43800</v>
      </c>
      <c r="C96">
        <v>2019</v>
      </c>
      <c r="D96">
        <v>12</v>
      </c>
      <c r="E96" s="2" t="s">
        <v>256</v>
      </c>
      <c r="F96" s="2" t="s">
        <v>257</v>
      </c>
      <c r="G96" s="2" t="s">
        <v>21</v>
      </c>
      <c r="H96" s="2" t="s">
        <v>22</v>
      </c>
      <c r="I96" s="2" t="s">
        <v>258</v>
      </c>
      <c r="J96" s="2" t="s">
        <v>24</v>
      </c>
      <c r="K96">
        <v>864.44</v>
      </c>
      <c r="L96">
        <v>645573.23</v>
      </c>
      <c r="M96">
        <v>74681.09</v>
      </c>
      <c r="N96" s="2" t="s">
        <v>259</v>
      </c>
      <c r="O96" s="2" t="s">
        <v>260</v>
      </c>
      <c r="P96" s="2" t="s">
        <v>451</v>
      </c>
      <c r="Q96" s="2" t="s">
        <v>452</v>
      </c>
      <c r="R96" s="2" t="s">
        <v>29</v>
      </c>
      <c r="S96" s="2" t="s">
        <v>30</v>
      </c>
    </row>
    <row r="97" spans="1:19">
      <c r="A97" s="1">
        <v>43800</v>
      </c>
      <c r="B97" s="1">
        <v>43800</v>
      </c>
      <c r="C97">
        <v>2019</v>
      </c>
      <c r="D97">
        <v>12</v>
      </c>
      <c r="E97" s="2" t="s">
        <v>263</v>
      </c>
      <c r="F97" s="2" t="s">
        <v>264</v>
      </c>
      <c r="G97" s="2" t="s">
        <v>21</v>
      </c>
      <c r="H97" s="2" t="s">
        <v>22</v>
      </c>
      <c r="I97" s="2" t="s">
        <v>258</v>
      </c>
      <c r="J97" s="2" t="s">
        <v>24</v>
      </c>
      <c r="K97">
        <v>1.02</v>
      </c>
      <c r="L97">
        <v>1010.13</v>
      </c>
      <c r="M97">
        <v>99032.35</v>
      </c>
      <c r="N97" s="2" t="s">
        <v>265</v>
      </c>
      <c r="O97" s="2" t="s">
        <v>266</v>
      </c>
      <c r="P97" s="2" t="s">
        <v>453</v>
      </c>
      <c r="Q97" s="2" t="s">
        <v>454</v>
      </c>
      <c r="R97" s="2" t="s">
        <v>29</v>
      </c>
      <c r="S97" s="2" t="s">
        <v>30</v>
      </c>
    </row>
    <row r="98" spans="1:19">
      <c r="A98" s="1">
        <v>43800</v>
      </c>
      <c r="B98" s="1">
        <v>43800</v>
      </c>
      <c r="C98">
        <v>2019</v>
      </c>
      <c r="D98">
        <v>12</v>
      </c>
      <c r="E98" s="2" t="s">
        <v>269</v>
      </c>
      <c r="F98" s="2" t="s">
        <v>270</v>
      </c>
      <c r="G98" s="2" t="s">
        <v>21</v>
      </c>
      <c r="H98" s="2" t="s">
        <v>22</v>
      </c>
      <c r="I98" s="2" t="s">
        <v>258</v>
      </c>
      <c r="J98" s="2" t="s">
        <v>59</v>
      </c>
      <c r="K98">
        <v>865.46</v>
      </c>
      <c r="L98">
        <v>646583.36</v>
      </c>
      <c r="M98">
        <v>74709.789999999994</v>
      </c>
      <c r="N98" s="2" t="s">
        <v>271</v>
      </c>
      <c r="O98" s="2" t="s">
        <v>272</v>
      </c>
      <c r="P98" s="2" t="s">
        <v>455</v>
      </c>
      <c r="Q98" s="2" t="s">
        <v>456</v>
      </c>
      <c r="R98" s="2" t="s">
        <v>29</v>
      </c>
      <c r="S98" s="2" t="s">
        <v>30</v>
      </c>
    </row>
    <row r="99" spans="1:19">
      <c r="A99" s="1">
        <v>43800</v>
      </c>
      <c r="B99" s="1">
        <v>43800</v>
      </c>
      <c r="C99">
        <v>2019</v>
      </c>
      <c r="D99">
        <v>12</v>
      </c>
      <c r="E99" s="2" t="s">
        <v>275</v>
      </c>
      <c r="F99" s="2" t="s">
        <v>276</v>
      </c>
      <c r="G99" s="2" t="s">
        <v>39</v>
      </c>
      <c r="H99" s="2" t="s">
        <v>22</v>
      </c>
      <c r="I99" s="2" t="s">
        <v>40</v>
      </c>
      <c r="J99" s="2" t="s">
        <v>24</v>
      </c>
      <c r="K99">
        <v>71.47</v>
      </c>
      <c r="L99">
        <v>134.16999999999999</v>
      </c>
      <c r="M99">
        <v>187.73</v>
      </c>
      <c r="N99" s="2" t="s">
        <v>277</v>
      </c>
      <c r="O99" s="2" t="s">
        <v>278</v>
      </c>
      <c r="P99" s="2" t="s">
        <v>457</v>
      </c>
      <c r="Q99" s="2" t="s">
        <v>458</v>
      </c>
      <c r="R99" s="2" t="s">
        <v>29</v>
      </c>
      <c r="S99" s="2" t="s">
        <v>30</v>
      </c>
    </row>
    <row r="100" spans="1:19">
      <c r="A100" s="1">
        <v>43800</v>
      </c>
      <c r="B100" s="1">
        <v>43800</v>
      </c>
      <c r="C100">
        <v>2019</v>
      </c>
      <c r="D100">
        <v>12</v>
      </c>
      <c r="E100" s="2" t="s">
        <v>281</v>
      </c>
      <c r="F100" s="2" t="s">
        <v>282</v>
      </c>
      <c r="G100" s="2" t="s">
        <v>39</v>
      </c>
      <c r="H100" s="2" t="s">
        <v>22</v>
      </c>
      <c r="I100" s="2" t="s">
        <v>40</v>
      </c>
      <c r="J100" s="2" t="s">
        <v>24</v>
      </c>
      <c r="K100">
        <v>7.05</v>
      </c>
      <c r="L100">
        <v>14.07</v>
      </c>
      <c r="M100">
        <v>199.57</v>
      </c>
      <c r="N100" s="2" t="s">
        <v>283</v>
      </c>
      <c r="O100" s="2" t="s">
        <v>284</v>
      </c>
      <c r="P100" s="2" t="s">
        <v>459</v>
      </c>
      <c r="Q100" s="2" t="s">
        <v>460</v>
      </c>
      <c r="R100" s="2" t="s">
        <v>29</v>
      </c>
      <c r="S100" s="2" t="s">
        <v>30</v>
      </c>
    </row>
    <row r="101" spans="1:19">
      <c r="A101" s="1">
        <v>43800</v>
      </c>
      <c r="B101" s="1">
        <v>43800</v>
      </c>
      <c r="C101">
        <v>2019</v>
      </c>
      <c r="D101">
        <v>12</v>
      </c>
      <c r="E101" s="2" t="s">
        <v>287</v>
      </c>
      <c r="F101" s="2" t="s">
        <v>288</v>
      </c>
      <c r="G101" s="2" t="s">
        <v>39</v>
      </c>
      <c r="H101" s="2" t="s">
        <v>22</v>
      </c>
      <c r="I101" s="2" t="s">
        <v>40</v>
      </c>
      <c r="J101" s="2" t="s">
        <v>59</v>
      </c>
      <c r="K101">
        <v>78.52</v>
      </c>
      <c r="L101">
        <v>148.24</v>
      </c>
      <c r="M101">
        <v>188.79</v>
      </c>
      <c r="N101" s="2" t="s">
        <v>289</v>
      </c>
      <c r="O101" s="2" t="s">
        <v>290</v>
      </c>
      <c r="P101" s="2" t="s">
        <v>461</v>
      </c>
      <c r="Q101" s="2" t="s">
        <v>462</v>
      </c>
      <c r="R101" s="2" t="s">
        <v>29</v>
      </c>
      <c r="S101" s="2" t="s">
        <v>30</v>
      </c>
    </row>
    <row r="102" spans="1:19">
      <c r="A102" s="1">
        <v>43800</v>
      </c>
      <c r="B102" s="1">
        <v>43800</v>
      </c>
      <c r="C102">
        <v>2019</v>
      </c>
      <c r="D102">
        <v>12</v>
      </c>
      <c r="E102" s="2" t="s">
        <v>293</v>
      </c>
      <c r="F102" s="2" t="s">
        <v>294</v>
      </c>
      <c r="G102" s="2" t="s">
        <v>21</v>
      </c>
      <c r="H102" s="2" t="s">
        <v>22</v>
      </c>
      <c r="I102" s="2" t="s">
        <v>295</v>
      </c>
      <c r="J102" s="2" t="s">
        <v>24</v>
      </c>
      <c r="K102">
        <v>1294.97</v>
      </c>
      <c r="L102">
        <v>2075.6999999999998</v>
      </c>
      <c r="M102">
        <v>160.29</v>
      </c>
      <c r="N102" s="2" t="s">
        <v>296</v>
      </c>
      <c r="O102" s="2" t="s">
        <v>297</v>
      </c>
      <c r="P102" s="2" t="s">
        <v>463</v>
      </c>
      <c r="Q102" s="2" t="s">
        <v>464</v>
      </c>
      <c r="R102" s="2" t="s">
        <v>29</v>
      </c>
      <c r="S102" s="2" t="s">
        <v>30</v>
      </c>
    </row>
    <row r="103" spans="1:19">
      <c r="A103" s="1">
        <v>43800</v>
      </c>
      <c r="B103" s="1">
        <v>43800</v>
      </c>
      <c r="C103">
        <v>2019</v>
      </c>
      <c r="D103">
        <v>12</v>
      </c>
      <c r="E103" s="2" t="s">
        <v>300</v>
      </c>
      <c r="F103" s="2" t="s">
        <v>301</v>
      </c>
      <c r="G103" s="2" t="s">
        <v>21</v>
      </c>
      <c r="H103" s="2" t="s">
        <v>22</v>
      </c>
      <c r="I103" s="2" t="s">
        <v>295</v>
      </c>
      <c r="J103" s="2" t="s">
        <v>24</v>
      </c>
      <c r="K103">
        <v>121.9</v>
      </c>
      <c r="L103">
        <v>1011.96</v>
      </c>
      <c r="M103">
        <v>830.16</v>
      </c>
      <c r="N103" s="2" t="s">
        <v>302</v>
      </c>
      <c r="O103" s="2" t="s">
        <v>303</v>
      </c>
      <c r="P103" s="2" t="s">
        <v>465</v>
      </c>
      <c r="Q103" s="2" t="s">
        <v>466</v>
      </c>
      <c r="R103" s="2" t="s">
        <v>29</v>
      </c>
      <c r="S103" s="2" t="s">
        <v>30</v>
      </c>
    </row>
    <row r="104" spans="1:19">
      <c r="A104" s="1">
        <v>43800</v>
      </c>
      <c r="B104" s="1">
        <v>43800</v>
      </c>
      <c r="C104">
        <v>2019</v>
      </c>
      <c r="D104">
        <v>12</v>
      </c>
      <c r="E104" s="2" t="s">
        <v>306</v>
      </c>
      <c r="F104" s="2" t="s">
        <v>307</v>
      </c>
      <c r="G104" s="2" t="s">
        <v>21</v>
      </c>
      <c r="H104" s="2" t="s">
        <v>22</v>
      </c>
      <c r="I104" s="2" t="s">
        <v>295</v>
      </c>
      <c r="J104" s="2" t="s">
        <v>101</v>
      </c>
      <c r="K104">
        <v>1416.87</v>
      </c>
      <c r="L104">
        <v>3087.67</v>
      </c>
      <c r="M104">
        <v>217.92</v>
      </c>
      <c r="N104" s="2" t="s">
        <v>308</v>
      </c>
      <c r="O104" s="2" t="s">
        <v>309</v>
      </c>
      <c r="P104" s="2" t="s">
        <v>467</v>
      </c>
      <c r="Q104" s="2" t="s">
        <v>468</v>
      </c>
      <c r="R104" s="2" t="s">
        <v>29</v>
      </c>
      <c r="S104" s="2" t="s">
        <v>30</v>
      </c>
    </row>
    <row r="105" spans="1:19">
      <c r="A105" s="1">
        <v>43800</v>
      </c>
      <c r="B105" s="1">
        <v>43800</v>
      </c>
      <c r="C105">
        <v>2019</v>
      </c>
      <c r="D105">
        <v>12</v>
      </c>
      <c r="E105" s="2" t="s">
        <v>312</v>
      </c>
      <c r="F105" s="2" t="s">
        <v>313</v>
      </c>
      <c r="G105" s="2" t="s">
        <v>21</v>
      </c>
      <c r="H105" s="2" t="s">
        <v>22</v>
      </c>
      <c r="I105" s="2" t="s">
        <v>295</v>
      </c>
      <c r="J105" s="2" t="s">
        <v>59</v>
      </c>
      <c r="K105">
        <v>5069.51</v>
      </c>
      <c r="L105">
        <v>18922.32</v>
      </c>
      <c r="M105">
        <v>373.26</v>
      </c>
      <c r="N105" s="2" t="s">
        <v>314</v>
      </c>
      <c r="O105" s="2" t="s">
        <v>315</v>
      </c>
      <c r="P105" s="2" t="s">
        <v>469</v>
      </c>
      <c r="Q105" s="2" t="s">
        <v>470</v>
      </c>
      <c r="R105" s="2" t="s">
        <v>29</v>
      </c>
      <c r="S105" s="2" t="s">
        <v>30</v>
      </c>
    </row>
    <row r="106" spans="1:19">
      <c r="A106" s="1">
        <v>43800</v>
      </c>
      <c r="B106" s="1">
        <v>43800</v>
      </c>
      <c r="C106">
        <v>2019</v>
      </c>
      <c r="D106">
        <v>12</v>
      </c>
      <c r="E106" s="2" t="s">
        <v>318</v>
      </c>
      <c r="F106" s="2" t="s">
        <v>319</v>
      </c>
      <c r="G106" s="2" t="s">
        <v>21</v>
      </c>
      <c r="H106" s="2" t="s">
        <v>22</v>
      </c>
      <c r="I106" s="2" t="s">
        <v>295</v>
      </c>
      <c r="J106" s="2" t="s">
        <v>24</v>
      </c>
      <c r="K106">
        <v>3652.64</v>
      </c>
      <c r="L106">
        <v>15834.65</v>
      </c>
      <c r="M106">
        <v>433.51</v>
      </c>
      <c r="N106" s="2" t="s">
        <v>320</v>
      </c>
      <c r="O106" s="2" t="s">
        <v>321</v>
      </c>
      <c r="P106" s="2" t="s">
        <v>471</v>
      </c>
      <c r="Q106" s="2" t="s">
        <v>472</v>
      </c>
      <c r="R106" s="2" t="s">
        <v>29</v>
      </c>
      <c r="S106" s="2" t="s">
        <v>30</v>
      </c>
    </row>
    <row r="107" spans="1:19">
      <c r="A107" s="1">
        <v>43800</v>
      </c>
      <c r="B107" s="1">
        <v>43800</v>
      </c>
      <c r="C107">
        <v>2019</v>
      </c>
      <c r="D107">
        <v>12</v>
      </c>
      <c r="E107" s="2" t="s">
        <v>324</v>
      </c>
      <c r="F107" s="2" t="s">
        <v>325</v>
      </c>
      <c r="G107" s="2" t="s">
        <v>21</v>
      </c>
      <c r="H107" s="2" t="s">
        <v>22</v>
      </c>
      <c r="I107" s="2" t="s">
        <v>23</v>
      </c>
      <c r="J107" s="2" t="s">
        <v>59</v>
      </c>
      <c r="K107">
        <v>20012.78</v>
      </c>
      <c r="L107">
        <v>2440121.66</v>
      </c>
      <c r="M107">
        <v>12192.82</v>
      </c>
      <c r="N107" s="2" t="s">
        <v>326</v>
      </c>
      <c r="O107" s="2" t="s">
        <v>327</v>
      </c>
      <c r="P107" s="2" t="s">
        <v>473</v>
      </c>
      <c r="Q107" s="2" t="s">
        <v>474</v>
      </c>
      <c r="R107" s="2" t="s">
        <v>29</v>
      </c>
      <c r="S107" s="2" t="s">
        <v>30</v>
      </c>
    </row>
    <row r="108" spans="1:19">
      <c r="A108" s="1">
        <v>43800</v>
      </c>
      <c r="B108" s="1">
        <v>43800</v>
      </c>
      <c r="C108">
        <v>2019</v>
      </c>
      <c r="D108">
        <v>12</v>
      </c>
      <c r="E108" s="2" t="s">
        <v>330</v>
      </c>
      <c r="F108" s="2" t="s">
        <v>331</v>
      </c>
      <c r="G108" s="2" t="s">
        <v>21</v>
      </c>
      <c r="H108" s="2" t="s">
        <v>332</v>
      </c>
      <c r="I108" s="2" t="s">
        <v>333</v>
      </c>
      <c r="J108" s="2" t="s">
        <v>24</v>
      </c>
      <c r="K108">
        <v>133.82</v>
      </c>
      <c r="L108">
        <v>8847760.7100000009</v>
      </c>
      <c r="M108">
        <v>6611687.8700000001</v>
      </c>
      <c r="N108" s="2" t="s">
        <v>334</v>
      </c>
      <c r="O108" s="2" t="s">
        <v>335</v>
      </c>
      <c r="P108" s="2" t="s">
        <v>475</v>
      </c>
      <c r="Q108" s="2" t="s">
        <v>476</v>
      </c>
      <c r="R108" s="2" t="s">
        <v>29</v>
      </c>
      <c r="S108" s="2" t="s">
        <v>30</v>
      </c>
    </row>
    <row r="109" spans="1:19">
      <c r="A109" s="1">
        <v>43800</v>
      </c>
      <c r="B109" s="1">
        <v>43800</v>
      </c>
      <c r="C109">
        <v>2019</v>
      </c>
      <c r="D109">
        <v>12</v>
      </c>
      <c r="E109" s="2" t="s">
        <v>338</v>
      </c>
      <c r="F109" s="2" t="s">
        <v>339</v>
      </c>
      <c r="G109" s="2" t="s">
        <v>21</v>
      </c>
      <c r="H109" s="2" t="s">
        <v>332</v>
      </c>
      <c r="I109" s="2" t="s">
        <v>333</v>
      </c>
      <c r="J109" s="2" t="s">
        <v>24</v>
      </c>
      <c r="K109">
        <v>2.2000000000000002</v>
      </c>
      <c r="L109">
        <v>1469176.1</v>
      </c>
      <c r="M109">
        <v>66780731.82</v>
      </c>
      <c r="N109" s="2" t="s">
        <v>340</v>
      </c>
      <c r="O109" s="2" t="s">
        <v>341</v>
      </c>
      <c r="P109" s="2" t="s">
        <v>477</v>
      </c>
      <c r="Q109" s="2" t="s">
        <v>478</v>
      </c>
      <c r="R109" s="2" t="s">
        <v>29</v>
      </c>
      <c r="S109" s="2" t="s">
        <v>30</v>
      </c>
    </row>
    <row r="110" spans="1:19">
      <c r="A110" s="1">
        <v>43800</v>
      </c>
      <c r="B110" s="1">
        <v>43800</v>
      </c>
      <c r="C110">
        <v>2019</v>
      </c>
      <c r="D110">
        <v>12</v>
      </c>
      <c r="E110" s="2" t="s">
        <v>344</v>
      </c>
      <c r="F110" s="2" t="s">
        <v>345</v>
      </c>
      <c r="G110" s="2" t="s">
        <v>21</v>
      </c>
      <c r="H110" s="2" t="s">
        <v>332</v>
      </c>
      <c r="I110" s="2" t="s">
        <v>333</v>
      </c>
      <c r="J110" s="2" t="s">
        <v>59</v>
      </c>
      <c r="K110">
        <v>136.02000000000001</v>
      </c>
      <c r="L110">
        <v>10316936.810000001</v>
      </c>
      <c r="M110">
        <v>7584867.5300000003</v>
      </c>
      <c r="N110" s="2" t="s">
        <v>346</v>
      </c>
      <c r="O110" s="2" t="s">
        <v>347</v>
      </c>
      <c r="P110" s="2" t="s">
        <v>479</v>
      </c>
      <c r="Q110" s="2" t="s">
        <v>480</v>
      </c>
      <c r="R110" s="2" t="s">
        <v>29</v>
      </c>
      <c r="S110" s="2" t="s">
        <v>30</v>
      </c>
    </row>
    <row r="111" spans="1:19">
      <c r="A111" s="1">
        <v>43800</v>
      </c>
      <c r="B111" s="1">
        <v>43800</v>
      </c>
      <c r="C111">
        <v>2019</v>
      </c>
      <c r="D111">
        <v>12</v>
      </c>
      <c r="E111" s="2" t="s">
        <v>350</v>
      </c>
      <c r="F111" s="2" t="s">
        <v>351</v>
      </c>
      <c r="G111" s="2" t="s">
        <v>21</v>
      </c>
      <c r="H111" s="2" t="s">
        <v>22</v>
      </c>
      <c r="I111" s="2" t="s">
        <v>352</v>
      </c>
      <c r="J111" s="2" t="s">
        <v>353</v>
      </c>
      <c r="K111">
        <v>32256.54</v>
      </c>
      <c r="L111">
        <v>12958789.300000001</v>
      </c>
      <c r="M111">
        <v>40174.15</v>
      </c>
      <c r="N111" s="2" t="s">
        <v>354</v>
      </c>
      <c r="O111" s="2" t="s">
        <v>355</v>
      </c>
      <c r="P111" s="2" t="s">
        <v>481</v>
      </c>
      <c r="Q111" s="2" t="s">
        <v>482</v>
      </c>
      <c r="R111" s="2" t="s">
        <v>29</v>
      </c>
      <c r="S111" s="2" t="s">
        <v>30</v>
      </c>
    </row>
    <row r="112" spans="1:19">
      <c r="A112" s="1">
        <v>43800</v>
      </c>
      <c r="B112" s="1">
        <v>43800</v>
      </c>
      <c r="C112">
        <v>2019</v>
      </c>
      <c r="D112">
        <v>12</v>
      </c>
      <c r="E112" s="2" t="s">
        <v>358</v>
      </c>
      <c r="F112" s="2" t="s">
        <v>359</v>
      </c>
      <c r="G112" s="2" t="s">
        <v>21</v>
      </c>
      <c r="H112" s="2" t="s">
        <v>22</v>
      </c>
      <c r="I112" s="2" t="s">
        <v>352</v>
      </c>
      <c r="J112" s="2" t="s">
        <v>353</v>
      </c>
      <c r="K112">
        <v>33122</v>
      </c>
      <c r="L112">
        <v>13605372.66</v>
      </c>
      <c r="M112">
        <v>41076.54</v>
      </c>
      <c r="N112" s="2" t="s">
        <v>360</v>
      </c>
      <c r="O112" s="2" t="s">
        <v>361</v>
      </c>
      <c r="P112" s="2" t="s">
        <v>483</v>
      </c>
      <c r="Q112" s="2" t="s">
        <v>484</v>
      </c>
      <c r="R112" s="2" t="s">
        <v>29</v>
      </c>
      <c r="S112" s="2" t="s">
        <v>30</v>
      </c>
    </row>
    <row r="113" spans="1:19">
      <c r="A113" s="1">
        <v>43800</v>
      </c>
      <c r="B113" s="1">
        <v>43800</v>
      </c>
      <c r="C113">
        <v>2019</v>
      </c>
      <c r="D113">
        <v>12</v>
      </c>
      <c r="E113" s="2" t="s">
        <v>364</v>
      </c>
      <c r="F113" s="2" t="s">
        <v>365</v>
      </c>
      <c r="G113" s="2" t="s">
        <v>21</v>
      </c>
      <c r="H113" s="2" t="s">
        <v>22</v>
      </c>
      <c r="I113" s="2" t="s">
        <v>352</v>
      </c>
      <c r="J113" s="2" t="s">
        <v>353</v>
      </c>
      <c r="K113">
        <v>32985.980000000003</v>
      </c>
      <c r="L113">
        <v>3288435.85</v>
      </c>
      <c r="M113">
        <v>9969.19</v>
      </c>
      <c r="N113" s="2" t="s">
        <v>366</v>
      </c>
      <c r="O113" s="2" t="s">
        <v>367</v>
      </c>
      <c r="P113" s="2" t="s">
        <v>485</v>
      </c>
      <c r="Q113" s="2" t="s">
        <v>486</v>
      </c>
      <c r="R113" s="2" t="s">
        <v>29</v>
      </c>
      <c r="S113" s="2" t="s">
        <v>30</v>
      </c>
    </row>
    <row r="114" spans="1:19">
      <c r="A114" s="1">
        <v>43800</v>
      </c>
      <c r="B114" s="1">
        <v>43800</v>
      </c>
      <c r="C114">
        <v>2019</v>
      </c>
      <c r="D114">
        <v>12</v>
      </c>
      <c r="E114" s="2" t="s">
        <v>370</v>
      </c>
      <c r="F114" s="2" t="s">
        <v>371</v>
      </c>
      <c r="G114" s="2" t="s">
        <v>21</v>
      </c>
      <c r="H114" s="2" t="s">
        <v>22</v>
      </c>
      <c r="I114" s="2" t="s">
        <v>23</v>
      </c>
      <c r="J114" s="2" t="s">
        <v>24</v>
      </c>
      <c r="K114">
        <v>13084.02</v>
      </c>
      <c r="L114">
        <v>202520.76</v>
      </c>
      <c r="M114">
        <v>1547.85</v>
      </c>
      <c r="N114" s="2" t="s">
        <v>372</v>
      </c>
      <c r="O114" s="2" t="s">
        <v>373</v>
      </c>
      <c r="P114" s="2" t="s">
        <v>487</v>
      </c>
      <c r="Q114" s="2" t="s">
        <v>488</v>
      </c>
      <c r="R114" s="2" t="s">
        <v>29</v>
      </c>
      <c r="S114" s="2" t="s">
        <v>30</v>
      </c>
    </row>
    <row r="115" spans="1:19">
      <c r="A115" s="1">
        <v>43800</v>
      </c>
      <c r="B115" s="1">
        <v>43800</v>
      </c>
      <c r="C115">
        <v>2019</v>
      </c>
      <c r="D115">
        <v>12</v>
      </c>
      <c r="E115" s="2" t="s">
        <v>376</v>
      </c>
      <c r="F115" s="2" t="s">
        <v>377</v>
      </c>
      <c r="G115" s="2" t="s">
        <v>21</v>
      </c>
      <c r="H115" s="2" t="s">
        <v>22</v>
      </c>
      <c r="I115" s="2" t="s">
        <v>23</v>
      </c>
      <c r="J115" s="2" t="s">
        <v>378</v>
      </c>
      <c r="K115">
        <v>0.8</v>
      </c>
      <c r="L115">
        <v>13.6</v>
      </c>
      <c r="M115">
        <v>1700</v>
      </c>
      <c r="N115" s="2" t="s">
        <v>379</v>
      </c>
      <c r="O115" s="2" t="s">
        <v>380</v>
      </c>
      <c r="P115" s="2" t="s">
        <v>489</v>
      </c>
      <c r="Q115" s="2" t="s">
        <v>490</v>
      </c>
      <c r="R115" s="2" t="s">
        <v>29</v>
      </c>
      <c r="S115" s="2" t="s">
        <v>30</v>
      </c>
    </row>
    <row r="116" spans="1:19">
      <c r="A116" s="1">
        <v>43831</v>
      </c>
      <c r="B116" s="1">
        <v>43831</v>
      </c>
      <c r="C116">
        <v>2020</v>
      </c>
      <c r="D116">
        <v>1</v>
      </c>
      <c r="E116" s="2" t="s">
        <v>19</v>
      </c>
      <c r="F116" s="2" t="s">
        <v>20</v>
      </c>
      <c r="G116" s="2" t="s">
        <v>21</v>
      </c>
      <c r="H116" s="2" t="s">
        <v>22</v>
      </c>
      <c r="I116" s="2" t="s">
        <v>23</v>
      </c>
      <c r="J116" s="2" t="s">
        <v>24</v>
      </c>
      <c r="K116">
        <v>0.76</v>
      </c>
      <c r="L116">
        <v>36.619999999999997</v>
      </c>
      <c r="M116">
        <v>4818.42</v>
      </c>
      <c r="N116" s="2" t="s">
        <v>25</v>
      </c>
      <c r="O116" s="2" t="s">
        <v>26</v>
      </c>
      <c r="P116" s="2" t="s">
        <v>491</v>
      </c>
      <c r="Q116" s="2" t="s">
        <v>492</v>
      </c>
      <c r="R116" s="2" t="s">
        <v>29</v>
      </c>
      <c r="S116" s="2" t="s">
        <v>30</v>
      </c>
    </row>
    <row r="117" spans="1:19">
      <c r="A117" s="1">
        <v>43831</v>
      </c>
      <c r="B117" s="1">
        <v>43831</v>
      </c>
      <c r="C117">
        <v>2020</v>
      </c>
      <c r="D117">
        <v>1</v>
      </c>
      <c r="E117" s="2" t="s">
        <v>31</v>
      </c>
      <c r="F117" s="2" t="s">
        <v>32</v>
      </c>
      <c r="G117" s="2" t="s">
        <v>21</v>
      </c>
      <c r="H117" s="2" t="s">
        <v>22</v>
      </c>
      <c r="I117" s="2" t="s">
        <v>23</v>
      </c>
      <c r="J117" s="2" t="s">
        <v>24</v>
      </c>
      <c r="K117">
        <v>1508.83</v>
      </c>
      <c r="L117">
        <v>9405.34</v>
      </c>
      <c r="M117">
        <v>623.35</v>
      </c>
      <c r="N117" s="2" t="s">
        <v>33</v>
      </c>
      <c r="O117" s="2" t="s">
        <v>34</v>
      </c>
      <c r="P117" s="2" t="s">
        <v>493</v>
      </c>
      <c r="Q117" s="2" t="s">
        <v>494</v>
      </c>
      <c r="R117" s="2" t="s">
        <v>29</v>
      </c>
      <c r="S117" s="2" t="s">
        <v>30</v>
      </c>
    </row>
    <row r="118" spans="1:19">
      <c r="A118" s="1">
        <v>43831</v>
      </c>
      <c r="B118" s="1">
        <v>43831</v>
      </c>
      <c r="C118">
        <v>2020</v>
      </c>
      <c r="D118">
        <v>1</v>
      </c>
      <c r="E118" s="2" t="s">
        <v>37</v>
      </c>
      <c r="F118" s="2" t="s">
        <v>38</v>
      </c>
      <c r="G118" s="2" t="s">
        <v>39</v>
      </c>
      <c r="H118" s="2" t="s">
        <v>22</v>
      </c>
      <c r="I118" s="2" t="s">
        <v>40</v>
      </c>
      <c r="J118" s="2" t="s">
        <v>24</v>
      </c>
      <c r="K118">
        <v>8.5299999999999994</v>
      </c>
      <c r="L118">
        <v>399.17</v>
      </c>
      <c r="M118">
        <v>4679.6000000000004</v>
      </c>
      <c r="N118" s="2" t="s">
        <v>41</v>
      </c>
      <c r="O118" s="2" t="s">
        <v>42</v>
      </c>
      <c r="P118" s="2" t="s">
        <v>495</v>
      </c>
      <c r="Q118" s="2" t="s">
        <v>496</v>
      </c>
      <c r="R118" s="2" t="s">
        <v>29</v>
      </c>
      <c r="S118" s="2" t="s">
        <v>30</v>
      </c>
    </row>
    <row r="119" spans="1:19">
      <c r="A119" s="1">
        <v>43831</v>
      </c>
      <c r="B119" s="1">
        <v>43831</v>
      </c>
      <c r="C119">
        <v>2020</v>
      </c>
      <c r="D119">
        <v>1</v>
      </c>
      <c r="E119" s="2" t="s">
        <v>45</v>
      </c>
      <c r="F119" s="2" t="s">
        <v>46</v>
      </c>
      <c r="G119" s="2" t="s">
        <v>39</v>
      </c>
      <c r="H119" s="2" t="s">
        <v>22</v>
      </c>
      <c r="I119" s="2" t="s">
        <v>40</v>
      </c>
      <c r="J119" s="2" t="s">
        <v>24</v>
      </c>
      <c r="K119">
        <v>6495.69</v>
      </c>
      <c r="L119">
        <v>294174.32</v>
      </c>
      <c r="M119">
        <v>4528.76</v>
      </c>
      <c r="N119" s="2" t="s">
        <v>47</v>
      </c>
      <c r="O119" s="2" t="s">
        <v>48</v>
      </c>
      <c r="P119" s="2" t="s">
        <v>497</v>
      </c>
      <c r="Q119" s="2" t="s">
        <v>498</v>
      </c>
      <c r="R119" s="2" t="s">
        <v>29</v>
      </c>
      <c r="S119" s="2" t="s">
        <v>30</v>
      </c>
    </row>
    <row r="120" spans="1:19">
      <c r="A120" s="1">
        <v>43831</v>
      </c>
      <c r="B120" s="1">
        <v>43831</v>
      </c>
      <c r="C120">
        <v>2020</v>
      </c>
      <c r="D120">
        <v>1</v>
      </c>
      <c r="E120" s="2" t="s">
        <v>51</v>
      </c>
      <c r="F120" s="2" t="s">
        <v>52</v>
      </c>
      <c r="G120" s="2" t="s">
        <v>39</v>
      </c>
      <c r="H120" s="2" t="s">
        <v>22</v>
      </c>
      <c r="I120" s="2" t="s">
        <v>40</v>
      </c>
      <c r="J120" s="2" t="s">
        <v>24</v>
      </c>
      <c r="K120">
        <v>28.43</v>
      </c>
      <c r="L120">
        <v>999.28</v>
      </c>
      <c r="M120">
        <v>3514.88</v>
      </c>
      <c r="N120" s="2" t="s">
        <v>53</v>
      </c>
      <c r="O120" s="2" t="s">
        <v>54</v>
      </c>
      <c r="P120" s="2" t="s">
        <v>499</v>
      </c>
      <c r="Q120" s="2" t="s">
        <v>500</v>
      </c>
      <c r="R120" s="2" t="s">
        <v>29</v>
      </c>
      <c r="S120" s="2" t="s">
        <v>30</v>
      </c>
    </row>
    <row r="121" spans="1:19">
      <c r="A121" s="1">
        <v>43831</v>
      </c>
      <c r="B121" s="1">
        <v>43831</v>
      </c>
      <c r="C121">
        <v>2020</v>
      </c>
      <c r="D121">
        <v>1</v>
      </c>
      <c r="E121" s="2" t="s">
        <v>57</v>
      </c>
      <c r="F121" s="2" t="s">
        <v>58</v>
      </c>
      <c r="G121" s="2" t="s">
        <v>39</v>
      </c>
      <c r="H121" s="2" t="s">
        <v>22</v>
      </c>
      <c r="I121" s="2" t="s">
        <v>40</v>
      </c>
      <c r="J121" s="2" t="s">
        <v>59</v>
      </c>
      <c r="K121">
        <v>6532.65</v>
      </c>
      <c r="L121">
        <v>295572.77</v>
      </c>
      <c r="M121">
        <v>4524.55</v>
      </c>
      <c r="N121" s="2" t="s">
        <v>60</v>
      </c>
      <c r="O121" s="2" t="s">
        <v>61</v>
      </c>
      <c r="P121" s="2" t="s">
        <v>501</v>
      </c>
      <c r="Q121" s="2" t="s">
        <v>502</v>
      </c>
      <c r="R121" s="2" t="s">
        <v>29</v>
      </c>
      <c r="S121" s="2" t="s">
        <v>30</v>
      </c>
    </row>
    <row r="122" spans="1:19">
      <c r="A122" s="1">
        <v>43831</v>
      </c>
      <c r="B122" s="1">
        <v>43831</v>
      </c>
      <c r="C122">
        <v>2020</v>
      </c>
      <c r="D122">
        <v>1</v>
      </c>
      <c r="E122" s="2" t="s">
        <v>64</v>
      </c>
      <c r="F122" s="2" t="s">
        <v>65</v>
      </c>
      <c r="G122" s="2" t="s">
        <v>21</v>
      </c>
      <c r="H122" s="2" t="s">
        <v>22</v>
      </c>
      <c r="I122" s="2" t="s">
        <v>66</v>
      </c>
      <c r="J122" s="2" t="s">
        <v>24</v>
      </c>
      <c r="K122">
        <v>9.36</v>
      </c>
      <c r="L122">
        <v>141.01</v>
      </c>
      <c r="M122">
        <v>1506.52</v>
      </c>
      <c r="N122" s="2" t="s">
        <v>67</v>
      </c>
      <c r="O122" s="2" t="s">
        <v>68</v>
      </c>
      <c r="P122" s="2" t="s">
        <v>503</v>
      </c>
      <c r="Q122" s="2" t="s">
        <v>504</v>
      </c>
      <c r="R122" s="2" t="s">
        <v>29</v>
      </c>
      <c r="S122" s="2" t="s">
        <v>30</v>
      </c>
    </row>
    <row r="123" spans="1:19">
      <c r="A123" s="1">
        <v>43831</v>
      </c>
      <c r="B123" s="1">
        <v>43831</v>
      </c>
      <c r="C123">
        <v>2020</v>
      </c>
      <c r="D123">
        <v>1</v>
      </c>
      <c r="E123" s="2" t="s">
        <v>71</v>
      </c>
      <c r="F123" s="2" t="s">
        <v>72</v>
      </c>
      <c r="G123" s="2" t="s">
        <v>21</v>
      </c>
      <c r="H123" s="2" t="s">
        <v>22</v>
      </c>
      <c r="I123" s="2" t="s">
        <v>73</v>
      </c>
      <c r="J123" s="2" t="s">
        <v>59</v>
      </c>
      <c r="K123">
        <v>6518.12</v>
      </c>
      <c r="L123">
        <v>129444.05</v>
      </c>
      <c r="M123">
        <v>1985.91</v>
      </c>
      <c r="N123" s="2" t="s">
        <v>74</v>
      </c>
      <c r="O123" s="2" t="s">
        <v>75</v>
      </c>
      <c r="P123" s="2" t="s">
        <v>505</v>
      </c>
      <c r="Q123" s="2" t="s">
        <v>506</v>
      </c>
      <c r="R123" s="2" t="s">
        <v>29</v>
      </c>
      <c r="S123" s="2" t="s">
        <v>30</v>
      </c>
    </row>
    <row r="124" spans="1:19">
      <c r="A124" s="1">
        <v>43831</v>
      </c>
      <c r="B124" s="1">
        <v>43831</v>
      </c>
      <c r="C124">
        <v>2020</v>
      </c>
      <c r="D124">
        <v>1</v>
      </c>
      <c r="E124" s="2" t="s">
        <v>78</v>
      </c>
      <c r="F124" s="2" t="s">
        <v>79</v>
      </c>
      <c r="G124" s="2" t="s">
        <v>80</v>
      </c>
      <c r="H124" s="2" t="s">
        <v>81</v>
      </c>
      <c r="I124" s="2" t="s">
        <v>82</v>
      </c>
      <c r="J124" s="2" t="s">
        <v>24</v>
      </c>
      <c r="K124">
        <v>1.88</v>
      </c>
      <c r="L124">
        <v>4083916.04</v>
      </c>
      <c r="M124">
        <v>217229576.59999999</v>
      </c>
      <c r="N124" s="2" t="s">
        <v>83</v>
      </c>
      <c r="O124" s="2" t="s">
        <v>84</v>
      </c>
      <c r="P124" s="2" t="s">
        <v>507</v>
      </c>
      <c r="Q124" s="2" t="s">
        <v>508</v>
      </c>
      <c r="R124" s="2" t="s">
        <v>29</v>
      </c>
      <c r="S124" s="2" t="s">
        <v>30</v>
      </c>
    </row>
    <row r="125" spans="1:19">
      <c r="A125" s="1">
        <v>43831</v>
      </c>
      <c r="B125" s="1">
        <v>43831</v>
      </c>
      <c r="C125">
        <v>2020</v>
      </c>
      <c r="D125">
        <v>1</v>
      </c>
      <c r="E125" s="2" t="s">
        <v>87</v>
      </c>
      <c r="F125" s="2" t="s">
        <v>88</v>
      </c>
      <c r="G125" s="2" t="s">
        <v>80</v>
      </c>
      <c r="H125" s="2" t="s">
        <v>81</v>
      </c>
      <c r="I125" s="2" t="s">
        <v>82</v>
      </c>
      <c r="J125" s="2" t="s">
        <v>24</v>
      </c>
      <c r="K125">
        <v>0.66</v>
      </c>
      <c r="L125">
        <v>957187.56</v>
      </c>
      <c r="M125">
        <v>145028418.18000001</v>
      </c>
      <c r="N125" s="2" t="s">
        <v>89</v>
      </c>
      <c r="O125" s="2" t="s">
        <v>90</v>
      </c>
      <c r="P125" s="2" t="s">
        <v>509</v>
      </c>
      <c r="Q125" s="2" t="s">
        <v>510</v>
      </c>
      <c r="R125" s="2" t="s">
        <v>29</v>
      </c>
      <c r="S125" s="2" t="s">
        <v>30</v>
      </c>
    </row>
    <row r="126" spans="1:19">
      <c r="A126" s="1">
        <v>43831</v>
      </c>
      <c r="B126" s="1">
        <v>43831</v>
      </c>
      <c r="C126">
        <v>2020</v>
      </c>
      <c r="D126">
        <v>1</v>
      </c>
      <c r="E126" s="2" t="s">
        <v>93</v>
      </c>
      <c r="F126" s="2" t="s">
        <v>94</v>
      </c>
      <c r="G126" s="2" t="s">
        <v>80</v>
      </c>
      <c r="H126" s="2" t="s">
        <v>81</v>
      </c>
      <c r="I126" s="2" t="s">
        <v>82</v>
      </c>
      <c r="J126" s="2" t="s">
        <v>24</v>
      </c>
      <c r="K126">
        <v>0.21</v>
      </c>
      <c r="L126">
        <v>2999019.3</v>
      </c>
      <c r="M126">
        <v>1428104428.5699999</v>
      </c>
      <c r="N126" s="2" t="s">
        <v>95</v>
      </c>
      <c r="O126" s="2" t="s">
        <v>96</v>
      </c>
      <c r="P126" s="2" t="s">
        <v>403</v>
      </c>
      <c r="Q126" s="2" t="s">
        <v>511</v>
      </c>
      <c r="R126" s="2" t="s">
        <v>29</v>
      </c>
      <c r="S126" s="2" t="s">
        <v>30</v>
      </c>
    </row>
    <row r="127" spans="1:19">
      <c r="A127" s="1">
        <v>43831</v>
      </c>
      <c r="B127" s="1">
        <v>43831</v>
      </c>
      <c r="C127">
        <v>2020</v>
      </c>
      <c r="D127">
        <v>1</v>
      </c>
      <c r="E127" s="2" t="s">
        <v>99</v>
      </c>
      <c r="F127" s="2" t="s">
        <v>100</v>
      </c>
      <c r="G127" s="2" t="s">
        <v>80</v>
      </c>
      <c r="H127" s="2" t="s">
        <v>81</v>
      </c>
      <c r="I127" s="2" t="s">
        <v>82</v>
      </c>
      <c r="J127" s="2" t="s">
        <v>101</v>
      </c>
      <c r="K127">
        <v>1.0900000000000001</v>
      </c>
      <c r="L127">
        <v>8442926.3100000005</v>
      </c>
      <c r="M127">
        <v>774580395.40999997</v>
      </c>
      <c r="N127" s="2" t="s">
        <v>102</v>
      </c>
      <c r="O127" s="2" t="s">
        <v>103</v>
      </c>
      <c r="P127" s="2" t="s">
        <v>512</v>
      </c>
      <c r="Q127" s="2" t="s">
        <v>513</v>
      </c>
      <c r="R127" s="2" t="s">
        <v>29</v>
      </c>
      <c r="S127" s="2" t="s">
        <v>30</v>
      </c>
    </row>
    <row r="128" spans="1:19">
      <c r="A128" s="1">
        <v>43831</v>
      </c>
      <c r="B128" s="1">
        <v>43831</v>
      </c>
      <c r="C128">
        <v>2020</v>
      </c>
      <c r="D128">
        <v>1</v>
      </c>
      <c r="E128" s="2" t="s">
        <v>106</v>
      </c>
      <c r="F128" s="2" t="s">
        <v>107</v>
      </c>
      <c r="G128" s="2" t="s">
        <v>80</v>
      </c>
      <c r="H128" s="2" t="s">
        <v>81</v>
      </c>
      <c r="I128" s="2" t="s">
        <v>82</v>
      </c>
      <c r="J128" s="2" t="s">
        <v>24</v>
      </c>
      <c r="K128">
        <v>0.22</v>
      </c>
      <c r="L128">
        <v>4486719.45</v>
      </c>
      <c r="M128">
        <v>2039417931.8199999</v>
      </c>
      <c r="N128" s="2" t="s">
        <v>108</v>
      </c>
      <c r="O128" s="2" t="s">
        <v>109</v>
      </c>
      <c r="P128" s="2" t="s">
        <v>514</v>
      </c>
      <c r="Q128" s="2" t="s">
        <v>515</v>
      </c>
      <c r="R128" s="2" t="s">
        <v>29</v>
      </c>
      <c r="S128" s="2" t="s">
        <v>30</v>
      </c>
    </row>
    <row r="129" spans="1:19">
      <c r="A129" s="1">
        <v>43831</v>
      </c>
      <c r="B129" s="1">
        <v>43831</v>
      </c>
      <c r="C129">
        <v>2020</v>
      </c>
      <c r="D129">
        <v>1</v>
      </c>
      <c r="E129" s="2" t="s">
        <v>111</v>
      </c>
      <c r="F129" s="2" t="s">
        <v>112</v>
      </c>
      <c r="G129" s="2" t="s">
        <v>80</v>
      </c>
      <c r="H129" s="2" t="s">
        <v>81</v>
      </c>
      <c r="I129" s="2" t="s">
        <v>82</v>
      </c>
      <c r="J129" s="2" t="s">
        <v>24</v>
      </c>
      <c r="K129">
        <v>0.05</v>
      </c>
      <c r="L129">
        <v>299940</v>
      </c>
      <c r="M129">
        <v>599880000</v>
      </c>
      <c r="N129" s="2" t="s">
        <v>113</v>
      </c>
      <c r="O129" s="2" t="s">
        <v>114</v>
      </c>
      <c r="P129" s="2" t="s">
        <v>516</v>
      </c>
      <c r="Q129" s="2" t="s">
        <v>517</v>
      </c>
      <c r="R129" s="2" t="s">
        <v>29</v>
      </c>
      <c r="S129" s="2" t="s">
        <v>30</v>
      </c>
    </row>
    <row r="130" spans="1:19">
      <c r="A130" s="1">
        <v>43831</v>
      </c>
      <c r="B130" s="1">
        <v>43831</v>
      </c>
      <c r="C130">
        <v>2020</v>
      </c>
      <c r="D130">
        <v>1</v>
      </c>
      <c r="E130" s="2" t="s">
        <v>117</v>
      </c>
      <c r="F130" s="2" t="s">
        <v>118</v>
      </c>
      <c r="G130" s="2" t="s">
        <v>80</v>
      </c>
      <c r="H130" s="2" t="s">
        <v>81</v>
      </c>
      <c r="I130" s="2" t="s">
        <v>82</v>
      </c>
      <c r="J130" s="2" t="s">
        <v>59</v>
      </c>
      <c r="K130">
        <v>3.01</v>
      </c>
      <c r="L130">
        <v>12826782.35</v>
      </c>
      <c r="M130">
        <v>426138948.5</v>
      </c>
      <c r="N130" s="2" t="s">
        <v>119</v>
      </c>
      <c r="O130" s="2" t="s">
        <v>120</v>
      </c>
      <c r="P130" s="2" t="s">
        <v>518</v>
      </c>
      <c r="Q130" s="2" t="s">
        <v>519</v>
      </c>
      <c r="R130" s="2" t="s">
        <v>29</v>
      </c>
      <c r="S130" s="2" t="s">
        <v>30</v>
      </c>
    </row>
    <row r="131" spans="1:19">
      <c r="A131" s="1">
        <v>43831</v>
      </c>
      <c r="B131" s="1">
        <v>43831</v>
      </c>
      <c r="C131">
        <v>2020</v>
      </c>
      <c r="D131">
        <v>1</v>
      </c>
      <c r="E131" s="2" t="s">
        <v>123</v>
      </c>
      <c r="F131" s="2" t="s">
        <v>124</v>
      </c>
      <c r="G131" s="2" t="s">
        <v>21</v>
      </c>
      <c r="H131" s="2" t="s">
        <v>22</v>
      </c>
      <c r="I131" s="2" t="s">
        <v>73</v>
      </c>
      <c r="J131" s="2" t="s">
        <v>24</v>
      </c>
      <c r="K131">
        <v>856.92</v>
      </c>
      <c r="L131">
        <v>31449.25</v>
      </c>
      <c r="M131">
        <v>3670.03</v>
      </c>
      <c r="N131" s="2" t="s">
        <v>125</v>
      </c>
      <c r="O131" s="2" t="s">
        <v>126</v>
      </c>
      <c r="P131" s="2" t="s">
        <v>520</v>
      </c>
      <c r="Q131" s="2" t="s">
        <v>521</v>
      </c>
      <c r="R131" s="2" t="s">
        <v>29</v>
      </c>
      <c r="S131" s="2" t="s">
        <v>30</v>
      </c>
    </row>
    <row r="132" spans="1:19">
      <c r="A132" s="1">
        <v>43831</v>
      </c>
      <c r="B132" s="1">
        <v>43831</v>
      </c>
      <c r="C132">
        <v>2020</v>
      </c>
      <c r="D132">
        <v>1</v>
      </c>
      <c r="E132" s="2" t="s">
        <v>129</v>
      </c>
      <c r="F132" s="2" t="s">
        <v>130</v>
      </c>
      <c r="G132" s="2" t="s">
        <v>21</v>
      </c>
      <c r="H132" s="2" t="s">
        <v>22</v>
      </c>
      <c r="I132" s="2" t="s">
        <v>73</v>
      </c>
      <c r="J132" s="2" t="s">
        <v>24</v>
      </c>
      <c r="K132">
        <v>1160.3499999999999</v>
      </c>
      <c r="L132">
        <v>35123.620000000003</v>
      </c>
      <c r="M132">
        <v>3026.98</v>
      </c>
      <c r="N132" s="2" t="s">
        <v>131</v>
      </c>
      <c r="O132" s="2" t="s">
        <v>132</v>
      </c>
      <c r="P132" s="2" t="s">
        <v>522</v>
      </c>
      <c r="Q132" s="2" t="s">
        <v>523</v>
      </c>
      <c r="R132" s="2" t="s">
        <v>29</v>
      </c>
      <c r="S132" s="2" t="s">
        <v>30</v>
      </c>
    </row>
    <row r="133" spans="1:19">
      <c r="A133" s="1">
        <v>43831</v>
      </c>
      <c r="B133" s="1">
        <v>43831</v>
      </c>
      <c r="C133">
        <v>2020</v>
      </c>
      <c r="D133">
        <v>1</v>
      </c>
      <c r="E133" s="2" t="s">
        <v>135</v>
      </c>
      <c r="F133" s="2" t="s">
        <v>136</v>
      </c>
      <c r="G133" s="2" t="s">
        <v>21</v>
      </c>
      <c r="H133" s="2" t="s">
        <v>22</v>
      </c>
      <c r="I133" s="2" t="s">
        <v>73</v>
      </c>
      <c r="J133" s="2" t="s">
        <v>101</v>
      </c>
      <c r="K133">
        <v>2017.27</v>
      </c>
      <c r="L133">
        <v>66572.86</v>
      </c>
      <c r="M133">
        <v>3300.15</v>
      </c>
      <c r="N133" s="2" t="s">
        <v>137</v>
      </c>
      <c r="O133" s="2" t="s">
        <v>138</v>
      </c>
      <c r="P133" s="2" t="s">
        <v>524</v>
      </c>
      <c r="Q133" s="2" t="s">
        <v>525</v>
      </c>
      <c r="R133" s="2" t="s">
        <v>29</v>
      </c>
      <c r="S133" s="2" t="s">
        <v>30</v>
      </c>
    </row>
    <row r="134" spans="1:19">
      <c r="A134" s="1">
        <v>43831</v>
      </c>
      <c r="B134" s="1">
        <v>43831</v>
      </c>
      <c r="C134">
        <v>2020</v>
      </c>
      <c r="D134">
        <v>1</v>
      </c>
      <c r="E134" s="2" t="s">
        <v>141</v>
      </c>
      <c r="F134" s="2" t="s">
        <v>142</v>
      </c>
      <c r="G134" s="2" t="s">
        <v>21</v>
      </c>
      <c r="H134" s="2" t="s">
        <v>22</v>
      </c>
      <c r="I134" s="2" t="s">
        <v>73</v>
      </c>
      <c r="J134" s="2" t="s">
        <v>24</v>
      </c>
      <c r="K134">
        <v>1913.47</v>
      </c>
      <c r="L134">
        <v>23964.080000000002</v>
      </c>
      <c r="M134">
        <v>1252.3900000000001</v>
      </c>
      <c r="N134" s="2" t="s">
        <v>143</v>
      </c>
      <c r="O134" s="2" t="s">
        <v>144</v>
      </c>
      <c r="P134" s="2" t="s">
        <v>526</v>
      </c>
      <c r="Q134" s="2" t="s">
        <v>527</v>
      </c>
      <c r="R134" s="2" t="s">
        <v>29</v>
      </c>
      <c r="S134" s="2" t="s">
        <v>30</v>
      </c>
    </row>
    <row r="135" spans="1:19">
      <c r="A135" s="1">
        <v>43831</v>
      </c>
      <c r="B135" s="1">
        <v>43831</v>
      </c>
      <c r="C135">
        <v>2020</v>
      </c>
      <c r="D135">
        <v>1</v>
      </c>
      <c r="E135" s="2" t="s">
        <v>147</v>
      </c>
      <c r="F135" s="2" t="s">
        <v>148</v>
      </c>
      <c r="G135" s="2" t="s">
        <v>21</v>
      </c>
      <c r="H135" s="2" t="s">
        <v>22</v>
      </c>
      <c r="I135" s="2" t="s">
        <v>73</v>
      </c>
      <c r="J135" s="2" t="s">
        <v>24</v>
      </c>
      <c r="K135">
        <v>2587.38</v>
      </c>
      <c r="L135">
        <v>38907.11</v>
      </c>
      <c r="M135">
        <v>1503.73</v>
      </c>
      <c r="N135" s="2" t="s">
        <v>149</v>
      </c>
      <c r="O135" s="2" t="s">
        <v>150</v>
      </c>
      <c r="P135" s="2" t="s">
        <v>528</v>
      </c>
      <c r="Q135" s="2" t="s">
        <v>529</v>
      </c>
      <c r="R135" s="2" t="s">
        <v>29</v>
      </c>
      <c r="S135" s="2" t="s">
        <v>30</v>
      </c>
    </row>
    <row r="136" spans="1:19">
      <c r="A136" s="1">
        <v>43831</v>
      </c>
      <c r="B136" s="1">
        <v>43831</v>
      </c>
      <c r="C136">
        <v>2020</v>
      </c>
      <c r="D136">
        <v>1</v>
      </c>
      <c r="E136" s="2" t="s">
        <v>153</v>
      </c>
      <c r="F136" s="2" t="s">
        <v>154</v>
      </c>
      <c r="G136" s="2" t="s">
        <v>21</v>
      </c>
      <c r="H136" s="2" t="s">
        <v>22</v>
      </c>
      <c r="I136" s="2" t="s">
        <v>73</v>
      </c>
      <c r="J136" s="2" t="s">
        <v>101</v>
      </c>
      <c r="K136">
        <v>4500.8500000000004</v>
      </c>
      <c r="L136">
        <v>62871.19</v>
      </c>
      <c r="M136">
        <v>1396.87</v>
      </c>
      <c r="N136" s="2" t="s">
        <v>155</v>
      </c>
      <c r="O136" s="2" t="s">
        <v>156</v>
      </c>
      <c r="P136" s="2" t="s">
        <v>530</v>
      </c>
      <c r="Q136" s="2" t="s">
        <v>531</v>
      </c>
      <c r="R136" s="2" t="s">
        <v>29</v>
      </c>
      <c r="S136" s="2" t="s">
        <v>30</v>
      </c>
    </row>
    <row r="137" spans="1:19">
      <c r="A137" s="1">
        <v>43831</v>
      </c>
      <c r="B137" s="1">
        <v>43831</v>
      </c>
      <c r="C137">
        <v>2020</v>
      </c>
      <c r="D137">
        <v>1</v>
      </c>
      <c r="E137" s="2" t="s">
        <v>159</v>
      </c>
      <c r="F137" s="2" t="s">
        <v>160</v>
      </c>
      <c r="G137" s="2" t="s">
        <v>21</v>
      </c>
      <c r="H137" s="2" t="s">
        <v>22</v>
      </c>
      <c r="I137" s="2" t="s">
        <v>66</v>
      </c>
      <c r="J137" s="2" t="s">
        <v>59</v>
      </c>
      <c r="K137">
        <v>571.04999999999995</v>
      </c>
      <c r="L137">
        <v>55298.1</v>
      </c>
      <c r="M137">
        <v>9683.58</v>
      </c>
      <c r="N137" s="2" t="s">
        <v>161</v>
      </c>
      <c r="O137" s="2" t="s">
        <v>162</v>
      </c>
      <c r="P137" s="2" t="s">
        <v>532</v>
      </c>
      <c r="Q137" s="2" t="s">
        <v>533</v>
      </c>
      <c r="R137" s="2" t="s">
        <v>29</v>
      </c>
      <c r="S137" s="2" t="s">
        <v>30</v>
      </c>
    </row>
    <row r="138" spans="1:19">
      <c r="A138" s="1">
        <v>43831</v>
      </c>
      <c r="B138" s="1">
        <v>43831</v>
      </c>
      <c r="C138">
        <v>2020</v>
      </c>
      <c r="D138">
        <v>1</v>
      </c>
      <c r="E138" s="2" t="s">
        <v>165</v>
      </c>
      <c r="F138" s="2" t="s">
        <v>166</v>
      </c>
      <c r="G138" s="2" t="s">
        <v>21</v>
      </c>
      <c r="H138" s="2" t="s">
        <v>22</v>
      </c>
      <c r="I138" s="2" t="s">
        <v>23</v>
      </c>
      <c r="J138" s="2" t="s">
        <v>24</v>
      </c>
      <c r="K138">
        <v>0.09</v>
      </c>
      <c r="L138">
        <v>43.49</v>
      </c>
      <c r="M138">
        <v>48322.22</v>
      </c>
      <c r="N138" s="2" t="s">
        <v>167</v>
      </c>
      <c r="O138" s="2" t="s">
        <v>168</v>
      </c>
      <c r="P138" s="2" t="s">
        <v>534</v>
      </c>
      <c r="Q138" s="2" t="s">
        <v>535</v>
      </c>
      <c r="R138" s="2" t="s">
        <v>29</v>
      </c>
      <c r="S138" s="2" t="s">
        <v>30</v>
      </c>
    </row>
    <row r="139" spans="1:19">
      <c r="A139" s="1">
        <v>43831</v>
      </c>
      <c r="B139" s="1">
        <v>43831</v>
      </c>
      <c r="C139">
        <v>2020</v>
      </c>
      <c r="D139">
        <v>1</v>
      </c>
      <c r="E139" s="2" t="s">
        <v>171</v>
      </c>
      <c r="F139" s="2" t="s">
        <v>172</v>
      </c>
      <c r="G139" s="2" t="s">
        <v>21</v>
      </c>
      <c r="H139" s="2" t="s">
        <v>22</v>
      </c>
      <c r="I139" s="2" t="s">
        <v>66</v>
      </c>
      <c r="J139" s="2" t="s">
        <v>24</v>
      </c>
      <c r="N139" s="2" t="s">
        <v>173</v>
      </c>
      <c r="O139" s="2" t="s">
        <v>174</v>
      </c>
      <c r="P139" s="2" t="s">
        <v>175</v>
      </c>
      <c r="Q139" s="2" t="s">
        <v>175</v>
      </c>
      <c r="R139" s="2" t="s">
        <v>176</v>
      </c>
      <c r="S139" s="2" t="s">
        <v>30</v>
      </c>
    </row>
    <row r="140" spans="1:19">
      <c r="A140" s="1">
        <v>43831</v>
      </c>
      <c r="B140" s="1">
        <v>43831</v>
      </c>
      <c r="C140">
        <v>2020</v>
      </c>
      <c r="D140">
        <v>1</v>
      </c>
      <c r="E140" s="2" t="s">
        <v>177</v>
      </c>
      <c r="F140" s="2" t="s">
        <v>178</v>
      </c>
      <c r="G140" s="2" t="s">
        <v>21</v>
      </c>
      <c r="H140" s="2" t="s">
        <v>22</v>
      </c>
      <c r="I140" s="2" t="s">
        <v>23</v>
      </c>
      <c r="J140" s="2" t="s">
        <v>24</v>
      </c>
      <c r="K140">
        <v>2595.2600000000002</v>
      </c>
      <c r="L140">
        <v>216810.7</v>
      </c>
      <c r="M140">
        <v>8354.1</v>
      </c>
      <c r="N140" s="2" t="s">
        <v>179</v>
      </c>
      <c r="O140" s="2" t="s">
        <v>180</v>
      </c>
      <c r="P140" s="2" t="s">
        <v>536</v>
      </c>
      <c r="Q140" s="2" t="s">
        <v>537</v>
      </c>
      <c r="R140" s="2" t="s">
        <v>29</v>
      </c>
      <c r="S140" s="2" t="s">
        <v>30</v>
      </c>
    </row>
    <row r="141" spans="1:19">
      <c r="A141" s="1">
        <v>43831</v>
      </c>
      <c r="B141" s="1">
        <v>43831</v>
      </c>
      <c r="C141">
        <v>2020</v>
      </c>
      <c r="D141">
        <v>1</v>
      </c>
      <c r="E141" s="2" t="s">
        <v>183</v>
      </c>
      <c r="F141" s="2" t="s">
        <v>184</v>
      </c>
      <c r="G141" s="2" t="s">
        <v>185</v>
      </c>
      <c r="H141" s="2" t="s">
        <v>22</v>
      </c>
      <c r="I141" s="2" t="s">
        <v>186</v>
      </c>
      <c r="J141" s="2" t="s">
        <v>24</v>
      </c>
      <c r="K141">
        <v>2338.81</v>
      </c>
      <c r="L141">
        <v>1901912.99</v>
      </c>
      <c r="M141">
        <v>81319.69</v>
      </c>
      <c r="N141" s="2" t="s">
        <v>187</v>
      </c>
      <c r="O141" s="2" t="s">
        <v>188</v>
      </c>
      <c r="P141" s="2" t="s">
        <v>538</v>
      </c>
      <c r="Q141" s="2" t="s">
        <v>539</v>
      </c>
      <c r="R141" s="2" t="s">
        <v>29</v>
      </c>
      <c r="S141" s="2" t="s">
        <v>30</v>
      </c>
    </row>
    <row r="142" spans="1:19">
      <c r="A142" s="1">
        <v>43831</v>
      </c>
      <c r="B142" s="1">
        <v>43831</v>
      </c>
      <c r="C142">
        <v>2020</v>
      </c>
      <c r="D142">
        <v>1</v>
      </c>
      <c r="E142" s="2" t="s">
        <v>191</v>
      </c>
      <c r="F142" s="2" t="s">
        <v>192</v>
      </c>
      <c r="G142" s="2" t="s">
        <v>185</v>
      </c>
      <c r="H142" s="2" t="s">
        <v>22</v>
      </c>
      <c r="I142" s="2" t="s">
        <v>186</v>
      </c>
      <c r="J142" s="2" t="s">
        <v>24</v>
      </c>
      <c r="K142">
        <v>684.97</v>
      </c>
      <c r="L142">
        <v>3668888.87</v>
      </c>
      <c r="M142">
        <v>535627.67000000004</v>
      </c>
      <c r="N142" s="2" t="s">
        <v>193</v>
      </c>
      <c r="O142" s="2" t="s">
        <v>194</v>
      </c>
      <c r="P142" s="2" t="s">
        <v>540</v>
      </c>
      <c r="Q142" s="2" t="s">
        <v>541</v>
      </c>
      <c r="R142" s="2" t="s">
        <v>29</v>
      </c>
      <c r="S142" s="2" t="s">
        <v>30</v>
      </c>
    </row>
    <row r="143" spans="1:19">
      <c r="A143" s="1">
        <v>43831</v>
      </c>
      <c r="B143" s="1">
        <v>43831</v>
      </c>
      <c r="C143">
        <v>2020</v>
      </c>
      <c r="D143">
        <v>1</v>
      </c>
      <c r="E143" s="2" t="s">
        <v>197</v>
      </c>
      <c r="F143" s="2" t="s">
        <v>198</v>
      </c>
      <c r="G143" s="2" t="s">
        <v>185</v>
      </c>
      <c r="H143" s="2" t="s">
        <v>22</v>
      </c>
      <c r="I143" s="2" t="s">
        <v>186</v>
      </c>
      <c r="J143" s="2" t="s">
        <v>59</v>
      </c>
      <c r="K143">
        <v>3023.78</v>
      </c>
      <c r="L143">
        <v>5570801.8600000003</v>
      </c>
      <c r="M143">
        <v>184233.04</v>
      </c>
      <c r="N143" s="2" t="s">
        <v>199</v>
      </c>
      <c r="O143" s="2" t="s">
        <v>200</v>
      </c>
      <c r="P143" s="2" t="s">
        <v>542</v>
      </c>
      <c r="Q143" s="2" t="s">
        <v>543</v>
      </c>
      <c r="R143" s="2" t="s">
        <v>29</v>
      </c>
      <c r="S143" s="2" t="s">
        <v>30</v>
      </c>
    </row>
    <row r="144" spans="1:19">
      <c r="A144" s="1">
        <v>43831</v>
      </c>
      <c r="B144" s="1">
        <v>43831</v>
      </c>
      <c r="C144">
        <v>2020</v>
      </c>
      <c r="D144">
        <v>1</v>
      </c>
      <c r="E144" s="2" t="s">
        <v>203</v>
      </c>
      <c r="F144" s="2" t="s">
        <v>204</v>
      </c>
      <c r="G144" s="2" t="s">
        <v>39</v>
      </c>
      <c r="H144" s="2" t="s">
        <v>22</v>
      </c>
      <c r="I144" s="2" t="s">
        <v>40</v>
      </c>
      <c r="J144" s="2" t="s">
        <v>24</v>
      </c>
      <c r="K144">
        <v>400.78</v>
      </c>
      <c r="L144">
        <v>11108.98</v>
      </c>
      <c r="M144">
        <v>2771.84</v>
      </c>
      <c r="N144" s="2" t="s">
        <v>205</v>
      </c>
      <c r="O144" s="2" t="s">
        <v>206</v>
      </c>
      <c r="P144" s="2" t="s">
        <v>544</v>
      </c>
      <c r="Q144" s="2" t="s">
        <v>545</v>
      </c>
      <c r="R144" s="2" t="s">
        <v>29</v>
      </c>
      <c r="S144" s="2" t="s">
        <v>30</v>
      </c>
    </row>
    <row r="145" spans="1:19">
      <c r="A145" s="1">
        <v>43831</v>
      </c>
      <c r="B145" s="1">
        <v>43831</v>
      </c>
      <c r="C145">
        <v>2020</v>
      </c>
      <c r="D145">
        <v>1</v>
      </c>
      <c r="E145" s="2" t="s">
        <v>209</v>
      </c>
      <c r="F145" s="2" t="s">
        <v>210</v>
      </c>
      <c r="G145" s="2" t="s">
        <v>39</v>
      </c>
      <c r="H145" s="2" t="s">
        <v>22</v>
      </c>
      <c r="I145" s="2" t="s">
        <v>40</v>
      </c>
      <c r="J145" s="2" t="s">
        <v>59</v>
      </c>
      <c r="K145">
        <v>400.78</v>
      </c>
      <c r="L145">
        <v>11108.98</v>
      </c>
      <c r="M145">
        <v>2771.84</v>
      </c>
      <c r="N145" s="2" t="s">
        <v>211</v>
      </c>
      <c r="O145" s="2" t="s">
        <v>212</v>
      </c>
      <c r="P145" s="2" t="s">
        <v>544</v>
      </c>
      <c r="Q145" s="2" t="s">
        <v>545</v>
      </c>
      <c r="R145" s="2" t="s">
        <v>29</v>
      </c>
      <c r="S145" s="2" t="s">
        <v>30</v>
      </c>
    </row>
    <row r="146" spans="1:19">
      <c r="A146" s="1">
        <v>43831</v>
      </c>
      <c r="B146" s="1">
        <v>43831</v>
      </c>
      <c r="C146">
        <v>2020</v>
      </c>
      <c r="D146">
        <v>1</v>
      </c>
      <c r="E146" s="2" t="s">
        <v>213</v>
      </c>
      <c r="F146" s="2" t="s">
        <v>214</v>
      </c>
      <c r="G146" s="2" t="s">
        <v>185</v>
      </c>
      <c r="H146" s="2" t="s">
        <v>22</v>
      </c>
      <c r="I146" s="2" t="s">
        <v>215</v>
      </c>
      <c r="J146" s="2" t="s">
        <v>24</v>
      </c>
      <c r="K146">
        <v>13098.24</v>
      </c>
      <c r="L146">
        <v>413719.55</v>
      </c>
      <c r="M146">
        <v>3158.59</v>
      </c>
      <c r="N146" s="2" t="s">
        <v>216</v>
      </c>
      <c r="O146" s="2" t="s">
        <v>217</v>
      </c>
      <c r="P146" s="2" t="s">
        <v>546</v>
      </c>
      <c r="Q146" s="2" t="s">
        <v>547</v>
      </c>
      <c r="R146" s="2" t="s">
        <v>29</v>
      </c>
      <c r="S146" s="2" t="s">
        <v>30</v>
      </c>
    </row>
    <row r="147" spans="1:19">
      <c r="A147" s="1">
        <v>43831</v>
      </c>
      <c r="B147" s="1">
        <v>43831</v>
      </c>
      <c r="C147">
        <v>2020</v>
      </c>
      <c r="D147">
        <v>1</v>
      </c>
      <c r="E147" s="2" t="s">
        <v>220</v>
      </c>
      <c r="F147" s="2" t="s">
        <v>221</v>
      </c>
      <c r="G147" s="2" t="s">
        <v>185</v>
      </c>
      <c r="H147" s="2" t="s">
        <v>22</v>
      </c>
      <c r="I147" s="2" t="s">
        <v>215</v>
      </c>
      <c r="J147" s="2" t="s">
        <v>24</v>
      </c>
      <c r="K147">
        <v>1304.45</v>
      </c>
      <c r="L147">
        <v>107648.28</v>
      </c>
      <c r="M147">
        <v>8252.39</v>
      </c>
      <c r="N147" s="2" t="s">
        <v>222</v>
      </c>
      <c r="O147" s="2" t="s">
        <v>223</v>
      </c>
      <c r="P147" s="2" t="s">
        <v>548</v>
      </c>
      <c r="Q147" s="2" t="s">
        <v>549</v>
      </c>
      <c r="R147" s="2" t="s">
        <v>29</v>
      </c>
      <c r="S147" s="2" t="s">
        <v>30</v>
      </c>
    </row>
    <row r="148" spans="1:19">
      <c r="A148" s="1">
        <v>43831</v>
      </c>
      <c r="B148" s="1">
        <v>43831</v>
      </c>
      <c r="C148">
        <v>2020</v>
      </c>
      <c r="D148">
        <v>1</v>
      </c>
      <c r="E148" s="2" t="s">
        <v>226</v>
      </c>
      <c r="F148" s="2" t="s">
        <v>227</v>
      </c>
      <c r="G148" s="2" t="s">
        <v>185</v>
      </c>
      <c r="H148" s="2" t="s">
        <v>22</v>
      </c>
      <c r="I148" s="2" t="s">
        <v>215</v>
      </c>
      <c r="J148" s="2" t="s">
        <v>59</v>
      </c>
      <c r="K148">
        <v>14402.7</v>
      </c>
      <c r="L148">
        <v>521367.84</v>
      </c>
      <c r="M148">
        <v>3619.93</v>
      </c>
      <c r="N148" s="2" t="s">
        <v>228</v>
      </c>
      <c r="O148" s="2" t="s">
        <v>229</v>
      </c>
      <c r="P148" s="2" t="s">
        <v>550</v>
      </c>
      <c r="Q148" s="2" t="s">
        <v>551</v>
      </c>
      <c r="R148" s="2" t="s">
        <v>29</v>
      </c>
      <c r="S148" s="2" t="s">
        <v>30</v>
      </c>
    </row>
    <row r="149" spans="1:19">
      <c r="A149" s="1">
        <v>43831</v>
      </c>
      <c r="B149" s="1">
        <v>43831</v>
      </c>
      <c r="C149">
        <v>2020</v>
      </c>
      <c r="D149">
        <v>1</v>
      </c>
      <c r="E149" s="2" t="s">
        <v>232</v>
      </c>
      <c r="F149" s="2" t="s">
        <v>233</v>
      </c>
      <c r="G149" s="2" t="s">
        <v>21</v>
      </c>
      <c r="H149" s="2" t="s">
        <v>22</v>
      </c>
      <c r="I149" s="2" t="s">
        <v>23</v>
      </c>
      <c r="J149" s="2" t="s">
        <v>24</v>
      </c>
      <c r="K149">
        <v>1407.61</v>
      </c>
      <c r="L149">
        <v>81543.789999999994</v>
      </c>
      <c r="M149">
        <v>5793.07</v>
      </c>
      <c r="N149" s="2" t="s">
        <v>234</v>
      </c>
      <c r="O149" s="2" t="s">
        <v>235</v>
      </c>
      <c r="P149" s="2" t="s">
        <v>552</v>
      </c>
      <c r="Q149" s="2" t="s">
        <v>553</v>
      </c>
      <c r="R149" s="2" t="s">
        <v>29</v>
      </c>
      <c r="S149" s="2" t="s">
        <v>30</v>
      </c>
    </row>
    <row r="150" spans="1:19">
      <c r="A150" s="1">
        <v>43831</v>
      </c>
      <c r="B150" s="1">
        <v>43831</v>
      </c>
      <c r="C150">
        <v>2020</v>
      </c>
      <c r="D150">
        <v>1</v>
      </c>
      <c r="E150" s="2" t="s">
        <v>238</v>
      </c>
      <c r="F150" s="2" t="s">
        <v>239</v>
      </c>
      <c r="G150" s="2" t="s">
        <v>21</v>
      </c>
      <c r="H150" s="2" t="s">
        <v>22</v>
      </c>
      <c r="I150" s="2" t="s">
        <v>66</v>
      </c>
      <c r="J150" s="2" t="s">
        <v>24</v>
      </c>
      <c r="K150">
        <v>536.08000000000004</v>
      </c>
      <c r="L150">
        <v>55107.96</v>
      </c>
      <c r="M150">
        <v>10279.799999999999</v>
      </c>
      <c r="N150" s="2" t="s">
        <v>240</v>
      </c>
      <c r="O150" s="2" t="s">
        <v>241</v>
      </c>
      <c r="P150" s="2" t="s">
        <v>554</v>
      </c>
      <c r="Q150" s="2" t="s">
        <v>555</v>
      </c>
      <c r="R150" s="2" t="s">
        <v>29</v>
      </c>
      <c r="S150" s="2" t="s">
        <v>30</v>
      </c>
    </row>
    <row r="151" spans="1:19">
      <c r="A151" s="1">
        <v>43831</v>
      </c>
      <c r="B151" s="1">
        <v>43831</v>
      </c>
      <c r="C151">
        <v>2020</v>
      </c>
      <c r="D151">
        <v>1</v>
      </c>
      <c r="E151" s="2" t="s">
        <v>244</v>
      </c>
      <c r="F151" s="2" t="s">
        <v>245</v>
      </c>
      <c r="G151" s="2" t="s">
        <v>21</v>
      </c>
      <c r="H151" s="2" t="s">
        <v>22</v>
      </c>
      <c r="I151" s="2" t="s">
        <v>23</v>
      </c>
      <c r="J151" s="2" t="s">
        <v>24</v>
      </c>
      <c r="K151">
        <v>2605.5500000000002</v>
      </c>
      <c r="L151">
        <v>1929463.51</v>
      </c>
      <c r="M151">
        <v>74052.06</v>
      </c>
      <c r="N151" s="2" t="s">
        <v>246</v>
      </c>
      <c r="O151" s="2" t="s">
        <v>247</v>
      </c>
      <c r="P151" s="2" t="s">
        <v>556</v>
      </c>
      <c r="Q151" s="2" t="s">
        <v>557</v>
      </c>
      <c r="R151" s="2" t="s">
        <v>29</v>
      </c>
      <c r="S151" s="2" t="s">
        <v>30</v>
      </c>
    </row>
    <row r="152" spans="1:19">
      <c r="A152" s="1">
        <v>43831</v>
      </c>
      <c r="B152" s="1">
        <v>43831</v>
      </c>
      <c r="C152">
        <v>2020</v>
      </c>
      <c r="D152">
        <v>1</v>
      </c>
      <c r="E152" s="2" t="s">
        <v>250</v>
      </c>
      <c r="F152" s="2" t="s">
        <v>251</v>
      </c>
      <c r="G152" s="2" t="s">
        <v>21</v>
      </c>
      <c r="H152" s="2" t="s">
        <v>22</v>
      </c>
      <c r="I152" s="2" t="s">
        <v>66</v>
      </c>
      <c r="J152" s="2" t="s">
        <v>24</v>
      </c>
      <c r="K152">
        <v>25.61</v>
      </c>
      <c r="L152">
        <v>49.14</v>
      </c>
      <c r="M152">
        <v>191.88</v>
      </c>
      <c r="N152" s="2" t="s">
        <v>252</v>
      </c>
      <c r="O152" s="2" t="s">
        <v>253</v>
      </c>
      <c r="P152" s="2" t="s">
        <v>558</v>
      </c>
      <c r="Q152" s="2" t="s">
        <v>559</v>
      </c>
      <c r="R152" s="2" t="s">
        <v>29</v>
      </c>
      <c r="S152" s="2" t="s">
        <v>30</v>
      </c>
    </row>
    <row r="153" spans="1:19">
      <c r="A153" s="1">
        <v>43831</v>
      </c>
      <c r="B153" s="1">
        <v>43831</v>
      </c>
      <c r="C153">
        <v>2020</v>
      </c>
      <c r="D153">
        <v>1</v>
      </c>
      <c r="E153" s="2" t="s">
        <v>256</v>
      </c>
      <c r="F153" s="2" t="s">
        <v>257</v>
      </c>
      <c r="G153" s="2" t="s">
        <v>21</v>
      </c>
      <c r="H153" s="2" t="s">
        <v>22</v>
      </c>
      <c r="I153" s="2" t="s">
        <v>258</v>
      </c>
      <c r="J153" s="2" t="s">
        <v>24</v>
      </c>
      <c r="K153">
        <v>886.39</v>
      </c>
      <c r="L153">
        <v>661741</v>
      </c>
      <c r="M153">
        <v>74655.740000000005</v>
      </c>
      <c r="N153" s="2" t="s">
        <v>259</v>
      </c>
      <c r="O153" s="2" t="s">
        <v>260</v>
      </c>
      <c r="P153" s="2" t="s">
        <v>560</v>
      </c>
      <c r="Q153" s="2" t="s">
        <v>561</v>
      </c>
      <c r="R153" s="2" t="s">
        <v>29</v>
      </c>
      <c r="S153" s="2" t="s">
        <v>30</v>
      </c>
    </row>
    <row r="154" spans="1:19">
      <c r="A154" s="1">
        <v>43831</v>
      </c>
      <c r="B154" s="1">
        <v>43831</v>
      </c>
      <c r="C154">
        <v>2020</v>
      </c>
      <c r="D154">
        <v>1</v>
      </c>
      <c r="E154" s="2" t="s">
        <v>263</v>
      </c>
      <c r="F154" s="2" t="s">
        <v>264</v>
      </c>
      <c r="G154" s="2" t="s">
        <v>21</v>
      </c>
      <c r="H154" s="2" t="s">
        <v>22</v>
      </c>
      <c r="I154" s="2" t="s">
        <v>258</v>
      </c>
      <c r="J154" s="2" t="s">
        <v>24</v>
      </c>
      <c r="K154">
        <v>0.78</v>
      </c>
      <c r="L154">
        <v>658.42</v>
      </c>
      <c r="M154">
        <v>84412.82</v>
      </c>
      <c r="N154" s="2" t="s">
        <v>265</v>
      </c>
      <c r="O154" s="2" t="s">
        <v>266</v>
      </c>
      <c r="P154" s="2" t="s">
        <v>562</v>
      </c>
      <c r="Q154" s="2" t="s">
        <v>563</v>
      </c>
      <c r="R154" s="2" t="s">
        <v>29</v>
      </c>
      <c r="S154" s="2" t="s">
        <v>30</v>
      </c>
    </row>
    <row r="155" spans="1:19">
      <c r="A155" s="1">
        <v>43831</v>
      </c>
      <c r="B155" s="1">
        <v>43831</v>
      </c>
      <c r="C155">
        <v>2020</v>
      </c>
      <c r="D155">
        <v>1</v>
      </c>
      <c r="E155" s="2" t="s">
        <v>269</v>
      </c>
      <c r="F155" s="2" t="s">
        <v>270</v>
      </c>
      <c r="G155" s="2" t="s">
        <v>21</v>
      </c>
      <c r="H155" s="2" t="s">
        <v>22</v>
      </c>
      <c r="I155" s="2" t="s">
        <v>258</v>
      </c>
      <c r="J155" s="2" t="s">
        <v>59</v>
      </c>
      <c r="K155">
        <v>887.17</v>
      </c>
      <c r="L155">
        <v>662399.42000000004</v>
      </c>
      <c r="M155">
        <v>74664.320000000007</v>
      </c>
      <c r="N155" s="2" t="s">
        <v>271</v>
      </c>
      <c r="O155" s="2" t="s">
        <v>272</v>
      </c>
      <c r="P155" s="2" t="s">
        <v>564</v>
      </c>
      <c r="Q155" s="2" t="s">
        <v>565</v>
      </c>
      <c r="R155" s="2" t="s">
        <v>29</v>
      </c>
      <c r="S155" s="2" t="s">
        <v>30</v>
      </c>
    </row>
    <row r="156" spans="1:19">
      <c r="A156" s="1">
        <v>43831</v>
      </c>
      <c r="B156" s="1">
        <v>43831</v>
      </c>
      <c r="C156">
        <v>2020</v>
      </c>
      <c r="D156">
        <v>1</v>
      </c>
      <c r="E156" s="2" t="s">
        <v>275</v>
      </c>
      <c r="F156" s="2" t="s">
        <v>276</v>
      </c>
      <c r="G156" s="2" t="s">
        <v>39</v>
      </c>
      <c r="H156" s="2" t="s">
        <v>22</v>
      </c>
      <c r="I156" s="2" t="s">
        <v>40</v>
      </c>
      <c r="J156" s="2" t="s">
        <v>24</v>
      </c>
      <c r="K156">
        <v>92.41</v>
      </c>
      <c r="L156">
        <v>163.12</v>
      </c>
      <c r="M156">
        <v>176.52</v>
      </c>
      <c r="N156" s="2" t="s">
        <v>277</v>
      </c>
      <c r="O156" s="2" t="s">
        <v>278</v>
      </c>
      <c r="P156" s="2" t="s">
        <v>566</v>
      </c>
      <c r="Q156" s="2" t="s">
        <v>567</v>
      </c>
      <c r="R156" s="2" t="s">
        <v>29</v>
      </c>
      <c r="S156" s="2" t="s">
        <v>30</v>
      </c>
    </row>
    <row r="157" spans="1:19">
      <c r="A157" s="1">
        <v>43831</v>
      </c>
      <c r="B157" s="1">
        <v>43831</v>
      </c>
      <c r="C157">
        <v>2020</v>
      </c>
      <c r="D157">
        <v>1</v>
      </c>
      <c r="E157" s="2" t="s">
        <v>281</v>
      </c>
      <c r="F157" s="2" t="s">
        <v>282</v>
      </c>
      <c r="G157" s="2" t="s">
        <v>39</v>
      </c>
      <c r="H157" s="2" t="s">
        <v>22</v>
      </c>
      <c r="I157" s="2" t="s">
        <v>40</v>
      </c>
      <c r="J157" s="2" t="s">
        <v>24</v>
      </c>
      <c r="K157">
        <v>10.06</v>
      </c>
      <c r="L157">
        <v>14.4</v>
      </c>
      <c r="M157">
        <v>143.13999999999999</v>
      </c>
      <c r="N157" s="2" t="s">
        <v>283</v>
      </c>
      <c r="O157" s="2" t="s">
        <v>284</v>
      </c>
      <c r="P157" s="2" t="s">
        <v>568</v>
      </c>
      <c r="Q157" s="2" t="s">
        <v>569</v>
      </c>
      <c r="R157" s="2" t="s">
        <v>29</v>
      </c>
      <c r="S157" s="2" t="s">
        <v>30</v>
      </c>
    </row>
    <row r="158" spans="1:19">
      <c r="A158" s="1">
        <v>43831</v>
      </c>
      <c r="B158" s="1">
        <v>43831</v>
      </c>
      <c r="C158">
        <v>2020</v>
      </c>
      <c r="D158">
        <v>1</v>
      </c>
      <c r="E158" s="2" t="s">
        <v>287</v>
      </c>
      <c r="F158" s="2" t="s">
        <v>288</v>
      </c>
      <c r="G158" s="2" t="s">
        <v>39</v>
      </c>
      <c r="H158" s="2" t="s">
        <v>22</v>
      </c>
      <c r="I158" s="2" t="s">
        <v>40</v>
      </c>
      <c r="J158" s="2" t="s">
        <v>59</v>
      </c>
      <c r="K158">
        <v>102.47</v>
      </c>
      <c r="L158">
        <v>177.52</v>
      </c>
      <c r="M158">
        <v>173.24</v>
      </c>
      <c r="N158" s="2" t="s">
        <v>289</v>
      </c>
      <c r="O158" s="2" t="s">
        <v>290</v>
      </c>
      <c r="P158" s="2" t="s">
        <v>570</v>
      </c>
      <c r="Q158" s="2" t="s">
        <v>571</v>
      </c>
      <c r="R158" s="2" t="s">
        <v>29</v>
      </c>
      <c r="S158" s="2" t="s">
        <v>30</v>
      </c>
    </row>
    <row r="159" spans="1:19">
      <c r="A159" s="1">
        <v>43831</v>
      </c>
      <c r="B159" s="1">
        <v>43831</v>
      </c>
      <c r="C159">
        <v>2020</v>
      </c>
      <c r="D159">
        <v>1</v>
      </c>
      <c r="E159" s="2" t="s">
        <v>293</v>
      </c>
      <c r="F159" s="2" t="s">
        <v>294</v>
      </c>
      <c r="G159" s="2" t="s">
        <v>21</v>
      </c>
      <c r="H159" s="2" t="s">
        <v>22</v>
      </c>
      <c r="I159" s="2" t="s">
        <v>295</v>
      </c>
      <c r="J159" s="2" t="s">
        <v>24</v>
      </c>
      <c r="K159">
        <v>1232.47</v>
      </c>
      <c r="L159">
        <v>1880.46</v>
      </c>
      <c r="M159">
        <v>152.58000000000001</v>
      </c>
      <c r="N159" s="2" t="s">
        <v>296</v>
      </c>
      <c r="O159" s="2" t="s">
        <v>297</v>
      </c>
      <c r="P159" s="2" t="s">
        <v>572</v>
      </c>
      <c r="Q159" s="2" t="s">
        <v>573</v>
      </c>
      <c r="R159" s="2" t="s">
        <v>29</v>
      </c>
      <c r="S159" s="2" t="s">
        <v>30</v>
      </c>
    </row>
    <row r="160" spans="1:19">
      <c r="A160" s="1">
        <v>43831</v>
      </c>
      <c r="B160" s="1">
        <v>43831</v>
      </c>
      <c r="C160">
        <v>2020</v>
      </c>
      <c r="D160">
        <v>1</v>
      </c>
      <c r="E160" s="2" t="s">
        <v>300</v>
      </c>
      <c r="F160" s="2" t="s">
        <v>301</v>
      </c>
      <c r="G160" s="2" t="s">
        <v>21</v>
      </c>
      <c r="H160" s="2" t="s">
        <v>22</v>
      </c>
      <c r="I160" s="2" t="s">
        <v>295</v>
      </c>
      <c r="J160" s="2" t="s">
        <v>24</v>
      </c>
      <c r="K160">
        <v>128.35</v>
      </c>
      <c r="L160">
        <v>997.2</v>
      </c>
      <c r="M160">
        <v>776.94</v>
      </c>
      <c r="N160" s="2" t="s">
        <v>302</v>
      </c>
      <c r="O160" s="2" t="s">
        <v>303</v>
      </c>
      <c r="P160" s="2" t="s">
        <v>574</v>
      </c>
      <c r="Q160" s="2" t="s">
        <v>575</v>
      </c>
      <c r="R160" s="2" t="s">
        <v>29</v>
      </c>
      <c r="S160" s="2" t="s">
        <v>30</v>
      </c>
    </row>
    <row r="161" spans="1:19">
      <c r="A161" s="1">
        <v>43831</v>
      </c>
      <c r="B161" s="1">
        <v>43831</v>
      </c>
      <c r="C161">
        <v>2020</v>
      </c>
      <c r="D161">
        <v>1</v>
      </c>
      <c r="E161" s="2" t="s">
        <v>306</v>
      </c>
      <c r="F161" s="2" t="s">
        <v>307</v>
      </c>
      <c r="G161" s="2" t="s">
        <v>21</v>
      </c>
      <c r="H161" s="2" t="s">
        <v>22</v>
      </c>
      <c r="I161" s="2" t="s">
        <v>295</v>
      </c>
      <c r="J161" s="2" t="s">
        <v>101</v>
      </c>
      <c r="K161">
        <v>1360.82</v>
      </c>
      <c r="L161">
        <v>2877.66</v>
      </c>
      <c r="M161">
        <v>211.47</v>
      </c>
      <c r="N161" s="2" t="s">
        <v>308</v>
      </c>
      <c r="O161" s="2" t="s">
        <v>309</v>
      </c>
      <c r="P161" s="2" t="s">
        <v>576</v>
      </c>
      <c r="Q161" s="2" t="s">
        <v>577</v>
      </c>
      <c r="R161" s="2" t="s">
        <v>29</v>
      </c>
      <c r="S161" s="2" t="s">
        <v>30</v>
      </c>
    </row>
    <row r="162" spans="1:19">
      <c r="A162" s="1">
        <v>43831</v>
      </c>
      <c r="B162" s="1">
        <v>43831</v>
      </c>
      <c r="C162">
        <v>2020</v>
      </c>
      <c r="D162">
        <v>1</v>
      </c>
      <c r="E162" s="2" t="s">
        <v>312</v>
      </c>
      <c r="F162" s="2" t="s">
        <v>313</v>
      </c>
      <c r="G162" s="2" t="s">
        <v>21</v>
      </c>
      <c r="H162" s="2" t="s">
        <v>22</v>
      </c>
      <c r="I162" s="2" t="s">
        <v>295</v>
      </c>
      <c r="J162" s="2" t="s">
        <v>59</v>
      </c>
      <c r="K162">
        <v>5237.05</v>
      </c>
      <c r="L162">
        <v>18285.86</v>
      </c>
      <c r="M162">
        <v>349.16</v>
      </c>
      <c r="N162" s="2" t="s">
        <v>314</v>
      </c>
      <c r="O162" s="2" t="s">
        <v>315</v>
      </c>
      <c r="P162" s="2" t="s">
        <v>578</v>
      </c>
      <c r="Q162" s="2" t="s">
        <v>579</v>
      </c>
      <c r="R162" s="2" t="s">
        <v>29</v>
      </c>
      <c r="S162" s="2" t="s">
        <v>30</v>
      </c>
    </row>
    <row r="163" spans="1:19">
      <c r="A163" s="1">
        <v>43831</v>
      </c>
      <c r="B163" s="1">
        <v>43831</v>
      </c>
      <c r="C163">
        <v>2020</v>
      </c>
      <c r="D163">
        <v>1</v>
      </c>
      <c r="E163" s="2" t="s">
        <v>318</v>
      </c>
      <c r="F163" s="2" t="s">
        <v>319</v>
      </c>
      <c r="G163" s="2" t="s">
        <v>21</v>
      </c>
      <c r="H163" s="2" t="s">
        <v>22</v>
      </c>
      <c r="I163" s="2" t="s">
        <v>295</v>
      </c>
      <c r="J163" s="2" t="s">
        <v>24</v>
      </c>
      <c r="K163">
        <v>3876.23</v>
      </c>
      <c r="L163">
        <v>15408.21</v>
      </c>
      <c r="M163">
        <v>397.51</v>
      </c>
      <c r="N163" s="2" t="s">
        <v>320</v>
      </c>
      <c r="O163" s="2" t="s">
        <v>321</v>
      </c>
      <c r="P163" s="2" t="s">
        <v>580</v>
      </c>
      <c r="Q163" s="2" t="s">
        <v>581</v>
      </c>
      <c r="R163" s="2" t="s">
        <v>29</v>
      </c>
      <c r="S163" s="2" t="s">
        <v>30</v>
      </c>
    </row>
    <row r="164" spans="1:19">
      <c r="A164" s="1">
        <v>43831</v>
      </c>
      <c r="B164" s="1">
        <v>43831</v>
      </c>
      <c r="C164">
        <v>2020</v>
      </c>
      <c r="D164">
        <v>1</v>
      </c>
      <c r="E164" s="2" t="s">
        <v>324</v>
      </c>
      <c r="F164" s="2" t="s">
        <v>325</v>
      </c>
      <c r="G164" s="2" t="s">
        <v>21</v>
      </c>
      <c r="H164" s="2" t="s">
        <v>22</v>
      </c>
      <c r="I164" s="2" t="s">
        <v>23</v>
      </c>
      <c r="J164" s="2" t="s">
        <v>59</v>
      </c>
      <c r="K164">
        <v>21168.29</v>
      </c>
      <c r="L164">
        <v>2453546.42</v>
      </c>
      <c r="M164">
        <v>11590.67</v>
      </c>
      <c r="N164" s="2" t="s">
        <v>326</v>
      </c>
      <c r="O164" s="2" t="s">
        <v>327</v>
      </c>
      <c r="P164" s="2" t="s">
        <v>582</v>
      </c>
      <c r="Q164" s="2" t="s">
        <v>583</v>
      </c>
      <c r="R164" s="2" t="s">
        <v>29</v>
      </c>
      <c r="S164" s="2" t="s">
        <v>30</v>
      </c>
    </row>
    <row r="165" spans="1:19">
      <c r="A165" s="1">
        <v>43831</v>
      </c>
      <c r="B165" s="1">
        <v>43831</v>
      </c>
      <c r="C165">
        <v>2020</v>
      </c>
      <c r="D165">
        <v>1</v>
      </c>
      <c r="E165" s="2" t="s">
        <v>330</v>
      </c>
      <c r="F165" s="2" t="s">
        <v>331</v>
      </c>
      <c r="G165" s="2" t="s">
        <v>21</v>
      </c>
      <c r="H165" s="2" t="s">
        <v>332</v>
      </c>
      <c r="I165" s="2" t="s">
        <v>333</v>
      </c>
      <c r="J165" s="2" t="s">
        <v>24</v>
      </c>
      <c r="K165">
        <v>135.09</v>
      </c>
      <c r="L165">
        <v>8558048.8499999996</v>
      </c>
      <c r="M165">
        <v>6335072.0599999996</v>
      </c>
      <c r="N165" s="2" t="s">
        <v>334</v>
      </c>
      <c r="O165" s="2" t="s">
        <v>335</v>
      </c>
      <c r="P165" s="2" t="s">
        <v>584</v>
      </c>
      <c r="Q165" s="2" t="s">
        <v>585</v>
      </c>
      <c r="R165" s="2" t="s">
        <v>29</v>
      </c>
      <c r="S165" s="2" t="s">
        <v>30</v>
      </c>
    </row>
    <row r="166" spans="1:19">
      <c r="A166" s="1">
        <v>43831</v>
      </c>
      <c r="B166" s="1">
        <v>43831</v>
      </c>
      <c r="C166">
        <v>2020</v>
      </c>
      <c r="D166">
        <v>1</v>
      </c>
      <c r="E166" s="2" t="s">
        <v>338</v>
      </c>
      <c r="F166" s="2" t="s">
        <v>339</v>
      </c>
      <c r="G166" s="2" t="s">
        <v>21</v>
      </c>
      <c r="H166" s="2" t="s">
        <v>332</v>
      </c>
      <c r="I166" s="2" t="s">
        <v>333</v>
      </c>
      <c r="J166" s="2" t="s">
        <v>24</v>
      </c>
      <c r="K166">
        <v>2.2000000000000002</v>
      </c>
      <c r="L166">
        <v>1322772.3999999999</v>
      </c>
      <c r="M166">
        <v>60126018.18</v>
      </c>
      <c r="N166" s="2" t="s">
        <v>340</v>
      </c>
      <c r="O166" s="2" t="s">
        <v>341</v>
      </c>
      <c r="P166" s="2" t="s">
        <v>477</v>
      </c>
      <c r="Q166" s="2" t="s">
        <v>586</v>
      </c>
      <c r="R166" s="2" t="s">
        <v>29</v>
      </c>
      <c r="S166" s="2" t="s">
        <v>30</v>
      </c>
    </row>
    <row r="167" spans="1:19">
      <c r="A167" s="1">
        <v>43831</v>
      </c>
      <c r="B167" s="1">
        <v>43831</v>
      </c>
      <c r="C167">
        <v>2020</v>
      </c>
      <c r="D167">
        <v>1</v>
      </c>
      <c r="E167" s="2" t="s">
        <v>344</v>
      </c>
      <c r="F167" s="2" t="s">
        <v>345</v>
      </c>
      <c r="G167" s="2" t="s">
        <v>21</v>
      </c>
      <c r="H167" s="2" t="s">
        <v>332</v>
      </c>
      <c r="I167" s="2" t="s">
        <v>333</v>
      </c>
      <c r="J167" s="2" t="s">
        <v>59</v>
      </c>
      <c r="K167">
        <v>137.29</v>
      </c>
      <c r="L167">
        <v>9880821.25</v>
      </c>
      <c r="M167">
        <v>7197043.6699999999</v>
      </c>
      <c r="N167" s="2" t="s">
        <v>346</v>
      </c>
      <c r="O167" s="2" t="s">
        <v>347</v>
      </c>
      <c r="P167" s="2" t="s">
        <v>587</v>
      </c>
      <c r="Q167" s="2" t="s">
        <v>588</v>
      </c>
      <c r="R167" s="2" t="s">
        <v>29</v>
      </c>
      <c r="S167" s="2" t="s">
        <v>30</v>
      </c>
    </row>
    <row r="168" spans="1:19">
      <c r="A168" s="1">
        <v>43831</v>
      </c>
      <c r="B168" s="1">
        <v>43831</v>
      </c>
      <c r="C168">
        <v>2020</v>
      </c>
      <c r="D168">
        <v>1</v>
      </c>
      <c r="E168" s="2" t="s">
        <v>350</v>
      </c>
      <c r="F168" s="2" t="s">
        <v>351</v>
      </c>
      <c r="G168" s="2" t="s">
        <v>21</v>
      </c>
      <c r="H168" s="2" t="s">
        <v>22</v>
      </c>
      <c r="I168" s="2" t="s">
        <v>352</v>
      </c>
      <c r="J168" s="2" t="s">
        <v>353</v>
      </c>
      <c r="K168">
        <v>33631.79</v>
      </c>
      <c r="L168">
        <v>12537395.689999999</v>
      </c>
      <c r="M168">
        <v>37278.410000000003</v>
      </c>
      <c r="N168" s="2" t="s">
        <v>354</v>
      </c>
      <c r="O168" s="2" t="s">
        <v>355</v>
      </c>
      <c r="P168" s="2" t="s">
        <v>589</v>
      </c>
      <c r="Q168" s="2" t="s">
        <v>590</v>
      </c>
      <c r="R168" s="2" t="s">
        <v>29</v>
      </c>
      <c r="S168" s="2" t="s">
        <v>30</v>
      </c>
    </row>
    <row r="169" spans="1:19">
      <c r="A169" s="1">
        <v>43831</v>
      </c>
      <c r="B169" s="1">
        <v>43831</v>
      </c>
      <c r="C169">
        <v>2020</v>
      </c>
      <c r="D169">
        <v>1</v>
      </c>
      <c r="E169" s="2" t="s">
        <v>358</v>
      </c>
      <c r="F169" s="2" t="s">
        <v>359</v>
      </c>
      <c r="G169" s="2" t="s">
        <v>21</v>
      </c>
      <c r="H169" s="2" t="s">
        <v>22</v>
      </c>
      <c r="I169" s="2" t="s">
        <v>352</v>
      </c>
      <c r="J169" s="2" t="s">
        <v>353</v>
      </c>
      <c r="K169">
        <v>34518.959999999999</v>
      </c>
      <c r="L169">
        <v>13199795.109999999</v>
      </c>
      <c r="M169">
        <v>38239.26</v>
      </c>
      <c r="N169" s="2" t="s">
        <v>360</v>
      </c>
      <c r="O169" s="2" t="s">
        <v>361</v>
      </c>
      <c r="P169" s="2" t="s">
        <v>591</v>
      </c>
      <c r="Q169" s="2" t="s">
        <v>592</v>
      </c>
      <c r="R169" s="2" t="s">
        <v>29</v>
      </c>
      <c r="S169" s="2" t="s">
        <v>30</v>
      </c>
    </row>
    <row r="170" spans="1:19">
      <c r="A170" s="1">
        <v>43831</v>
      </c>
      <c r="B170" s="1">
        <v>43831</v>
      </c>
      <c r="C170">
        <v>2020</v>
      </c>
      <c r="D170">
        <v>1</v>
      </c>
      <c r="E170" s="2" t="s">
        <v>364</v>
      </c>
      <c r="F170" s="2" t="s">
        <v>365</v>
      </c>
      <c r="G170" s="2" t="s">
        <v>21</v>
      </c>
      <c r="H170" s="2" t="s">
        <v>22</v>
      </c>
      <c r="I170" s="2" t="s">
        <v>352</v>
      </c>
      <c r="J170" s="2" t="s">
        <v>353</v>
      </c>
      <c r="K170">
        <v>34381.67</v>
      </c>
      <c r="L170">
        <v>3318973.86</v>
      </c>
      <c r="M170">
        <v>9653.32</v>
      </c>
      <c r="N170" s="2" t="s">
        <v>366</v>
      </c>
      <c r="O170" s="2" t="s">
        <v>367</v>
      </c>
      <c r="P170" s="2" t="s">
        <v>593</v>
      </c>
      <c r="Q170" s="2" t="s">
        <v>594</v>
      </c>
      <c r="R170" s="2" t="s">
        <v>29</v>
      </c>
      <c r="S170" s="2" t="s">
        <v>30</v>
      </c>
    </row>
    <row r="171" spans="1:19">
      <c r="A171" s="1">
        <v>43831</v>
      </c>
      <c r="B171" s="1">
        <v>43831</v>
      </c>
      <c r="C171">
        <v>2020</v>
      </c>
      <c r="D171">
        <v>1</v>
      </c>
      <c r="E171" s="2" t="s">
        <v>370</v>
      </c>
      <c r="F171" s="2" t="s">
        <v>371</v>
      </c>
      <c r="G171" s="2" t="s">
        <v>21</v>
      </c>
      <c r="H171" s="2" t="s">
        <v>22</v>
      </c>
      <c r="I171" s="2" t="s">
        <v>23</v>
      </c>
      <c r="J171" s="2" t="s">
        <v>24</v>
      </c>
      <c r="K171">
        <v>13050.19</v>
      </c>
      <c r="L171">
        <v>216242.97</v>
      </c>
      <c r="M171">
        <v>1657.01</v>
      </c>
      <c r="N171" s="2" t="s">
        <v>372</v>
      </c>
      <c r="O171" s="2" t="s">
        <v>373</v>
      </c>
      <c r="P171" s="2" t="s">
        <v>595</v>
      </c>
      <c r="Q171" s="2" t="s">
        <v>596</v>
      </c>
      <c r="R171" s="2" t="s">
        <v>29</v>
      </c>
      <c r="S171" s="2" t="s">
        <v>30</v>
      </c>
    </row>
    <row r="172" spans="1:19">
      <c r="A172" s="1">
        <v>43831</v>
      </c>
      <c r="B172" s="1">
        <v>43831</v>
      </c>
      <c r="C172">
        <v>2020</v>
      </c>
      <c r="D172">
        <v>1</v>
      </c>
      <c r="E172" s="2" t="s">
        <v>376</v>
      </c>
      <c r="F172" s="2" t="s">
        <v>377</v>
      </c>
      <c r="G172" s="2" t="s">
        <v>21</v>
      </c>
      <c r="H172" s="2" t="s">
        <v>22</v>
      </c>
      <c r="I172" s="2" t="s">
        <v>23</v>
      </c>
      <c r="J172" s="2" t="s">
        <v>378</v>
      </c>
      <c r="K172">
        <v>0.78</v>
      </c>
      <c r="L172">
        <v>13.64</v>
      </c>
      <c r="M172">
        <v>1748.72</v>
      </c>
      <c r="N172" s="2" t="s">
        <v>379</v>
      </c>
      <c r="O172" s="2" t="s">
        <v>380</v>
      </c>
      <c r="P172" s="2" t="s">
        <v>562</v>
      </c>
      <c r="Q172" s="2" t="s">
        <v>597</v>
      </c>
      <c r="R172" s="2" t="s">
        <v>29</v>
      </c>
      <c r="S172" s="2" t="s">
        <v>30</v>
      </c>
    </row>
    <row r="173" spans="1:19">
      <c r="A173" s="1">
        <v>43862</v>
      </c>
      <c r="B173" s="1">
        <v>43862</v>
      </c>
      <c r="C173">
        <v>2020</v>
      </c>
      <c r="D173">
        <v>2</v>
      </c>
      <c r="E173" s="2" t="s">
        <v>19</v>
      </c>
      <c r="F173" s="2" t="s">
        <v>20</v>
      </c>
      <c r="G173" s="2" t="s">
        <v>21</v>
      </c>
      <c r="H173" s="2" t="s">
        <v>22</v>
      </c>
      <c r="I173" s="2" t="s">
        <v>23</v>
      </c>
      <c r="J173" s="2" t="s">
        <v>24</v>
      </c>
      <c r="K173">
        <v>0.74</v>
      </c>
      <c r="L173">
        <v>39.799999999999997</v>
      </c>
      <c r="M173">
        <v>5378.38</v>
      </c>
      <c r="N173" s="2" t="s">
        <v>25</v>
      </c>
      <c r="O173" s="2" t="s">
        <v>26</v>
      </c>
      <c r="P173" s="2" t="s">
        <v>381</v>
      </c>
      <c r="Q173" s="2" t="s">
        <v>598</v>
      </c>
      <c r="R173" s="2" t="s">
        <v>29</v>
      </c>
      <c r="S173" s="2" t="s">
        <v>30</v>
      </c>
    </row>
    <row r="174" spans="1:19">
      <c r="A174" s="1">
        <v>43862</v>
      </c>
      <c r="B174" s="1">
        <v>43862</v>
      </c>
      <c r="C174">
        <v>2020</v>
      </c>
      <c r="D174">
        <v>2</v>
      </c>
      <c r="E174" s="2" t="s">
        <v>31</v>
      </c>
      <c r="F174" s="2" t="s">
        <v>32</v>
      </c>
      <c r="G174" s="2" t="s">
        <v>21</v>
      </c>
      <c r="H174" s="2" t="s">
        <v>22</v>
      </c>
      <c r="I174" s="2" t="s">
        <v>23</v>
      </c>
      <c r="J174" s="2" t="s">
        <v>24</v>
      </c>
      <c r="K174">
        <v>1398.12</v>
      </c>
      <c r="L174">
        <v>8868.8799999999992</v>
      </c>
      <c r="M174">
        <v>634.34</v>
      </c>
      <c r="N174" s="2" t="s">
        <v>33</v>
      </c>
      <c r="O174" s="2" t="s">
        <v>34</v>
      </c>
      <c r="P174" s="2" t="s">
        <v>599</v>
      </c>
      <c r="Q174" s="2" t="s">
        <v>600</v>
      </c>
      <c r="R174" s="2" t="s">
        <v>29</v>
      </c>
      <c r="S174" s="2" t="s">
        <v>30</v>
      </c>
    </row>
    <row r="175" spans="1:19">
      <c r="A175" s="1">
        <v>43862</v>
      </c>
      <c r="B175" s="1">
        <v>43862</v>
      </c>
      <c r="C175">
        <v>2020</v>
      </c>
      <c r="D175">
        <v>2</v>
      </c>
      <c r="E175" s="2" t="s">
        <v>37</v>
      </c>
      <c r="F175" s="2" t="s">
        <v>38</v>
      </c>
      <c r="G175" s="2" t="s">
        <v>39</v>
      </c>
      <c r="H175" s="2" t="s">
        <v>22</v>
      </c>
      <c r="I175" s="2" t="s">
        <v>40</v>
      </c>
      <c r="J175" s="2" t="s">
        <v>24</v>
      </c>
      <c r="K175">
        <v>7.97</v>
      </c>
      <c r="L175">
        <v>379</v>
      </c>
      <c r="M175">
        <v>4755.33</v>
      </c>
      <c r="N175" s="2" t="s">
        <v>41</v>
      </c>
      <c r="O175" s="2" t="s">
        <v>42</v>
      </c>
      <c r="P175" s="2" t="s">
        <v>601</v>
      </c>
      <c r="Q175" s="2" t="s">
        <v>602</v>
      </c>
      <c r="R175" s="2" t="s">
        <v>29</v>
      </c>
      <c r="S175" s="2" t="s">
        <v>30</v>
      </c>
    </row>
    <row r="176" spans="1:19">
      <c r="A176" s="1">
        <v>43862</v>
      </c>
      <c r="B176" s="1">
        <v>43862</v>
      </c>
      <c r="C176">
        <v>2020</v>
      </c>
      <c r="D176">
        <v>2</v>
      </c>
      <c r="E176" s="2" t="s">
        <v>45</v>
      </c>
      <c r="F176" s="2" t="s">
        <v>46</v>
      </c>
      <c r="G176" s="2" t="s">
        <v>39</v>
      </c>
      <c r="H176" s="2" t="s">
        <v>22</v>
      </c>
      <c r="I176" s="2" t="s">
        <v>40</v>
      </c>
      <c r="J176" s="2" t="s">
        <v>24</v>
      </c>
      <c r="K176">
        <v>6148.83</v>
      </c>
      <c r="L176">
        <v>281926.94</v>
      </c>
      <c r="M176">
        <v>4585.05</v>
      </c>
      <c r="N176" s="2" t="s">
        <v>47</v>
      </c>
      <c r="O176" s="2" t="s">
        <v>48</v>
      </c>
      <c r="P176" s="2" t="s">
        <v>603</v>
      </c>
      <c r="Q176" s="2" t="s">
        <v>604</v>
      </c>
      <c r="R176" s="2" t="s">
        <v>29</v>
      </c>
      <c r="S176" s="2" t="s">
        <v>30</v>
      </c>
    </row>
    <row r="177" spans="1:19">
      <c r="A177" s="1">
        <v>43862</v>
      </c>
      <c r="B177" s="1">
        <v>43862</v>
      </c>
      <c r="C177">
        <v>2020</v>
      </c>
      <c r="D177">
        <v>2</v>
      </c>
      <c r="E177" s="2" t="s">
        <v>51</v>
      </c>
      <c r="F177" s="2" t="s">
        <v>52</v>
      </c>
      <c r="G177" s="2" t="s">
        <v>39</v>
      </c>
      <c r="H177" s="2" t="s">
        <v>22</v>
      </c>
      <c r="I177" s="2" t="s">
        <v>40</v>
      </c>
      <c r="J177" s="2" t="s">
        <v>24</v>
      </c>
      <c r="K177">
        <v>27.96</v>
      </c>
      <c r="L177">
        <v>974.11</v>
      </c>
      <c r="M177">
        <v>3483.94</v>
      </c>
      <c r="N177" s="2" t="s">
        <v>53</v>
      </c>
      <c r="O177" s="2" t="s">
        <v>54</v>
      </c>
      <c r="P177" s="2" t="s">
        <v>605</v>
      </c>
      <c r="Q177" s="2" t="s">
        <v>606</v>
      </c>
      <c r="R177" s="2" t="s">
        <v>29</v>
      </c>
      <c r="S177" s="2" t="s">
        <v>30</v>
      </c>
    </row>
    <row r="178" spans="1:19">
      <c r="A178" s="1">
        <v>43862</v>
      </c>
      <c r="B178" s="1">
        <v>43862</v>
      </c>
      <c r="C178">
        <v>2020</v>
      </c>
      <c r="D178">
        <v>2</v>
      </c>
      <c r="E178" s="2" t="s">
        <v>57</v>
      </c>
      <c r="F178" s="2" t="s">
        <v>58</v>
      </c>
      <c r="G178" s="2" t="s">
        <v>39</v>
      </c>
      <c r="H178" s="2" t="s">
        <v>22</v>
      </c>
      <c r="I178" s="2" t="s">
        <v>40</v>
      </c>
      <c r="J178" s="2" t="s">
        <v>59</v>
      </c>
      <c r="K178">
        <v>6184.76</v>
      </c>
      <c r="L178">
        <v>283280.06</v>
      </c>
      <c r="M178">
        <v>4580.29</v>
      </c>
      <c r="N178" s="2" t="s">
        <v>60</v>
      </c>
      <c r="O178" s="2" t="s">
        <v>61</v>
      </c>
      <c r="P178" s="2" t="s">
        <v>607</v>
      </c>
      <c r="Q178" s="2" t="s">
        <v>608</v>
      </c>
      <c r="R178" s="2" t="s">
        <v>29</v>
      </c>
      <c r="S178" s="2" t="s">
        <v>30</v>
      </c>
    </row>
    <row r="179" spans="1:19">
      <c r="A179" s="1">
        <v>43862</v>
      </c>
      <c r="B179" s="1">
        <v>43862</v>
      </c>
      <c r="C179">
        <v>2020</v>
      </c>
      <c r="D179">
        <v>2</v>
      </c>
      <c r="E179" s="2" t="s">
        <v>64</v>
      </c>
      <c r="F179" s="2" t="s">
        <v>65</v>
      </c>
      <c r="G179" s="2" t="s">
        <v>21</v>
      </c>
      <c r="H179" s="2" t="s">
        <v>22</v>
      </c>
      <c r="I179" s="2" t="s">
        <v>66</v>
      </c>
      <c r="J179" s="2" t="s">
        <v>24</v>
      </c>
      <c r="K179">
        <v>9.67</v>
      </c>
      <c r="L179">
        <v>148.59</v>
      </c>
      <c r="M179">
        <v>1536.61</v>
      </c>
      <c r="N179" s="2" t="s">
        <v>67</v>
      </c>
      <c r="O179" s="2" t="s">
        <v>68</v>
      </c>
      <c r="P179" s="2" t="s">
        <v>609</v>
      </c>
      <c r="Q179" s="2" t="s">
        <v>610</v>
      </c>
      <c r="R179" s="2" t="s">
        <v>29</v>
      </c>
      <c r="S179" s="2" t="s">
        <v>30</v>
      </c>
    </row>
    <row r="180" spans="1:19">
      <c r="A180" s="1">
        <v>43862</v>
      </c>
      <c r="B180" s="1">
        <v>43862</v>
      </c>
      <c r="C180">
        <v>2020</v>
      </c>
      <c r="D180">
        <v>2</v>
      </c>
      <c r="E180" s="2" t="s">
        <v>71</v>
      </c>
      <c r="F180" s="2" t="s">
        <v>72</v>
      </c>
      <c r="G180" s="2" t="s">
        <v>21</v>
      </c>
      <c r="H180" s="2" t="s">
        <v>22</v>
      </c>
      <c r="I180" s="2" t="s">
        <v>73</v>
      </c>
      <c r="J180" s="2" t="s">
        <v>59</v>
      </c>
      <c r="K180">
        <v>6128.68</v>
      </c>
      <c r="L180">
        <v>120707.85</v>
      </c>
      <c r="M180">
        <v>1969.56</v>
      </c>
      <c r="N180" s="2" t="s">
        <v>74</v>
      </c>
      <c r="O180" s="2" t="s">
        <v>75</v>
      </c>
      <c r="P180" s="2" t="s">
        <v>611</v>
      </c>
      <c r="Q180" s="2" t="s">
        <v>612</v>
      </c>
      <c r="R180" s="2" t="s">
        <v>29</v>
      </c>
      <c r="S180" s="2" t="s">
        <v>30</v>
      </c>
    </row>
    <row r="181" spans="1:19">
      <c r="A181" s="1">
        <v>43862</v>
      </c>
      <c r="B181" s="1">
        <v>43862</v>
      </c>
      <c r="C181">
        <v>2020</v>
      </c>
      <c r="D181">
        <v>2</v>
      </c>
      <c r="E181" s="2" t="s">
        <v>78</v>
      </c>
      <c r="F181" s="2" t="s">
        <v>79</v>
      </c>
      <c r="G181" s="2" t="s">
        <v>80</v>
      </c>
      <c r="H181" s="2" t="s">
        <v>81</v>
      </c>
      <c r="I181" s="2" t="s">
        <v>82</v>
      </c>
      <c r="J181" s="2" t="s">
        <v>24</v>
      </c>
      <c r="K181">
        <v>1.59</v>
      </c>
      <c r="L181">
        <v>3603514</v>
      </c>
      <c r="M181">
        <v>226636100.63</v>
      </c>
      <c r="N181" s="2" t="s">
        <v>83</v>
      </c>
      <c r="O181" s="2" t="s">
        <v>84</v>
      </c>
      <c r="P181" s="2" t="s">
        <v>613</v>
      </c>
      <c r="Q181" s="2" t="s">
        <v>614</v>
      </c>
      <c r="R181" s="2" t="s">
        <v>29</v>
      </c>
      <c r="S181" s="2" t="s">
        <v>30</v>
      </c>
    </row>
    <row r="182" spans="1:19">
      <c r="A182" s="1">
        <v>43862</v>
      </c>
      <c r="B182" s="1">
        <v>43862</v>
      </c>
      <c r="C182">
        <v>2020</v>
      </c>
      <c r="D182">
        <v>2</v>
      </c>
      <c r="E182" s="2" t="s">
        <v>87</v>
      </c>
      <c r="F182" s="2" t="s">
        <v>88</v>
      </c>
      <c r="G182" s="2" t="s">
        <v>80</v>
      </c>
      <c r="H182" s="2" t="s">
        <v>81</v>
      </c>
      <c r="I182" s="2" t="s">
        <v>82</v>
      </c>
      <c r="J182" s="2" t="s">
        <v>24</v>
      </c>
      <c r="K182">
        <v>0.82</v>
      </c>
      <c r="L182">
        <v>1209395</v>
      </c>
      <c r="M182">
        <v>147487195.12</v>
      </c>
      <c r="N182" s="2" t="s">
        <v>89</v>
      </c>
      <c r="O182" s="2" t="s">
        <v>90</v>
      </c>
      <c r="P182" s="2" t="s">
        <v>615</v>
      </c>
      <c r="Q182" s="2" t="s">
        <v>616</v>
      </c>
      <c r="R182" s="2" t="s">
        <v>29</v>
      </c>
      <c r="S182" s="2" t="s">
        <v>30</v>
      </c>
    </row>
    <row r="183" spans="1:19">
      <c r="A183" s="1">
        <v>43862</v>
      </c>
      <c r="B183" s="1">
        <v>43862</v>
      </c>
      <c r="C183">
        <v>2020</v>
      </c>
      <c r="D183">
        <v>2</v>
      </c>
      <c r="E183" s="2" t="s">
        <v>93</v>
      </c>
      <c r="F183" s="2" t="s">
        <v>94</v>
      </c>
      <c r="G183" s="2" t="s">
        <v>80</v>
      </c>
      <c r="H183" s="2" t="s">
        <v>81</v>
      </c>
      <c r="I183" s="2" t="s">
        <v>82</v>
      </c>
      <c r="J183" s="2" t="s">
        <v>24</v>
      </c>
      <c r="K183">
        <v>0.19</v>
      </c>
      <c r="L183">
        <v>2604693</v>
      </c>
      <c r="M183">
        <v>1370891052.6300001</v>
      </c>
      <c r="N183" s="2" t="s">
        <v>95</v>
      </c>
      <c r="O183" s="2" t="s">
        <v>96</v>
      </c>
      <c r="P183" s="2" t="s">
        <v>97</v>
      </c>
      <c r="Q183" s="2" t="s">
        <v>617</v>
      </c>
      <c r="R183" s="2" t="s">
        <v>29</v>
      </c>
      <c r="S183" s="2" t="s">
        <v>30</v>
      </c>
    </row>
    <row r="184" spans="1:19">
      <c r="A184" s="1">
        <v>43862</v>
      </c>
      <c r="B184" s="1">
        <v>43862</v>
      </c>
      <c r="C184">
        <v>2020</v>
      </c>
      <c r="D184">
        <v>2</v>
      </c>
      <c r="E184" s="2" t="s">
        <v>99</v>
      </c>
      <c r="F184" s="2" t="s">
        <v>100</v>
      </c>
      <c r="G184" s="2" t="s">
        <v>80</v>
      </c>
      <c r="H184" s="2" t="s">
        <v>81</v>
      </c>
      <c r="I184" s="2" t="s">
        <v>82</v>
      </c>
      <c r="J184" s="2" t="s">
        <v>101</v>
      </c>
      <c r="K184">
        <v>1.17</v>
      </c>
      <c r="L184">
        <v>6868007</v>
      </c>
      <c r="M184">
        <v>587009145.29999995</v>
      </c>
      <c r="N184" s="2" t="s">
        <v>102</v>
      </c>
      <c r="O184" s="2" t="s">
        <v>103</v>
      </c>
      <c r="P184" s="2" t="s">
        <v>618</v>
      </c>
      <c r="Q184" s="2" t="s">
        <v>619</v>
      </c>
      <c r="R184" s="2" t="s">
        <v>29</v>
      </c>
      <c r="S184" s="2" t="s">
        <v>30</v>
      </c>
    </row>
    <row r="185" spans="1:19">
      <c r="A185" s="1">
        <v>43862</v>
      </c>
      <c r="B185" s="1">
        <v>43862</v>
      </c>
      <c r="C185">
        <v>2020</v>
      </c>
      <c r="D185">
        <v>2</v>
      </c>
      <c r="E185" s="2" t="s">
        <v>106</v>
      </c>
      <c r="F185" s="2" t="s">
        <v>107</v>
      </c>
      <c r="G185" s="2" t="s">
        <v>80</v>
      </c>
      <c r="H185" s="2" t="s">
        <v>81</v>
      </c>
      <c r="I185" s="2" t="s">
        <v>82</v>
      </c>
      <c r="J185" s="2" t="s">
        <v>24</v>
      </c>
      <c r="K185">
        <v>0.16</v>
      </c>
      <c r="L185">
        <v>3053919</v>
      </c>
      <c r="M185">
        <v>1908699375</v>
      </c>
      <c r="N185" s="2" t="s">
        <v>108</v>
      </c>
      <c r="O185" s="2" t="s">
        <v>109</v>
      </c>
      <c r="P185" s="2" t="s">
        <v>620</v>
      </c>
      <c r="Q185" s="2" t="s">
        <v>621</v>
      </c>
      <c r="R185" s="2" t="s">
        <v>29</v>
      </c>
      <c r="S185" s="2" t="s">
        <v>30</v>
      </c>
    </row>
    <row r="186" spans="1:19">
      <c r="A186" s="1">
        <v>43862</v>
      </c>
      <c r="B186" s="1">
        <v>43862</v>
      </c>
      <c r="C186">
        <v>2020</v>
      </c>
      <c r="D186">
        <v>2</v>
      </c>
      <c r="E186" s="2" t="s">
        <v>111</v>
      </c>
      <c r="F186" s="2" t="s">
        <v>112</v>
      </c>
      <c r="G186" s="2" t="s">
        <v>80</v>
      </c>
      <c r="H186" s="2" t="s">
        <v>81</v>
      </c>
      <c r="I186" s="2" t="s">
        <v>82</v>
      </c>
      <c r="J186" s="2" t="s">
        <v>24</v>
      </c>
      <c r="K186">
        <v>0.04</v>
      </c>
      <c r="L186">
        <v>349590</v>
      </c>
      <c r="M186">
        <v>873975000</v>
      </c>
      <c r="N186" s="2" t="s">
        <v>113</v>
      </c>
      <c r="O186" s="2" t="s">
        <v>114</v>
      </c>
      <c r="P186" s="2" t="s">
        <v>115</v>
      </c>
      <c r="Q186" s="2" t="s">
        <v>622</v>
      </c>
      <c r="R186" s="2" t="s">
        <v>29</v>
      </c>
      <c r="S186" s="2" t="s">
        <v>30</v>
      </c>
    </row>
    <row r="187" spans="1:19">
      <c r="A187" s="1">
        <v>43862</v>
      </c>
      <c r="B187" s="1">
        <v>43862</v>
      </c>
      <c r="C187">
        <v>2020</v>
      </c>
      <c r="D187">
        <v>2</v>
      </c>
      <c r="E187" s="2" t="s">
        <v>117</v>
      </c>
      <c r="F187" s="2" t="s">
        <v>118</v>
      </c>
      <c r="G187" s="2" t="s">
        <v>80</v>
      </c>
      <c r="H187" s="2" t="s">
        <v>81</v>
      </c>
      <c r="I187" s="2" t="s">
        <v>82</v>
      </c>
      <c r="J187" s="2" t="s">
        <v>59</v>
      </c>
      <c r="K187">
        <v>2.8</v>
      </c>
      <c r="L187">
        <v>10821111</v>
      </c>
      <c r="M187">
        <v>386468250</v>
      </c>
      <c r="N187" s="2" t="s">
        <v>119</v>
      </c>
      <c r="O187" s="2" t="s">
        <v>120</v>
      </c>
      <c r="P187" s="2" t="s">
        <v>623</v>
      </c>
      <c r="Q187" s="2" t="s">
        <v>624</v>
      </c>
      <c r="R187" s="2" t="s">
        <v>29</v>
      </c>
      <c r="S187" s="2" t="s">
        <v>30</v>
      </c>
    </row>
    <row r="188" spans="1:19">
      <c r="A188" s="1">
        <v>43862</v>
      </c>
      <c r="B188" s="1">
        <v>43862</v>
      </c>
      <c r="C188">
        <v>2020</v>
      </c>
      <c r="D188">
        <v>2</v>
      </c>
      <c r="E188" s="2" t="s">
        <v>123</v>
      </c>
      <c r="F188" s="2" t="s">
        <v>124</v>
      </c>
      <c r="G188" s="2" t="s">
        <v>21</v>
      </c>
      <c r="H188" s="2" t="s">
        <v>22</v>
      </c>
      <c r="I188" s="2" t="s">
        <v>73</v>
      </c>
      <c r="J188" s="2" t="s">
        <v>24</v>
      </c>
      <c r="K188">
        <v>810.44</v>
      </c>
      <c r="L188">
        <v>28701</v>
      </c>
      <c r="M188">
        <v>3541.41</v>
      </c>
      <c r="N188" s="2" t="s">
        <v>125</v>
      </c>
      <c r="O188" s="2" t="s">
        <v>126</v>
      </c>
      <c r="P188" s="2" t="s">
        <v>625</v>
      </c>
      <c r="Q188" s="2" t="s">
        <v>626</v>
      </c>
      <c r="R188" s="2" t="s">
        <v>29</v>
      </c>
      <c r="S188" s="2" t="s">
        <v>30</v>
      </c>
    </row>
    <row r="189" spans="1:19">
      <c r="A189" s="1">
        <v>43862</v>
      </c>
      <c r="B189" s="1">
        <v>43862</v>
      </c>
      <c r="C189">
        <v>2020</v>
      </c>
      <c r="D189">
        <v>2</v>
      </c>
      <c r="E189" s="2" t="s">
        <v>129</v>
      </c>
      <c r="F189" s="2" t="s">
        <v>130</v>
      </c>
      <c r="G189" s="2" t="s">
        <v>21</v>
      </c>
      <c r="H189" s="2" t="s">
        <v>22</v>
      </c>
      <c r="I189" s="2" t="s">
        <v>73</v>
      </c>
      <c r="J189" s="2" t="s">
        <v>24</v>
      </c>
      <c r="K189">
        <v>1072.5</v>
      </c>
      <c r="L189">
        <v>33446</v>
      </c>
      <c r="M189">
        <v>3118.51</v>
      </c>
      <c r="N189" s="2" t="s">
        <v>131</v>
      </c>
      <c r="O189" s="2" t="s">
        <v>132</v>
      </c>
      <c r="P189" s="2" t="s">
        <v>627</v>
      </c>
      <c r="Q189" s="2" t="s">
        <v>628</v>
      </c>
      <c r="R189" s="2" t="s">
        <v>29</v>
      </c>
      <c r="S189" s="2" t="s">
        <v>30</v>
      </c>
    </row>
    <row r="190" spans="1:19">
      <c r="A190" s="1">
        <v>43862</v>
      </c>
      <c r="B190" s="1">
        <v>43862</v>
      </c>
      <c r="C190">
        <v>2020</v>
      </c>
      <c r="D190">
        <v>2</v>
      </c>
      <c r="E190" s="2" t="s">
        <v>135</v>
      </c>
      <c r="F190" s="2" t="s">
        <v>136</v>
      </c>
      <c r="G190" s="2" t="s">
        <v>21</v>
      </c>
      <c r="H190" s="2" t="s">
        <v>22</v>
      </c>
      <c r="I190" s="2" t="s">
        <v>73</v>
      </c>
      <c r="J190" s="2" t="s">
        <v>101</v>
      </c>
      <c r="K190">
        <v>1882.94</v>
      </c>
      <c r="L190">
        <v>62147</v>
      </c>
      <c r="M190">
        <v>3300.53</v>
      </c>
      <c r="N190" s="2" t="s">
        <v>137</v>
      </c>
      <c r="O190" s="2" t="s">
        <v>138</v>
      </c>
      <c r="P190" s="2" t="s">
        <v>629</v>
      </c>
      <c r="Q190" s="2" t="s">
        <v>630</v>
      </c>
      <c r="R190" s="2" t="s">
        <v>29</v>
      </c>
      <c r="S190" s="2" t="s">
        <v>30</v>
      </c>
    </row>
    <row r="191" spans="1:19">
      <c r="A191" s="1">
        <v>43862</v>
      </c>
      <c r="B191" s="1">
        <v>43862</v>
      </c>
      <c r="C191">
        <v>2020</v>
      </c>
      <c r="D191">
        <v>2</v>
      </c>
      <c r="E191" s="2" t="s">
        <v>141</v>
      </c>
      <c r="F191" s="2" t="s">
        <v>142</v>
      </c>
      <c r="G191" s="2" t="s">
        <v>21</v>
      </c>
      <c r="H191" s="2" t="s">
        <v>22</v>
      </c>
      <c r="I191" s="2" t="s">
        <v>73</v>
      </c>
      <c r="J191" s="2" t="s">
        <v>24</v>
      </c>
      <c r="K191">
        <v>1789.83</v>
      </c>
      <c r="L191">
        <v>22302.43</v>
      </c>
      <c r="M191">
        <v>1246.06</v>
      </c>
      <c r="N191" s="2" t="s">
        <v>143</v>
      </c>
      <c r="O191" s="2" t="s">
        <v>144</v>
      </c>
      <c r="P191" s="2" t="s">
        <v>631</v>
      </c>
      <c r="Q191" s="2" t="s">
        <v>632</v>
      </c>
      <c r="R191" s="2" t="s">
        <v>29</v>
      </c>
      <c r="S191" s="2" t="s">
        <v>30</v>
      </c>
    </row>
    <row r="192" spans="1:19">
      <c r="A192" s="1">
        <v>43862</v>
      </c>
      <c r="B192" s="1">
        <v>43862</v>
      </c>
      <c r="C192">
        <v>2020</v>
      </c>
      <c r="D192">
        <v>2</v>
      </c>
      <c r="E192" s="2" t="s">
        <v>147</v>
      </c>
      <c r="F192" s="2" t="s">
        <v>148</v>
      </c>
      <c r="G192" s="2" t="s">
        <v>21</v>
      </c>
      <c r="H192" s="2" t="s">
        <v>22</v>
      </c>
      <c r="I192" s="2" t="s">
        <v>73</v>
      </c>
      <c r="J192" s="2" t="s">
        <v>24</v>
      </c>
      <c r="K192">
        <v>2455.92</v>
      </c>
      <c r="L192">
        <v>36258.42</v>
      </c>
      <c r="M192">
        <v>1476.37</v>
      </c>
      <c r="N192" s="2" t="s">
        <v>149</v>
      </c>
      <c r="O192" s="2" t="s">
        <v>150</v>
      </c>
      <c r="P192" s="2" t="s">
        <v>633</v>
      </c>
      <c r="Q192" s="2" t="s">
        <v>634</v>
      </c>
      <c r="R192" s="2" t="s">
        <v>29</v>
      </c>
      <c r="S192" s="2" t="s">
        <v>30</v>
      </c>
    </row>
    <row r="193" spans="1:19">
      <c r="A193" s="1">
        <v>43862</v>
      </c>
      <c r="B193" s="1">
        <v>43862</v>
      </c>
      <c r="C193">
        <v>2020</v>
      </c>
      <c r="D193">
        <v>2</v>
      </c>
      <c r="E193" s="2" t="s">
        <v>153</v>
      </c>
      <c r="F193" s="2" t="s">
        <v>154</v>
      </c>
      <c r="G193" s="2" t="s">
        <v>21</v>
      </c>
      <c r="H193" s="2" t="s">
        <v>22</v>
      </c>
      <c r="I193" s="2" t="s">
        <v>73</v>
      </c>
      <c r="J193" s="2" t="s">
        <v>101</v>
      </c>
      <c r="K193">
        <v>4245.74</v>
      </c>
      <c r="L193">
        <v>58560.85</v>
      </c>
      <c r="M193">
        <v>1379.28</v>
      </c>
      <c r="N193" s="2" t="s">
        <v>155</v>
      </c>
      <c r="O193" s="2" t="s">
        <v>156</v>
      </c>
      <c r="P193" s="2" t="s">
        <v>635</v>
      </c>
      <c r="Q193" s="2" t="s">
        <v>636</v>
      </c>
      <c r="R193" s="2" t="s">
        <v>29</v>
      </c>
      <c r="S193" s="2" t="s">
        <v>30</v>
      </c>
    </row>
    <row r="194" spans="1:19">
      <c r="A194" s="1">
        <v>43862</v>
      </c>
      <c r="B194" s="1">
        <v>43862</v>
      </c>
      <c r="C194">
        <v>2020</v>
      </c>
      <c r="D194">
        <v>2</v>
      </c>
      <c r="E194" s="2" t="s">
        <v>159</v>
      </c>
      <c r="F194" s="2" t="s">
        <v>160</v>
      </c>
      <c r="G194" s="2" t="s">
        <v>21</v>
      </c>
      <c r="H194" s="2" t="s">
        <v>22</v>
      </c>
      <c r="I194" s="2" t="s">
        <v>66</v>
      </c>
      <c r="J194" s="2" t="s">
        <v>59</v>
      </c>
      <c r="K194">
        <v>577.38</v>
      </c>
      <c r="L194">
        <v>55214.55</v>
      </c>
      <c r="M194">
        <v>9562.9500000000007</v>
      </c>
      <c r="N194" s="2" t="s">
        <v>161</v>
      </c>
      <c r="O194" s="2" t="s">
        <v>162</v>
      </c>
      <c r="P194" s="2" t="s">
        <v>637</v>
      </c>
      <c r="Q194" s="2" t="s">
        <v>638</v>
      </c>
      <c r="R194" s="2" t="s">
        <v>29</v>
      </c>
      <c r="S194" s="2" t="s">
        <v>30</v>
      </c>
    </row>
    <row r="195" spans="1:19">
      <c r="A195" s="1">
        <v>43862</v>
      </c>
      <c r="B195" s="1">
        <v>43862</v>
      </c>
      <c r="C195">
        <v>2020</v>
      </c>
      <c r="D195">
        <v>2</v>
      </c>
      <c r="E195" s="2" t="s">
        <v>165</v>
      </c>
      <c r="F195" s="2" t="s">
        <v>166</v>
      </c>
      <c r="G195" s="2" t="s">
        <v>21</v>
      </c>
      <c r="H195" s="2" t="s">
        <v>22</v>
      </c>
      <c r="I195" s="2" t="s">
        <v>23</v>
      </c>
      <c r="J195" s="2" t="s">
        <v>24</v>
      </c>
      <c r="K195">
        <v>0</v>
      </c>
      <c r="L195">
        <v>0</v>
      </c>
      <c r="N195" s="2" t="s">
        <v>167</v>
      </c>
      <c r="O195" s="2" t="s">
        <v>168</v>
      </c>
      <c r="P195" s="2" t="s">
        <v>639</v>
      </c>
      <c r="Q195" s="2" t="s">
        <v>639</v>
      </c>
      <c r="R195" s="2" t="s">
        <v>29</v>
      </c>
      <c r="S195" s="2" t="s">
        <v>30</v>
      </c>
    </row>
    <row r="196" spans="1:19">
      <c r="A196" s="1">
        <v>43862</v>
      </c>
      <c r="B196" s="1">
        <v>43862</v>
      </c>
      <c r="C196">
        <v>2020</v>
      </c>
      <c r="D196">
        <v>2</v>
      </c>
      <c r="E196" s="2" t="s">
        <v>171</v>
      </c>
      <c r="F196" s="2" t="s">
        <v>172</v>
      </c>
      <c r="G196" s="2" t="s">
        <v>21</v>
      </c>
      <c r="H196" s="2" t="s">
        <v>22</v>
      </c>
      <c r="I196" s="2" t="s">
        <v>66</v>
      </c>
      <c r="J196" s="2" t="s">
        <v>24</v>
      </c>
      <c r="N196" s="2" t="s">
        <v>173</v>
      </c>
      <c r="O196" s="2" t="s">
        <v>174</v>
      </c>
      <c r="P196" s="2" t="s">
        <v>175</v>
      </c>
      <c r="Q196" s="2" t="s">
        <v>175</v>
      </c>
      <c r="R196" s="2" t="s">
        <v>640</v>
      </c>
      <c r="S196" s="2" t="s">
        <v>641</v>
      </c>
    </row>
    <row r="197" spans="1:19">
      <c r="A197" s="1">
        <v>43862</v>
      </c>
      <c r="B197" s="1">
        <v>43862</v>
      </c>
      <c r="C197">
        <v>2020</v>
      </c>
      <c r="D197">
        <v>2</v>
      </c>
      <c r="E197" s="2" t="s">
        <v>177</v>
      </c>
      <c r="F197" s="2" t="s">
        <v>178</v>
      </c>
      <c r="G197" s="2" t="s">
        <v>21</v>
      </c>
      <c r="H197" s="2" t="s">
        <v>22</v>
      </c>
      <c r="I197" s="2" t="s">
        <v>23</v>
      </c>
      <c r="J197" s="2" t="s">
        <v>24</v>
      </c>
      <c r="K197">
        <v>2477.98</v>
      </c>
      <c r="L197">
        <v>214565.66</v>
      </c>
      <c r="M197">
        <v>8658.89</v>
      </c>
      <c r="N197" s="2" t="s">
        <v>179</v>
      </c>
      <c r="O197" s="2" t="s">
        <v>180</v>
      </c>
      <c r="P197" s="2" t="s">
        <v>642</v>
      </c>
      <c r="Q197" s="2" t="s">
        <v>643</v>
      </c>
      <c r="R197" s="2" t="s">
        <v>29</v>
      </c>
      <c r="S197" s="2" t="s">
        <v>30</v>
      </c>
    </row>
    <row r="198" spans="1:19">
      <c r="A198" s="1">
        <v>43862</v>
      </c>
      <c r="B198" s="1">
        <v>43862</v>
      </c>
      <c r="C198">
        <v>2020</v>
      </c>
      <c r="D198">
        <v>2</v>
      </c>
      <c r="E198" s="2" t="s">
        <v>183</v>
      </c>
      <c r="F198" s="2" t="s">
        <v>184</v>
      </c>
      <c r="G198" s="2" t="s">
        <v>185</v>
      </c>
      <c r="H198" s="2" t="s">
        <v>22</v>
      </c>
      <c r="I198" s="2" t="s">
        <v>186</v>
      </c>
      <c r="J198" s="2" t="s">
        <v>24</v>
      </c>
      <c r="K198">
        <v>2402.09</v>
      </c>
      <c r="L198">
        <v>1916703.94</v>
      </c>
      <c r="M198">
        <v>79793.179999999993</v>
      </c>
      <c r="N198" s="2" t="s">
        <v>187</v>
      </c>
      <c r="O198" s="2" t="s">
        <v>188</v>
      </c>
      <c r="P198" s="2" t="s">
        <v>644</v>
      </c>
      <c r="Q198" s="2" t="s">
        <v>645</v>
      </c>
      <c r="R198" s="2" t="s">
        <v>29</v>
      </c>
      <c r="S198" s="2" t="s">
        <v>30</v>
      </c>
    </row>
    <row r="199" spans="1:19">
      <c r="A199" s="1">
        <v>43862</v>
      </c>
      <c r="B199" s="1">
        <v>43862</v>
      </c>
      <c r="C199">
        <v>2020</v>
      </c>
      <c r="D199">
        <v>2</v>
      </c>
      <c r="E199" s="2" t="s">
        <v>191</v>
      </c>
      <c r="F199" s="2" t="s">
        <v>192</v>
      </c>
      <c r="G199" s="2" t="s">
        <v>185</v>
      </c>
      <c r="H199" s="2" t="s">
        <v>22</v>
      </c>
      <c r="I199" s="2" t="s">
        <v>186</v>
      </c>
      <c r="J199" s="2" t="s">
        <v>24</v>
      </c>
      <c r="K199">
        <v>726.37</v>
      </c>
      <c r="L199">
        <v>2938100.3</v>
      </c>
      <c r="M199">
        <v>404490.87</v>
      </c>
      <c r="N199" s="2" t="s">
        <v>193</v>
      </c>
      <c r="O199" s="2" t="s">
        <v>194</v>
      </c>
      <c r="P199" s="2" t="s">
        <v>646</v>
      </c>
      <c r="Q199" s="2" t="s">
        <v>647</v>
      </c>
      <c r="R199" s="2" t="s">
        <v>29</v>
      </c>
      <c r="S199" s="2" t="s">
        <v>30</v>
      </c>
    </row>
    <row r="200" spans="1:19">
      <c r="A200" s="1">
        <v>43862</v>
      </c>
      <c r="B200" s="1">
        <v>43862</v>
      </c>
      <c r="C200">
        <v>2020</v>
      </c>
      <c r="D200">
        <v>2</v>
      </c>
      <c r="E200" s="2" t="s">
        <v>197</v>
      </c>
      <c r="F200" s="2" t="s">
        <v>198</v>
      </c>
      <c r="G200" s="2" t="s">
        <v>185</v>
      </c>
      <c r="H200" s="2" t="s">
        <v>22</v>
      </c>
      <c r="I200" s="2" t="s">
        <v>186</v>
      </c>
      <c r="J200" s="2" t="s">
        <v>59</v>
      </c>
      <c r="K200">
        <v>3128.46</v>
      </c>
      <c r="L200">
        <v>4854804.25</v>
      </c>
      <c r="M200">
        <v>155181.92000000001</v>
      </c>
      <c r="N200" s="2" t="s">
        <v>199</v>
      </c>
      <c r="O200" s="2" t="s">
        <v>200</v>
      </c>
      <c r="P200" s="2" t="s">
        <v>648</v>
      </c>
      <c r="Q200" s="2" t="s">
        <v>649</v>
      </c>
      <c r="R200" s="2" t="s">
        <v>29</v>
      </c>
      <c r="S200" s="2" t="s">
        <v>30</v>
      </c>
    </row>
    <row r="201" spans="1:19">
      <c r="A201" s="1">
        <v>43862</v>
      </c>
      <c r="B201" s="1">
        <v>43862</v>
      </c>
      <c r="C201">
        <v>2020</v>
      </c>
      <c r="D201">
        <v>2</v>
      </c>
      <c r="E201" s="2" t="s">
        <v>203</v>
      </c>
      <c r="F201" s="2" t="s">
        <v>204</v>
      </c>
      <c r="G201" s="2" t="s">
        <v>39</v>
      </c>
      <c r="H201" s="2" t="s">
        <v>22</v>
      </c>
      <c r="I201" s="2" t="s">
        <v>40</v>
      </c>
      <c r="J201" s="2" t="s">
        <v>24</v>
      </c>
      <c r="K201">
        <v>386.44</v>
      </c>
      <c r="L201">
        <v>11200.9</v>
      </c>
      <c r="M201">
        <v>2898.48</v>
      </c>
      <c r="N201" s="2" t="s">
        <v>205</v>
      </c>
      <c r="O201" s="2" t="s">
        <v>206</v>
      </c>
      <c r="P201" s="2" t="s">
        <v>650</v>
      </c>
      <c r="Q201" s="2" t="s">
        <v>651</v>
      </c>
      <c r="R201" s="2" t="s">
        <v>29</v>
      </c>
      <c r="S201" s="2" t="s">
        <v>30</v>
      </c>
    </row>
    <row r="202" spans="1:19">
      <c r="A202" s="1">
        <v>43862</v>
      </c>
      <c r="B202" s="1">
        <v>43862</v>
      </c>
      <c r="C202">
        <v>2020</v>
      </c>
      <c r="D202">
        <v>2</v>
      </c>
      <c r="E202" s="2" t="s">
        <v>209</v>
      </c>
      <c r="F202" s="2" t="s">
        <v>210</v>
      </c>
      <c r="G202" s="2" t="s">
        <v>39</v>
      </c>
      <c r="H202" s="2" t="s">
        <v>22</v>
      </c>
      <c r="I202" s="2" t="s">
        <v>40</v>
      </c>
      <c r="J202" s="2" t="s">
        <v>59</v>
      </c>
      <c r="K202">
        <v>386.44</v>
      </c>
      <c r="L202">
        <v>11200.9</v>
      </c>
      <c r="M202">
        <v>2898.48</v>
      </c>
      <c r="N202" s="2" t="s">
        <v>211</v>
      </c>
      <c r="O202" s="2" t="s">
        <v>212</v>
      </c>
      <c r="P202" s="2" t="s">
        <v>650</v>
      </c>
      <c r="Q202" s="2" t="s">
        <v>651</v>
      </c>
      <c r="R202" s="2" t="s">
        <v>29</v>
      </c>
      <c r="S202" s="2" t="s">
        <v>30</v>
      </c>
    </row>
    <row r="203" spans="1:19">
      <c r="A203" s="1">
        <v>43862</v>
      </c>
      <c r="B203" s="1">
        <v>43862</v>
      </c>
      <c r="C203">
        <v>2020</v>
      </c>
      <c r="D203">
        <v>2</v>
      </c>
      <c r="E203" s="2" t="s">
        <v>213</v>
      </c>
      <c r="F203" s="2" t="s">
        <v>214</v>
      </c>
      <c r="G203" s="2" t="s">
        <v>185</v>
      </c>
      <c r="H203" s="2" t="s">
        <v>22</v>
      </c>
      <c r="I203" s="2" t="s">
        <v>215</v>
      </c>
      <c r="J203" s="2" t="s">
        <v>24</v>
      </c>
      <c r="K203">
        <v>12979.75</v>
      </c>
      <c r="L203">
        <v>417512.72</v>
      </c>
      <c r="M203">
        <v>3216.65</v>
      </c>
      <c r="N203" s="2" t="s">
        <v>216</v>
      </c>
      <c r="O203" s="2" t="s">
        <v>217</v>
      </c>
      <c r="P203" s="2" t="s">
        <v>652</v>
      </c>
      <c r="Q203" s="2" t="s">
        <v>653</v>
      </c>
      <c r="R203" s="2" t="s">
        <v>29</v>
      </c>
      <c r="S203" s="2" t="s">
        <v>30</v>
      </c>
    </row>
    <row r="204" spans="1:19">
      <c r="A204" s="1">
        <v>43862</v>
      </c>
      <c r="B204" s="1">
        <v>43862</v>
      </c>
      <c r="C204">
        <v>2020</v>
      </c>
      <c r="D204">
        <v>2</v>
      </c>
      <c r="E204" s="2" t="s">
        <v>220</v>
      </c>
      <c r="F204" s="2" t="s">
        <v>221</v>
      </c>
      <c r="G204" s="2" t="s">
        <v>185</v>
      </c>
      <c r="H204" s="2" t="s">
        <v>22</v>
      </c>
      <c r="I204" s="2" t="s">
        <v>215</v>
      </c>
      <c r="J204" s="2" t="s">
        <v>24</v>
      </c>
      <c r="K204">
        <v>1304.52</v>
      </c>
      <c r="L204">
        <v>108332.45</v>
      </c>
      <c r="M204">
        <v>8304.39</v>
      </c>
      <c r="N204" s="2" t="s">
        <v>222</v>
      </c>
      <c r="O204" s="2" t="s">
        <v>223</v>
      </c>
      <c r="P204" s="2" t="s">
        <v>654</v>
      </c>
      <c r="Q204" s="2" t="s">
        <v>655</v>
      </c>
      <c r="R204" s="2" t="s">
        <v>29</v>
      </c>
      <c r="S204" s="2" t="s">
        <v>30</v>
      </c>
    </row>
    <row r="205" spans="1:19">
      <c r="A205" s="1">
        <v>43862</v>
      </c>
      <c r="B205" s="1">
        <v>43862</v>
      </c>
      <c r="C205">
        <v>2020</v>
      </c>
      <c r="D205">
        <v>2</v>
      </c>
      <c r="E205" s="2" t="s">
        <v>226</v>
      </c>
      <c r="F205" s="2" t="s">
        <v>227</v>
      </c>
      <c r="G205" s="2" t="s">
        <v>185</v>
      </c>
      <c r="H205" s="2" t="s">
        <v>22</v>
      </c>
      <c r="I205" s="2" t="s">
        <v>215</v>
      </c>
      <c r="J205" s="2" t="s">
        <v>59</v>
      </c>
      <c r="K205">
        <v>14284.28</v>
      </c>
      <c r="L205">
        <v>525845.17000000004</v>
      </c>
      <c r="M205">
        <v>3681.29</v>
      </c>
      <c r="N205" s="2" t="s">
        <v>228</v>
      </c>
      <c r="O205" s="2" t="s">
        <v>229</v>
      </c>
      <c r="P205" s="2" t="s">
        <v>656</v>
      </c>
      <c r="Q205" s="2" t="s">
        <v>657</v>
      </c>
      <c r="R205" s="2" t="s">
        <v>29</v>
      </c>
      <c r="S205" s="2" t="s">
        <v>30</v>
      </c>
    </row>
    <row r="206" spans="1:19">
      <c r="A206" s="1">
        <v>43862</v>
      </c>
      <c r="B206" s="1">
        <v>43862</v>
      </c>
      <c r="C206">
        <v>2020</v>
      </c>
      <c r="D206">
        <v>2</v>
      </c>
      <c r="E206" s="2" t="s">
        <v>232</v>
      </c>
      <c r="F206" s="2" t="s">
        <v>233</v>
      </c>
      <c r="G206" s="2" t="s">
        <v>21</v>
      </c>
      <c r="H206" s="2" t="s">
        <v>22</v>
      </c>
      <c r="I206" s="2" t="s">
        <v>23</v>
      </c>
      <c r="J206" s="2" t="s">
        <v>24</v>
      </c>
      <c r="K206">
        <v>753.52</v>
      </c>
      <c r="L206">
        <v>78709.88</v>
      </c>
      <c r="M206">
        <v>10445.629999999999</v>
      </c>
      <c r="N206" s="2" t="s">
        <v>234</v>
      </c>
      <c r="O206" s="2" t="s">
        <v>235</v>
      </c>
      <c r="P206" s="2" t="s">
        <v>658</v>
      </c>
      <c r="Q206" s="2" t="s">
        <v>659</v>
      </c>
      <c r="R206" s="2" t="s">
        <v>29</v>
      </c>
      <c r="S206" s="2" t="s">
        <v>30</v>
      </c>
    </row>
    <row r="207" spans="1:19">
      <c r="A207" s="1">
        <v>43862</v>
      </c>
      <c r="B207" s="1">
        <v>43862</v>
      </c>
      <c r="C207">
        <v>2020</v>
      </c>
      <c r="D207">
        <v>2</v>
      </c>
      <c r="E207" s="2" t="s">
        <v>238</v>
      </c>
      <c r="F207" s="2" t="s">
        <v>239</v>
      </c>
      <c r="G207" s="2" t="s">
        <v>21</v>
      </c>
      <c r="H207" s="2" t="s">
        <v>22</v>
      </c>
      <c r="I207" s="2" t="s">
        <v>66</v>
      </c>
      <c r="J207" s="2" t="s">
        <v>24</v>
      </c>
      <c r="K207">
        <v>540.99</v>
      </c>
      <c r="L207">
        <v>55012.95</v>
      </c>
      <c r="M207">
        <v>10168.94</v>
      </c>
      <c r="N207" s="2" t="s">
        <v>240</v>
      </c>
      <c r="O207" s="2" t="s">
        <v>241</v>
      </c>
      <c r="P207" s="2" t="s">
        <v>660</v>
      </c>
      <c r="Q207" s="2" t="s">
        <v>661</v>
      </c>
      <c r="R207" s="2" t="s">
        <v>29</v>
      </c>
      <c r="S207" s="2" t="s">
        <v>30</v>
      </c>
    </row>
    <row r="208" spans="1:19">
      <c r="A208" s="1">
        <v>43862</v>
      </c>
      <c r="B208" s="1">
        <v>43862</v>
      </c>
      <c r="C208">
        <v>2020</v>
      </c>
      <c r="D208">
        <v>2</v>
      </c>
      <c r="E208" s="2" t="s">
        <v>244</v>
      </c>
      <c r="F208" s="2" t="s">
        <v>245</v>
      </c>
      <c r="G208" s="2" t="s">
        <v>21</v>
      </c>
      <c r="H208" s="2" t="s">
        <v>22</v>
      </c>
      <c r="I208" s="2" t="s">
        <v>23</v>
      </c>
      <c r="J208" s="2" t="s">
        <v>24</v>
      </c>
      <c r="K208">
        <v>2483.5700000000002</v>
      </c>
      <c r="L208">
        <v>1870493.56</v>
      </c>
      <c r="M208">
        <v>75314.710000000006</v>
      </c>
      <c r="N208" s="2" t="s">
        <v>246</v>
      </c>
      <c r="O208" s="2" t="s">
        <v>247</v>
      </c>
      <c r="P208" s="2" t="s">
        <v>662</v>
      </c>
      <c r="Q208" s="2" t="s">
        <v>663</v>
      </c>
      <c r="R208" s="2" t="s">
        <v>29</v>
      </c>
      <c r="S208" s="2" t="s">
        <v>30</v>
      </c>
    </row>
    <row r="209" spans="1:19">
      <c r="A209" s="1">
        <v>43862</v>
      </c>
      <c r="B209" s="1">
        <v>43862</v>
      </c>
      <c r="C209">
        <v>2020</v>
      </c>
      <c r="D209">
        <v>2</v>
      </c>
      <c r="E209" s="2" t="s">
        <v>250</v>
      </c>
      <c r="F209" s="2" t="s">
        <v>251</v>
      </c>
      <c r="G209" s="2" t="s">
        <v>21</v>
      </c>
      <c r="H209" s="2" t="s">
        <v>22</v>
      </c>
      <c r="I209" s="2" t="s">
        <v>66</v>
      </c>
      <c r="J209" s="2" t="s">
        <v>24</v>
      </c>
      <c r="K209">
        <v>26.72</v>
      </c>
      <c r="L209">
        <v>53</v>
      </c>
      <c r="M209">
        <v>198.35</v>
      </c>
      <c r="N209" s="2" t="s">
        <v>252</v>
      </c>
      <c r="O209" s="2" t="s">
        <v>253</v>
      </c>
      <c r="P209" s="2" t="s">
        <v>664</v>
      </c>
      <c r="Q209" s="2" t="s">
        <v>665</v>
      </c>
      <c r="R209" s="2" t="s">
        <v>29</v>
      </c>
      <c r="S209" s="2" t="s">
        <v>30</v>
      </c>
    </row>
    <row r="210" spans="1:19">
      <c r="A210" s="1">
        <v>43862</v>
      </c>
      <c r="B210" s="1">
        <v>43862</v>
      </c>
      <c r="C210">
        <v>2020</v>
      </c>
      <c r="D210">
        <v>2</v>
      </c>
      <c r="E210" s="2" t="s">
        <v>256</v>
      </c>
      <c r="F210" s="2" t="s">
        <v>257</v>
      </c>
      <c r="G210" s="2" t="s">
        <v>21</v>
      </c>
      <c r="H210" s="2" t="s">
        <v>22</v>
      </c>
      <c r="I210" s="2" t="s">
        <v>258</v>
      </c>
      <c r="J210" s="2" t="s">
        <v>24</v>
      </c>
      <c r="K210">
        <v>884.58</v>
      </c>
      <c r="L210">
        <v>659157.31000000006</v>
      </c>
      <c r="M210">
        <v>74516.42</v>
      </c>
      <c r="N210" s="2" t="s">
        <v>259</v>
      </c>
      <c r="O210" s="2" t="s">
        <v>260</v>
      </c>
      <c r="P210" s="2" t="s">
        <v>666</v>
      </c>
      <c r="Q210" s="2" t="s">
        <v>667</v>
      </c>
      <c r="R210" s="2" t="s">
        <v>29</v>
      </c>
      <c r="S210" s="2" t="s">
        <v>30</v>
      </c>
    </row>
    <row r="211" spans="1:19">
      <c r="A211" s="1">
        <v>43862</v>
      </c>
      <c r="B211" s="1">
        <v>43862</v>
      </c>
      <c r="C211">
        <v>2020</v>
      </c>
      <c r="D211">
        <v>2</v>
      </c>
      <c r="E211" s="2" t="s">
        <v>263</v>
      </c>
      <c r="F211" s="2" t="s">
        <v>264</v>
      </c>
      <c r="G211" s="2" t="s">
        <v>21</v>
      </c>
      <c r="H211" s="2" t="s">
        <v>22</v>
      </c>
      <c r="I211" s="2" t="s">
        <v>258</v>
      </c>
      <c r="J211" s="2" t="s">
        <v>24</v>
      </c>
      <c r="K211">
        <v>0.37</v>
      </c>
      <c r="L211">
        <v>301.01</v>
      </c>
      <c r="M211">
        <v>81354.05</v>
      </c>
      <c r="N211" s="2" t="s">
        <v>265</v>
      </c>
      <c r="O211" s="2" t="s">
        <v>266</v>
      </c>
      <c r="P211" s="2" t="s">
        <v>668</v>
      </c>
      <c r="Q211" s="2" t="s">
        <v>669</v>
      </c>
      <c r="R211" s="2" t="s">
        <v>29</v>
      </c>
      <c r="S211" s="2" t="s">
        <v>30</v>
      </c>
    </row>
    <row r="212" spans="1:19">
      <c r="A212" s="1">
        <v>43862</v>
      </c>
      <c r="B212" s="1">
        <v>43862</v>
      </c>
      <c r="C212">
        <v>2020</v>
      </c>
      <c r="D212">
        <v>2</v>
      </c>
      <c r="E212" s="2" t="s">
        <v>269</v>
      </c>
      <c r="F212" s="2" t="s">
        <v>270</v>
      </c>
      <c r="G212" s="2" t="s">
        <v>21</v>
      </c>
      <c r="H212" s="2" t="s">
        <v>22</v>
      </c>
      <c r="I212" s="2" t="s">
        <v>258</v>
      </c>
      <c r="J212" s="2" t="s">
        <v>59</v>
      </c>
      <c r="K212">
        <v>884.95</v>
      </c>
      <c r="L212">
        <v>659458.31999999995</v>
      </c>
      <c r="M212">
        <v>74519.27</v>
      </c>
      <c r="N212" s="2" t="s">
        <v>271</v>
      </c>
      <c r="O212" s="2" t="s">
        <v>272</v>
      </c>
      <c r="P212" s="2" t="s">
        <v>670</v>
      </c>
      <c r="Q212" s="2" t="s">
        <v>671</v>
      </c>
      <c r="R212" s="2" t="s">
        <v>29</v>
      </c>
      <c r="S212" s="2" t="s">
        <v>30</v>
      </c>
    </row>
    <row r="213" spans="1:19">
      <c r="A213" s="1">
        <v>43862</v>
      </c>
      <c r="B213" s="1">
        <v>43862</v>
      </c>
      <c r="C213">
        <v>2020</v>
      </c>
      <c r="D213">
        <v>2</v>
      </c>
      <c r="E213" s="2" t="s">
        <v>275</v>
      </c>
      <c r="F213" s="2" t="s">
        <v>276</v>
      </c>
      <c r="G213" s="2" t="s">
        <v>39</v>
      </c>
      <c r="H213" s="2" t="s">
        <v>22</v>
      </c>
      <c r="I213" s="2" t="s">
        <v>40</v>
      </c>
      <c r="J213" s="2" t="s">
        <v>24</v>
      </c>
      <c r="K213">
        <v>59.42</v>
      </c>
      <c r="L213">
        <v>131.65</v>
      </c>
      <c r="M213">
        <v>221.56</v>
      </c>
      <c r="N213" s="2" t="s">
        <v>277</v>
      </c>
      <c r="O213" s="2" t="s">
        <v>278</v>
      </c>
      <c r="P213" s="2" t="s">
        <v>672</v>
      </c>
      <c r="Q213" s="2" t="s">
        <v>673</v>
      </c>
      <c r="R213" s="2" t="s">
        <v>29</v>
      </c>
      <c r="S213" s="2" t="s">
        <v>30</v>
      </c>
    </row>
    <row r="214" spans="1:19">
      <c r="A214" s="1">
        <v>43862</v>
      </c>
      <c r="B214" s="1">
        <v>43862</v>
      </c>
      <c r="C214">
        <v>2020</v>
      </c>
      <c r="D214">
        <v>2</v>
      </c>
      <c r="E214" s="2" t="s">
        <v>281</v>
      </c>
      <c r="F214" s="2" t="s">
        <v>282</v>
      </c>
      <c r="G214" s="2" t="s">
        <v>39</v>
      </c>
      <c r="H214" s="2" t="s">
        <v>22</v>
      </c>
      <c r="I214" s="2" t="s">
        <v>40</v>
      </c>
      <c r="J214" s="2" t="s">
        <v>24</v>
      </c>
      <c r="K214">
        <v>6.55</v>
      </c>
      <c r="L214">
        <v>63.03</v>
      </c>
      <c r="M214">
        <v>962.29</v>
      </c>
      <c r="N214" s="2" t="s">
        <v>283</v>
      </c>
      <c r="O214" s="2" t="s">
        <v>284</v>
      </c>
      <c r="P214" s="2" t="s">
        <v>674</v>
      </c>
      <c r="Q214" s="2" t="s">
        <v>675</v>
      </c>
      <c r="R214" s="2" t="s">
        <v>29</v>
      </c>
      <c r="S214" s="2" t="s">
        <v>30</v>
      </c>
    </row>
    <row r="215" spans="1:19">
      <c r="A215" s="1">
        <v>43862</v>
      </c>
      <c r="B215" s="1">
        <v>43862</v>
      </c>
      <c r="C215">
        <v>2020</v>
      </c>
      <c r="D215">
        <v>2</v>
      </c>
      <c r="E215" s="2" t="s">
        <v>287</v>
      </c>
      <c r="F215" s="2" t="s">
        <v>288</v>
      </c>
      <c r="G215" s="2" t="s">
        <v>39</v>
      </c>
      <c r="H215" s="2" t="s">
        <v>22</v>
      </c>
      <c r="I215" s="2" t="s">
        <v>40</v>
      </c>
      <c r="J215" s="2" t="s">
        <v>59</v>
      </c>
      <c r="K215">
        <v>65.97</v>
      </c>
      <c r="L215">
        <v>194.69</v>
      </c>
      <c r="M215">
        <v>295.12</v>
      </c>
      <c r="N215" s="2" t="s">
        <v>289</v>
      </c>
      <c r="O215" s="2" t="s">
        <v>290</v>
      </c>
      <c r="P215" s="2" t="s">
        <v>676</v>
      </c>
      <c r="Q215" s="2" t="s">
        <v>677</v>
      </c>
      <c r="R215" s="2" t="s">
        <v>29</v>
      </c>
      <c r="S215" s="2" t="s">
        <v>30</v>
      </c>
    </row>
    <row r="216" spans="1:19">
      <c r="A216" s="1">
        <v>43862</v>
      </c>
      <c r="B216" s="1">
        <v>43862</v>
      </c>
      <c r="C216">
        <v>2020</v>
      </c>
      <c r="D216">
        <v>2</v>
      </c>
      <c r="E216" s="2" t="s">
        <v>293</v>
      </c>
      <c r="F216" s="2" t="s">
        <v>294</v>
      </c>
      <c r="G216" s="2" t="s">
        <v>21</v>
      </c>
      <c r="H216" s="2" t="s">
        <v>22</v>
      </c>
      <c r="I216" s="2" t="s">
        <v>295</v>
      </c>
      <c r="J216" s="2" t="s">
        <v>24</v>
      </c>
      <c r="K216">
        <v>1787.05</v>
      </c>
      <c r="L216">
        <v>1937.8</v>
      </c>
      <c r="M216">
        <v>108.44</v>
      </c>
      <c r="N216" s="2" t="s">
        <v>296</v>
      </c>
      <c r="O216" s="2" t="s">
        <v>297</v>
      </c>
      <c r="P216" s="2" t="s">
        <v>678</v>
      </c>
      <c r="Q216" s="2" t="s">
        <v>679</v>
      </c>
      <c r="R216" s="2" t="s">
        <v>29</v>
      </c>
      <c r="S216" s="2" t="s">
        <v>30</v>
      </c>
    </row>
    <row r="217" spans="1:19">
      <c r="A217" s="1">
        <v>43862</v>
      </c>
      <c r="B217" s="1">
        <v>43862</v>
      </c>
      <c r="C217">
        <v>2020</v>
      </c>
      <c r="D217">
        <v>2</v>
      </c>
      <c r="E217" s="2" t="s">
        <v>300</v>
      </c>
      <c r="F217" s="2" t="s">
        <v>301</v>
      </c>
      <c r="G217" s="2" t="s">
        <v>21</v>
      </c>
      <c r="H217" s="2" t="s">
        <v>22</v>
      </c>
      <c r="I217" s="2" t="s">
        <v>295</v>
      </c>
      <c r="J217" s="2" t="s">
        <v>24</v>
      </c>
      <c r="K217">
        <v>115.3</v>
      </c>
      <c r="L217">
        <v>1116.3</v>
      </c>
      <c r="M217">
        <v>968.17</v>
      </c>
      <c r="N217" s="2" t="s">
        <v>302</v>
      </c>
      <c r="O217" s="2" t="s">
        <v>303</v>
      </c>
      <c r="P217" s="2" t="s">
        <v>680</v>
      </c>
      <c r="Q217" s="2" t="s">
        <v>681</v>
      </c>
      <c r="R217" s="2" t="s">
        <v>29</v>
      </c>
      <c r="S217" s="2" t="s">
        <v>30</v>
      </c>
    </row>
    <row r="218" spans="1:19">
      <c r="A218" s="1">
        <v>43862</v>
      </c>
      <c r="B218" s="1">
        <v>43862</v>
      </c>
      <c r="C218">
        <v>2020</v>
      </c>
      <c r="D218">
        <v>2</v>
      </c>
      <c r="E218" s="2" t="s">
        <v>306</v>
      </c>
      <c r="F218" s="2" t="s">
        <v>307</v>
      </c>
      <c r="G218" s="2" t="s">
        <v>21</v>
      </c>
      <c r="H218" s="2" t="s">
        <v>22</v>
      </c>
      <c r="I218" s="2" t="s">
        <v>295</v>
      </c>
      <c r="J218" s="2" t="s">
        <v>101</v>
      </c>
      <c r="K218">
        <v>1902.35</v>
      </c>
      <c r="L218">
        <v>3054.1</v>
      </c>
      <c r="M218">
        <v>160.54</v>
      </c>
      <c r="N218" s="2" t="s">
        <v>308</v>
      </c>
      <c r="O218" s="2" t="s">
        <v>309</v>
      </c>
      <c r="P218" s="2" t="s">
        <v>682</v>
      </c>
      <c r="Q218" s="2" t="s">
        <v>683</v>
      </c>
      <c r="R218" s="2" t="s">
        <v>29</v>
      </c>
      <c r="S218" s="2" t="s">
        <v>30</v>
      </c>
    </row>
    <row r="219" spans="1:19">
      <c r="A219" s="1">
        <v>43862</v>
      </c>
      <c r="B219" s="1">
        <v>43862</v>
      </c>
      <c r="C219">
        <v>2020</v>
      </c>
      <c r="D219">
        <v>2</v>
      </c>
      <c r="E219" s="2" t="s">
        <v>312</v>
      </c>
      <c r="F219" s="2" t="s">
        <v>313</v>
      </c>
      <c r="G219" s="2" t="s">
        <v>21</v>
      </c>
      <c r="H219" s="2" t="s">
        <v>22</v>
      </c>
      <c r="I219" s="2" t="s">
        <v>295</v>
      </c>
      <c r="J219" s="2" t="s">
        <v>59</v>
      </c>
      <c r="K219">
        <v>5685.17</v>
      </c>
      <c r="L219">
        <v>17514.71</v>
      </c>
      <c r="M219">
        <v>308.08</v>
      </c>
      <c r="N219" s="2" t="s">
        <v>314</v>
      </c>
      <c r="O219" s="2" t="s">
        <v>315</v>
      </c>
      <c r="P219" s="2" t="s">
        <v>684</v>
      </c>
      <c r="Q219" s="2" t="s">
        <v>685</v>
      </c>
      <c r="R219" s="2" t="s">
        <v>29</v>
      </c>
      <c r="S219" s="2" t="s">
        <v>30</v>
      </c>
    </row>
    <row r="220" spans="1:19">
      <c r="A220" s="1">
        <v>43862</v>
      </c>
      <c r="B220" s="1">
        <v>43862</v>
      </c>
      <c r="C220">
        <v>2020</v>
      </c>
      <c r="D220">
        <v>2</v>
      </c>
      <c r="E220" s="2" t="s">
        <v>318</v>
      </c>
      <c r="F220" s="2" t="s">
        <v>319</v>
      </c>
      <c r="G220" s="2" t="s">
        <v>21</v>
      </c>
      <c r="H220" s="2" t="s">
        <v>22</v>
      </c>
      <c r="I220" s="2" t="s">
        <v>295</v>
      </c>
      <c r="J220" s="2" t="s">
        <v>24</v>
      </c>
      <c r="K220">
        <v>3782.82</v>
      </c>
      <c r="L220">
        <v>14460.61</v>
      </c>
      <c r="M220">
        <v>382.27</v>
      </c>
      <c r="N220" s="2" t="s">
        <v>320</v>
      </c>
      <c r="O220" s="2" t="s">
        <v>321</v>
      </c>
      <c r="P220" s="2" t="s">
        <v>686</v>
      </c>
      <c r="Q220" s="2" t="s">
        <v>687</v>
      </c>
      <c r="R220" s="2" t="s">
        <v>29</v>
      </c>
      <c r="S220" s="2" t="s">
        <v>30</v>
      </c>
    </row>
    <row r="221" spans="1:19">
      <c r="A221" s="1">
        <v>43862</v>
      </c>
      <c r="B221" s="1">
        <v>43862</v>
      </c>
      <c r="C221">
        <v>2020</v>
      </c>
      <c r="D221">
        <v>2</v>
      </c>
      <c r="E221" s="2" t="s">
        <v>324</v>
      </c>
      <c r="F221" s="2" t="s">
        <v>325</v>
      </c>
      <c r="G221" s="2" t="s">
        <v>21</v>
      </c>
      <c r="H221" s="2" t="s">
        <v>22</v>
      </c>
      <c r="I221" s="2" t="s">
        <v>23</v>
      </c>
      <c r="J221" s="2" t="s">
        <v>59</v>
      </c>
      <c r="K221">
        <v>20370.86</v>
      </c>
      <c r="L221">
        <v>2395194.7200000002</v>
      </c>
      <c r="M221">
        <v>11757.95</v>
      </c>
      <c r="N221" s="2" t="s">
        <v>326</v>
      </c>
      <c r="O221" s="2" t="s">
        <v>327</v>
      </c>
      <c r="P221" s="2" t="s">
        <v>688</v>
      </c>
      <c r="Q221" s="2" t="s">
        <v>689</v>
      </c>
      <c r="R221" s="2" t="s">
        <v>29</v>
      </c>
      <c r="S221" s="2" t="s">
        <v>30</v>
      </c>
    </row>
    <row r="222" spans="1:19">
      <c r="A222" s="1">
        <v>43862</v>
      </c>
      <c r="B222" s="1">
        <v>43862</v>
      </c>
      <c r="C222">
        <v>2020</v>
      </c>
      <c r="D222">
        <v>2</v>
      </c>
      <c r="E222" s="2" t="s">
        <v>330</v>
      </c>
      <c r="F222" s="2" t="s">
        <v>331</v>
      </c>
      <c r="G222" s="2" t="s">
        <v>21</v>
      </c>
      <c r="H222" s="2" t="s">
        <v>332</v>
      </c>
      <c r="I222" s="2" t="s">
        <v>333</v>
      </c>
      <c r="J222" s="2" t="s">
        <v>24</v>
      </c>
      <c r="K222">
        <v>131.07</v>
      </c>
      <c r="L222">
        <v>7718134.9500000002</v>
      </c>
      <c r="M222">
        <v>5888559.5099999998</v>
      </c>
      <c r="N222" s="2" t="s">
        <v>334</v>
      </c>
      <c r="O222" s="2" t="s">
        <v>335</v>
      </c>
      <c r="P222" s="2" t="s">
        <v>690</v>
      </c>
      <c r="Q222" s="2" t="s">
        <v>691</v>
      </c>
      <c r="R222" s="2" t="s">
        <v>29</v>
      </c>
      <c r="S222" s="2" t="s">
        <v>30</v>
      </c>
    </row>
    <row r="223" spans="1:19">
      <c r="A223" s="1">
        <v>43862</v>
      </c>
      <c r="B223" s="1">
        <v>43862</v>
      </c>
      <c r="C223">
        <v>2020</v>
      </c>
      <c r="D223">
        <v>2</v>
      </c>
      <c r="E223" s="2" t="s">
        <v>338</v>
      </c>
      <c r="F223" s="2" t="s">
        <v>339</v>
      </c>
      <c r="G223" s="2" t="s">
        <v>21</v>
      </c>
      <c r="H223" s="2" t="s">
        <v>332</v>
      </c>
      <c r="I223" s="2" t="s">
        <v>333</v>
      </c>
      <c r="J223" s="2" t="s">
        <v>24</v>
      </c>
      <c r="K223">
        <v>2.08</v>
      </c>
      <c r="L223">
        <v>1271961.82</v>
      </c>
      <c r="M223">
        <v>61152010.579999998</v>
      </c>
      <c r="N223" s="2" t="s">
        <v>340</v>
      </c>
      <c r="O223" s="2" t="s">
        <v>341</v>
      </c>
      <c r="P223" s="2" t="s">
        <v>692</v>
      </c>
      <c r="Q223" s="2" t="s">
        <v>693</v>
      </c>
      <c r="R223" s="2" t="s">
        <v>29</v>
      </c>
      <c r="S223" s="2" t="s">
        <v>30</v>
      </c>
    </row>
    <row r="224" spans="1:19">
      <c r="A224" s="1">
        <v>43862</v>
      </c>
      <c r="B224" s="1">
        <v>43862</v>
      </c>
      <c r="C224">
        <v>2020</v>
      </c>
      <c r="D224">
        <v>2</v>
      </c>
      <c r="E224" s="2" t="s">
        <v>344</v>
      </c>
      <c r="F224" s="2" t="s">
        <v>345</v>
      </c>
      <c r="G224" s="2" t="s">
        <v>21</v>
      </c>
      <c r="H224" s="2" t="s">
        <v>332</v>
      </c>
      <c r="I224" s="2" t="s">
        <v>333</v>
      </c>
      <c r="J224" s="2" t="s">
        <v>59</v>
      </c>
      <c r="K224">
        <v>133.15</v>
      </c>
      <c r="L224">
        <v>8990096.7699999996</v>
      </c>
      <c r="M224">
        <v>6751856.3799999999</v>
      </c>
      <c r="N224" s="2" t="s">
        <v>346</v>
      </c>
      <c r="O224" s="2" t="s">
        <v>347</v>
      </c>
      <c r="P224" s="2" t="s">
        <v>694</v>
      </c>
      <c r="Q224" s="2" t="s">
        <v>695</v>
      </c>
      <c r="R224" s="2" t="s">
        <v>29</v>
      </c>
      <c r="S224" s="2" t="s">
        <v>30</v>
      </c>
    </row>
    <row r="225" spans="1:19">
      <c r="A225" s="1">
        <v>43862</v>
      </c>
      <c r="B225" s="1">
        <v>43862</v>
      </c>
      <c r="C225">
        <v>2020</v>
      </c>
      <c r="D225">
        <v>2</v>
      </c>
      <c r="E225" s="2" t="s">
        <v>350</v>
      </c>
      <c r="F225" s="2" t="s">
        <v>351</v>
      </c>
      <c r="G225" s="2" t="s">
        <v>21</v>
      </c>
      <c r="H225" s="2" t="s">
        <v>22</v>
      </c>
      <c r="I225" s="2" t="s">
        <v>352</v>
      </c>
      <c r="J225" s="2" t="s">
        <v>353</v>
      </c>
      <c r="K225">
        <v>32895.25</v>
      </c>
      <c r="L225">
        <v>11578728.6</v>
      </c>
      <c r="M225">
        <v>35198.79</v>
      </c>
      <c r="N225" s="2" t="s">
        <v>354</v>
      </c>
      <c r="O225" s="2" t="s">
        <v>355</v>
      </c>
      <c r="P225" s="2" t="s">
        <v>696</v>
      </c>
      <c r="Q225" s="2" t="s">
        <v>697</v>
      </c>
      <c r="R225" s="2" t="s">
        <v>29</v>
      </c>
      <c r="S225" s="2" t="s">
        <v>30</v>
      </c>
    </row>
    <row r="226" spans="1:19">
      <c r="A226" s="1">
        <v>43862</v>
      </c>
      <c r="B226" s="1">
        <v>43862</v>
      </c>
      <c r="C226">
        <v>2020</v>
      </c>
      <c r="D226">
        <v>2</v>
      </c>
      <c r="E226" s="2" t="s">
        <v>358</v>
      </c>
      <c r="F226" s="2" t="s">
        <v>359</v>
      </c>
      <c r="G226" s="2" t="s">
        <v>21</v>
      </c>
      <c r="H226" s="2" t="s">
        <v>22</v>
      </c>
      <c r="I226" s="2" t="s">
        <v>352</v>
      </c>
      <c r="J226" s="2" t="s">
        <v>353</v>
      </c>
      <c r="K226">
        <v>33780.199999999997</v>
      </c>
      <c r="L226">
        <v>12238186.92</v>
      </c>
      <c r="M226">
        <v>36228.879999999997</v>
      </c>
      <c r="N226" s="2" t="s">
        <v>360</v>
      </c>
      <c r="O226" s="2" t="s">
        <v>361</v>
      </c>
      <c r="P226" s="2" t="s">
        <v>698</v>
      </c>
      <c r="Q226" s="2" t="s">
        <v>699</v>
      </c>
      <c r="R226" s="2" t="s">
        <v>29</v>
      </c>
      <c r="S226" s="2" t="s">
        <v>30</v>
      </c>
    </row>
    <row r="227" spans="1:19">
      <c r="A227" s="1">
        <v>43862</v>
      </c>
      <c r="B227" s="1">
        <v>43862</v>
      </c>
      <c r="C227">
        <v>2020</v>
      </c>
      <c r="D227">
        <v>2</v>
      </c>
      <c r="E227" s="2" t="s">
        <v>364</v>
      </c>
      <c r="F227" s="2" t="s">
        <v>365</v>
      </c>
      <c r="G227" s="2" t="s">
        <v>21</v>
      </c>
      <c r="H227" s="2" t="s">
        <v>22</v>
      </c>
      <c r="I227" s="2" t="s">
        <v>352</v>
      </c>
      <c r="J227" s="2" t="s">
        <v>353</v>
      </c>
      <c r="K227">
        <v>33647.040000000001</v>
      </c>
      <c r="L227">
        <v>3248090.15</v>
      </c>
      <c r="M227">
        <v>9653.42</v>
      </c>
      <c r="N227" s="2" t="s">
        <v>366</v>
      </c>
      <c r="O227" s="2" t="s">
        <v>367</v>
      </c>
      <c r="P227" s="2" t="s">
        <v>700</v>
      </c>
      <c r="Q227" s="2" t="s">
        <v>701</v>
      </c>
      <c r="R227" s="2" t="s">
        <v>29</v>
      </c>
      <c r="S227" s="2" t="s">
        <v>30</v>
      </c>
    </row>
    <row r="228" spans="1:19">
      <c r="A228" s="1">
        <v>43862</v>
      </c>
      <c r="B228" s="1">
        <v>43862</v>
      </c>
      <c r="C228">
        <v>2020</v>
      </c>
      <c r="D228">
        <v>2</v>
      </c>
      <c r="E228" s="2" t="s">
        <v>370</v>
      </c>
      <c r="F228" s="2" t="s">
        <v>371</v>
      </c>
      <c r="G228" s="2" t="s">
        <v>21</v>
      </c>
      <c r="H228" s="2" t="s">
        <v>22</v>
      </c>
      <c r="I228" s="2" t="s">
        <v>23</v>
      </c>
      <c r="J228" s="2" t="s">
        <v>24</v>
      </c>
      <c r="K228">
        <v>13256.93</v>
      </c>
      <c r="L228">
        <v>222516.95</v>
      </c>
      <c r="M228">
        <v>1678.5</v>
      </c>
      <c r="N228" s="2" t="s">
        <v>372</v>
      </c>
      <c r="O228" s="2" t="s">
        <v>373</v>
      </c>
      <c r="P228" s="2" t="s">
        <v>702</v>
      </c>
      <c r="Q228" s="2" t="s">
        <v>703</v>
      </c>
      <c r="R228" s="2" t="s">
        <v>29</v>
      </c>
      <c r="S228" s="2" t="s">
        <v>30</v>
      </c>
    </row>
    <row r="229" spans="1:19">
      <c r="A229" s="1">
        <v>43862</v>
      </c>
      <c r="B229" s="1">
        <v>43862</v>
      </c>
      <c r="C229">
        <v>2020</v>
      </c>
      <c r="D229">
        <v>2</v>
      </c>
      <c r="E229" s="2" t="s">
        <v>376</v>
      </c>
      <c r="F229" s="2" t="s">
        <v>377</v>
      </c>
      <c r="G229" s="2" t="s">
        <v>21</v>
      </c>
      <c r="H229" s="2" t="s">
        <v>22</v>
      </c>
      <c r="I229" s="2" t="s">
        <v>23</v>
      </c>
      <c r="J229" s="2" t="s">
        <v>378</v>
      </c>
      <c r="K229">
        <v>0.7</v>
      </c>
      <c r="L229">
        <v>12.49</v>
      </c>
      <c r="M229">
        <v>1784.29</v>
      </c>
      <c r="N229" s="2" t="s">
        <v>379</v>
      </c>
      <c r="O229" s="2" t="s">
        <v>380</v>
      </c>
      <c r="P229" s="2" t="s">
        <v>704</v>
      </c>
      <c r="Q229" s="2" t="s">
        <v>705</v>
      </c>
      <c r="R229" s="2" t="s">
        <v>29</v>
      </c>
      <c r="S229" s="2" t="s">
        <v>30</v>
      </c>
    </row>
    <row r="230" spans="1:19">
      <c r="A230" s="1">
        <v>43891</v>
      </c>
      <c r="B230" s="1">
        <v>43891</v>
      </c>
      <c r="C230">
        <v>2020</v>
      </c>
      <c r="D230">
        <v>3</v>
      </c>
      <c r="E230" s="2" t="s">
        <v>19</v>
      </c>
      <c r="F230" s="2" t="s">
        <v>20</v>
      </c>
      <c r="G230" s="2" t="s">
        <v>21</v>
      </c>
      <c r="H230" s="2" t="s">
        <v>22</v>
      </c>
      <c r="I230" s="2" t="s">
        <v>23</v>
      </c>
      <c r="J230" s="2" t="s">
        <v>24</v>
      </c>
      <c r="K230">
        <v>0.66</v>
      </c>
      <c r="L230">
        <v>36.200000000000003</v>
      </c>
      <c r="M230">
        <v>5484.85</v>
      </c>
      <c r="N230" s="2" t="s">
        <v>25</v>
      </c>
      <c r="O230" s="2" t="s">
        <v>26</v>
      </c>
      <c r="P230" s="2" t="s">
        <v>509</v>
      </c>
      <c r="Q230" s="2" t="s">
        <v>706</v>
      </c>
      <c r="R230" s="2" t="s">
        <v>29</v>
      </c>
      <c r="S230" s="2" t="s">
        <v>30</v>
      </c>
    </row>
    <row r="231" spans="1:19">
      <c r="A231" s="1">
        <v>43891</v>
      </c>
      <c r="B231" s="1">
        <v>43891</v>
      </c>
      <c r="C231">
        <v>2020</v>
      </c>
      <c r="D231">
        <v>3</v>
      </c>
      <c r="E231" s="2" t="s">
        <v>31</v>
      </c>
      <c r="F231" s="2" t="s">
        <v>32</v>
      </c>
      <c r="G231" s="2" t="s">
        <v>21</v>
      </c>
      <c r="H231" s="2" t="s">
        <v>22</v>
      </c>
      <c r="I231" s="2" t="s">
        <v>23</v>
      </c>
      <c r="J231" s="2" t="s">
        <v>24</v>
      </c>
      <c r="K231">
        <v>1239.58</v>
      </c>
      <c r="L231">
        <v>7901.85</v>
      </c>
      <c r="M231">
        <v>637.46</v>
      </c>
      <c r="N231" s="2" t="s">
        <v>33</v>
      </c>
      <c r="O231" s="2" t="s">
        <v>34</v>
      </c>
      <c r="P231" s="2" t="s">
        <v>707</v>
      </c>
      <c r="Q231" s="2" t="s">
        <v>708</v>
      </c>
      <c r="R231" s="2" t="s">
        <v>29</v>
      </c>
      <c r="S231" s="2" t="s">
        <v>30</v>
      </c>
    </row>
    <row r="232" spans="1:19">
      <c r="A232" s="1">
        <v>43891</v>
      </c>
      <c r="B232" s="1">
        <v>43891</v>
      </c>
      <c r="C232">
        <v>2020</v>
      </c>
      <c r="D232">
        <v>3</v>
      </c>
      <c r="E232" s="2" t="s">
        <v>37</v>
      </c>
      <c r="F232" s="2" t="s">
        <v>38</v>
      </c>
      <c r="G232" s="2" t="s">
        <v>39</v>
      </c>
      <c r="H232" s="2" t="s">
        <v>22</v>
      </c>
      <c r="I232" s="2" t="s">
        <v>40</v>
      </c>
      <c r="J232" s="2" t="s">
        <v>24</v>
      </c>
      <c r="K232">
        <v>7.54</v>
      </c>
      <c r="L232">
        <v>359.78</v>
      </c>
      <c r="M232">
        <v>4771.62</v>
      </c>
      <c r="N232" s="2" t="s">
        <v>41</v>
      </c>
      <c r="O232" s="2" t="s">
        <v>42</v>
      </c>
      <c r="P232" s="2" t="s">
        <v>709</v>
      </c>
      <c r="Q232" s="2" t="s">
        <v>710</v>
      </c>
      <c r="R232" s="2" t="s">
        <v>29</v>
      </c>
      <c r="S232" s="2" t="s">
        <v>30</v>
      </c>
    </row>
    <row r="233" spans="1:19">
      <c r="A233" s="1">
        <v>43891</v>
      </c>
      <c r="B233" s="1">
        <v>43891</v>
      </c>
      <c r="C233">
        <v>2020</v>
      </c>
      <c r="D233">
        <v>3</v>
      </c>
      <c r="E233" s="2" t="s">
        <v>45</v>
      </c>
      <c r="F233" s="2" t="s">
        <v>46</v>
      </c>
      <c r="G233" s="2" t="s">
        <v>39</v>
      </c>
      <c r="H233" s="2" t="s">
        <v>22</v>
      </c>
      <c r="I233" s="2" t="s">
        <v>40</v>
      </c>
      <c r="J233" s="2" t="s">
        <v>24</v>
      </c>
      <c r="K233">
        <v>5409.61</v>
      </c>
      <c r="L233">
        <v>247428.95</v>
      </c>
      <c r="M233">
        <v>4573.88</v>
      </c>
      <c r="N233" s="2" t="s">
        <v>47</v>
      </c>
      <c r="O233" s="2" t="s">
        <v>48</v>
      </c>
      <c r="P233" s="2" t="s">
        <v>711</v>
      </c>
      <c r="Q233" s="2" t="s">
        <v>712</v>
      </c>
      <c r="R233" s="2" t="s">
        <v>29</v>
      </c>
      <c r="S233" s="2" t="s">
        <v>30</v>
      </c>
    </row>
    <row r="234" spans="1:19">
      <c r="A234" s="1">
        <v>43891</v>
      </c>
      <c r="B234" s="1">
        <v>43891</v>
      </c>
      <c r="C234">
        <v>2020</v>
      </c>
      <c r="D234">
        <v>3</v>
      </c>
      <c r="E234" s="2" t="s">
        <v>51</v>
      </c>
      <c r="F234" s="2" t="s">
        <v>52</v>
      </c>
      <c r="G234" s="2" t="s">
        <v>39</v>
      </c>
      <c r="H234" s="2" t="s">
        <v>22</v>
      </c>
      <c r="I234" s="2" t="s">
        <v>40</v>
      </c>
      <c r="J234" s="2" t="s">
        <v>24</v>
      </c>
      <c r="K234">
        <v>22.87</v>
      </c>
      <c r="L234">
        <v>785.08</v>
      </c>
      <c r="M234">
        <v>3432.79</v>
      </c>
      <c r="N234" s="2" t="s">
        <v>53</v>
      </c>
      <c r="O234" s="2" t="s">
        <v>54</v>
      </c>
      <c r="P234" s="2" t="s">
        <v>713</v>
      </c>
      <c r="Q234" s="2" t="s">
        <v>714</v>
      </c>
      <c r="R234" s="2" t="s">
        <v>29</v>
      </c>
      <c r="S234" s="2" t="s">
        <v>30</v>
      </c>
    </row>
    <row r="235" spans="1:19">
      <c r="A235" s="1">
        <v>43891</v>
      </c>
      <c r="B235" s="1">
        <v>43891</v>
      </c>
      <c r="C235">
        <v>2020</v>
      </c>
      <c r="D235">
        <v>3</v>
      </c>
      <c r="E235" s="2" t="s">
        <v>57</v>
      </c>
      <c r="F235" s="2" t="s">
        <v>58</v>
      </c>
      <c r="G235" s="2" t="s">
        <v>39</v>
      </c>
      <c r="H235" s="2" t="s">
        <v>22</v>
      </c>
      <c r="I235" s="2" t="s">
        <v>40</v>
      </c>
      <c r="J235" s="2" t="s">
        <v>59</v>
      </c>
      <c r="K235">
        <v>5440.02</v>
      </c>
      <c r="L235">
        <v>248573.81</v>
      </c>
      <c r="M235">
        <v>4569.3500000000004</v>
      </c>
      <c r="N235" s="2" t="s">
        <v>60</v>
      </c>
      <c r="O235" s="2" t="s">
        <v>61</v>
      </c>
      <c r="P235" s="2" t="s">
        <v>715</v>
      </c>
      <c r="Q235" s="2" t="s">
        <v>716</v>
      </c>
      <c r="R235" s="2" t="s">
        <v>29</v>
      </c>
      <c r="S235" s="2" t="s">
        <v>30</v>
      </c>
    </row>
    <row r="236" spans="1:19">
      <c r="A236" s="1">
        <v>43891</v>
      </c>
      <c r="B236" s="1">
        <v>43891</v>
      </c>
      <c r="C236">
        <v>2020</v>
      </c>
      <c r="D236">
        <v>3</v>
      </c>
      <c r="E236" s="2" t="s">
        <v>64</v>
      </c>
      <c r="F236" s="2" t="s">
        <v>65</v>
      </c>
      <c r="G236" s="2" t="s">
        <v>21</v>
      </c>
      <c r="H236" s="2" t="s">
        <v>22</v>
      </c>
      <c r="I236" s="2" t="s">
        <v>66</v>
      </c>
      <c r="J236" s="2" t="s">
        <v>24</v>
      </c>
      <c r="K236">
        <v>8.8800000000000008</v>
      </c>
      <c r="L236">
        <v>140.86000000000001</v>
      </c>
      <c r="M236">
        <v>1586.26</v>
      </c>
      <c r="N236" s="2" t="s">
        <v>67</v>
      </c>
      <c r="O236" s="2" t="s">
        <v>68</v>
      </c>
      <c r="P236" s="2" t="s">
        <v>717</v>
      </c>
      <c r="Q236" s="2" t="s">
        <v>718</v>
      </c>
      <c r="R236" s="2" t="s">
        <v>29</v>
      </c>
      <c r="S236" s="2" t="s">
        <v>30</v>
      </c>
    </row>
    <row r="237" spans="1:19">
      <c r="A237" s="1">
        <v>43891</v>
      </c>
      <c r="B237" s="1">
        <v>43891</v>
      </c>
      <c r="C237">
        <v>2020</v>
      </c>
      <c r="D237">
        <v>3</v>
      </c>
      <c r="E237" s="2" t="s">
        <v>71</v>
      </c>
      <c r="F237" s="2" t="s">
        <v>72</v>
      </c>
      <c r="G237" s="2" t="s">
        <v>21</v>
      </c>
      <c r="H237" s="2" t="s">
        <v>22</v>
      </c>
      <c r="I237" s="2" t="s">
        <v>73</v>
      </c>
      <c r="J237" s="2" t="s">
        <v>59</v>
      </c>
      <c r="K237">
        <v>5246.7</v>
      </c>
      <c r="L237">
        <v>98783.1</v>
      </c>
      <c r="M237">
        <v>1882.77</v>
      </c>
      <c r="N237" s="2" t="s">
        <v>74</v>
      </c>
      <c r="O237" s="2" t="s">
        <v>75</v>
      </c>
      <c r="P237" s="2" t="s">
        <v>719</v>
      </c>
      <c r="Q237" s="2" t="s">
        <v>720</v>
      </c>
      <c r="R237" s="2" t="s">
        <v>29</v>
      </c>
      <c r="S237" s="2" t="s">
        <v>30</v>
      </c>
    </row>
    <row r="238" spans="1:19">
      <c r="A238" s="1">
        <v>43891</v>
      </c>
      <c r="B238" s="1">
        <v>43891</v>
      </c>
      <c r="C238">
        <v>2020</v>
      </c>
      <c r="D238">
        <v>3</v>
      </c>
      <c r="E238" s="2" t="s">
        <v>78</v>
      </c>
      <c r="F238" s="2" t="s">
        <v>79</v>
      </c>
      <c r="G238" s="2" t="s">
        <v>80</v>
      </c>
      <c r="H238" s="2" t="s">
        <v>81</v>
      </c>
      <c r="I238" s="2" t="s">
        <v>82</v>
      </c>
      <c r="J238" s="2" t="s">
        <v>24</v>
      </c>
      <c r="K238">
        <v>1.82</v>
      </c>
      <c r="L238">
        <v>5034488.82</v>
      </c>
      <c r="M238">
        <v>276620264.83999997</v>
      </c>
      <c r="N238" s="2" t="s">
        <v>83</v>
      </c>
      <c r="O238" s="2" t="s">
        <v>84</v>
      </c>
      <c r="P238" s="2" t="s">
        <v>721</v>
      </c>
      <c r="Q238" s="2" t="s">
        <v>722</v>
      </c>
      <c r="R238" s="2" t="s">
        <v>29</v>
      </c>
      <c r="S238" s="2" t="s">
        <v>30</v>
      </c>
    </row>
    <row r="239" spans="1:19">
      <c r="A239" s="1">
        <v>43891</v>
      </c>
      <c r="B239" s="1">
        <v>43891</v>
      </c>
      <c r="C239">
        <v>2020</v>
      </c>
      <c r="D239">
        <v>3</v>
      </c>
      <c r="E239" s="2" t="s">
        <v>87</v>
      </c>
      <c r="F239" s="2" t="s">
        <v>88</v>
      </c>
      <c r="G239" s="2" t="s">
        <v>80</v>
      </c>
      <c r="H239" s="2" t="s">
        <v>81</v>
      </c>
      <c r="I239" s="2" t="s">
        <v>82</v>
      </c>
      <c r="J239" s="2" t="s">
        <v>24</v>
      </c>
      <c r="K239">
        <v>0.86</v>
      </c>
      <c r="L239">
        <v>1306083.08</v>
      </c>
      <c r="M239">
        <v>151870125.58000001</v>
      </c>
      <c r="N239" s="2" t="s">
        <v>89</v>
      </c>
      <c r="O239" s="2" t="s">
        <v>90</v>
      </c>
      <c r="P239" s="2" t="s">
        <v>723</v>
      </c>
      <c r="Q239" s="2" t="s">
        <v>724</v>
      </c>
      <c r="R239" s="2" t="s">
        <v>29</v>
      </c>
      <c r="S239" s="2" t="s">
        <v>30</v>
      </c>
    </row>
    <row r="240" spans="1:19">
      <c r="A240" s="1">
        <v>43891</v>
      </c>
      <c r="B240" s="1">
        <v>43891</v>
      </c>
      <c r="C240">
        <v>2020</v>
      </c>
      <c r="D240">
        <v>3</v>
      </c>
      <c r="E240" s="2" t="s">
        <v>93</v>
      </c>
      <c r="F240" s="2" t="s">
        <v>94</v>
      </c>
      <c r="G240" s="2" t="s">
        <v>80</v>
      </c>
      <c r="H240" s="2" t="s">
        <v>81</v>
      </c>
      <c r="I240" s="2" t="s">
        <v>82</v>
      </c>
      <c r="J240" s="2" t="s">
        <v>24</v>
      </c>
      <c r="K240">
        <v>0.23</v>
      </c>
      <c r="L240">
        <v>3096900.7</v>
      </c>
      <c r="M240">
        <v>1346478565.22</v>
      </c>
      <c r="N240" s="2" t="s">
        <v>95</v>
      </c>
      <c r="O240" s="2" t="s">
        <v>96</v>
      </c>
      <c r="P240" s="2" t="s">
        <v>725</v>
      </c>
      <c r="Q240" s="2" t="s">
        <v>726</v>
      </c>
      <c r="R240" s="2" t="s">
        <v>29</v>
      </c>
      <c r="S240" s="2" t="s">
        <v>30</v>
      </c>
    </row>
    <row r="241" spans="1:19">
      <c r="A241" s="1">
        <v>43891</v>
      </c>
      <c r="B241" s="1">
        <v>43891</v>
      </c>
      <c r="C241">
        <v>2020</v>
      </c>
      <c r="D241">
        <v>3</v>
      </c>
      <c r="E241" s="2" t="s">
        <v>99</v>
      </c>
      <c r="F241" s="2" t="s">
        <v>100</v>
      </c>
      <c r="G241" s="2" t="s">
        <v>80</v>
      </c>
      <c r="H241" s="2" t="s">
        <v>81</v>
      </c>
      <c r="I241" s="2" t="s">
        <v>82</v>
      </c>
      <c r="J241" s="2" t="s">
        <v>101</v>
      </c>
      <c r="K241">
        <v>1.27</v>
      </c>
      <c r="L241">
        <v>8427403.5299999993</v>
      </c>
      <c r="M241">
        <v>663575081.10000002</v>
      </c>
      <c r="N241" s="2" t="s">
        <v>102</v>
      </c>
      <c r="O241" s="2" t="s">
        <v>103</v>
      </c>
      <c r="P241" s="2" t="s">
        <v>727</v>
      </c>
      <c r="Q241" s="2" t="s">
        <v>728</v>
      </c>
      <c r="R241" s="2" t="s">
        <v>29</v>
      </c>
      <c r="S241" s="2" t="s">
        <v>30</v>
      </c>
    </row>
    <row r="242" spans="1:19">
      <c r="A242" s="1">
        <v>43891</v>
      </c>
      <c r="B242" s="1">
        <v>43891</v>
      </c>
      <c r="C242">
        <v>2020</v>
      </c>
      <c r="D242">
        <v>3</v>
      </c>
      <c r="E242" s="2" t="s">
        <v>106</v>
      </c>
      <c r="F242" s="2" t="s">
        <v>107</v>
      </c>
      <c r="G242" s="2" t="s">
        <v>80</v>
      </c>
      <c r="H242" s="2" t="s">
        <v>81</v>
      </c>
      <c r="I242" s="2" t="s">
        <v>82</v>
      </c>
      <c r="J242" s="2" t="s">
        <v>24</v>
      </c>
      <c r="K242">
        <v>0.19</v>
      </c>
      <c r="L242">
        <v>4024419.75</v>
      </c>
      <c r="M242">
        <v>2118115657.8900001</v>
      </c>
      <c r="N242" s="2" t="s">
        <v>108</v>
      </c>
      <c r="O242" s="2" t="s">
        <v>109</v>
      </c>
      <c r="P242" s="2" t="s">
        <v>97</v>
      </c>
      <c r="Q242" s="2" t="s">
        <v>729</v>
      </c>
      <c r="R242" s="2" t="s">
        <v>29</v>
      </c>
      <c r="S242" s="2" t="s">
        <v>30</v>
      </c>
    </row>
    <row r="243" spans="1:19">
      <c r="A243" s="1">
        <v>43891</v>
      </c>
      <c r="B243" s="1">
        <v>43891</v>
      </c>
      <c r="C243">
        <v>2020</v>
      </c>
      <c r="D243">
        <v>3</v>
      </c>
      <c r="E243" s="2" t="s">
        <v>111</v>
      </c>
      <c r="F243" s="2" t="s">
        <v>112</v>
      </c>
      <c r="G243" s="2" t="s">
        <v>80</v>
      </c>
      <c r="H243" s="2" t="s">
        <v>81</v>
      </c>
      <c r="I243" s="2" t="s">
        <v>82</v>
      </c>
      <c r="J243" s="2" t="s">
        <v>24</v>
      </c>
      <c r="K243">
        <v>0.04</v>
      </c>
      <c r="L243">
        <v>347030</v>
      </c>
      <c r="M243">
        <v>867575000</v>
      </c>
      <c r="N243" s="2" t="s">
        <v>113</v>
      </c>
      <c r="O243" s="2" t="s">
        <v>114</v>
      </c>
      <c r="P243" s="2" t="s">
        <v>115</v>
      </c>
      <c r="Q243" s="2" t="s">
        <v>730</v>
      </c>
      <c r="R243" s="2" t="s">
        <v>29</v>
      </c>
      <c r="S243" s="2" t="s">
        <v>30</v>
      </c>
    </row>
    <row r="244" spans="1:19">
      <c r="A244" s="1">
        <v>43891</v>
      </c>
      <c r="B244" s="1">
        <v>43891</v>
      </c>
      <c r="C244">
        <v>2020</v>
      </c>
      <c r="D244">
        <v>3</v>
      </c>
      <c r="E244" s="2" t="s">
        <v>117</v>
      </c>
      <c r="F244" s="2" t="s">
        <v>118</v>
      </c>
      <c r="G244" s="2" t="s">
        <v>80</v>
      </c>
      <c r="H244" s="2" t="s">
        <v>81</v>
      </c>
      <c r="I244" s="2" t="s">
        <v>82</v>
      </c>
      <c r="J244" s="2" t="s">
        <v>59</v>
      </c>
      <c r="K244">
        <v>3.14</v>
      </c>
      <c r="L244">
        <v>13808922.35</v>
      </c>
      <c r="M244">
        <v>439774597.13</v>
      </c>
      <c r="N244" s="2" t="s">
        <v>119</v>
      </c>
      <c r="O244" s="2" t="s">
        <v>120</v>
      </c>
      <c r="P244" s="2" t="s">
        <v>731</v>
      </c>
      <c r="Q244" s="2" t="s">
        <v>732</v>
      </c>
      <c r="R244" s="2" t="s">
        <v>29</v>
      </c>
      <c r="S244" s="2" t="s">
        <v>30</v>
      </c>
    </row>
    <row r="245" spans="1:19">
      <c r="A245" s="1">
        <v>43891</v>
      </c>
      <c r="B245" s="1">
        <v>43891</v>
      </c>
      <c r="C245">
        <v>2020</v>
      </c>
      <c r="D245">
        <v>3</v>
      </c>
      <c r="E245" s="2" t="s">
        <v>123</v>
      </c>
      <c r="F245" s="2" t="s">
        <v>124</v>
      </c>
      <c r="G245" s="2" t="s">
        <v>21</v>
      </c>
      <c r="H245" s="2" t="s">
        <v>22</v>
      </c>
      <c r="I245" s="2" t="s">
        <v>73</v>
      </c>
      <c r="J245" s="2" t="s">
        <v>24</v>
      </c>
      <c r="K245">
        <v>737.93</v>
      </c>
      <c r="L245">
        <v>23918.49</v>
      </c>
      <c r="M245">
        <v>3241.3</v>
      </c>
      <c r="N245" s="2" t="s">
        <v>125</v>
      </c>
      <c r="O245" s="2" t="s">
        <v>126</v>
      </c>
      <c r="P245" s="2" t="s">
        <v>733</v>
      </c>
      <c r="Q245" s="2" t="s">
        <v>734</v>
      </c>
      <c r="R245" s="2" t="s">
        <v>29</v>
      </c>
      <c r="S245" s="2" t="s">
        <v>30</v>
      </c>
    </row>
    <row r="246" spans="1:19">
      <c r="A246" s="1">
        <v>43891</v>
      </c>
      <c r="B246" s="1">
        <v>43891</v>
      </c>
      <c r="C246">
        <v>2020</v>
      </c>
      <c r="D246">
        <v>3</v>
      </c>
      <c r="E246" s="2" t="s">
        <v>129</v>
      </c>
      <c r="F246" s="2" t="s">
        <v>130</v>
      </c>
      <c r="G246" s="2" t="s">
        <v>21</v>
      </c>
      <c r="H246" s="2" t="s">
        <v>22</v>
      </c>
      <c r="I246" s="2" t="s">
        <v>73</v>
      </c>
      <c r="J246" s="2" t="s">
        <v>24</v>
      </c>
      <c r="K246">
        <v>900.64</v>
      </c>
      <c r="L246">
        <v>26655.66</v>
      </c>
      <c r="M246">
        <v>2959.64</v>
      </c>
      <c r="N246" s="2" t="s">
        <v>131</v>
      </c>
      <c r="O246" s="2" t="s">
        <v>132</v>
      </c>
      <c r="P246" s="2" t="s">
        <v>735</v>
      </c>
      <c r="Q246" s="2" t="s">
        <v>736</v>
      </c>
      <c r="R246" s="2" t="s">
        <v>29</v>
      </c>
      <c r="S246" s="2" t="s">
        <v>30</v>
      </c>
    </row>
    <row r="247" spans="1:19">
      <c r="A247" s="1">
        <v>43891</v>
      </c>
      <c r="B247" s="1">
        <v>43891</v>
      </c>
      <c r="C247">
        <v>2020</v>
      </c>
      <c r="D247">
        <v>3</v>
      </c>
      <c r="E247" s="2" t="s">
        <v>135</v>
      </c>
      <c r="F247" s="2" t="s">
        <v>136</v>
      </c>
      <c r="G247" s="2" t="s">
        <v>21</v>
      </c>
      <c r="H247" s="2" t="s">
        <v>22</v>
      </c>
      <c r="I247" s="2" t="s">
        <v>73</v>
      </c>
      <c r="J247" s="2" t="s">
        <v>101</v>
      </c>
      <c r="K247">
        <v>1638.57</v>
      </c>
      <c r="L247">
        <v>50574.15</v>
      </c>
      <c r="M247">
        <v>3086.48</v>
      </c>
      <c r="N247" s="2" t="s">
        <v>137</v>
      </c>
      <c r="O247" s="2" t="s">
        <v>138</v>
      </c>
      <c r="P247" s="2" t="s">
        <v>737</v>
      </c>
      <c r="Q247" s="2" t="s">
        <v>738</v>
      </c>
      <c r="R247" s="2" t="s">
        <v>29</v>
      </c>
      <c r="S247" s="2" t="s">
        <v>30</v>
      </c>
    </row>
    <row r="248" spans="1:19">
      <c r="A248" s="1">
        <v>43891</v>
      </c>
      <c r="B248" s="1">
        <v>43891</v>
      </c>
      <c r="C248">
        <v>2020</v>
      </c>
      <c r="D248">
        <v>3</v>
      </c>
      <c r="E248" s="2" t="s">
        <v>141</v>
      </c>
      <c r="F248" s="2" t="s">
        <v>142</v>
      </c>
      <c r="G248" s="2" t="s">
        <v>21</v>
      </c>
      <c r="H248" s="2" t="s">
        <v>22</v>
      </c>
      <c r="I248" s="2" t="s">
        <v>73</v>
      </c>
      <c r="J248" s="2" t="s">
        <v>24</v>
      </c>
      <c r="K248">
        <v>1682.88</v>
      </c>
      <c r="L248">
        <v>20971.13</v>
      </c>
      <c r="M248">
        <v>1246.1500000000001</v>
      </c>
      <c r="N248" s="2" t="s">
        <v>143</v>
      </c>
      <c r="O248" s="2" t="s">
        <v>144</v>
      </c>
      <c r="P248" s="2" t="s">
        <v>739</v>
      </c>
      <c r="Q248" s="2" t="s">
        <v>740</v>
      </c>
      <c r="R248" s="2" t="s">
        <v>29</v>
      </c>
      <c r="S248" s="2" t="s">
        <v>30</v>
      </c>
    </row>
    <row r="249" spans="1:19">
      <c r="A249" s="1">
        <v>43891</v>
      </c>
      <c r="B249" s="1">
        <v>43891</v>
      </c>
      <c r="C249">
        <v>2020</v>
      </c>
      <c r="D249">
        <v>3</v>
      </c>
      <c r="E249" s="2" t="s">
        <v>147</v>
      </c>
      <c r="F249" s="2" t="s">
        <v>148</v>
      </c>
      <c r="G249" s="2" t="s">
        <v>21</v>
      </c>
      <c r="H249" s="2" t="s">
        <v>22</v>
      </c>
      <c r="I249" s="2" t="s">
        <v>73</v>
      </c>
      <c r="J249" s="2" t="s">
        <v>24</v>
      </c>
      <c r="K249">
        <v>1925.25</v>
      </c>
      <c r="L249">
        <v>27237.82</v>
      </c>
      <c r="M249">
        <v>1414.77</v>
      </c>
      <c r="N249" s="2" t="s">
        <v>149</v>
      </c>
      <c r="O249" s="2" t="s">
        <v>150</v>
      </c>
      <c r="P249" s="2" t="s">
        <v>741</v>
      </c>
      <c r="Q249" s="2" t="s">
        <v>742</v>
      </c>
      <c r="R249" s="2" t="s">
        <v>29</v>
      </c>
      <c r="S249" s="2" t="s">
        <v>30</v>
      </c>
    </row>
    <row r="250" spans="1:19">
      <c r="A250" s="1">
        <v>43891</v>
      </c>
      <c r="B250" s="1">
        <v>43891</v>
      </c>
      <c r="C250">
        <v>2020</v>
      </c>
      <c r="D250">
        <v>3</v>
      </c>
      <c r="E250" s="2" t="s">
        <v>153</v>
      </c>
      <c r="F250" s="2" t="s">
        <v>154</v>
      </c>
      <c r="G250" s="2" t="s">
        <v>21</v>
      </c>
      <c r="H250" s="2" t="s">
        <v>22</v>
      </c>
      <c r="I250" s="2" t="s">
        <v>73</v>
      </c>
      <c r="J250" s="2" t="s">
        <v>101</v>
      </c>
      <c r="K250">
        <v>3608.13</v>
      </c>
      <c r="L250">
        <v>48208.95</v>
      </c>
      <c r="M250">
        <v>1336.12</v>
      </c>
      <c r="N250" s="2" t="s">
        <v>155</v>
      </c>
      <c r="O250" s="2" t="s">
        <v>156</v>
      </c>
      <c r="P250" s="2" t="s">
        <v>743</v>
      </c>
      <c r="Q250" s="2" t="s">
        <v>744</v>
      </c>
      <c r="R250" s="2" t="s">
        <v>29</v>
      </c>
      <c r="S250" s="2" t="s">
        <v>30</v>
      </c>
    </row>
    <row r="251" spans="1:19">
      <c r="A251" s="1">
        <v>43891</v>
      </c>
      <c r="B251" s="1">
        <v>43891</v>
      </c>
      <c r="C251">
        <v>2020</v>
      </c>
      <c r="D251">
        <v>3</v>
      </c>
      <c r="E251" s="2" t="s">
        <v>159</v>
      </c>
      <c r="F251" s="2" t="s">
        <v>160</v>
      </c>
      <c r="G251" s="2" t="s">
        <v>21</v>
      </c>
      <c r="H251" s="2" t="s">
        <v>22</v>
      </c>
      <c r="I251" s="2" t="s">
        <v>66</v>
      </c>
      <c r="J251" s="2" t="s">
        <v>59</v>
      </c>
      <c r="K251">
        <v>282.97000000000003</v>
      </c>
      <c r="L251">
        <v>34268.89</v>
      </c>
      <c r="M251">
        <v>12110.43</v>
      </c>
      <c r="N251" s="2" t="s">
        <v>161</v>
      </c>
      <c r="O251" s="2" t="s">
        <v>162</v>
      </c>
      <c r="P251" s="2" t="s">
        <v>745</v>
      </c>
      <c r="Q251" s="2" t="s">
        <v>746</v>
      </c>
      <c r="R251" s="2" t="s">
        <v>29</v>
      </c>
      <c r="S251" s="2" t="s">
        <v>30</v>
      </c>
    </row>
    <row r="252" spans="1:19">
      <c r="A252" s="1">
        <v>43891</v>
      </c>
      <c r="B252" s="1">
        <v>43891</v>
      </c>
      <c r="C252">
        <v>2020</v>
      </c>
      <c r="D252">
        <v>3</v>
      </c>
      <c r="E252" s="2" t="s">
        <v>165</v>
      </c>
      <c r="F252" s="2" t="s">
        <v>166</v>
      </c>
      <c r="G252" s="2" t="s">
        <v>21</v>
      </c>
      <c r="H252" s="2" t="s">
        <v>22</v>
      </c>
      <c r="I252" s="2" t="s">
        <v>23</v>
      </c>
      <c r="J252" s="2" t="s">
        <v>24</v>
      </c>
      <c r="K252">
        <v>0</v>
      </c>
      <c r="L252">
        <v>0.1</v>
      </c>
      <c r="N252" s="2" t="s">
        <v>167</v>
      </c>
      <c r="O252" s="2" t="s">
        <v>168</v>
      </c>
      <c r="P252" s="2" t="s">
        <v>639</v>
      </c>
      <c r="Q252" s="2" t="s">
        <v>425</v>
      </c>
      <c r="R252" s="2" t="s">
        <v>29</v>
      </c>
      <c r="S252" s="2" t="s">
        <v>30</v>
      </c>
    </row>
    <row r="253" spans="1:19">
      <c r="A253" s="1">
        <v>43891</v>
      </c>
      <c r="B253" s="1">
        <v>43891</v>
      </c>
      <c r="C253">
        <v>2020</v>
      </c>
      <c r="D253">
        <v>3</v>
      </c>
      <c r="E253" s="2" t="s">
        <v>171</v>
      </c>
      <c r="F253" s="2" t="s">
        <v>172</v>
      </c>
      <c r="G253" s="2" t="s">
        <v>21</v>
      </c>
      <c r="H253" s="2" t="s">
        <v>22</v>
      </c>
      <c r="I253" s="2" t="s">
        <v>66</v>
      </c>
      <c r="J253" s="2" t="s">
        <v>24</v>
      </c>
      <c r="L253">
        <v>0.1</v>
      </c>
      <c r="N253" s="2" t="s">
        <v>173</v>
      </c>
      <c r="O253" s="2" t="s">
        <v>174</v>
      </c>
      <c r="P253" s="2" t="s">
        <v>175</v>
      </c>
      <c r="Q253" s="2" t="s">
        <v>425</v>
      </c>
      <c r="R253" s="2" t="s">
        <v>640</v>
      </c>
      <c r="S253" s="2" t="s">
        <v>641</v>
      </c>
    </row>
    <row r="254" spans="1:19">
      <c r="A254" s="1">
        <v>43891</v>
      </c>
      <c r="B254" s="1">
        <v>43891</v>
      </c>
      <c r="C254">
        <v>2020</v>
      </c>
      <c r="D254">
        <v>3</v>
      </c>
      <c r="E254" s="2" t="s">
        <v>177</v>
      </c>
      <c r="F254" s="2" t="s">
        <v>178</v>
      </c>
      <c r="G254" s="2" t="s">
        <v>21</v>
      </c>
      <c r="H254" s="2" t="s">
        <v>22</v>
      </c>
      <c r="I254" s="2" t="s">
        <v>23</v>
      </c>
      <c r="J254" s="2" t="s">
        <v>24</v>
      </c>
      <c r="K254">
        <v>2168.23</v>
      </c>
      <c r="L254">
        <v>201961.7</v>
      </c>
      <c r="M254">
        <v>9314.59</v>
      </c>
      <c r="N254" s="2" t="s">
        <v>179</v>
      </c>
      <c r="O254" s="2" t="s">
        <v>180</v>
      </c>
      <c r="P254" s="2" t="s">
        <v>747</v>
      </c>
      <c r="Q254" s="2" t="s">
        <v>748</v>
      </c>
      <c r="R254" s="2" t="s">
        <v>29</v>
      </c>
      <c r="S254" s="2" t="s">
        <v>30</v>
      </c>
    </row>
    <row r="255" spans="1:19">
      <c r="A255" s="1">
        <v>43891</v>
      </c>
      <c r="B255" s="1">
        <v>43891</v>
      </c>
      <c r="C255">
        <v>2020</v>
      </c>
      <c r="D255">
        <v>3</v>
      </c>
      <c r="E255" s="2" t="s">
        <v>183</v>
      </c>
      <c r="F255" s="2" t="s">
        <v>184</v>
      </c>
      <c r="G255" s="2" t="s">
        <v>185</v>
      </c>
      <c r="H255" s="2" t="s">
        <v>22</v>
      </c>
      <c r="I255" s="2" t="s">
        <v>186</v>
      </c>
      <c r="J255" s="2" t="s">
        <v>24</v>
      </c>
      <c r="K255">
        <v>2157.3000000000002</v>
      </c>
      <c r="L255">
        <v>2224561.85</v>
      </c>
      <c r="M255">
        <v>103117.87</v>
      </c>
      <c r="N255" s="2" t="s">
        <v>187</v>
      </c>
      <c r="O255" s="2" t="s">
        <v>188</v>
      </c>
      <c r="P255" s="2" t="s">
        <v>749</v>
      </c>
      <c r="Q255" s="2" t="s">
        <v>750</v>
      </c>
      <c r="R255" s="2" t="s">
        <v>29</v>
      </c>
      <c r="S255" s="2" t="s">
        <v>30</v>
      </c>
    </row>
    <row r="256" spans="1:19">
      <c r="A256" s="1">
        <v>43891</v>
      </c>
      <c r="B256" s="1">
        <v>43891</v>
      </c>
      <c r="C256">
        <v>2020</v>
      </c>
      <c r="D256">
        <v>3</v>
      </c>
      <c r="E256" s="2" t="s">
        <v>191</v>
      </c>
      <c r="F256" s="2" t="s">
        <v>192</v>
      </c>
      <c r="G256" s="2" t="s">
        <v>185</v>
      </c>
      <c r="H256" s="2" t="s">
        <v>22</v>
      </c>
      <c r="I256" s="2" t="s">
        <v>186</v>
      </c>
      <c r="J256" s="2" t="s">
        <v>24</v>
      </c>
      <c r="K256">
        <v>650.37</v>
      </c>
      <c r="L256">
        <v>3952899.63</v>
      </c>
      <c r="M256">
        <v>607792.43000000005</v>
      </c>
      <c r="N256" s="2" t="s">
        <v>193</v>
      </c>
      <c r="O256" s="2" t="s">
        <v>194</v>
      </c>
      <c r="P256" s="2" t="s">
        <v>751</v>
      </c>
      <c r="Q256" s="2" t="s">
        <v>752</v>
      </c>
      <c r="R256" s="2" t="s">
        <v>29</v>
      </c>
      <c r="S256" s="2" t="s">
        <v>30</v>
      </c>
    </row>
    <row r="257" spans="1:19">
      <c r="A257" s="1">
        <v>43891</v>
      </c>
      <c r="B257" s="1">
        <v>43891</v>
      </c>
      <c r="C257">
        <v>2020</v>
      </c>
      <c r="D257">
        <v>3</v>
      </c>
      <c r="E257" s="2" t="s">
        <v>197</v>
      </c>
      <c r="F257" s="2" t="s">
        <v>198</v>
      </c>
      <c r="G257" s="2" t="s">
        <v>185</v>
      </c>
      <c r="H257" s="2" t="s">
        <v>22</v>
      </c>
      <c r="I257" s="2" t="s">
        <v>186</v>
      </c>
      <c r="J257" s="2" t="s">
        <v>59</v>
      </c>
      <c r="K257">
        <v>2807.67</v>
      </c>
      <c r="L257">
        <v>6177461.4800000004</v>
      </c>
      <c r="M257">
        <v>220020.92</v>
      </c>
      <c r="N257" s="2" t="s">
        <v>199</v>
      </c>
      <c r="O257" s="2" t="s">
        <v>200</v>
      </c>
      <c r="P257" s="2" t="s">
        <v>753</v>
      </c>
      <c r="Q257" s="2" t="s">
        <v>754</v>
      </c>
      <c r="R257" s="2" t="s">
        <v>29</v>
      </c>
      <c r="S257" s="2" t="s">
        <v>30</v>
      </c>
    </row>
    <row r="258" spans="1:19">
      <c r="A258" s="1">
        <v>43891</v>
      </c>
      <c r="B258" s="1">
        <v>43891</v>
      </c>
      <c r="C258">
        <v>2020</v>
      </c>
      <c r="D258">
        <v>3</v>
      </c>
      <c r="E258" s="2" t="s">
        <v>203</v>
      </c>
      <c r="F258" s="2" t="s">
        <v>204</v>
      </c>
      <c r="G258" s="2" t="s">
        <v>39</v>
      </c>
      <c r="H258" s="2" t="s">
        <v>22</v>
      </c>
      <c r="I258" s="2" t="s">
        <v>40</v>
      </c>
      <c r="J258" s="2" t="s">
        <v>24</v>
      </c>
      <c r="K258">
        <v>344.98</v>
      </c>
      <c r="L258">
        <v>9993.25</v>
      </c>
      <c r="M258">
        <v>2896.76</v>
      </c>
      <c r="N258" s="2" t="s">
        <v>205</v>
      </c>
      <c r="O258" s="2" t="s">
        <v>206</v>
      </c>
      <c r="P258" s="2" t="s">
        <v>755</v>
      </c>
      <c r="Q258" s="2" t="s">
        <v>756</v>
      </c>
      <c r="R258" s="2" t="s">
        <v>29</v>
      </c>
      <c r="S258" s="2" t="s">
        <v>30</v>
      </c>
    </row>
    <row r="259" spans="1:19">
      <c r="A259" s="1">
        <v>43891</v>
      </c>
      <c r="B259" s="1">
        <v>43891</v>
      </c>
      <c r="C259">
        <v>2020</v>
      </c>
      <c r="D259">
        <v>3</v>
      </c>
      <c r="E259" s="2" t="s">
        <v>209</v>
      </c>
      <c r="F259" s="2" t="s">
        <v>210</v>
      </c>
      <c r="G259" s="2" t="s">
        <v>39</v>
      </c>
      <c r="H259" s="2" t="s">
        <v>22</v>
      </c>
      <c r="I259" s="2" t="s">
        <v>40</v>
      </c>
      <c r="J259" s="2" t="s">
        <v>59</v>
      </c>
      <c r="K259">
        <v>344.98</v>
      </c>
      <c r="L259">
        <v>9993.25</v>
      </c>
      <c r="M259">
        <v>2896.76</v>
      </c>
      <c r="N259" s="2" t="s">
        <v>211</v>
      </c>
      <c r="O259" s="2" t="s">
        <v>212</v>
      </c>
      <c r="P259" s="2" t="s">
        <v>755</v>
      </c>
      <c r="Q259" s="2" t="s">
        <v>756</v>
      </c>
      <c r="R259" s="2" t="s">
        <v>29</v>
      </c>
      <c r="S259" s="2" t="s">
        <v>30</v>
      </c>
    </row>
    <row r="260" spans="1:19">
      <c r="A260" s="1">
        <v>43891</v>
      </c>
      <c r="B260" s="1">
        <v>43891</v>
      </c>
      <c r="C260">
        <v>2020</v>
      </c>
      <c r="D260">
        <v>3</v>
      </c>
      <c r="E260" s="2" t="s">
        <v>213</v>
      </c>
      <c r="F260" s="2" t="s">
        <v>214</v>
      </c>
      <c r="G260" s="2" t="s">
        <v>185</v>
      </c>
      <c r="H260" s="2" t="s">
        <v>22</v>
      </c>
      <c r="I260" s="2" t="s">
        <v>215</v>
      </c>
      <c r="J260" s="2" t="s">
        <v>24</v>
      </c>
      <c r="K260">
        <v>12543.06</v>
      </c>
      <c r="L260">
        <v>410574.7</v>
      </c>
      <c r="M260">
        <v>3273.32</v>
      </c>
      <c r="N260" s="2" t="s">
        <v>216</v>
      </c>
      <c r="O260" s="2" t="s">
        <v>217</v>
      </c>
      <c r="P260" s="2" t="s">
        <v>757</v>
      </c>
      <c r="Q260" s="2" t="s">
        <v>758</v>
      </c>
      <c r="R260" s="2" t="s">
        <v>29</v>
      </c>
      <c r="S260" s="2" t="s">
        <v>30</v>
      </c>
    </row>
    <row r="261" spans="1:19">
      <c r="A261" s="1">
        <v>43891</v>
      </c>
      <c r="B261" s="1">
        <v>43891</v>
      </c>
      <c r="C261">
        <v>2020</v>
      </c>
      <c r="D261">
        <v>3</v>
      </c>
      <c r="E261" s="2" t="s">
        <v>220</v>
      </c>
      <c r="F261" s="2" t="s">
        <v>221</v>
      </c>
      <c r="G261" s="2" t="s">
        <v>185</v>
      </c>
      <c r="H261" s="2" t="s">
        <v>22</v>
      </c>
      <c r="I261" s="2" t="s">
        <v>215</v>
      </c>
      <c r="J261" s="2" t="s">
        <v>24</v>
      </c>
      <c r="K261">
        <v>1287.27</v>
      </c>
      <c r="L261">
        <v>109624.42</v>
      </c>
      <c r="M261">
        <v>8516.0400000000009</v>
      </c>
      <c r="N261" s="2" t="s">
        <v>222</v>
      </c>
      <c r="O261" s="2" t="s">
        <v>223</v>
      </c>
      <c r="P261" s="2" t="s">
        <v>759</v>
      </c>
      <c r="Q261" s="2" t="s">
        <v>760</v>
      </c>
      <c r="R261" s="2" t="s">
        <v>29</v>
      </c>
      <c r="S261" s="2" t="s">
        <v>30</v>
      </c>
    </row>
    <row r="262" spans="1:19">
      <c r="A262" s="1">
        <v>43891</v>
      </c>
      <c r="B262" s="1">
        <v>43891</v>
      </c>
      <c r="C262">
        <v>2020</v>
      </c>
      <c r="D262">
        <v>3</v>
      </c>
      <c r="E262" s="2" t="s">
        <v>226</v>
      </c>
      <c r="F262" s="2" t="s">
        <v>227</v>
      </c>
      <c r="G262" s="2" t="s">
        <v>185</v>
      </c>
      <c r="H262" s="2" t="s">
        <v>22</v>
      </c>
      <c r="I262" s="2" t="s">
        <v>215</v>
      </c>
      <c r="J262" s="2" t="s">
        <v>59</v>
      </c>
      <c r="K262">
        <v>13830.33</v>
      </c>
      <c r="L262">
        <v>520199.11</v>
      </c>
      <c r="M262">
        <v>3761.29</v>
      </c>
      <c r="N262" s="2" t="s">
        <v>228</v>
      </c>
      <c r="O262" s="2" t="s">
        <v>229</v>
      </c>
      <c r="P262" s="2" t="s">
        <v>761</v>
      </c>
      <c r="Q262" s="2" t="s">
        <v>762</v>
      </c>
      <c r="R262" s="2" t="s">
        <v>29</v>
      </c>
      <c r="S262" s="2" t="s">
        <v>30</v>
      </c>
    </row>
    <row r="263" spans="1:19">
      <c r="A263" s="1">
        <v>43891</v>
      </c>
      <c r="B263" s="1">
        <v>43891</v>
      </c>
      <c r="C263">
        <v>2020</v>
      </c>
      <c r="D263">
        <v>3</v>
      </c>
      <c r="E263" s="2" t="s">
        <v>232</v>
      </c>
      <c r="F263" s="2" t="s">
        <v>233</v>
      </c>
      <c r="G263" s="2" t="s">
        <v>21</v>
      </c>
      <c r="H263" s="2" t="s">
        <v>22</v>
      </c>
      <c r="I263" s="2" t="s">
        <v>23</v>
      </c>
      <c r="J263" s="2" t="s">
        <v>24</v>
      </c>
      <c r="K263">
        <v>1134.79</v>
      </c>
      <c r="L263">
        <v>129113.44</v>
      </c>
      <c r="M263">
        <v>11377.74</v>
      </c>
      <c r="N263" s="2" t="s">
        <v>234</v>
      </c>
      <c r="O263" s="2" t="s">
        <v>235</v>
      </c>
      <c r="P263" s="2" t="s">
        <v>763</v>
      </c>
      <c r="Q263" s="2" t="s">
        <v>764</v>
      </c>
      <c r="R263" s="2" t="s">
        <v>29</v>
      </c>
      <c r="S263" s="2" t="s">
        <v>30</v>
      </c>
    </row>
    <row r="264" spans="1:19">
      <c r="A264" s="1">
        <v>43891</v>
      </c>
      <c r="B264" s="1">
        <v>43891</v>
      </c>
      <c r="C264">
        <v>2020</v>
      </c>
      <c r="D264">
        <v>3</v>
      </c>
      <c r="E264" s="2" t="s">
        <v>238</v>
      </c>
      <c r="F264" s="2" t="s">
        <v>239</v>
      </c>
      <c r="G264" s="2" t="s">
        <v>21</v>
      </c>
      <c r="H264" s="2" t="s">
        <v>22</v>
      </c>
      <c r="I264" s="2" t="s">
        <v>66</v>
      </c>
      <c r="J264" s="2" t="s">
        <v>24</v>
      </c>
      <c r="K264">
        <v>256.20999999999998</v>
      </c>
      <c r="L264">
        <v>34094.699999999997</v>
      </c>
      <c r="M264">
        <v>13307.33</v>
      </c>
      <c r="N264" s="2" t="s">
        <v>240</v>
      </c>
      <c r="O264" s="2" t="s">
        <v>241</v>
      </c>
      <c r="P264" s="2" t="s">
        <v>765</v>
      </c>
      <c r="Q264" s="2" t="s">
        <v>766</v>
      </c>
      <c r="R264" s="2" t="s">
        <v>29</v>
      </c>
      <c r="S264" s="2" t="s">
        <v>30</v>
      </c>
    </row>
    <row r="265" spans="1:19">
      <c r="A265" s="1">
        <v>43891</v>
      </c>
      <c r="B265" s="1">
        <v>43891</v>
      </c>
      <c r="C265">
        <v>2020</v>
      </c>
      <c r="D265">
        <v>3</v>
      </c>
      <c r="E265" s="2" t="s">
        <v>244</v>
      </c>
      <c r="F265" s="2" t="s">
        <v>245</v>
      </c>
      <c r="G265" s="2" t="s">
        <v>21</v>
      </c>
      <c r="H265" s="2" t="s">
        <v>22</v>
      </c>
      <c r="I265" s="2" t="s">
        <v>23</v>
      </c>
      <c r="J265" s="2" t="s">
        <v>24</v>
      </c>
      <c r="K265">
        <v>2623.7</v>
      </c>
      <c r="L265">
        <v>2283664.64</v>
      </c>
      <c r="M265">
        <v>87039.85</v>
      </c>
      <c r="N265" s="2" t="s">
        <v>246</v>
      </c>
      <c r="O265" s="2" t="s">
        <v>247</v>
      </c>
      <c r="P265" s="2" t="s">
        <v>767</v>
      </c>
      <c r="Q265" s="2" t="s">
        <v>768</v>
      </c>
      <c r="R265" s="2" t="s">
        <v>29</v>
      </c>
      <c r="S265" s="2" t="s">
        <v>30</v>
      </c>
    </row>
    <row r="266" spans="1:19">
      <c r="A266" s="1">
        <v>43891</v>
      </c>
      <c r="B266" s="1">
        <v>43891</v>
      </c>
      <c r="C266">
        <v>2020</v>
      </c>
      <c r="D266">
        <v>3</v>
      </c>
      <c r="E266" s="2" t="s">
        <v>250</v>
      </c>
      <c r="F266" s="2" t="s">
        <v>251</v>
      </c>
      <c r="G266" s="2" t="s">
        <v>21</v>
      </c>
      <c r="H266" s="2" t="s">
        <v>22</v>
      </c>
      <c r="I266" s="2" t="s">
        <v>66</v>
      </c>
      <c r="J266" s="2" t="s">
        <v>24</v>
      </c>
      <c r="K266">
        <v>17.88</v>
      </c>
      <c r="L266">
        <v>33.229999999999997</v>
      </c>
      <c r="M266">
        <v>185.85</v>
      </c>
      <c r="N266" s="2" t="s">
        <v>252</v>
      </c>
      <c r="O266" s="2" t="s">
        <v>253</v>
      </c>
      <c r="P266" s="2" t="s">
        <v>769</v>
      </c>
      <c r="Q266" s="2" t="s">
        <v>770</v>
      </c>
      <c r="R266" s="2" t="s">
        <v>29</v>
      </c>
      <c r="S266" s="2" t="s">
        <v>30</v>
      </c>
    </row>
    <row r="267" spans="1:19">
      <c r="A267" s="1">
        <v>43891</v>
      </c>
      <c r="B267" s="1">
        <v>43891</v>
      </c>
      <c r="C267">
        <v>2020</v>
      </c>
      <c r="D267">
        <v>3</v>
      </c>
      <c r="E267" s="2" t="s">
        <v>256</v>
      </c>
      <c r="F267" s="2" t="s">
        <v>257</v>
      </c>
      <c r="G267" s="2" t="s">
        <v>21</v>
      </c>
      <c r="H267" s="2" t="s">
        <v>22</v>
      </c>
      <c r="I267" s="2" t="s">
        <v>258</v>
      </c>
      <c r="J267" s="2" t="s">
        <v>24</v>
      </c>
      <c r="K267">
        <v>710.01</v>
      </c>
      <c r="L267">
        <v>565045.57999999996</v>
      </c>
      <c r="M267">
        <v>79582.759999999995</v>
      </c>
      <c r="N267" s="2" t="s">
        <v>259</v>
      </c>
      <c r="O267" s="2" t="s">
        <v>260</v>
      </c>
      <c r="P267" s="2" t="s">
        <v>771</v>
      </c>
      <c r="Q267" s="2" t="s">
        <v>772</v>
      </c>
      <c r="R267" s="2" t="s">
        <v>29</v>
      </c>
      <c r="S267" s="2" t="s">
        <v>30</v>
      </c>
    </row>
    <row r="268" spans="1:19">
      <c r="A268" s="1">
        <v>43891</v>
      </c>
      <c r="B268" s="1">
        <v>43891</v>
      </c>
      <c r="C268">
        <v>2020</v>
      </c>
      <c r="D268">
        <v>3</v>
      </c>
      <c r="E268" s="2" t="s">
        <v>263</v>
      </c>
      <c r="F268" s="2" t="s">
        <v>264</v>
      </c>
      <c r="G268" s="2" t="s">
        <v>21</v>
      </c>
      <c r="H268" s="2" t="s">
        <v>22</v>
      </c>
      <c r="I268" s="2" t="s">
        <v>258</v>
      </c>
      <c r="J268" s="2" t="s">
        <v>24</v>
      </c>
      <c r="K268">
        <v>0.33</v>
      </c>
      <c r="L268">
        <v>269.08</v>
      </c>
      <c r="M268">
        <v>81539.39</v>
      </c>
      <c r="N268" s="2" t="s">
        <v>265</v>
      </c>
      <c r="O268" s="2" t="s">
        <v>266</v>
      </c>
      <c r="P268" s="2" t="s">
        <v>773</v>
      </c>
      <c r="Q268" s="2" t="s">
        <v>774</v>
      </c>
      <c r="R268" s="2" t="s">
        <v>29</v>
      </c>
      <c r="S268" s="2" t="s">
        <v>30</v>
      </c>
    </row>
    <row r="269" spans="1:19">
      <c r="A269" s="1">
        <v>43891</v>
      </c>
      <c r="B269" s="1">
        <v>43891</v>
      </c>
      <c r="C269">
        <v>2020</v>
      </c>
      <c r="D269">
        <v>3</v>
      </c>
      <c r="E269" s="2" t="s">
        <v>269</v>
      </c>
      <c r="F269" s="2" t="s">
        <v>270</v>
      </c>
      <c r="G269" s="2" t="s">
        <v>21</v>
      </c>
      <c r="H269" s="2" t="s">
        <v>22</v>
      </c>
      <c r="I269" s="2" t="s">
        <v>258</v>
      </c>
      <c r="J269" s="2" t="s">
        <v>59</v>
      </c>
      <c r="K269">
        <v>710.34</v>
      </c>
      <c r="L269">
        <v>565314.66</v>
      </c>
      <c r="M269">
        <v>79583.67</v>
      </c>
      <c r="N269" s="2" t="s">
        <v>271</v>
      </c>
      <c r="O269" s="2" t="s">
        <v>272</v>
      </c>
      <c r="P269" s="2" t="s">
        <v>775</v>
      </c>
      <c r="Q269" s="2" t="s">
        <v>776</v>
      </c>
      <c r="R269" s="2" t="s">
        <v>29</v>
      </c>
      <c r="S269" s="2" t="s">
        <v>30</v>
      </c>
    </row>
    <row r="270" spans="1:19">
      <c r="A270" s="1">
        <v>43891</v>
      </c>
      <c r="B270" s="1">
        <v>43891</v>
      </c>
      <c r="C270">
        <v>2020</v>
      </c>
      <c r="D270">
        <v>3</v>
      </c>
      <c r="E270" s="2" t="s">
        <v>275</v>
      </c>
      <c r="F270" s="2" t="s">
        <v>276</v>
      </c>
      <c r="G270" s="2" t="s">
        <v>39</v>
      </c>
      <c r="H270" s="2" t="s">
        <v>22</v>
      </c>
      <c r="I270" s="2" t="s">
        <v>40</v>
      </c>
      <c r="J270" s="2" t="s">
        <v>24</v>
      </c>
      <c r="K270">
        <v>30.55</v>
      </c>
      <c r="L270">
        <v>104.86</v>
      </c>
      <c r="M270">
        <v>343.24</v>
      </c>
      <c r="N270" s="2" t="s">
        <v>277</v>
      </c>
      <c r="O270" s="2" t="s">
        <v>278</v>
      </c>
      <c r="P270" s="2" t="s">
        <v>777</v>
      </c>
      <c r="Q270" s="2" t="s">
        <v>778</v>
      </c>
      <c r="R270" s="2" t="s">
        <v>29</v>
      </c>
      <c r="S270" s="2" t="s">
        <v>30</v>
      </c>
    </row>
    <row r="271" spans="1:19">
      <c r="A271" s="1">
        <v>43891</v>
      </c>
      <c r="B271" s="1">
        <v>43891</v>
      </c>
      <c r="C271">
        <v>2020</v>
      </c>
      <c r="D271">
        <v>3</v>
      </c>
      <c r="E271" s="2" t="s">
        <v>281</v>
      </c>
      <c r="F271" s="2" t="s">
        <v>282</v>
      </c>
      <c r="G271" s="2" t="s">
        <v>39</v>
      </c>
      <c r="H271" s="2" t="s">
        <v>22</v>
      </c>
      <c r="I271" s="2" t="s">
        <v>40</v>
      </c>
      <c r="J271" s="2" t="s">
        <v>24</v>
      </c>
      <c r="K271">
        <v>3.14</v>
      </c>
      <c r="L271">
        <v>5.16</v>
      </c>
      <c r="M271">
        <v>164.33</v>
      </c>
      <c r="N271" s="2" t="s">
        <v>283</v>
      </c>
      <c r="O271" s="2" t="s">
        <v>284</v>
      </c>
      <c r="P271" s="2" t="s">
        <v>731</v>
      </c>
      <c r="Q271" s="2" t="s">
        <v>779</v>
      </c>
      <c r="R271" s="2" t="s">
        <v>29</v>
      </c>
      <c r="S271" s="2" t="s">
        <v>30</v>
      </c>
    </row>
    <row r="272" spans="1:19">
      <c r="A272" s="1">
        <v>43891</v>
      </c>
      <c r="B272" s="1">
        <v>43891</v>
      </c>
      <c r="C272">
        <v>2020</v>
      </c>
      <c r="D272">
        <v>3</v>
      </c>
      <c r="E272" s="2" t="s">
        <v>287</v>
      </c>
      <c r="F272" s="2" t="s">
        <v>288</v>
      </c>
      <c r="G272" s="2" t="s">
        <v>39</v>
      </c>
      <c r="H272" s="2" t="s">
        <v>22</v>
      </c>
      <c r="I272" s="2" t="s">
        <v>40</v>
      </c>
      <c r="J272" s="2" t="s">
        <v>59</v>
      </c>
      <c r="K272">
        <v>33.69</v>
      </c>
      <c r="L272">
        <v>110.02</v>
      </c>
      <c r="M272">
        <v>326.57</v>
      </c>
      <c r="N272" s="2" t="s">
        <v>289</v>
      </c>
      <c r="O272" s="2" t="s">
        <v>290</v>
      </c>
      <c r="P272" s="2" t="s">
        <v>780</v>
      </c>
      <c r="Q272" s="2" t="s">
        <v>781</v>
      </c>
      <c r="R272" s="2" t="s">
        <v>29</v>
      </c>
      <c r="S272" s="2" t="s">
        <v>30</v>
      </c>
    </row>
    <row r="273" spans="1:19">
      <c r="A273" s="1">
        <v>43891</v>
      </c>
      <c r="B273" s="1">
        <v>43891</v>
      </c>
      <c r="C273">
        <v>2020</v>
      </c>
      <c r="D273">
        <v>3</v>
      </c>
      <c r="E273" s="2" t="s">
        <v>293</v>
      </c>
      <c r="F273" s="2" t="s">
        <v>294</v>
      </c>
      <c r="G273" s="2" t="s">
        <v>21</v>
      </c>
      <c r="H273" s="2" t="s">
        <v>22</v>
      </c>
      <c r="I273" s="2" t="s">
        <v>295</v>
      </c>
      <c r="J273" s="2" t="s">
        <v>24</v>
      </c>
      <c r="K273">
        <v>723.23</v>
      </c>
      <c r="L273">
        <v>1208.71</v>
      </c>
      <c r="M273">
        <v>167.13</v>
      </c>
      <c r="N273" s="2" t="s">
        <v>296</v>
      </c>
      <c r="O273" s="2" t="s">
        <v>297</v>
      </c>
      <c r="P273" s="2" t="s">
        <v>782</v>
      </c>
      <c r="Q273" s="2" t="s">
        <v>783</v>
      </c>
      <c r="R273" s="2" t="s">
        <v>29</v>
      </c>
      <c r="S273" s="2" t="s">
        <v>30</v>
      </c>
    </row>
    <row r="274" spans="1:19">
      <c r="A274" s="1">
        <v>43891</v>
      </c>
      <c r="B274" s="1">
        <v>43891</v>
      </c>
      <c r="C274">
        <v>2020</v>
      </c>
      <c r="D274">
        <v>3</v>
      </c>
      <c r="E274" s="2" t="s">
        <v>300</v>
      </c>
      <c r="F274" s="2" t="s">
        <v>301</v>
      </c>
      <c r="G274" s="2" t="s">
        <v>21</v>
      </c>
      <c r="H274" s="2" t="s">
        <v>22</v>
      </c>
      <c r="I274" s="2" t="s">
        <v>295</v>
      </c>
      <c r="J274" s="2" t="s">
        <v>24</v>
      </c>
      <c r="K274">
        <v>81.02</v>
      </c>
      <c r="L274">
        <v>1020.61</v>
      </c>
      <c r="M274">
        <v>1259.7</v>
      </c>
      <c r="N274" s="2" t="s">
        <v>302</v>
      </c>
      <c r="O274" s="2" t="s">
        <v>303</v>
      </c>
      <c r="P274" s="2" t="s">
        <v>784</v>
      </c>
      <c r="Q274" s="2" t="s">
        <v>785</v>
      </c>
      <c r="R274" s="2" t="s">
        <v>29</v>
      </c>
      <c r="S274" s="2" t="s">
        <v>30</v>
      </c>
    </row>
    <row r="275" spans="1:19">
      <c r="A275" s="1">
        <v>43891</v>
      </c>
      <c r="B275" s="1">
        <v>43891</v>
      </c>
      <c r="C275">
        <v>2020</v>
      </c>
      <c r="D275">
        <v>3</v>
      </c>
      <c r="E275" s="2" t="s">
        <v>306</v>
      </c>
      <c r="F275" s="2" t="s">
        <v>307</v>
      </c>
      <c r="G275" s="2" t="s">
        <v>21</v>
      </c>
      <c r="H275" s="2" t="s">
        <v>22</v>
      </c>
      <c r="I275" s="2" t="s">
        <v>295</v>
      </c>
      <c r="J275" s="2" t="s">
        <v>101</v>
      </c>
      <c r="K275">
        <v>804.25</v>
      </c>
      <c r="L275">
        <v>2229.3200000000002</v>
      </c>
      <c r="M275">
        <v>277.19</v>
      </c>
      <c r="N275" s="2" t="s">
        <v>308</v>
      </c>
      <c r="O275" s="2" t="s">
        <v>309</v>
      </c>
      <c r="P275" s="2" t="s">
        <v>786</v>
      </c>
      <c r="Q275" s="2" t="s">
        <v>787</v>
      </c>
      <c r="R275" s="2" t="s">
        <v>29</v>
      </c>
      <c r="S275" s="2" t="s">
        <v>30</v>
      </c>
    </row>
    <row r="276" spans="1:19">
      <c r="A276" s="1">
        <v>43891</v>
      </c>
      <c r="B276" s="1">
        <v>43891</v>
      </c>
      <c r="C276">
        <v>2020</v>
      </c>
      <c r="D276">
        <v>3</v>
      </c>
      <c r="E276" s="2" t="s">
        <v>312</v>
      </c>
      <c r="F276" s="2" t="s">
        <v>313</v>
      </c>
      <c r="G276" s="2" t="s">
        <v>21</v>
      </c>
      <c r="H276" s="2" t="s">
        <v>22</v>
      </c>
      <c r="I276" s="2" t="s">
        <v>295</v>
      </c>
      <c r="J276" s="2" t="s">
        <v>59</v>
      </c>
      <c r="K276">
        <v>3982.85</v>
      </c>
      <c r="L276">
        <v>15340.81</v>
      </c>
      <c r="M276">
        <v>385.17</v>
      </c>
      <c r="N276" s="2" t="s">
        <v>314</v>
      </c>
      <c r="O276" s="2" t="s">
        <v>315</v>
      </c>
      <c r="P276" s="2" t="s">
        <v>788</v>
      </c>
      <c r="Q276" s="2" t="s">
        <v>789</v>
      </c>
      <c r="R276" s="2" t="s">
        <v>29</v>
      </c>
      <c r="S276" s="2" t="s">
        <v>30</v>
      </c>
    </row>
    <row r="277" spans="1:19">
      <c r="A277" s="1">
        <v>43891</v>
      </c>
      <c r="B277" s="1">
        <v>43891</v>
      </c>
      <c r="C277">
        <v>2020</v>
      </c>
      <c r="D277">
        <v>3</v>
      </c>
      <c r="E277" s="2" t="s">
        <v>318</v>
      </c>
      <c r="F277" s="2" t="s">
        <v>319</v>
      </c>
      <c r="G277" s="2" t="s">
        <v>21</v>
      </c>
      <c r="H277" s="2" t="s">
        <v>22</v>
      </c>
      <c r="I277" s="2" t="s">
        <v>295</v>
      </c>
      <c r="J277" s="2" t="s">
        <v>24</v>
      </c>
      <c r="K277">
        <v>3178.6</v>
      </c>
      <c r="L277">
        <v>13111.49</v>
      </c>
      <c r="M277">
        <v>412.49</v>
      </c>
      <c r="N277" s="2" t="s">
        <v>320</v>
      </c>
      <c r="O277" s="2" t="s">
        <v>321</v>
      </c>
      <c r="P277" s="2" t="s">
        <v>790</v>
      </c>
      <c r="Q277" s="2" t="s">
        <v>791</v>
      </c>
      <c r="R277" s="2" t="s">
        <v>29</v>
      </c>
      <c r="S277" s="2" t="s">
        <v>30</v>
      </c>
    </row>
    <row r="278" spans="1:19">
      <c r="A278" s="1">
        <v>43891</v>
      </c>
      <c r="B278" s="1">
        <v>43891</v>
      </c>
      <c r="C278">
        <v>2020</v>
      </c>
      <c r="D278">
        <v>3</v>
      </c>
      <c r="E278" s="2" t="s">
        <v>324</v>
      </c>
      <c r="F278" s="2" t="s">
        <v>325</v>
      </c>
      <c r="G278" s="2" t="s">
        <v>21</v>
      </c>
      <c r="H278" s="2" t="s">
        <v>22</v>
      </c>
      <c r="I278" s="2" t="s">
        <v>23</v>
      </c>
      <c r="J278" s="2" t="s">
        <v>59</v>
      </c>
      <c r="K278">
        <v>19635.400000000001</v>
      </c>
      <c r="L278">
        <v>2829140.24</v>
      </c>
      <c r="M278">
        <v>14408.37</v>
      </c>
      <c r="N278" s="2" t="s">
        <v>326</v>
      </c>
      <c r="O278" s="2" t="s">
        <v>327</v>
      </c>
      <c r="P278" s="2" t="s">
        <v>792</v>
      </c>
      <c r="Q278" s="2" t="s">
        <v>793</v>
      </c>
      <c r="R278" s="2" t="s">
        <v>29</v>
      </c>
      <c r="S278" s="2" t="s">
        <v>30</v>
      </c>
    </row>
    <row r="279" spans="1:19">
      <c r="A279" s="1">
        <v>43891</v>
      </c>
      <c r="B279" s="1">
        <v>43891</v>
      </c>
      <c r="C279">
        <v>2020</v>
      </c>
      <c r="D279">
        <v>3</v>
      </c>
      <c r="E279" s="2" t="s">
        <v>330</v>
      </c>
      <c r="F279" s="2" t="s">
        <v>331</v>
      </c>
      <c r="G279" s="2" t="s">
        <v>21</v>
      </c>
      <c r="H279" s="2" t="s">
        <v>332</v>
      </c>
      <c r="I279" s="2" t="s">
        <v>333</v>
      </c>
      <c r="J279" s="2" t="s">
        <v>24</v>
      </c>
      <c r="K279">
        <v>117.06</v>
      </c>
      <c r="L279">
        <v>10368946.279999999</v>
      </c>
      <c r="M279">
        <v>8857804.7799999993</v>
      </c>
      <c r="N279" s="2" t="s">
        <v>334</v>
      </c>
      <c r="O279" s="2" t="s">
        <v>335</v>
      </c>
      <c r="P279" s="2" t="s">
        <v>794</v>
      </c>
      <c r="Q279" s="2" t="s">
        <v>795</v>
      </c>
      <c r="R279" s="2" t="s">
        <v>29</v>
      </c>
      <c r="S279" s="2" t="s">
        <v>30</v>
      </c>
    </row>
    <row r="280" spans="1:19">
      <c r="A280" s="1">
        <v>43891</v>
      </c>
      <c r="B280" s="1">
        <v>43891</v>
      </c>
      <c r="C280">
        <v>2020</v>
      </c>
      <c r="D280">
        <v>3</v>
      </c>
      <c r="E280" s="2" t="s">
        <v>338</v>
      </c>
      <c r="F280" s="2" t="s">
        <v>339</v>
      </c>
      <c r="G280" s="2" t="s">
        <v>21</v>
      </c>
      <c r="H280" s="2" t="s">
        <v>332</v>
      </c>
      <c r="I280" s="2" t="s">
        <v>333</v>
      </c>
      <c r="J280" s="2" t="s">
        <v>24</v>
      </c>
      <c r="K280">
        <v>1.89</v>
      </c>
      <c r="L280">
        <v>1678274.47</v>
      </c>
      <c r="M280">
        <v>88797591.010000005</v>
      </c>
      <c r="N280" s="2" t="s">
        <v>340</v>
      </c>
      <c r="O280" s="2" t="s">
        <v>341</v>
      </c>
      <c r="P280" s="2" t="s">
        <v>796</v>
      </c>
      <c r="Q280" s="2" t="s">
        <v>797</v>
      </c>
      <c r="R280" s="2" t="s">
        <v>29</v>
      </c>
      <c r="S280" s="2" t="s">
        <v>30</v>
      </c>
    </row>
    <row r="281" spans="1:19">
      <c r="A281" s="1">
        <v>43891</v>
      </c>
      <c r="B281" s="1">
        <v>43891</v>
      </c>
      <c r="C281">
        <v>2020</v>
      </c>
      <c r="D281">
        <v>3</v>
      </c>
      <c r="E281" s="2" t="s">
        <v>344</v>
      </c>
      <c r="F281" s="2" t="s">
        <v>345</v>
      </c>
      <c r="G281" s="2" t="s">
        <v>21</v>
      </c>
      <c r="H281" s="2" t="s">
        <v>332</v>
      </c>
      <c r="I281" s="2" t="s">
        <v>333</v>
      </c>
      <c r="J281" s="2" t="s">
        <v>59</v>
      </c>
      <c r="K281">
        <v>118.95</v>
      </c>
      <c r="L281">
        <v>12047220.74</v>
      </c>
      <c r="M281">
        <v>10127970.359999999</v>
      </c>
      <c r="N281" s="2" t="s">
        <v>346</v>
      </c>
      <c r="O281" s="2" t="s">
        <v>347</v>
      </c>
      <c r="P281" s="2" t="s">
        <v>798</v>
      </c>
      <c r="Q281" s="2" t="s">
        <v>799</v>
      </c>
      <c r="R281" s="2" t="s">
        <v>29</v>
      </c>
      <c r="S281" s="2" t="s">
        <v>30</v>
      </c>
    </row>
    <row r="282" spans="1:19">
      <c r="A282" s="1">
        <v>43891</v>
      </c>
      <c r="B282" s="1">
        <v>43891</v>
      </c>
      <c r="C282">
        <v>2020</v>
      </c>
      <c r="D282">
        <v>3</v>
      </c>
      <c r="E282" s="2" t="s">
        <v>350</v>
      </c>
      <c r="F282" s="2" t="s">
        <v>351</v>
      </c>
      <c r="G282" s="2" t="s">
        <v>21</v>
      </c>
      <c r="H282" s="2" t="s">
        <v>22</v>
      </c>
      <c r="I282" s="2" t="s">
        <v>352</v>
      </c>
      <c r="J282" s="2" t="s">
        <v>353</v>
      </c>
      <c r="K282">
        <v>29266.86</v>
      </c>
      <c r="L282">
        <v>15024753.779999999</v>
      </c>
      <c r="M282">
        <v>51337.09</v>
      </c>
      <c r="N282" s="2" t="s">
        <v>354</v>
      </c>
      <c r="O282" s="2" t="s">
        <v>355</v>
      </c>
      <c r="P282" s="2" t="s">
        <v>800</v>
      </c>
      <c r="Q282" s="2" t="s">
        <v>801</v>
      </c>
      <c r="R282" s="2" t="s">
        <v>29</v>
      </c>
      <c r="S282" s="2" t="s">
        <v>30</v>
      </c>
    </row>
    <row r="283" spans="1:19">
      <c r="A283" s="1">
        <v>43891</v>
      </c>
      <c r="B283" s="1">
        <v>43891</v>
      </c>
      <c r="C283">
        <v>2020</v>
      </c>
      <c r="D283">
        <v>3</v>
      </c>
      <c r="E283" s="2" t="s">
        <v>358</v>
      </c>
      <c r="F283" s="2" t="s">
        <v>359</v>
      </c>
      <c r="G283" s="2" t="s">
        <v>21</v>
      </c>
      <c r="H283" s="2" t="s">
        <v>22</v>
      </c>
      <c r="I283" s="2" t="s">
        <v>352</v>
      </c>
      <c r="J283" s="2" t="s">
        <v>353</v>
      </c>
      <c r="K283">
        <v>29977.21</v>
      </c>
      <c r="L283">
        <v>15590068.439999999</v>
      </c>
      <c r="M283">
        <v>52006.400000000001</v>
      </c>
      <c r="N283" s="2" t="s">
        <v>360</v>
      </c>
      <c r="O283" s="2" t="s">
        <v>361</v>
      </c>
      <c r="P283" s="2" t="s">
        <v>802</v>
      </c>
      <c r="Q283" s="2" t="s">
        <v>803</v>
      </c>
      <c r="R283" s="2" t="s">
        <v>29</v>
      </c>
      <c r="S283" s="2" t="s">
        <v>30</v>
      </c>
    </row>
    <row r="284" spans="1:19">
      <c r="A284" s="1">
        <v>43891</v>
      </c>
      <c r="B284" s="1">
        <v>43891</v>
      </c>
      <c r="C284">
        <v>2020</v>
      </c>
      <c r="D284">
        <v>3</v>
      </c>
      <c r="E284" s="2" t="s">
        <v>364</v>
      </c>
      <c r="F284" s="2" t="s">
        <v>365</v>
      </c>
      <c r="G284" s="2" t="s">
        <v>21</v>
      </c>
      <c r="H284" s="2" t="s">
        <v>22</v>
      </c>
      <c r="I284" s="2" t="s">
        <v>352</v>
      </c>
      <c r="J284" s="2" t="s">
        <v>353</v>
      </c>
      <c r="K284">
        <v>29858.26</v>
      </c>
      <c r="L284">
        <v>3542847.7</v>
      </c>
      <c r="M284">
        <v>11865.55</v>
      </c>
      <c r="N284" s="2" t="s">
        <v>366</v>
      </c>
      <c r="O284" s="2" t="s">
        <v>367</v>
      </c>
      <c r="P284" s="2" t="s">
        <v>804</v>
      </c>
      <c r="Q284" s="2" t="s">
        <v>805</v>
      </c>
      <c r="R284" s="2" t="s">
        <v>29</v>
      </c>
      <c r="S284" s="2" t="s">
        <v>30</v>
      </c>
    </row>
    <row r="285" spans="1:19">
      <c r="A285" s="1">
        <v>43891</v>
      </c>
      <c r="B285" s="1">
        <v>43891</v>
      </c>
      <c r="C285">
        <v>2020</v>
      </c>
      <c r="D285">
        <v>3</v>
      </c>
      <c r="E285" s="2" t="s">
        <v>370</v>
      </c>
      <c r="F285" s="2" t="s">
        <v>371</v>
      </c>
      <c r="G285" s="2" t="s">
        <v>21</v>
      </c>
      <c r="H285" s="2" t="s">
        <v>22</v>
      </c>
      <c r="I285" s="2" t="s">
        <v>23</v>
      </c>
      <c r="J285" s="2" t="s">
        <v>24</v>
      </c>
      <c r="K285">
        <v>12468.45</v>
      </c>
      <c r="L285">
        <v>206462.31</v>
      </c>
      <c r="M285">
        <v>1655.88</v>
      </c>
      <c r="N285" s="2" t="s">
        <v>372</v>
      </c>
      <c r="O285" s="2" t="s">
        <v>373</v>
      </c>
      <c r="P285" s="2" t="s">
        <v>806</v>
      </c>
      <c r="Q285" s="2" t="s">
        <v>807</v>
      </c>
      <c r="R285" s="2" t="s">
        <v>29</v>
      </c>
      <c r="S285" s="2" t="s">
        <v>30</v>
      </c>
    </row>
    <row r="286" spans="1:19">
      <c r="A286" s="1">
        <v>43891</v>
      </c>
      <c r="B286" s="1">
        <v>43891</v>
      </c>
      <c r="C286">
        <v>2020</v>
      </c>
      <c r="D286">
        <v>3</v>
      </c>
      <c r="E286" s="2" t="s">
        <v>376</v>
      </c>
      <c r="F286" s="2" t="s">
        <v>377</v>
      </c>
      <c r="G286" s="2" t="s">
        <v>21</v>
      </c>
      <c r="H286" s="2" t="s">
        <v>22</v>
      </c>
      <c r="I286" s="2" t="s">
        <v>23</v>
      </c>
      <c r="J286" s="2" t="s">
        <v>378</v>
      </c>
      <c r="K286">
        <v>0.68</v>
      </c>
      <c r="L286">
        <v>11.65</v>
      </c>
      <c r="M286">
        <v>1713.24</v>
      </c>
      <c r="N286" s="2" t="s">
        <v>379</v>
      </c>
      <c r="O286" s="2" t="s">
        <v>380</v>
      </c>
      <c r="P286" s="2" t="s">
        <v>808</v>
      </c>
      <c r="Q286" s="2" t="s">
        <v>809</v>
      </c>
      <c r="R286" s="2" t="s">
        <v>29</v>
      </c>
      <c r="S286" s="2" t="s">
        <v>30</v>
      </c>
    </row>
    <row r="287" spans="1:19">
      <c r="A287" s="1">
        <v>43922</v>
      </c>
      <c r="B287" s="1">
        <v>43922</v>
      </c>
      <c r="C287">
        <v>2020</v>
      </c>
      <c r="D287">
        <v>4</v>
      </c>
      <c r="E287" s="2" t="s">
        <v>19</v>
      </c>
      <c r="F287" s="2" t="s">
        <v>20</v>
      </c>
      <c r="G287" s="2" t="s">
        <v>21</v>
      </c>
      <c r="H287" s="2" t="s">
        <v>22</v>
      </c>
      <c r="I287" s="2" t="s">
        <v>23</v>
      </c>
      <c r="J287" s="2" t="s">
        <v>24</v>
      </c>
      <c r="K287">
        <v>0.69</v>
      </c>
      <c r="L287">
        <v>29.46</v>
      </c>
      <c r="M287">
        <v>4269.57</v>
      </c>
      <c r="N287" s="2" t="s">
        <v>25</v>
      </c>
      <c r="O287" s="2" t="s">
        <v>26</v>
      </c>
      <c r="P287" s="2" t="s">
        <v>810</v>
      </c>
      <c r="Q287" s="2" t="s">
        <v>811</v>
      </c>
      <c r="R287" s="2" t="s">
        <v>29</v>
      </c>
      <c r="S287" s="2" t="s">
        <v>30</v>
      </c>
    </row>
    <row r="288" spans="1:19">
      <c r="A288" s="1">
        <v>43922</v>
      </c>
      <c r="B288" s="1">
        <v>43922</v>
      </c>
      <c r="C288">
        <v>2020</v>
      </c>
      <c r="D288">
        <v>4</v>
      </c>
      <c r="E288" s="2" t="s">
        <v>31</v>
      </c>
      <c r="F288" s="2" t="s">
        <v>32</v>
      </c>
      <c r="G288" s="2" t="s">
        <v>21</v>
      </c>
      <c r="H288" s="2" t="s">
        <v>22</v>
      </c>
      <c r="I288" s="2" t="s">
        <v>23</v>
      </c>
      <c r="J288" s="2" t="s">
        <v>24</v>
      </c>
      <c r="K288">
        <v>2312.36</v>
      </c>
      <c r="L288">
        <v>18996.349999999999</v>
      </c>
      <c r="M288">
        <v>821.51</v>
      </c>
      <c r="N288" s="2" t="s">
        <v>33</v>
      </c>
      <c r="O288" s="2" t="s">
        <v>34</v>
      </c>
      <c r="P288" s="2" t="s">
        <v>812</v>
      </c>
      <c r="Q288" s="2" t="s">
        <v>813</v>
      </c>
      <c r="R288" s="2" t="s">
        <v>29</v>
      </c>
      <c r="S288" s="2" t="s">
        <v>30</v>
      </c>
    </row>
    <row r="289" spans="1:19">
      <c r="A289" s="1">
        <v>43922</v>
      </c>
      <c r="B289" s="1">
        <v>43922</v>
      </c>
      <c r="C289">
        <v>2020</v>
      </c>
      <c r="D289">
        <v>4</v>
      </c>
      <c r="E289" s="2" t="s">
        <v>37</v>
      </c>
      <c r="F289" s="2" t="s">
        <v>38</v>
      </c>
      <c r="G289" s="2" t="s">
        <v>39</v>
      </c>
      <c r="H289" s="2" t="s">
        <v>22</v>
      </c>
      <c r="I289" s="2" t="s">
        <v>40</v>
      </c>
      <c r="J289" s="2" t="s">
        <v>24</v>
      </c>
      <c r="K289">
        <v>3.68</v>
      </c>
      <c r="L289">
        <v>159.13999999999999</v>
      </c>
      <c r="M289">
        <v>4324.46</v>
      </c>
      <c r="N289" s="2" t="s">
        <v>41</v>
      </c>
      <c r="O289" s="2" t="s">
        <v>42</v>
      </c>
      <c r="P289" s="2" t="s">
        <v>814</v>
      </c>
      <c r="Q289" s="2" t="s">
        <v>815</v>
      </c>
      <c r="R289" s="2" t="s">
        <v>29</v>
      </c>
      <c r="S289" s="2" t="s">
        <v>30</v>
      </c>
    </row>
    <row r="290" spans="1:19">
      <c r="A290" s="1">
        <v>43922</v>
      </c>
      <c r="B290" s="1">
        <v>43922</v>
      </c>
      <c r="C290">
        <v>2020</v>
      </c>
      <c r="D290">
        <v>4</v>
      </c>
      <c r="E290" s="2" t="s">
        <v>45</v>
      </c>
      <c r="F290" s="2" t="s">
        <v>46</v>
      </c>
      <c r="G290" s="2" t="s">
        <v>39</v>
      </c>
      <c r="H290" s="2" t="s">
        <v>22</v>
      </c>
      <c r="I290" s="2" t="s">
        <v>40</v>
      </c>
      <c r="J290" s="2" t="s">
        <v>24</v>
      </c>
      <c r="K290">
        <v>2935.26</v>
      </c>
      <c r="L290">
        <v>128559.71</v>
      </c>
      <c r="M290">
        <v>4379.84</v>
      </c>
      <c r="N290" s="2" t="s">
        <v>47</v>
      </c>
      <c r="O290" s="2" t="s">
        <v>48</v>
      </c>
      <c r="P290" s="2" t="s">
        <v>816</v>
      </c>
      <c r="Q290" s="2" t="s">
        <v>817</v>
      </c>
      <c r="R290" s="2" t="s">
        <v>29</v>
      </c>
      <c r="S290" s="2" t="s">
        <v>30</v>
      </c>
    </row>
    <row r="291" spans="1:19">
      <c r="A291" s="1">
        <v>43922</v>
      </c>
      <c r="B291" s="1">
        <v>43922</v>
      </c>
      <c r="C291">
        <v>2020</v>
      </c>
      <c r="D291">
        <v>4</v>
      </c>
      <c r="E291" s="2" t="s">
        <v>51</v>
      </c>
      <c r="F291" s="2" t="s">
        <v>52</v>
      </c>
      <c r="G291" s="2" t="s">
        <v>39</v>
      </c>
      <c r="H291" s="2" t="s">
        <v>22</v>
      </c>
      <c r="I291" s="2" t="s">
        <v>40</v>
      </c>
      <c r="J291" s="2" t="s">
        <v>24</v>
      </c>
      <c r="K291">
        <v>10.97</v>
      </c>
      <c r="L291">
        <v>379.39</v>
      </c>
      <c r="M291">
        <v>3458.43</v>
      </c>
      <c r="N291" s="2" t="s">
        <v>53</v>
      </c>
      <c r="O291" s="2" t="s">
        <v>54</v>
      </c>
      <c r="P291" s="2" t="s">
        <v>818</v>
      </c>
      <c r="Q291" s="2" t="s">
        <v>819</v>
      </c>
      <c r="R291" s="2" t="s">
        <v>29</v>
      </c>
      <c r="S291" s="2" t="s">
        <v>30</v>
      </c>
    </row>
    <row r="292" spans="1:19">
      <c r="A292" s="1">
        <v>43922</v>
      </c>
      <c r="B292" s="1">
        <v>43922</v>
      </c>
      <c r="C292">
        <v>2020</v>
      </c>
      <c r="D292">
        <v>4</v>
      </c>
      <c r="E292" s="2" t="s">
        <v>57</v>
      </c>
      <c r="F292" s="2" t="s">
        <v>58</v>
      </c>
      <c r="G292" s="2" t="s">
        <v>39</v>
      </c>
      <c r="H292" s="2" t="s">
        <v>22</v>
      </c>
      <c r="I292" s="2" t="s">
        <v>40</v>
      </c>
      <c r="J292" s="2" t="s">
        <v>59</v>
      </c>
      <c r="K292">
        <v>2949.9</v>
      </c>
      <c r="L292">
        <v>129098.25</v>
      </c>
      <c r="M292">
        <v>4376.3599999999997</v>
      </c>
      <c r="N292" s="2" t="s">
        <v>60</v>
      </c>
      <c r="O292" s="2" t="s">
        <v>61</v>
      </c>
      <c r="P292" s="2" t="s">
        <v>820</v>
      </c>
      <c r="Q292" s="2" t="s">
        <v>821</v>
      </c>
      <c r="R292" s="2" t="s">
        <v>29</v>
      </c>
      <c r="S292" s="2" t="s">
        <v>30</v>
      </c>
    </row>
    <row r="293" spans="1:19">
      <c r="A293" s="1">
        <v>43922</v>
      </c>
      <c r="B293" s="1">
        <v>43922</v>
      </c>
      <c r="C293">
        <v>2020</v>
      </c>
      <c r="D293">
        <v>4</v>
      </c>
      <c r="E293" s="2" t="s">
        <v>64</v>
      </c>
      <c r="F293" s="2" t="s">
        <v>65</v>
      </c>
      <c r="G293" s="2" t="s">
        <v>21</v>
      </c>
      <c r="H293" s="2" t="s">
        <v>22</v>
      </c>
      <c r="I293" s="2" t="s">
        <v>66</v>
      </c>
      <c r="J293" s="2" t="s">
        <v>24</v>
      </c>
      <c r="K293">
        <v>20.66</v>
      </c>
      <c r="L293">
        <v>217.07</v>
      </c>
      <c r="M293">
        <v>1050.68</v>
      </c>
      <c r="N293" s="2" t="s">
        <v>67</v>
      </c>
      <c r="O293" s="2" t="s">
        <v>68</v>
      </c>
      <c r="P293" s="2" t="s">
        <v>822</v>
      </c>
      <c r="Q293" s="2" t="s">
        <v>823</v>
      </c>
      <c r="R293" s="2" t="s">
        <v>29</v>
      </c>
      <c r="S293" s="2" t="s">
        <v>30</v>
      </c>
    </row>
    <row r="294" spans="1:19">
      <c r="A294" s="1">
        <v>43922</v>
      </c>
      <c r="B294" s="1">
        <v>43922</v>
      </c>
      <c r="C294">
        <v>2020</v>
      </c>
      <c r="D294">
        <v>4</v>
      </c>
      <c r="E294" s="2" t="s">
        <v>71</v>
      </c>
      <c r="F294" s="2" t="s">
        <v>72</v>
      </c>
      <c r="G294" s="2" t="s">
        <v>21</v>
      </c>
      <c r="H294" s="2" t="s">
        <v>22</v>
      </c>
      <c r="I294" s="2" t="s">
        <v>73</v>
      </c>
      <c r="J294" s="2" t="s">
        <v>59</v>
      </c>
      <c r="K294">
        <v>2822.19</v>
      </c>
      <c r="L294">
        <v>44015.25</v>
      </c>
      <c r="M294">
        <v>1559.61</v>
      </c>
      <c r="N294" s="2" t="s">
        <v>74</v>
      </c>
      <c r="O294" s="2" t="s">
        <v>75</v>
      </c>
      <c r="P294" s="2" t="s">
        <v>824</v>
      </c>
      <c r="Q294" s="2" t="s">
        <v>825</v>
      </c>
      <c r="R294" s="2" t="s">
        <v>29</v>
      </c>
      <c r="S294" s="2" t="s">
        <v>30</v>
      </c>
    </row>
    <row r="295" spans="1:19">
      <c r="A295" s="1">
        <v>43922</v>
      </c>
      <c r="B295" s="1">
        <v>43922</v>
      </c>
      <c r="C295">
        <v>2020</v>
      </c>
      <c r="D295">
        <v>4</v>
      </c>
      <c r="E295" s="2" t="s">
        <v>78</v>
      </c>
      <c r="F295" s="2" t="s">
        <v>79</v>
      </c>
      <c r="G295" s="2" t="s">
        <v>80</v>
      </c>
      <c r="H295" s="2" t="s">
        <v>81</v>
      </c>
      <c r="I295" s="2" t="s">
        <v>82</v>
      </c>
      <c r="J295" s="2" t="s">
        <v>24</v>
      </c>
      <c r="K295">
        <v>0.63</v>
      </c>
      <c r="L295">
        <v>3030886.87</v>
      </c>
      <c r="M295">
        <v>481093153.97000003</v>
      </c>
      <c r="N295" s="2" t="s">
        <v>83</v>
      </c>
      <c r="O295" s="2" t="s">
        <v>84</v>
      </c>
      <c r="P295" s="2" t="s">
        <v>91</v>
      </c>
      <c r="Q295" s="2" t="s">
        <v>826</v>
      </c>
      <c r="R295" s="2" t="s">
        <v>29</v>
      </c>
      <c r="S295" s="2" t="s">
        <v>30</v>
      </c>
    </row>
    <row r="296" spans="1:19">
      <c r="A296" s="1">
        <v>43922</v>
      </c>
      <c r="B296" s="1">
        <v>43922</v>
      </c>
      <c r="C296">
        <v>2020</v>
      </c>
      <c r="D296">
        <v>4</v>
      </c>
      <c r="E296" s="2" t="s">
        <v>87</v>
      </c>
      <c r="F296" s="2" t="s">
        <v>88</v>
      </c>
      <c r="G296" s="2" t="s">
        <v>80</v>
      </c>
      <c r="H296" s="2" t="s">
        <v>81</v>
      </c>
      <c r="I296" s="2" t="s">
        <v>82</v>
      </c>
      <c r="J296" s="2" t="s">
        <v>24</v>
      </c>
      <c r="K296">
        <v>0.38</v>
      </c>
      <c r="L296">
        <v>779511.15</v>
      </c>
      <c r="M296">
        <v>205134513.16</v>
      </c>
      <c r="N296" s="2" t="s">
        <v>89</v>
      </c>
      <c r="O296" s="2" t="s">
        <v>90</v>
      </c>
      <c r="P296" s="2" t="s">
        <v>827</v>
      </c>
      <c r="Q296" s="2" t="s">
        <v>828</v>
      </c>
      <c r="R296" s="2" t="s">
        <v>29</v>
      </c>
      <c r="S296" s="2" t="s">
        <v>30</v>
      </c>
    </row>
    <row r="297" spans="1:19">
      <c r="A297" s="1">
        <v>43922</v>
      </c>
      <c r="B297" s="1">
        <v>43922</v>
      </c>
      <c r="C297">
        <v>2020</v>
      </c>
      <c r="D297">
        <v>4</v>
      </c>
      <c r="E297" s="2" t="s">
        <v>93</v>
      </c>
      <c r="F297" s="2" t="s">
        <v>94</v>
      </c>
      <c r="G297" s="2" t="s">
        <v>80</v>
      </c>
      <c r="H297" s="2" t="s">
        <v>81</v>
      </c>
      <c r="I297" s="2" t="s">
        <v>82</v>
      </c>
      <c r="J297" s="2" t="s">
        <v>24</v>
      </c>
      <c r="K297">
        <v>0.17</v>
      </c>
      <c r="L297">
        <v>2517434.69</v>
      </c>
      <c r="M297">
        <v>1480843935.29</v>
      </c>
      <c r="N297" s="2" t="s">
        <v>95</v>
      </c>
      <c r="O297" s="2" t="s">
        <v>96</v>
      </c>
      <c r="P297" s="2" t="s">
        <v>169</v>
      </c>
      <c r="Q297" s="2" t="s">
        <v>829</v>
      </c>
      <c r="R297" s="2" t="s">
        <v>29</v>
      </c>
      <c r="S297" s="2" t="s">
        <v>30</v>
      </c>
    </row>
    <row r="298" spans="1:19">
      <c r="A298" s="1">
        <v>43922</v>
      </c>
      <c r="B298" s="1">
        <v>43922</v>
      </c>
      <c r="C298">
        <v>2020</v>
      </c>
      <c r="D298">
        <v>4</v>
      </c>
      <c r="E298" s="2" t="s">
        <v>99</v>
      </c>
      <c r="F298" s="2" t="s">
        <v>100</v>
      </c>
      <c r="G298" s="2" t="s">
        <v>80</v>
      </c>
      <c r="H298" s="2" t="s">
        <v>81</v>
      </c>
      <c r="I298" s="2" t="s">
        <v>82</v>
      </c>
      <c r="J298" s="2" t="s">
        <v>101</v>
      </c>
      <c r="K298">
        <v>0.7</v>
      </c>
      <c r="L298">
        <v>6644723.9900000002</v>
      </c>
      <c r="M298">
        <v>949246284.28999996</v>
      </c>
      <c r="N298" s="2" t="s">
        <v>102</v>
      </c>
      <c r="O298" s="2" t="s">
        <v>103</v>
      </c>
      <c r="P298" s="2" t="s">
        <v>704</v>
      </c>
      <c r="Q298" s="2" t="s">
        <v>830</v>
      </c>
      <c r="R298" s="2" t="s">
        <v>29</v>
      </c>
      <c r="S298" s="2" t="s">
        <v>30</v>
      </c>
    </row>
    <row r="299" spans="1:19">
      <c r="A299" s="1">
        <v>43922</v>
      </c>
      <c r="B299" s="1">
        <v>43922</v>
      </c>
      <c r="C299">
        <v>2020</v>
      </c>
      <c r="D299">
        <v>4</v>
      </c>
      <c r="E299" s="2" t="s">
        <v>106</v>
      </c>
      <c r="F299" s="2" t="s">
        <v>107</v>
      </c>
      <c r="G299" s="2" t="s">
        <v>80</v>
      </c>
      <c r="H299" s="2" t="s">
        <v>81</v>
      </c>
      <c r="I299" s="2" t="s">
        <v>82</v>
      </c>
      <c r="J299" s="2" t="s">
        <v>24</v>
      </c>
      <c r="K299">
        <v>0.16</v>
      </c>
      <c r="L299">
        <v>3347778.15</v>
      </c>
      <c r="M299">
        <v>2092361343.75</v>
      </c>
      <c r="N299" s="2" t="s">
        <v>108</v>
      </c>
      <c r="O299" s="2" t="s">
        <v>109</v>
      </c>
      <c r="P299" s="2" t="s">
        <v>620</v>
      </c>
      <c r="Q299" s="2" t="s">
        <v>831</v>
      </c>
      <c r="R299" s="2" t="s">
        <v>29</v>
      </c>
      <c r="S299" s="2" t="s">
        <v>30</v>
      </c>
    </row>
    <row r="300" spans="1:19">
      <c r="A300" s="1">
        <v>43922</v>
      </c>
      <c r="B300" s="1">
        <v>43922</v>
      </c>
      <c r="C300">
        <v>2020</v>
      </c>
      <c r="D300">
        <v>4</v>
      </c>
      <c r="E300" s="2" t="s">
        <v>111</v>
      </c>
      <c r="F300" s="2" t="s">
        <v>112</v>
      </c>
      <c r="G300" s="2" t="s">
        <v>80</v>
      </c>
      <c r="H300" s="2" t="s">
        <v>81</v>
      </c>
      <c r="I300" s="2" t="s">
        <v>82</v>
      </c>
      <c r="J300" s="2" t="s">
        <v>24</v>
      </c>
      <c r="K300">
        <v>0.01</v>
      </c>
      <c r="L300">
        <v>132970</v>
      </c>
      <c r="M300">
        <v>1329700000</v>
      </c>
      <c r="N300" s="2" t="s">
        <v>113</v>
      </c>
      <c r="O300" s="2" t="s">
        <v>114</v>
      </c>
      <c r="P300" s="2" t="s">
        <v>832</v>
      </c>
      <c r="Q300" s="2" t="s">
        <v>833</v>
      </c>
      <c r="R300" s="2" t="s">
        <v>29</v>
      </c>
      <c r="S300" s="2" t="s">
        <v>30</v>
      </c>
    </row>
    <row r="301" spans="1:19">
      <c r="A301" s="1">
        <v>43922</v>
      </c>
      <c r="B301" s="1">
        <v>43922</v>
      </c>
      <c r="C301">
        <v>2020</v>
      </c>
      <c r="D301">
        <v>4</v>
      </c>
      <c r="E301" s="2" t="s">
        <v>117</v>
      </c>
      <c r="F301" s="2" t="s">
        <v>118</v>
      </c>
      <c r="G301" s="2" t="s">
        <v>80</v>
      </c>
      <c r="H301" s="2" t="s">
        <v>81</v>
      </c>
      <c r="I301" s="2" t="s">
        <v>82</v>
      </c>
      <c r="J301" s="2" t="s">
        <v>59</v>
      </c>
      <c r="K301">
        <v>1.34</v>
      </c>
      <c r="L301">
        <v>9808580.8599999994</v>
      </c>
      <c r="M301">
        <v>731983646.26999998</v>
      </c>
      <c r="N301" s="2" t="s">
        <v>119</v>
      </c>
      <c r="O301" s="2" t="s">
        <v>120</v>
      </c>
      <c r="P301" s="2" t="s">
        <v>834</v>
      </c>
      <c r="Q301" s="2" t="s">
        <v>835</v>
      </c>
      <c r="R301" s="2" t="s">
        <v>29</v>
      </c>
      <c r="S301" s="2" t="s">
        <v>30</v>
      </c>
    </row>
    <row r="302" spans="1:19">
      <c r="A302" s="1">
        <v>43922</v>
      </c>
      <c r="B302" s="1">
        <v>43922</v>
      </c>
      <c r="C302">
        <v>2020</v>
      </c>
      <c r="D302">
        <v>4</v>
      </c>
      <c r="E302" s="2" t="s">
        <v>123</v>
      </c>
      <c r="F302" s="2" t="s">
        <v>124</v>
      </c>
      <c r="G302" s="2" t="s">
        <v>21</v>
      </c>
      <c r="H302" s="2" t="s">
        <v>22</v>
      </c>
      <c r="I302" s="2" t="s">
        <v>73</v>
      </c>
      <c r="J302" s="2" t="s">
        <v>24</v>
      </c>
      <c r="K302">
        <v>485.27</v>
      </c>
      <c r="L302">
        <v>12712.9</v>
      </c>
      <c r="M302">
        <v>2619.7600000000002</v>
      </c>
      <c r="N302" s="2" t="s">
        <v>125</v>
      </c>
      <c r="O302" s="2" t="s">
        <v>126</v>
      </c>
      <c r="P302" s="2" t="s">
        <v>836</v>
      </c>
      <c r="Q302" s="2" t="s">
        <v>837</v>
      </c>
      <c r="R302" s="2" t="s">
        <v>29</v>
      </c>
      <c r="S302" s="2" t="s">
        <v>30</v>
      </c>
    </row>
    <row r="303" spans="1:19">
      <c r="A303" s="1">
        <v>43922</v>
      </c>
      <c r="B303" s="1">
        <v>43922</v>
      </c>
      <c r="C303">
        <v>2020</v>
      </c>
      <c r="D303">
        <v>4</v>
      </c>
      <c r="E303" s="2" t="s">
        <v>129</v>
      </c>
      <c r="F303" s="2" t="s">
        <v>130</v>
      </c>
      <c r="G303" s="2" t="s">
        <v>21</v>
      </c>
      <c r="H303" s="2" t="s">
        <v>22</v>
      </c>
      <c r="I303" s="2" t="s">
        <v>73</v>
      </c>
      <c r="J303" s="2" t="s">
        <v>24</v>
      </c>
      <c r="K303">
        <v>283.26</v>
      </c>
      <c r="L303">
        <v>8051.87</v>
      </c>
      <c r="M303">
        <v>2842.57</v>
      </c>
      <c r="N303" s="2" t="s">
        <v>131</v>
      </c>
      <c r="O303" s="2" t="s">
        <v>132</v>
      </c>
      <c r="P303" s="2" t="s">
        <v>838</v>
      </c>
      <c r="Q303" s="2" t="s">
        <v>839</v>
      </c>
      <c r="R303" s="2" t="s">
        <v>29</v>
      </c>
      <c r="S303" s="2" t="s">
        <v>30</v>
      </c>
    </row>
    <row r="304" spans="1:19">
      <c r="A304" s="1">
        <v>43922</v>
      </c>
      <c r="B304" s="1">
        <v>43922</v>
      </c>
      <c r="C304">
        <v>2020</v>
      </c>
      <c r="D304">
        <v>4</v>
      </c>
      <c r="E304" s="2" t="s">
        <v>135</v>
      </c>
      <c r="F304" s="2" t="s">
        <v>136</v>
      </c>
      <c r="G304" s="2" t="s">
        <v>21</v>
      </c>
      <c r="H304" s="2" t="s">
        <v>22</v>
      </c>
      <c r="I304" s="2" t="s">
        <v>73</v>
      </c>
      <c r="J304" s="2" t="s">
        <v>101</v>
      </c>
      <c r="K304">
        <v>768.53</v>
      </c>
      <c r="L304">
        <v>20764.77</v>
      </c>
      <c r="M304">
        <v>2701.88</v>
      </c>
      <c r="N304" s="2" t="s">
        <v>137</v>
      </c>
      <c r="O304" s="2" t="s">
        <v>138</v>
      </c>
      <c r="P304" s="2" t="s">
        <v>840</v>
      </c>
      <c r="Q304" s="2" t="s">
        <v>841</v>
      </c>
      <c r="R304" s="2" t="s">
        <v>29</v>
      </c>
      <c r="S304" s="2" t="s">
        <v>30</v>
      </c>
    </row>
    <row r="305" spans="1:19">
      <c r="A305" s="1">
        <v>43922</v>
      </c>
      <c r="B305" s="1">
        <v>43922</v>
      </c>
      <c r="C305">
        <v>2020</v>
      </c>
      <c r="D305">
        <v>4</v>
      </c>
      <c r="E305" s="2" t="s">
        <v>141</v>
      </c>
      <c r="F305" s="2" t="s">
        <v>142</v>
      </c>
      <c r="G305" s="2" t="s">
        <v>21</v>
      </c>
      <c r="H305" s="2" t="s">
        <v>22</v>
      </c>
      <c r="I305" s="2" t="s">
        <v>73</v>
      </c>
      <c r="J305" s="2" t="s">
        <v>24</v>
      </c>
      <c r="K305">
        <v>1377.34</v>
      </c>
      <c r="L305">
        <v>14245.1</v>
      </c>
      <c r="M305">
        <v>1034.25</v>
      </c>
      <c r="N305" s="2" t="s">
        <v>143</v>
      </c>
      <c r="O305" s="2" t="s">
        <v>144</v>
      </c>
      <c r="P305" s="2" t="s">
        <v>842</v>
      </c>
      <c r="Q305" s="2" t="s">
        <v>843</v>
      </c>
      <c r="R305" s="2" t="s">
        <v>29</v>
      </c>
      <c r="S305" s="2" t="s">
        <v>30</v>
      </c>
    </row>
    <row r="306" spans="1:19">
      <c r="A306" s="1">
        <v>43922</v>
      </c>
      <c r="B306" s="1">
        <v>43922</v>
      </c>
      <c r="C306">
        <v>2020</v>
      </c>
      <c r="D306">
        <v>4</v>
      </c>
      <c r="E306" s="2" t="s">
        <v>147</v>
      </c>
      <c r="F306" s="2" t="s">
        <v>148</v>
      </c>
      <c r="G306" s="2" t="s">
        <v>21</v>
      </c>
      <c r="H306" s="2" t="s">
        <v>22</v>
      </c>
      <c r="I306" s="2" t="s">
        <v>73</v>
      </c>
      <c r="J306" s="2" t="s">
        <v>24</v>
      </c>
      <c r="K306">
        <v>676.32</v>
      </c>
      <c r="L306">
        <v>9005.39</v>
      </c>
      <c r="M306">
        <v>1331.53</v>
      </c>
      <c r="N306" s="2" t="s">
        <v>149</v>
      </c>
      <c r="O306" s="2" t="s">
        <v>150</v>
      </c>
      <c r="P306" s="2" t="s">
        <v>844</v>
      </c>
      <c r="Q306" s="2" t="s">
        <v>845</v>
      </c>
      <c r="R306" s="2" t="s">
        <v>29</v>
      </c>
      <c r="S306" s="2" t="s">
        <v>30</v>
      </c>
    </row>
    <row r="307" spans="1:19">
      <c r="A307" s="1">
        <v>43922</v>
      </c>
      <c r="B307" s="1">
        <v>43922</v>
      </c>
      <c r="C307">
        <v>2020</v>
      </c>
      <c r="D307">
        <v>4</v>
      </c>
      <c r="E307" s="2" t="s">
        <v>153</v>
      </c>
      <c r="F307" s="2" t="s">
        <v>154</v>
      </c>
      <c r="G307" s="2" t="s">
        <v>21</v>
      </c>
      <c r="H307" s="2" t="s">
        <v>22</v>
      </c>
      <c r="I307" s="2" t="s">
        <v>73</v>
      </c>
      <c r="J307" s="2" t="s">
        <v>101</v>
      </c>
      <c r="K307">
        <v>2053.66</v>
      </c>
      <c r="L307">
        <v>23250.48</v>
      </c>
      <c r="M307">
        <v>1132.1500000000001</v>
      </c>
      <c r="N307" s="2" t="s">
        <v>155</v>
      </c>
      <c r="O307" s="2" t="s">
        <v>156</v>
      </c>
      <c r="P307" s="2" t="s">
        <v>846</v>
      </c>
      <c r="Q307" s="2" t="s">
        <v>847</v>
      </c>
      <c r="R307" s="2" t="s">
        <v>29</v>
      </c>
      <c r="S307" s="2" t="s">
        <v>30</v>
      </c>
    </row>
    <row r="308" spans="1:19">
      <c r="A308" s="1">
        <v>43922</v>
      </c>
      <c r="B308" s="1">
        <v>43922</v>
      </c>
      <c r="C308">
        <v>2020</v>
      </c>
      <c r="D308">
        <v>4</v>
      </c>
      <c r="E308" s="2" t="s">
        <v>159</v>
      </c>
      <c r="F308" s="2" t="s">
        <v>160</v>
      </c>
      <c r="G308" s="2" t="s">
        <v>21</v>
      </c>
      <c r="H308" s="2" t="s">
        <v>22</v>
      </c>
      <c r="I308" s="2" t="s">
        <v>66</v>
      </c>
      <c r="J308" s="2" t="s">
        <v>59</v>
      </c>
      <c r="K308">
        <v>691.42</v>
      </c>
      <c r="L308">
        <v>56028.52</v>
      </c>
      <c r="M308">
        <v>8103.4</v>
      </c>
      <c r="N308" s="2" t="s">
        <v>161</v>
      </c>
      <c r="O308" s="2" t="s">
        <v>162</v>
      </c>
      <c r="P308" s="2" t="s">
        <v>848</v>
      </c>
      <c r="Q308" s="2" t="s">
        <v>849</v>
      </c>
      <c r="R308" s="2" t="s">
        <v>29</v>
      </c>
      <c r="S308" s="2" t="s">
        <v>30</v>
      </c>
    </row>
    <row r="309" spans="1:19">
      <c r="A309" s="1">
        <v>43922</v>
      </c>
      <c r="B309" s="1">
        <v>43922</v>
      </c>
      <c r="C309">
        <v>2020</v>
      </c>
      <c r="D309">
        <v>4</v>
      </c>
      <c r="E309" s="2" t="s">
        <v>165</v>
      </c>
      <c r="F309" s="2" t="s">
        <v>166</v>
      </c>
      <c r="G309" s="2" t="s">
        <v>21</v>
      </c>
      <c r="H309" s="2" t="s">
        <v>22</v>
      </c>
      <c r="I309" s="2" t="s">
        <v>23</v>
      </c>
      <c r="J309" s="2" t="s">
        <v>24</v>
      </c>
      <c r="K309">
        <v>0</v>
      </c>
      <c r="L309">
        <v>0</v>
      </c>
      <c r="N309" s="2" t="s">
        <v>167</v>
      </c>
      <c r="O309" s="2" t="s">
        <v>168</v>
      </c>
      <c r="P309" s="2" t="s">
        <v>639</v>
      </c>
      <c r="Q309" s="2" t="s">
        <v>639</v>
      </c>
      <c r="R309" s="2" t="s">
        <v>29</v>
      </c>
      <c r="S309" s="2" t="s">
        <v>30</v>
      </c>
    </row>
    <row r="310" spans="1:19">
      <c r="A310" s="1">
        <v>43922</v>
      </c>
      <c r="B310" s="1">
        <v>43922</v>
      </c>
      <c r="C310">
        <v>2020</v>
      </c>
      <c r="D310">
        <v>4</v>
      </c>
      <c r="E310" s="2" t="s">
        <v>171</v>
      </c>
      <c r="F310" s="2" t="s">
        <v>172</v>
      </c>
      <c r="G310" s="2" t="s">
        <v>21</v>
      </c>
      <c r="H310" s="2" t="s">
        <v>22</v>
      </c>
      <c r="I310" s="2" t="s">
        <v>66</v>
      </c>
      <c r="J310" s="2" t="s">
        <v>24</v>
      </c>
      <c r="N310" s="2" t="s">
        <v>173</v>
      </c>
      <c r="O310" s="2" t="s">
        <v>174</v>
      </c>
      <c r="P310" s="2" t="s">
        <v>175</v>
      </c>
      <c r="Q310" s="2" t="s">
        <v>175</v>
      </c>
      <c r="R310" s="2" t="s">
        <v>640</v>
      </c>
      <c r="S310" s="2" t="s">
        <v>641</v>
      </c>
    </row>
    <row r="311" spans="1:19">
      <c r="A311" s="1">
        <v>43922</v>
      </c>
      <c r="B311" s="1">
        <v>43922</v>
      </c>
      <c r="C311">
        <v>2020</v>
      </c>
      <c r="D311">
        <v>4</v>
      </c>
      <c r="E311" s="2" t="s">
        <v>177</v>
      </c>
      <c r="F311" s="2" t="s">
        <v>178</v>
      </c>
      <c r="G311" s="2" t="s">
        <v>21</v>
      </c>
      <c r="H311" s="2" t="s">
        <v>22</v>
      </c>
      <c r="I311" s="2" t="s">
        <v>23</v>
      </c>
      <c r="J311" s="2" t="s">
        <v>24</v>
      </c>
      <c r="K311">
        <v>1224.75</v>
      </c>
      <c r="L311">
        <v>121140.79</v>
      </c>
      <c r="M311">
        <v>9891.06</v>
      </c>
      <c r="N311" s="2" t="s">
        <v>179</v>
      </c>
      <c r="O311" s="2" t="s">
        <v>180</v>
      </c>
      <c r="P311" s="2" t="s">
        <v>850</v>
      </c>
      <c r="Q311" s="2" t="s">
        <v>851</v>
      </c>
      <c r="R311" s="2" t="s">
        <v>29</v>
      </c>
      <c r="S311" s="2" t="s">
        <v>30</v>
      </c>
    </row>
    <row r="312" spans="1:19">
      <c r="A312" s="1">
        <v>43922</v>
      </c>
      <c r="B312" s="1">
        <v>43922</v>
      </c>
      <c r="C312">
        <v>2020</v>
      </c>
      <c r="D312">
        <v>4</v>
      </c>
      <c r="E312" s="2" t="s">
        <v>183</v>
      </c>
      <c r="F312" s="2" t="s">
        <v>184</v>
      </c>
      <c r="G312" s="2" t="s">
        <v>185</v>
      </c>
      <c r="H312" s="2" t="s">
        <v>22</v>
      </c>
      <c r="I312" s="2" t="s">
        <v>186</v>
      </c>
      <c r="J312" s="2" t="s">
        <v>24</v>
      </c>
      <c r="K312">
        <v>1340.82</v>
      </c>
      <c r="L312">
        <v>1345305.46</v>
      </c>
      <c r="M312">
        <v>100334.53</v>
      </c>
      <c r="N312" s="2" t="s">
        <v>187</v>
      </c>
      <c r="O312" s="2" t="s">
        <v>188</v>
      </c>
      <c r="P312" s="2" t="s">
        <v>852</v>
      </c>
      <c r="Q312" s="2" t="s">
        <v>853</v>
      </c>
      <c r="R312" s="2" t="s">
        <v>29</v>
      </c>
      <c r="S312" s="2" t="s">
        <v>30</v>
      </c>
    </row>
    <row r="313" spans="1:19">
      <c r="A313" s="1">
        <v>43922</v>
      </c>
      <c r="B313" s="1">
        <v>43922</v>
      </c>
      <c r="C313">
        <v>2020</v>
      </c>
      <c r="D313">
        <v>4</v>
      </c>
      <c r="E313" s="2" t="s">
        <v>191</v>
      </c>
      <c r="F313" s="2" t="s">
        <v>192</v>
      </c>
      <c r="G313" s="2" t="s">
        <v>185</v>
      </c>
      <c r="H313" s="2" t="s">
        <v>22</v>
      </c>
      <c r="I313" s="2" t="s">
        <v>186</v>
      </c>
      <c r="J313" s="2" t="s">
        <v>24</v>
      </c>
      <c r="K313">
        <v>385.68</v>
      </c>
      <c r="L313">
        <v>3081555.1</v>
      </c>
      <c r="M313">
        <v>798992.71</v>
      </c>
      <c r="N313" s="2" t="s">
        <v>193</v>
      </c>
      <c r="O313" s="2" t="s">
        <v>194</v>
      </c>
      <c r="P313" s="2" t="s">
        <v>854</v>
      </c>
      <c r="Q313" s="2" t="s">
        <v>855</v>
      </c>
      <c r="R313" s="2" t="s">
        <v>29</v>
      </c>
      <c r="S313" s="2" t="s">
        <v>30</v>
      </c>
    </row>
    <row r="314" spans="1:19">
      <c r="A314" s="1">
        <v>43922</v>
      </c>
      <c r="B314" s="1">
        <v>43922</v>
      </c>
      <c r="C314">
        <v>2020</v>
      </c>
      <c r="D314">
        <v>4</v>
      </c>
      <c r="E314" s="2" t="s">
        <v>197</v>
      </c>
      <c r="F314" s="2" t="s">
        <v>198</v>
      </c>
      <c r="G314" s="2" t="s">
        <v>185</v>
      </c>
      <c r="H314" s="2" t="s">
        <v>22</v>
      </c>
      <c r="I314" s="2" t="s">
        <v>186</v>
      </c>
      <c r="J314" s="2" t="s">
        <v>59</v>
      </c>
      <c r="K314">
        <v>1726.5</v>
      </c>
      <c r="L314">
        <v>4426860.5599999996</v>
      </c>
      <c r="M314">
        <v>256406.64</v>
      </c>
      <c r="N314" s="2" t="s">
        <v>199</v>
      </c>
      <c r="O314" s="2" t="s">
        <v>200</v>
      </c>
      <c r="P314" s="2" t="s">
        <v>856</v>
      </c>
      <c r="Q314" s="2" t="s">
        <v>857</v>
      </c>
      <c r="R314" s="2" t="s">
        <v>29</v>
      </c>
      <c r="S314" s="2" t="s">
        <v>30</v>
      </c>
    </row>
    <row r="315" spans="1:19">
      <c r="A315" s="1">
        <v>43922</v>
      </c>
      <c r="B315" s="1">
        <v>43922</v>
      </c>
      <c r="C315">
        <v>2020</v>
      </c>
      <c r="D315">
        <v>4</v>
      </c>
      <c r="E315" s="2" t="s">
        <v>203</v>
      </c>
      <c r="F315" s="2" t="s">
        <v>204</v>
      </c>
      <c r="G315" s="2" t="s">
        <v>39</v>
      </c>
      <c r="H315" s="2" t="s">
        <v>22</v>
      </c>
      <c r="I315" s="2" t="s">
        <v>40</v>
      </c>
      <c r="J315" s="2" t="s">
        <v>24</v>
      </c>
      <c r="K315">
        <v>875.54</v>
      </c>
      <c r="L315">
        <v>14462.23</v>
      </c>
      <c r="M315">
        <v>1651.81</v>
      </c>
      <c r="N315" s="2" t="s">
        <v>205</v>
      </c>
      <c r="O315" s="2" t="s">
        <v>206</v>
      </c>
      <c r="P315" s="2" t="s">
        <v>858</v>
      </c>
      <c r="Q315" s="2" t="s">
        <v>859</v>
      </c>
      <c r="R315" s="2" t="s">
        <v>29</v>
      </c>
      <c r="S315" s="2" t="s">
        <v>30</v>
      </c>
    </row>
    <row r="316" spans="1:19">
      <c r="A316" s="1">
        <v>43922</v>
      </c>
      <c r="B316" s="1">
        <v>43922</v>
      </c>
      <c r="C316">
        <v>2020</v>
      </c>
      <c r="D316">
        <v>4</v>
      </c>
      <c r="E316" s="2" t="s">
        <v>209</v>
      </c>
      <c r="F316" s="2" t="s">
        <v>210</v>
      </c>
      <c r="G316" s="2" t="s">
        <v>39</v>
      </c>
      <c r="H316" s="2" t="s">
        <v>22</v>
      </c>
      <c r="I316" s="2" t="s">
        <v>40</v>
      </c>
      <c r="J316" s="2" t="s">
        <v>59</v>
      </c>
      <c r="K316">
        <v>875.54</v>
      </c>
      <c r="L316">
        <v>14462.23</v>
      </c>
      <c r="M316">
        <v>1651.81</v>
      </c>
      <c r="N316" s="2" t="s">
        <v>211</v>
      </c>
      <c r="O316" s="2" t="s">
        <v>212</v>
      </c>
      <c r="P316" s="2" t="s">
        <v>858</v>
      </c>
      <c r="Q316" s="2" t="s">
        <v>859</v>
      </c>
      <c r="R316" s="2" t="s">
        <v>29</v>
      </c>
      <c r="S316" s="2" t="s">
        <v>30</v>
      </c>
    </row>
    <row r="317" spans="1:19">
      <c r="A317" s="1">
        <v>43922</v>
      </c>
      <c r="B317" s="1">
        <v>43922</v>
      </c>
      <c r="C317">
        <v>2020</v>
      </c>
      <c r="D317">
        <v>4</v>
      </c>
      <c r="E317" s="2" t="s">
        <v>213</v>
      </c>
      <c r="F317" s="2" t="s">
        <v>214</v>
      </c>
      <c r="G317" s="2" t="s">
        <v>185</v>
      </c>
      <c r="H317" s="2" t="s">
        <v>22</v>
      </c>
      <c r="I317" s="2" t="s">
        <v>215</v>
      </c>
      <c r="J317" s="2" t="s">
        <v>24</v>
      </c>
      <c r="K317">
        <v>10254.33</v>
      </c>
      <c r="L317">
        <v>291610.96000000002</v>
      </c>
      <c r="M317">
        <v>2843.78</v>
      </c>
      <c r="N317" s="2" t="s">
        <v>216</v>
      </c>
      <c r="O317" s="2" t="s">
        <v>217</v>
      </c>
      <c r="P317" s="2" t="s">
        <v>860</v>
      </c>
      <c r="Q317" s="2" t="s">
        <v>861</v>
      </c>
      <c r="R317" s="2" t="s">
        <v>29</v>
      </c>
      <c r="S317" s="2" t="s">
        <v>30</v>
      </c>
    </row>
    <row r="318" spans="1:19">
      <c r="A318" s="1">
        <v>43922</v>
      </c>
      <c r="B318" s="1">
        <v>43922</v>
      </c>
      <c r="C318">
        <v>2020</v>
      </c>
      <c r="D318">
        <v>4</v>
      </c>
      <c r="E318" s="2" t="s">
        <v>220</v>
      </c>
      <c r="F318" s="2" t="s">
        <v>221</v>
      </c>
      <c r="G318" s="2" t="s">
        <v>185</v>
      </c>
      <c r="H318" s="2" t="s">
        <v>22</v>
      </c>
      <c r="I318" s="2" t="s">
        <v>215</v>
      </c>
      <c r="J318" s="2" t="s">
        <v>24</v>
      </c>
      <c r="K318">
        <v>1064.77</v>
      </c>
      <c r="L318">
        <v>73416.289999999994</v>
      </c>
      <c r="M318">
        <v>6895.04</v>
      </c>
      <c r="N318" s="2" t="s">
        <v>222</v>
      </c>
      <c r="O318" s="2" t="s">
        <v>223</v>
      </c>
      <c r="P318" s="2" t="s">
        <v>862</v>
      </c>
      <c r="Q318" s="2" t="s">
        <v>863</v>
      </c>
      <c r="R318" s="2" t="s">
        <v>29</v>
      </c>
      <c r="S318" s="2" t="s">
        <v>30</v>
      </c>
    </row>
    <row r="319" spans="1:19">
      <c r="A319" s="1">
        <v>43922</v>
      </c>
      <c r="B319" s="1">
        <v>43922</v>
      </c>
      <c r="C319">
        <v>2020</v>
      </c>
      <c r="D319">
        <v>4</v>
      </c>
      <c r="E319" s="2" t="s">
        <v>226</v>
      </c>
      <c r="F319" s="2" t="s">
        <v>227</v>
      </c>
      <c r="G319" s="2" t="s">
        <v>185</v>
      </c>
      <c r="H319" s="2" t="s">
        <v>22</v>
      </c>
      <c r="I319" s="2" t="s">
        <v>215</v>
      </c>
      <c r="J319" s="2" t="s">
        <v>59</v>
      </c>
      <c r="K319">
        <v>11319.1</v>
      </c>
      <c r="L319">
        <v>365027.25</v>
      </c>
      <c r="M319">
        <v>3224.88</v>
      </c>
      <c r="N319" s="2" t="s">
        <v>228</v>
      </c>
      <c r="O319" s="2" t="s">
        <v>229</v>
      </c>
      <c r="P319" s="2" t="s">
        <v>864</v>
      </c>
      <c r="Q319" s="2" t="s">
        <v>865</v>
      </c>
      <c r="R319" s="2" t="s">
        <v>29</v>
      </c>
      <c r="S319" s="2" t="s">
        <v>30</v>
      </c>
    </row>
    <row r="320" spans="1:19">
      <c r="A320" s="1">
        <v>43922</v>
      </c>
      <c r="B320" s="1">
        <v>43922</v>
      </c>
      <c r="C320">
        <v>2020</v>
      </c>
      <c r="D320">
        <v>4</v>
      </c>
      <c r="E320" s="2" t="s">
        <v>232</v>
      </c>
      <c r="F320" s="2" t="s">
        <v>233</v>
      </c>
      <c r="G320" s="2" t="s">
        <v>21</v>
      </c>
      <c r="H320" s="2" t="s">
        <v>22</v>
      </c>
      <c r="I320" s="2" t="s">
        <v>23</v>
      </c>
      <c r="J320" s="2" t="s">
        <v>24</v>
      </c>
      <c r="K320">
        <v>2657.38</v>
      </c>
      <c r="L320">
        <v>90089.32</v>
      </c>
      <c r="M320">
        <v>3390.16</v>
      </c>
      <c r="N320" s="2" t="s">
        <v>234</v>
      </c>
      <c r="O320" s="2" t="s">
        <v>235</v>
      </c>
      <c r="P320" s="2" t="s">
        <v>866</v>
      </c>
      <c r="Q320" s="2" t="s">
        <v>867</v>
      </c>
      <c r="R320" s="2" t="s">
        <v>29</v>
      </c>
      <c r="S320" s="2" t="s">
        <v>30</v>
      </c>
    </row>
    <row r="321" spans="1:19">
      <c r="A321" s="1">
        <v>43922</v>
      </c>
      <c r="B321" s="1">
        <v>43922</v>
      </c>
      <c r="C321">
        <v>2020</v>
      </c>
      <c r="D321">
        <v>4</v>
      </c>
      <c r="E321" s="2" t="s">
        <v>238</v>
      </c>
      <c r="F321" s="2" t="s">
        <v>239</v>
      </c>
      <c r="G321" s="2" t="s">
        <v>21</v>
      </c>
      <c r="H321" s="2" t="s">
        <v>22</v>
      </c>
      <c r="I321" s="2" t="s">
        <v>66</v>
      </c>
      <c r="J321" s="2" t="s">
        <v>24</v>
      </c>
      <c r="K321">
        <v>667.06</v>
      </c>
      <c r="L321">
        <v>55804.72</v>
      </c>
      <c r="M321">
        <v>8365.77</v>
      </c>
      <c r="N321" s="2" t="s">
        <v>240</v>
      </c>
      <c r="O321" s="2" t="s">
        <v>241</v>
      </c>
      <c r="P321" s="2" t="s">
        <v>868</v>
      </c>
      <c r="Q321" s="2" t="s">
        <v>869</v>
      </c>
      <c r="R321" s="2" t="s">
        <v>29</v>
      </c>
      <c r="S321" s="2" t="s">
        <v>30</v>
      </c>
    </row>
    <row r="322" spans="1:19">
      <c r="A322" s="1">
        <v>43922</v>
      </c>
      <c r="B322" s="1">
        <v>43922</v>
      </c>
      <c r="C322">
        <v>2020</v>
      </c>
      <c r="D322">
        <v>4</v>
      </c>
      <c r="E322" s="2" t="s">
        <v>244</v>
      </c>
      <c r="F322" s="2" t="s">
        <v>245</v>
      </c>
      <c r="G322" s="2" t="s">
        <v>21</v>
      </c>
      <c r="H322" s="2" t="s">
        <v>22</v>
      </c>
      <c r="I322" s="2" t="s">
        <v>23</v>
      </c>
      <c r="J322" s="2" t="s">
        <v>24</v>
      </c>
      <c r="K322">
        <v>1759.79</v>
      </c>
      <c r="L322">
        <v>1306406.4099999999</v>
      </c>
      <c r="M322">
        <v>74236.490000000005</v>
      </c>
      <c r="N322" s="2" t="s">
        <v>246</v>
      </c>
      <c r="O322" s="2" t="s">
        <v>247</v>
      </c>
      <c r="P322" s="2" t="s">
        <v>870</v>
      </c>
      <c r="Q322" s="2" t="s">
        <v>871</v>
      </c>
      <c r="R322" s="2" t="s">
        <v>29</v>
      </c>
      <c r="S322" s="2" t="s">
        <v>30</v>
      </c>
    </row>
    <row r="323" spans="1:19">
      <c r="A323" s="1">
        <v>43922</v>
      </c>
      <c r="B323" s="1">
        <v>43922</v>
      </c>
      <c r="C323">
        <v>2020</v>
      </c>
      <c r="D323">
        <v>4</v>
      </c>
      <c r="E323" s="2" t="s">
        <v>250</v>
      </c>
      <c r="F323" s="2" t="s">
        <v>251</v>
      </c>
      <c r="G323" s="2" t="s">
        <v>21</v>
      </c>
      <c r="H323" s="2" t="s">
        <v>22</v>
      </c>
      <c r="I323" s="2" t="s">
        <v>66</v>
      </c>
      <c r="J323" s="2" t="s">
        <v>24</v>
      </c>
      <c r="K323">
        <v>3.7</v>
      </c>
      <c r="L323">
        <v>6.73</v>
      </c>
      <c r="M323">
        <v>181.89</v>
      </c>
      <c r="N323" s="2" t="s">
        <v>252</v>
      </c>
      <c r="O323" s="2" t="s">
        <v>253</v>
      </c>
      <c r="P323" s="2" t="s">
        <v>872</v>
      </c>
      <c r="Q323" s="2" t="s">
        <v>873</v>
      </c>
      <c r="R323" s="2" t="s">
        <v>29</v>
      </c>
      <c r="S323" s="2" t="s">
        <v>30</v>
      </c>
    </row>
    <row r="324" spans="1:19">
      <c r="A324" s="1">
        <v>43922</v>
      </c>
      <c r="B324" s="1">
        <v>43922</v>
      </c>
      <c r="C324">
        <v>2020</v>
      </c>
      <c r="D324">
        <v>4</v>
      </c>
      <c r="E324" s="2" t="s">
        <v>256</v>
      </c>
      <c r="F324" s="2" t="s">
        <v>257</v>
      </c>
      <c r="G324" s="2" t="s">
        <v>21</v>
      </c>
      <c r="H324" s="2" t="s">
        <v>22</v>
      </c>
      <c r="I324" s="2" t="s">
        <v>258</v>
      </c>
      <c r="J324" s="2" t="s">
        <v>24</v>
      </c>
      <c r="K324">
        <v>176.57</v>
      </c>
      <c r="L324">
        <v>163487.43</v>
      </c>
      <c r="M324">
        <v>92590.720000000001</v>
      </c>
      <c r="N324" s="2" t="s">
        <v>259</v>
      </c>
      <c r="O324" s="2" t="s">
        <v>260</v>
      </c>
      <c r="P324" s="2" t="s">
        <v>874</v>
      </c>
      <c r="Q324" s="2" t="s">
        <v>875</v>
      </c>
      <c r="R324" s="2" t="s">
        <v>29</v>
      </c>
      <c r="S324" s="2" t="s">
        <v>30</v>
      </c>
    </row>
    <row r="325" spans="1:19">
      <c r="A325" s="1">
        <v>43922</v>
      </c>
      <c r="B325" s="1">
        <v>43922</v>
      </c>
      <c r="C325">
        <v>2020</v>
      </c>
      <c r="D325">
        <v>4</v>
      </c>
      <c r="E325" s="2" t="s">
        <v>263</v>
      </c>
      <c r="F325" s="2" t="s">
        <v>264</v>
      </c>
      <c r="G325" s="2" t="s">
        <v>21</v>
      </c>
      <c r="H325" s="2" t="s">
        <v>22</v>
      </c>
      <c r="I325" s="2" t="s">
        <v>258</v>
      </c>
      <c r="J325" s="2" t="s">
        <v>24</v>
      </c>
      <c r="K325">
        <v>0.25</v>
      </c>
      <c r="L325">
        <v>197.24</v>
      </c>
      <c r="M325">
        <v>78896</v>
      </c>
      <c r="N325" s="2" t="s">
        <v>265</v>
      </c>
      <c r="O325" s="2" t="s">
        <v>266</v>
      </c>
      <c r="P325" s="2" t="s">
        <v>876</v>
      </c>
      <c r="Q325" s="2" t="s">
        <v>877</v>
      </c>
      <c r="R325" s="2" t="s">
        <v>29</v>
      </c>
      <c r="S325" s="2" t="s">
        <v>30</v>
      </c>
    </row>
    <row r="326" spans="1:19">
      <c r="A326" s="1">
        <v>43922</v>
      </c>
      <c r="B326" s="1">
        <v>43922</v>
      </c>
      <c r="C326">
        <v>2020</v>
      </c>
      <c r="D326">
        <v>4</v>
      </c>
      <c r="E326" s="2" t="s">
        <v>269</v>
      </c>
      <c r="F326" s="2" t="s">
        <v>270</v>
      </c>
      <c r="G326" s="2" t="s">
        <v>21</v>
      </c>
      <c r="H326" s="2" t="s">
        <v>22</v>
      </c>
      <c r="I326" s="2" t="s">
        <v>258</v>
      </c>
      <c r="J326" s="2" t="s">
        <v>59</v>
      </c>
      <c r="K326">
        <v>176.82</v>
      </c>
      <c r="L326">
        <v>163684.67000000001</v>
      </c>
      <c r="M326">
        <v>92571.36</v>
      </c>
      <c r="N326" s="2" t="s">
        <v>271</v>
      </c>
      <c r="O326" s="2" t="s">
        <v>272</v>
      </c>
      <c r="P326" s="2" t="s">
        <v>878</v>
      </c>
      <c r="Q326" s="2" t="s">
        <v>879</v>
      </c>
      <c r="R326" s="2" t="s">
        <v>29</v>
      </c>
      <c r="S326" s="2" t="s">
        <v>30</v>
      </c>
    </row>
    <row r="327" spans="1:19">
      <c r="A327" s="1">
        <v>43922</v>
      </c>
      <c r="B327" s="1">
        <v>43922</v>
      </c>
      <c r="C327">
        <v>2020</v>
      </c>
      <c r="D327">
        <v>4</v>
      </c>
      <c r="E327" s="2" t="s">
        <v>275</v>
      </c>
      <c r="F327" s="2" t="s">
        <v>276</v>
      </c>
      <c r="G327" s="2" t="s">
        <v>39</v>
      </c>
      <c r="H327" s="2" t="s">
        <v>22</v>
      </c>
      <c r="I327" s="2" t="s">
        <v>40</v>
      </c>
      <c r="J327" s="2" t="s">
        <v>24</v>
      </c>
      <c r="K327">
        <v>35.67</v>
      </c>
      <c r="L327">
        <v>105.41</v>
      </c>
      <c r="M327">
        <v>295.51</v>
      </c>
      <c r="N327" s="2" t="s">
        <v>277</v>
      </c>
      <c r="O327" s="2" t="s">
        <v>278</v>
      </c>
      <c r="P327" s="2" t="s">
        <v>880</v>
      </c>
      <c r="Q327" s="2" t="s">
        <v>881</v>
      </c>
      <c r="R327" s="2" t="s">
        <v>29</v>
      </c>
      <c r="S327" s="2" t="s">
        <v>30</v>
      </c>
    </row>
    <row r="328" spans="1:19">
      <c r="A328" s="1">
        <v>43922</v>
      </c>
      <c r="B328" s="1">
        <v>43922</v>
      </c>
      <c r="C328">
        <v>2020</v>
      </c>
      <c r="D328">
        <v>4</v>
      </c>
      <c r="E328" s="2" t="s">
        <v>281</v>
      </c>
      <c r="F328" s="2" t="s">
        <v>282</v>
      </c>
      <c r="G328" s="2" t="s">
        <v>39</v>
      </c>
      <c r="H328" s="2" t="s">
        <v>22</v>
      </c>
      <c r="I328" s="2" t="s">
        <v>40</v>
      </c>
      <c r="J328" s="2" t="s">
        <v>24</v>
      </c>
      <c r="K328">
        <v>5.21</v>
      </c>
      <c r="L328">
        <v>5.28</v>
      </c>
      <c r="M328">
        <v>101.34</v>
      </c>
      <c r="N328" s="2" t="s">
        <v>283</v>
      </c>
      <c r="O328" s="2" t="s">
        <v>284</v>
      </c>
      <c r="P328" s="2" t="s">
        <v>882</v>
      </c>
      <c r="Q328" s="2" t="s">
        <v>883</v>
      </c>
      <c r="R328" s="2" t="s">
        <v>29</v>
      </c>
      <c r="S328" s="2" t="s">
        <v>30</v>
      </c>
    </row>
    <row r="329" spans="1:19">
      <c r="A329" s="1">
        <v>43922</v>
      </c>
      <c r="B329" s="1">
        <v>43922</v>
      </c>
      <c r="C329">
        <v>2020</v>
      </c>
      <c r="D329">
        <v>4</v>
      </c>
      <c r="E329" s="2" t="s">
        <v>287</v>
      </c>
      <c r="F329" s="2" t="s">
        <v>288</v>
      </c>
      <c r="G329" s="2" t="s">
        <v>39</v>
      </c>
      <c r="H329" s="2" t="s">
        <v>22</v>
      </c>
      <c r="I329" s="2" t="s">
        <v>40</v>
      </c>
      <c r="J329" s="2" t="s">
        <v>59</v>
      </c>
      <c r="K329">
        <v>40.869999999999997</v>
      </c>
      <c r="L329">
        <v>110.69</v>
      </c>
      <c r="M329">
        <v>270.83</v>
      </c>
      <c r="N329" s="2" t="s">
        <v>289</v>
      </c>
      <c r="O329" s="2" t="s">
        <v>290</v>
      </c>
      <c r="P329" s="2" t="s">
        <v>884</v>
      </c>
      <c r="Q329" s="2" t="s">
        <v>885</v>
      </c>
      <c r="R329" s="2" t="s">
        <v>29</v>
      </c>
      <c r="S329" s="2" t="s">
        <v>30</v>
      </c>
    </row>
    <row r="330" spans="1:19">
      <c r="A330" s="1">
        <v>43922</v>
      </c>
      <c r="B330" s="1">
        <v>43922</v>
      </c>
      <c r="C330">
        <v>2020</v>
      </c>
      <c r="D330">
        <v>4</v>
      </c>
      <c r="E330" s="2" t="s">
        <v>293</v>
      </c>
      <c r="F330" s="2" t="s">
        <v>294</v>
      </c>
      <c r="G330" s="2" t="s">
        <v>21</v>
      </c>
      <c r="H330" s="2" t="s">
        <v>22</v>
      </c>
      <c r="I330" s="2" t="s">
        <v>295</v>
      </c>
      <c r="J330" s="2" t="s">
        <v>24</v>
      </c>
      <c r="K330">
        <v>206.54</v>
      </c>
      <c r="L330">
        <v>642.13</v>
      </c>
      <c r="M330">
        <v>310.89999999999998</v>
      </c>
      <c r="N330" s="2" t="s">
        <v>296</v>
      </c>
      <c r="O330" s="2" t="s">
        <v>297</v>
      </c>
      <c r="P330" s="2" t="s">
        <v>886</v>
      </c>
      <c r="Q330" s="2" t="s">
        <v>887</v>
      </c>
      <c r="R330" s="2" t="s">
        <v>29</v>
      </c>
      <c r="S330" s="2" t="s">
        <v>30</v>
      </c>
    </row>
    <row r="331" spans="1:19">
      <c r="A331" s="1">
        <v>43922</v>
      </c>
      <c r="B331" s="1">
        <v>43922</v>
      </c>
      <c r="C331">
        <v>2020</v>
      </c>
      <c r="D331">
        <v>4</v>
      </c>
      <c r="E331" s="2" t="s">
        <v>300</v>
      </c>
      <c r="F331" s="2" t="s">
        <v>301</v>
      </c>
      <c r="G331" s="2" t="s">
        <v>21</v>
      </c>
      <c r="H331" s="2" t="s">
        <v>22</v>
      </c>
      <c r="I331" s="2" t="s">
        <v>295</v>
      </c>
      <c r="J331" s="2" t="s">
        <v>24</v>
      </c>
      <c r="K331">
        <v>38.21</v>
      </c>
      <c r="L331">
        <v>313.39</v>
      </c>
      <c r="M331">
        <v>820.18</v>
      </c>
      <c r="N331" s="2" t="s">
        <v>302</v>
      </c>
      <c r="O331" s="2" t="s">
        <v>303</v>
      </c>
      <c r="P331" s="2" t="s">
        <v>888</v>
      </c>
      <c r="Q331" s="2" t="s">
        <v>889</v>
      </c>
      <c r="R331" s="2" t="s">
        <v>29</v>
      </c>
      <c r="S331" s="2" t="s">
        <v>30</v>
      </c>
    </row>
    <row r="332" spans="1:19">
      <c r="A332" s="1">
        <v>43922</v>
      </c>
      <c r="B332" s="1">
        <v>43922</v>
      </c>
      <c r="C332">
        <v>2020</v>
      </c>
      <c r="D332">
        <v>4</v>
      </c>
      <c r="E332" s="2" t="s">
        <v>306</v>
      </c>
      <c r="F332" s="2" t="s">
        <v>307</v>
      </c>
      <c r="G332" s="2" t="s">
        <v>21</v>
      </c>
      <c r="H332" s="2" t="s">
        <v>22</v>
      </c>
      <c r="I332" s="2" t="s">
        <v>295</v>
      </c>
      <c r="J332" s="2" t="s">
        <v>101</v>
      </c>
      <c r="K332">
        <v>244.75</v>
      </c>
      <c r="L332">
        <v>955.53</v>
      </c>
      <c r="M332">
        <v>390.41</v>
      </c>
      <c r="N332" s="2" t="s">
        <v>308</v>
      </c>
      <c r="O332" s="2" t="s">
        <v>309</v>
      </c>
      <c r="P332" s="2" t="s">
        <v>890</v>
      </c>
      <c r="Q332" s="2" t="s">
        <v>891</v>
      </c>
      <c r="R332" s="2" t="s">
        <v>29</v>
      </c>
      <c r="S332" s="2" t="s">
        <v>30</v>
      </c>
    </row>
    <row r="333" spans="1:19">
      <c r="A333" s="1">
        <v>43922</v>
      </c>
      <c r="B333" s="1">
        <v>43922</v>
      </c>
      <c r="C333">
        <v>2020</v>
      </c>
      <c r="D333">
        <v>4</v>
      </c>
      <c r="E333" s="2" t="s">
        <v>312</v>
      </c>
      <c r="F333" s="2" t="s">
        <v>313</v>
      </c>
      <c r="G333" s="2" t="s">
        <v>21</v>
      </c>
      <c r="H333" s="2" t="s">
        <v>22</v>
      </c>
      <c r="I333" s="2" t="s">
        <v>295</v>
      </c>
      <c r="J333" s="2" t="s">
        <v>59</v>
      </c>
      <c r="K333">
        <v>2086.0100000000002</v>
      </c>
      <c r="L333">
        <v>9648.42</v>
      </c>
      <c r="M333">
        <v>462.53</v>
      </c>
      <c r="N333" s="2" t="s">
        <v>314</v>
      </c>
      <c r="O333" s="2" t="s">
        <v>315</v>
      </c>
      <c r="P333" s="2" t="s">
        <v>892</v>
      </c>
      <c r="Q333" s="2" t="s">
        <v>893</v>
      </c>
      <c r="R333" s="2" t="s">
        <v>29</v>
      </c>
      <c r="S333" s="2" t="s">
        <v>30</v>
      </c>
    </row>
    <row r="334" spans="1:19">
      <c r="A334" s="1">
        <v>43922</v>
      </c>
      <c r="B334" s="1">
        <v>43922</v>
      </c>
      <c r="C334">
        <v>2020</v>
      </c>
      <c r="D334">
        <v>4</v>
      </c>
      <c r="E334" s="2" t="s">
        <v>318</v>
      </c>
      <c r="F334" s="2" t="s">
        <v>319</v>
      </c>
      <c r="G334" s="2" t="s">
        <v>21</v>
      </c>
      <c r="H334" s="2" t="s">
        <v>22</v>
      </c>
      <c r="I334" s="2" t="s">
        <v>295</v>
      </c>
      <c r="J334" s="2" t="s">
        <v>24</v>
      </c>
      <c r="K334">
        <v>1841.26</v>
      </c>
      <c r="L334">
        <v>8692.89</v>
      </c>
      <c r="M334">
        <v>472.12</v>
      </c>
      <c r="N334" s="2" t="s">
        <v>320</v>
      </c>
      <c r="O334" s="2" t="s">
        <v>321</v>
      </c>
      <c r="P334" s="2" t="s">
        <v>894</v>
      </c>
      <c r="Q334" s="2" t="s">
        <v>895</v>
      </c>
      <c r="R334" s="2" t="s">
        <v>29</v>
      </c>
      <c r="S334" s="2" t="s">
        <v>30</v>
      </c>
    </row>
    <row r="335" spans="1:19">
      <c r="A335" s="1">
        <v>43922</v>
      </c>
      <c r="B335" s="1">
        <v>43922</v>
      </c>
      <c r="C335">
        <v>2020</v>
      </c>
      <c r="D335">
        <v>4</v>
      </c>
      <c r="E335" s="2" t="s">
        <v>324</v>
      </c>
      <c r="F335" s="2" t="s">
        <v>325</v>
      </c>
      <c r="G335" s="2" t="s">
        <v>21</v>
      </c>
      <c r="H335" s="2" t="s">
        <v>22</v>
      </c>
      <c r="I335" s="2" t="s">
        <v>23</v>
      </c>
      <c r="J335" s="2" t="s">
        <v>59</v>
      </c>
      <c r="K335">
        <v>17950.71</v>
      </c>
      <c r="L335">
        <v>1687803</v>
      </c>
      <c r="M335">
        <v>9402.43</v>
      </c>
      <c r="N335" s="2" t="s">
        <v>326</v>
      </c>
      <c r="O335" s="2" t="s">
        <v>327</v>
      </c>
      <c r="P335" s="2" t="s">
        <v>896</v>
      </c>
      <c r="Q335" s="2" t="s">
        <v>897</v>
      </c>
      <c r="R335" s="2" t="s">
        <v>29</v>
      </c>
      <c r="S335" s="2" t="s">
        <v>30</v>
      </c>
    </row>
    <row r="336" spans="1:19">
      <c r="A336" s="1">
        <v>43922</v>
      </c>
      <c r="B336" s="1">
        <v>43922</v>
      </c>
      <c r="C336">
        <v>2020</v>
      </c>
      <c r="D336">
        <v>4</v>
      </c>
      <c r="E336" s="2" t="s">
        <v>330</v>
      </c>
      <c r="F336" s="2" t="s">
        <v>331</v>
      </c>
      <c r="G336" s="2" t="s">
        <v>21</v>
      </c>
      <c r="H336" s="2" t="s">
        <v>332</v>
      </c>
      <c r="I336" s="2" t="s">
        <v>333</v>
      </c>
      <c r="J336" s="2" t="s">
        <v>24</v>
      </c>
      <c r="K336">
        <v>53.35</v>
      </c>
      <c r="L336">
        <v>5612492.5300000003</v>
      </c>
      <c r="M336">
        <v>10520135.949999999</v>
      </c>
      <c r="N336" s="2" t="s">
        <v>334</v>
      </c>
      <c r="O336" s="2" t="s">
        <v>335</v>
      </c>
      <c r="P336" s="2" t="s">
        <v>426</v>
      </c>
      <c r="Q336" s="2" t="s">
        <v>898</v>
      </c>
      <c r="R336" s="2" t="s">
        <v>29</v>
      </c>
      <c r="S336" s="2" t="s">
        <v>30</v>
      </c>
    </row>
    <row r="337" spans="1:19">
      <c r="A337" s="1">
        <v>43922</v>
      </c>
      <c r="B337" s="1">
        <v>43922</v>
      </c>
      <c r="C337">
        <v>2020</v>
      </c>
      <c r="D337">
        <v>4</v>
      </c>
      <c r="E337" s="2" t="s">
        <v>338</v>
      </c>
      <c r="F337" s="2" t="s">
        <v>339</v>
      </c>
      <c r="G337" s="2" t="s">
        <v>21</v>
      </c>
      <c r="H337" s="2" t="s">
        <v>332</v>
      </c>
      <c r="I337" s="2" t="s">
        <v>333</v>
      </c>
      <c r="J337" s="2" t="s">
        <v>24</v>
      </c>
      <c r="K337">
        <v>1</v>
      </c>
      <c r="L337">
        <v>831160.57</v>
      </c>
      <c r="M337">
        <v>83116057</v>
      </c>
      <c r="N337" s="2" t="s">
        <v>340</v>
      </c>
      <c r="O337" s="2" t="s">
        <v>341</v>
      </c>
      <c r="P337" s="2" t="s">
        <v>899</v>
      </c>
      <c r="Q337" s="2" t="s">
        <v>900</v>
      </c>
      <c r="R337" s="2" t="s">
        <v>29</v>
      </c>
      <c r="S337" s="2" t="s">
        <v>30</v>
      </c>
    </row>
    <row r="338" spans="1:19">
      <c r="A338" s="1">
        <v>43922</v>
      </c>
      <c r="B338" s="1">
        <v>43922</v>
      </c>
      <c r="C338">
        <v>2020</v>
      </c>
      <c r="D338">
        <v>4</v>
      </c>
      <c r="E338" s="2" t="s">
        <v>344</v>
      </c>
      <c r="F338" s="2" t="s">
        <v>345</v>
      </c>
      <c r="G338" s="2" t="s">
        <v>21</v>
      </c>
      <c r="H338" s="2" t="s">
        <v>332</v>
      </c>
      <c r="I338" s="2" t="s">
        <v>333</v>
      </c>
      <c r="J338" s="2" t="s">
        <v>59</v>
      </c>
      <c r="K338">
        <v>54.35</v>
      </c>
      <c r="L338">
        <v>6443653.1100000003</v>
      </c>
      <c r="M338">
        <v>11855847.49</v>
      </c>
      <c r="N338" s="2" t="s">
        <v>346</v>
      </c>
      <c r="O338" s="2" t="s">
        <v>347</v>
      </c>
      <c r="P338" s="2" t="s">
        <v>901</v>
      </c>
      <c r="Q338" s="2" t="s">
        <v>902</v>
      </c>
      <c r="R338" s="2" t="s">
        <v>29</v>
      </c>
      <c r="S338" s="2" t="s">
        <v>30</v>
      </c>
    </row>
    <row r="339" spans="1:19">
      <c r="A339" s="1">
        <v>43922</v>
      </c>
      <c r="B339" s="1">
        <v>43922</v>
      </c>
      <c r="C339">
        <v>2020</v>
      </c>
      <c r="D339">
        <v>4</v>
      </c>
      <c r="E339" s="2" t="s">
        <v>350</v>
      </c>
      <c r="F339" s="2" t="s">
        <v>351</v>
      </c>
      <c r="G339" s="2" t="s">
        <v>21</v>
      </c>
      <c r="H339" s="2" t="s">
        <v>22</v>
      </c>
      <c r="I339" s="2" t="s">
        <v>352</v>
      </c>
      <c r="J339" s="2" t="s">
        <v>353</v>
      </c>
      <c r="K339">
        <v>23604.69</v>
      </c>
      <c r="L339">
        <v>8241148.29</v>
      </c>
      <c r="M339">
        <v>34913.18</v>
      </c>
      <c r="N339" s="2" t="s">
        <v>354</v>
      </c>
      <c r="O339" s="2" t="s">
        <v>355</v>
      </c>
      <c r="P339" s="2" t="s">
        <v>903</v>
      </c>
      <c r="Q339" s="2" t="s">
        <v>904</v>
      </c>
      <c r="R339" s="2" t="s">
        <v>29</v>
      </c>
      <c r="S339" s="2" t="s">
        <v>30</v>
      </c>
    </row>
    <row r="340" spans="1:19">
      <c r="A340" s="1">
        <v>43922</v>
      </c>
      <c r="B340" s="1">
        <v>43922</v>
      </c>
      <c r="C340">
        <v>2020</v>
      </c>
      <c r="D340">
        <v>4</v>
      </c>
      <c r="E340" s="2" t="s">
        <v>358</v>
      </c>
      <c r="F340" s="2" t="s">
        <v>359</v>
      </c>
      <c r="G340" s="2" t="s">
        <v>21</v>
      </c>
      <c r="H340" s="2" t="s">
        <v>22</v>
      </c>
      <c r="I340" s="2" t="s">
        <v>352</v>
      </c>
      <c r="J340" s="2" t="s">
        <v>353</v>
      </c>
      <c r="K340">
        <v>23781.5</v>
      </c>
      <c r="L340">
        <v>8404832.9600000009</v>
      </c>
      <c r="M340">
        <v>35341.9</v>
      </c>
      <c r="N340" s="2" t="s">
        <v>360</v>
      </c>
      <c r="O340" s="2" t="s">
        <v>361</v>
      </c>
      <c r="P340" s="2" t="s">
        <v>905</v>
      </c>
      <c r="Q340" s="2" t="s">
        <v>906</v>
      </c>
      <c r="R340" s="2" t="s">
        <v>29</v>
      </c>
      <c r="S340" s="2" t="s">
        <v>30</v>
      </c>
    </row>
    <row r="341" spans="1:19">
      <c r="A341" s="1">
        <v>43922</v>
      </c>
      <c r="B341" s="1">
        <v>43922</v>
      </c>
      <c r="C341">
        <v>2020</v>
      </c>
      <c r="D341">
        <v>4</v>
      </c>
      <c r="E341" s="2" t="s">
        <v>364</v>
      </c>
      <c r="F341" s="2" t="s">
        <v>365</v>
      </c>
      <c r="G341" s="2" t="s">
        <v>21</v>
      </c>
      <c r="H341" s="2" t="s">
        <v>22</v>
      </c>
      <c r="I341" s="2" t="s">
        <v>352</v>
      </c>
      <c r="J341" s="2" t="s">
        <v>353</v>
      </c>
      <c r="K341">
        <v>23727.16</v>
      </c>
      <c r="L341">
        <v>1961179.85</v>
      </c>
      <c r="M341">
        <v>8265.5499999999993</v>
      </c>
      <c r="N341" s="2" t="s">
        <v>366</v>
      </c>
      <c r="O341" s="2" t="s">
        <v>367</v>
      </c>
      <c r="P341" s="2" t="s">
        <v>907</v>
      </c>
      <c r="Q341" s="2" t="s">
        <v>908</v>
      </c>
      <c r="R341" s="2" t="s">
        <v>29</v>
      </c>
      <c r="S341" s="2" t="s">
        <v>30</v>
      </c>
    </row>
    <row r="342" spans="1:19">
      <c r="A342" s="1">
        <v>43922</v>
      </c>
      <c r="B342" s="1">
        <v>43922</v>
      </c>
      <c r="C342">
        <v>2020</v>
      </c>
      <c r="D342">
        <v>4</v>
      </c>
      <c r="E342" s="2" t="s">
        <v>370</v>
      </c>
      <c r="F342" s="2" t="s">
        <v>371</v>
      </c>
      <c r="G342" s="2" t="s">
        <v>21</v>
      </c>
      <c r="H342" s="2" t="s">
        <v>22</v>
      </c>
      <c r="I342" s="2" t="s">
        <v>23</v>
      </c>
      <c r="J342" s="2" t="s">
        <v>24</v>
      </c>
      <c r="K342">
        <v>9995.74</v>
      </c>
      <c r="L342">
        <v>151140.66</v>
      </c>
      <c r="M342">
        <v>1512.05</v>
      </c>
      <c r="N342" s="2" t="s">
        <v>372</v>
      </c>
      <c r="O342" s="2" t="s">
        <v>373</v>
      </c>
      <c r="P342" s="2" t="s">
        <v>909</v>
      </c>
      <c r="Q342" s="2" t="s">
        <v>910</v>
      </c>
      <c r="R342" s="2" t="s">
        <v>29</v>
      </c>
      <c r="S342" s="2" t="s">
        <v>30</v>
      </c>
    </row>
    <row r="343" spans="1:19">
      <c r="A343" s="1">
        <v>43922</v>
      </c>
      <c r="B343" s="1">
        <v>43922</v>
      </c>
      <c r="C343">
        <v>2020</v>
      </c>
      <c r="D343">
        <v>4</v>
      </c>
      <c r="E343" s="2" t="s">
        <v>376</v>
      </c>
      <c r="F343" s="2" t="s">
        <v>377</v>
      </c>
      <c r="G343" s="2" t="s">
        <v>21</v>
      </c>
      <c r="H343" s="2" t="s">
        <v>22</v>
      </c>
      <c r="I343" s="2" t="s">
        <v>23</v>
      </c>
      <c r="J343" s="2" t="s">
        <v>378</v>
      </c>
      <c r="K343">
        <v>0.7</v>
      </c>
      <c r="L343">
        <v>11.45</v>
      </c>
      <c r="M343">
        <v>1635.71</v>
      </c>
      <c r="N343" s="2" t="s">
        <v>379</v>
      </c>
      <c r="O343" s="2" t="s">
        <v>380</v>
      </c>
      <c r="P343" s="2" t="s">
        <v>704</v>
      </c>
      <c r="Q343" s="2" t="s">
        <v>911</v>
      </c>
      <c r="R343" s="2" t="s">
        <v>29</v>
      </c>
      <c r="S343" s="2" t="s">
        <v>30</v>
      </c>
    </row>
    <row r="344" spans="1:19">
      <c r="A344" s="1">
        <v>43952</v>
      </c>
      <c r="B344" s="1">
        <v>43952</v>
      </c>
      <c r="C344">
        <v>2020</v>
      </c>
      <c r="D344">
        <v>5</v>
      </c>
      <c r="E344" s="2" t="s">
        <v>19</v>
      </c>
      <c r="F344" s="2" t="s">
        <v>20</v>
      </c>
      <c r="G344" s="2" t="s">
        <v>21</v>
      </c>
      <c r="H344" s="2" t="s">
        <v>22</v>
      </c>
      <c r="I344" s="2" t="s">
        <v>23</v>
      </c>
      <c r="J344" s="2" t="s">
        <v>24</v>
      </c>
      <c r="K344">
        <v>0.87</v>
      </c>
      <c r="L344">
        <v>41.1</v>
      </c>
      <c r="M344">
        <v>4724.1400000000003</v>
      </c>
      <c r="N344" s="2" t="s">
        <v>25</v>
      </c>
      <c r="O344" s="2" t="s">
        <v>26</v>
      </c>
      <c r="P344" s="2" t="s">
        <v>912</v>
      </c>
      <c r="Q344" s="2" t="s">
        <v>913</v>
      </c>
      <c r="R344" s="2" t="s">
        <v>29</v>
      </c>
      <c r="S344" s="2" t="s">
        <v>30</v>
      </c>
    </row>
    <row r="345" spans="1:19">
      <c r="A345" s="1">
        <v>43952</v>
      </c>
      <c r="B345" s="1">
        <v>43952</v>
      </c>
      <c r="C345">
        <v>2020</v>
      </c>
      <c r="D345">
        <v>5</v>
      </c>
      <c r="E345" s="2" t="s">
        <v>31</v>
      </c>
      <c r="F345" s="2" t="s">
        <v>32</v>
      </c>
      <c r="G345" s="2" t="s">
        <v>21</v>
      </c>
      <c r="H345" s="2" t="s">
        <v>22</v>
      </c>
      <c r="I345" s="2" t="s">
        <v>23</v>
      </c>
      <c r="J345" s="2" t="s">
        <v>24</v>
      </c>
      <c r="K345">
        <v>1154.21</v>
      </c>
      <c r="L345">
        <v>14244.54</v>
      </c>
      <c r="M345">
        <v>1234.1400000000001</v>
      </c>
      <c r="N345" s="2" t="s">
        <v>33</v>
      </c>
      <c r="O345" s="2" t="s">
        <v>34</v>
      </c>
      <c r="P345" s="2" t="s">
        <v>914</v>
      </c>
      <c r="Q345" s="2" t="s">
        <v>915</v>
      </c>
      <c r="R345" s="2" t="s">
        <v>29</v>
      </c>
      <c r="S345" s="2" t="s">
        <v>30</v>
      </c>
    </row>
    <row r="346" spans="1:19">
      <c r="A346" s="1">
        <v>43952</v>
      </c>
      <c r="B346" s="1">
        <v>43952</v>
      </c>
      <c r="C346">
        <v>2020</v>
      </c>
      <c r="D346">
        <v>5</v>
      </c>
      <c r="E346" s="2" t="s">
        <v>37</v>
      </c>
      <c r="F346" s="2" t="s">
        <v>38</v>
      </c>
      <c r="G346" s="2" t="s">
        <v>39</v>
      </c>
      <c r="H346" s="2" t="s">
        <v>22</v>
      </c>
      <c r="I346" s="2" t="s">
        <v>40</v>
      </c>
      <c r="J346" s="2" t="s">
        <v>24</v>
      </c>
      <c r="K346">
        <v>2.76</v>
      </c>
      <c r="L346">
        <v>141.31</v>
      </c>
      <c r="M346">
        <v>5119.93</v>
      </c>
      <c r="N346" s="2" t="s">
        <v>41</v>
      </c>
      <c r="O346" s="2" t="s">
        <v>42</v>
      </c>
      <c r="P346" s="2" t="s">
        <v>916</v>
      </c>
      <c r="Q346" s="2" t="s">
        <v>917</v>
      </c>
      <c r="R346" s="2" t="s">
        <v>29</v>
      </c>
      <c r="S346" s="2" t="s">
        <v>30</v>
      </c>
    </row>
    <row r="347" spans="1:19">
      <c r="A347" s="1">
        <v>43952</v>
      </c>
      <c r="B347" s="1">
        <v>43952</v>
      </c>
      <c r="C347">
        <v>2020</v>
      </c>
      <c r="D347">
        <v>5</v>
      </c>
      <c r="E347" s="2" t="s">
        <v>45</v>
      </c>
      <c r="F347" s="2" t="s">
        <v>46</v>
      </c>
      <c r="G347" s="2" t="s">
        <v>39</v>
      </c>
      <c r="H347" s="2" t="s">
        <v>22</v>
      </c>
      <c r="I347" s="2" t="s">
        <v>40</v>
      </c>
      <c r="J347" s="2" t="s">
        <v>24</v>
      </c>
      <c r="K347">
        <v>4058.6</v>
      </c>
      <c r="L347">
        <v>195283.42</v>
      </c>
      <c r="M347">
        <v>4811.6000000000004</v>
      </c>
      <c r="N347" s="2" t="s">
        <v>47</v>
      </c>
      <c r="O347" s="2" t="s">
        <v>48</v>
      </c>
      <c r="P347" s="2" t="s">
        <v>918</v>
      </c>
      <c r="Q347" s="2" t="s">
        <v>919</v>
      </c>
      <c r="R347" s="2" t="s">
        <v>29</v>
      </c>
      <c r="S347" s="2" t="s">
        <v>30</v>
      </c>
    </row>
    <row r="348" spans="1:19">
      <c r="A348" s="1">
        <v>43952</v>
      </c>
      <c r="B348" s="1">
        <v>43952</v>
      </c>
      <c r="C348">
        <v>2020</v>
      </c>
      <c r="D348">
        <v>5</v>
      </c>
      <c r="E348" s="2" t="s">
        <v>51</v>
      </c>
      <c r="F348" s="2" t="s">
        <v>52</v>
      </c>
      <c r="G348" s="2" t="s">
        <v>39</v>
      </c>
      <c r="H348" s="2" t="s">
        <v>22</v>
      </c>
      <c r="I348" s="2" t="s">
        <v>40</v>
      </c>
      <c r="J348" s="2" t="s">
        <v>24</v>
      </c>
      <c r="K348">
        <v>14.94</v>
      </c>
      <c r="L348">
        <v>496.29</v>
      </c>
      <c r="M348">
        <v>3321.89</v>
      </c>
      <c r="N348" s="2" t="s">
        <v>53</v>
      </c>
      <c r="O348" s="2" t="s">
        <v>54</v>
      </c>
      <c r="P348" s="2" t="s">
        <v>920</v>
      </c>
      <c r="Q348" s="2" t="s">
        <v>921</v>
      </c>
      <c r="R348" s="2" t="s">
        <v>29</v>
      </c>
      <c r="S348" s="2" t="s">
        <v>30</v>
      </c>
    </row>
    <row r="349" spans="1:19">
      <c r="A349" s="1">
        <v>43952</v>
      </c>
      <c r="B349" s="1">
        <v>43952</v>
      </c>
      <c r="C349">
        <v>2020</v>
      </c>
      <c r="D349">
        <v>5</v>
      </c>
      <c r="E349" s="2" t="s">
        <v>57</v>
      </c>
      <c r="F349" s="2" t="s">
        <v>58</v>
      </c>
      <c r="G349" s="2" t="s">
        <v>39</v>
      </c>
      <c r="H349" s="2" t="s">
        <v>22</v>
      </c>
      <c r="I349" s="2" t="s">
        <v>40</v>
      </c>
      <c r="J349" s="2" t="s">
        <v>59</v>
      </c>
      <c r="K349">
        <v>4076.3</v>
      </c>
      <c r="L349">
        <v>195921.02</v>
      </c>
      <c r="M349">
        <v>4806.34</v>
      </c>
      <c r="N349" s="2" t="s">
        <v>60</v>
      </c>
      <c r="O349" s="2" t="s">
        <v>61</v>
      </c>
      <c r="P349" s="2" t="s">
        <v>922</v>
      </c>
      <c r="Q349" s="2" t="s">
        <v>923</v>
      </c>
      <c r="R349" s="2" t="s">
        <v>29</v>
      </c>
      <c r="S349" s="2" t="s">
        <v>30</v>
      </c>
    </row>
    <row r="350" spans="1:19">
      <c r="A350" s="1">
        <v>43952</v>
      </c>
      <c r="B350" s="1">
        <v>43952</v>
      </c>
      <c r="C350">
        <v>2020</v>
      </c>
      <c r="D350">
        <v>5</v>
      </c>
      <c r="E350" s="2" t="s">
        <v>64</v>
      </c>
      <c r="F350" s="2" t="s">
        <v>65</v>
      </c>
      <c r="G350" s="2" t="s">
        <v>21</v>
      </c>
      <c r="H350" s="2" t="s">
        <v>22</v>
      </c>
      <c r="I350" s="2" t="s">
        <v>66</v>
      </c>
      <c r="J350" s="2" t="s">
        <v>24</v>
      </c>
      <c r="K350">
        <v>13.4</v>
      </c>
      <c r="L350">
        <v>159.35</v>
      </c>
      <c r="M350">
        <v>1189.18</v>
      </c>
      <c r="N350" s="2" t="s">
        <v>67</v>
      </c>
      <c r="O350" s="2" t="s">
        <v>68</v>
      </c>
      <c r="P350" s="2" t="s">
        <v>924</v>
      </c>
      <c r="Q350" s="2" t="s">
        <v>925</v>
      </c>
      <c r="R350" s="2" t="s">
        <v>29</v>
      </c>
      <c r="S350" s="2" t="s">
        <v>30</v>
      </c>
    </row>
    <row r="351" spans="1:19">
      <c r="A351" s="1">
        <v>43952</v>
      </c>
      <c r="B351" s="1">
        <v>43952</v>
      </c>
      <c r="C351">
        <v>2020</v>
      </c>
      <c r="D351">
        <v>5</v>
      </c>
      <c r="E351" s="2" t="s">
        <v>71</v>
      </c>
      <c r="F351" s="2" t="s">
        <v>72</v>
      </c>
      <c r="G351" s="2" t="s">
        <v>21</v>
      </c>
      <c r="H351" s="2" t="s">
        <v>22</v>
      </c>
      <c r="I351" s="2" t="s">
        <v>73</v>
      </c>
      <c r="J351" s="2" t="s">
        <v>59</v>
      </c>
      <c r="K351">
        <v>3687.68</v>
      </c>
      <c r="L351">
        <v>70208.81</v>
      </c>
      <c r="M351">
        <v>1903.87</v>
      </c>
      <c r="N351" s="2" t="s">
        <v>74</v>
      </c>
      <c r="O351" s="2" t="s">
        <v>75</v>
      </c>
      <c r="P351" s="2" t="s">
        <v>926</v>
      </c>
      <c r="Q351" s="2" t="s">
        <v>927</v>
      </c>
      <c r="R351" s="2" t="s">
        <v>29</v>
      </c>
      <c r="S351" s="2" t="s">
        <v>30</v>
      </c>
    </row>
    <row r="352" spans="1:19">
      <c r="A352" s="1">
        <v>43952</v>
      </c>
      <c r="B352" s="1">
        <v>43952</v>
      </c>
      <c r="C352">
        <v>2020</v>
      </c>
      <c r="D352">
        <v>5</v>
      </c>
      <c r="E352" s="2" t="s">
        <v>78</v>
      </c>
      <c r="F352" s="2" t="s">
        <v>79</v>
      </c>
      <c r="G352" s="2" t="s">
        <v>80</v>
      </c>
      <c r="H352" s="2" t="s">
        <v>81</v>
      </c>
      <c r="I352" s="2" t="s">
        <v>82</v>
      </c>
      <c r="J352" s="2" t="s">
        <v>24</v>
      </c>
      <c r="K352">
        <v>0.75</v>
      </c>
      <c r="L352">
        <v>2934498.23</v>
      </c>
      <c r="M352">
        <v>391266430.67000002</v>
      </c>
      <c r="N352" s="2" t="s">
        <v>83</v>
      </c>
      <c r="O352" s="2" t="s">
        <v>84</v>
      </c>
      <c r="P352" s="2" t="s">
        <v>928</v>
      </c>
      <c r="Q352" s="2" t="s">
        <v>929</v>
      </c>
      <c r="R352" s="2" t="s">
        <v>29</v>
      </c>
      <c r="S352" s="2" t="s">
        <v>30</v>
      </c>
    </row>
    <row r="353" spans="1:19">
      <c r="A353" s="1">
        <v>43952</v>
      </c>
      <c r="B353" s="1">
        <v>43952</v>
      </c>
      <c r="C353">
        <v>2020</v>
      </c>
      <c r="D353">
        <v>5</v>
      </c>
      <c r="E353" s="2" t="s">
        <v>87</v>
      </c>
      <c r="F353" s="2" t="s">
        <v>88</v>
      </c>
      <c r="G353" s="2" t="s">
        <v>80</v>
      </c>
      <c r="H353" s="2" t="s">
        <v>81</v>
      </c>
      <c r="I353" s="2" t="s">
        <v>82</v>
      </c>
      <c r="J353" s="2" t="s">
        <v>24</v>
      </c>
      <c r="K353">
        <v>0.56000000000000005</v>
      </c>
      <c r="L353">
        <v>1010178.16</v>
      </c>
      <c r="M353">
        <v>180388957.13999999</v>
      </c>
      <c r="N353" s="2" t="s">
        <v>89</v>
      </c>
      <c r="O353" s="2" t="s">
        <v>90</v>
      </c>
      <c r="P353" s="2" t="s">
        <v>930</v>
      </c>
      <c r="Q353" s="2" t="s">
        <v>931</v>
      </c>
      <c r="R353" s="2" t="s">
        <v>29</v>
      </c>
      <c r="S353" s="2" t="s">
        <v>30</v>
      </c>
    </row>
    <row r="354" spans="1:19">
      <c r="A354" s="1">
        <v>43952</v>
      </c>
      <c r="B354" s="1">
        <v>43952</v>
      </c>
      <c r="C354">
        <v>2020</v>
      </c>
      <c r="D354">
        <v>5</v>
      </c>
      <c r="E354" s="2" t="s">
        <v>93</v>
      </c>
      <c r="F354" s="2" t="s">
        <v>94</v>
      </c>
      <c r="G354" s="2" t="s">
        <v>80</v>
      </c>
      <c r="H354" s="2" t="s">
        <v>81</v>
      </c>
      <c r="I354" s="2" t="s">
        <v>82</v>
      </c>
      <c r="J354" s="2" t="s">
        <v>24</v>
      </c>
      <c r="K354">
        <v>0.21</v>
      </c>
      <c r="L354">
        <v>3130997.91</v>
      </c>
      <c r="M354">
        <v>1490951385.71</v>
      </c>
      <c r="N354" s="2" t="s">
        <v>95</v>
      </c>
      <c r="O354" s="2" t="s">
        <v>96</v>
      </c>
      <c r="P354" s="2" t="s">
        <v>403</v>
      </c>
      <c r="Q354" s="2" t="s">
        <v>932</v>
      </c>
      <c r="R354" s="2" t="s">
        <v>29</v>
      </c>
      <c r="S354" s="2" t="s">
        <v>30</v>
      </c>
    </row>
    <row r="355" spans="1:19">
      <c r="A355" s="1">
        <v>43952</v>
      </c>
      <c r="B355" s="1">
        <v>43952</v>
      </c>
      <c r="C355">
        <v>2020</v>
      </c>
      <c r="D355">
        <v>5</v>
      </c>
      <c r="E355" s="2" t="s">
        <v>99</v>
      </c>
      <c r="F355" s="2" t="s">
        <v>100</v>
      </c>
      <c r="G355" s="2" t="s">
        <v>80</v>
      </c>
      <c r="H355" s="2" t="s">
        <v>81</v>
      </c>
      <c r="I355" s="2" t="s">
        <v>82</v>
      </c>
      <c r="J355" s="2" t="s">
        <v>101</v>
      </c>
      <c r="K355">
        <v>0.94</v>
      </c>
      <c r="L355">
        <v>7785919.7699999996</v>
      </c>
      <c r="M355">
        <v>828289337.23000002</v>
      </c>
      <c r="N355" s="2" t="s">
        <v>102</v>
      </c>
      <c r="O355" s="2" t="s">
        <v>103</v>
      </c>
      <c r="P355" s="2" t="s">
        <v>933</v>
      </c>
      <c r="Q355" s="2" t="s">
        <v>934</v>
      </c>
      <c r="R355" s="2" t="s">
        <v>29</v>
      </c>
      <c r="S355" s="2" t="s">
        <v>30</v>
      </c>
    </row>
    <row r="356" spans="1:19">
      <c r="A356" s="1">
        <v>43952</v>
      </c>
      <c r="B356" s="1">
        <v>43952</v>
      </c>
      <c r="C356">
        <v>2020</v>
      </c>
      <c r="D356">
        <v>5</v>
      </c>
      <c r="E356" s="2" t="s">
        <v>106</v>
      </c>
      <c r="F356" s="2" t="s">
        <v>107</v>
      </c>
      <c r="G356" s="2" t="s">
        <v>80</v>
      </c>
      <c r="H356" s="2" t="s">
        <v>81</v>
      </c>
      <c r="I356" s="2" t="s">
        <v>82</v>
      </c>
      <c r="J356" s="2" t="s">
        <v>24</v>
      </c>
      <c r="K356">
        <v>0.18</v>
      </c>
      <c r="L356">
        <v>3644743.7</v>
      </c>
      <c r="M356">
        <v>2024857611.1099999</v>
      </c>
      <c r="N356" s="2" t="s">
        <v>108</v>
      </c>
      <c r="O356" s="2" t="s">
        <v>109</v>
      </c>
      <c r="P356" s="2" t="s">
        <v>935</v>
      </c>
      <c r="Q356" s="2" t="s">
        <v>936</v>
      </c>
      <c r="R356" s="2" t="s">
        <v>29</v>
      </c>
      <c r="S356" s="2" t="s">
        <v>30</v>
      </c>
    </row>
    <row r="357" spans="1:19">
      <c r="A357" s="1">
        <v>43952</v>
      </c>
      <c r="B357" s="1">
        <v>43952</v>
      </c>
      <c r="C357">
        <v>2020</v>
      </c>
      <c r="D357">
        <v>5</v>
      </c>
      <c r="E357" s="2" t="s">
        <v>111</v>
      </c>
      <c r="F357" s="2" t="s">
        <v>112</v>
      </c>
      <c r="G357" s="2" t="s">
        <v>80</v>
      </c>
      <c r="H357" s="2" t="s">
        <v>81</v>
      </c>
      <c r="I357" s="2" t="s">
        <v>82</v>
      </c>
      <c r="J357" s="2" t="s">
        <v>24</v>
      </c>
      <c r="K357">
        <v>0.01</v>
      </c>
      <c r="L357">
        <v>109375</v>
      </c>
      <c r="M357">
        <v>1093750000</v>
      </c>
      <c r="N357" s="2" t="s">
        <v>113</v>
      </c>
      <c r="O357" s="2" t="s">
        <v>114</v>
      </c>
      <c r="P357" s="2" t="s">
        <v>832</v>
      </c>
      <c r="Q357" s="2" t="s">
        <v>937</v>
      </c>
      <c r="R357" s="2" t="s">
        <v>29</v>
      </c>
      <c r="S357" s="2" t="s">
        <v>30</v>
      </c>
    </row>
    <row r="358" spans="1:19">
      <c r="A358" s="1">
        <v>43952</v>
      </c>
      <c r="B358" s="1">
        <v>43952</v>
      </c>
      <c r="C358">
        <v>2020</v>
      </c>
      <c r="D358">
        <v>5</v>
      </c>
      <c r="E358" s="2" t="s">
        <v>117</v>
      </c>
      <c r="F358" s="2" t="s">
        <v>118</v>
      </c>
      <c r="G358" s="2" t="s">
        <v>80</v>
      </c>
      <c r="H358" s="2" t="s">
        <v>81</v>
      </c>
      <c r="I358" s="2" t="s">
        <v>82</v>
      </c>
      <c r="J358" s="2" t="s">
        <v>59</v>
      </c>
      <c r="K358">
        <v>1.71</v>
      </c>
      <c r="L358">
        <v>10829793</v>
      </c>
      <c r="M358">
        <v>633321228.07000005</v>
      </c>
      <c r="N358" s="2" t="s">
        <v>119</v>
      </c>
      <c r="O358" s="2" t="s">
        <v>120</v>
      </c>
      <c r="P358" s="2" t="s">
        <v>938</v>
      </c>
      <c r="Q358" s="2" t="s">
        <v>939</v>
      </c>
      <c r="R358" s="2" t="s">
        <v>29</v>
      </c>
      <c r="S358" s="2" t="s">
        <v>30</v>
      </c>
    </row>
    <row r="359" spans="1:19">
      <c r="A359" s="1">
        <v>43952</v>
      </c>
      <c r="B359" s="1">
        <v>43952</v>
      </c>
      <c r="C359">
        <v>2020</v>
      </c>
      <c r="D359">
        <v>5</v>
      </c>
      <c r="E359" s="2" t="s">
        <v>123</v>
      </c>
      <c r="F359" s="2" t="s">
        <v>124</v>
      </c>
      <c r="G359" s="2" t="s">
        <v>21</v>
      </c>
      <c r="H359" s="2" t="s">
        <v>22</v>
      </c>
      <c r="I359" s="2" t="s">
        <v>73</v>
      </c>
      <c r="J359" s="2" t="s">
        <v>24</v>
      </c>
      <c r="K359">
        <v>596.55999999999995</v>
      </c>
      <c r="L359">
        <v>18755.46</v>
      </c>
      <c r="M359">
        <v>3143.94</v>
      </c>
      <c r="N359" s="2" t="s">
        <v>125</v>
      </c>
      <c r="O359" s="2" t="s">
        <v>126</v>
      </c>
      <c r="P359" s="2" t="s">
        <v>940</v>
      </c>
      <c r="Q359" s="2" t="s">
        <v>941</v>
      </c>
      <c r="R359" s="2" t="s">
        <v>29</v>
      </c>
      <c r="S359" s="2" t="s">
        <v>30</v>
      </c>
    </row>
    <row r="360" spans="1:19">
      <c r="A360" s="1">
        <v>43952</v>
      </c>
      <c r="B360" s="1">
        <v>43952</v>
      </c>
      <c r="C360">
        <v>2020</v>
      </c>
      <c r="D360">
        <v>5</v>
      </c>
      <c r="E360" s="2" t="s">
        <v>129</v>
      </c>
      <c r="F360" s="2" t="s">
        <v>130</v>
      </c>
      <c r="G360" s="2" t="s">
        <v>21</v>
      </c>
      <c r="H360" s="2" t="s">
        <v>22</v>
      </c>
      <c r="I360" s="2" t="s">
        <v>73</v>
      </c>
      <c r="J360" s="2" t="s">
        <v>24</v>
      </c>
      <c r="K360">
        <v>432.3</v>
      </c>
      <c r="L360">
        <v>13469.56</v>
      </c>
      <c r="M360">
        <v>3115.79</v>
      </c>
      <c r="N360" s="2" t="s">
        <v>131</v>
      </c>
      <c r="O360" s="2" t="s">
        <v>132</v>
      </c>
      <c r="P360" s="2" t="s">
        <v>942</v>
      </c>
      <c r="Q360" s="2" t="s">
        <v>943</v>
      </c>
      <c r="R360" s="2" t="s">
        <v>29</v>
      </c>
      <c r="S360" s="2" t="s">
        <v>30</v>
      </c>
    </row>
    <row r="361" spans="1:19">
      <c r="A361" s="1">
        <v>43952</v>
      </c>
      <c r="B361" s="1">
        <v>43952</v>
      </c>
      <c r="C361">
        <v>2020</v>
      </c>
      <c r="D361">
        <v>5</v>
      </c>
      <c r="E361" s="2" t="s">
        <v>135</v>
      </c>
      <c r="F361" s="2" t="s">
        <v>136</v>
      </c>
      <c r="G361" s="2" t="s">
        <v>21</v>
      </c>
      <c r="H361" s="2" t="s">
        <v>22</v>
      </c>
      <c r="I361" s="2" t="s">
        <v>73</v>
      </c>
      <c r="J361" s="2" t="s">
        <v>101</v>
      </c>
      <c r="K361">
        <v>1028.8599999999999</v>
      </c>
      <c r="L361">
        <v>32225.02</v>
      </c>
      <c r="M361">
        <v>3132.11</v>
      </c>
      <c r="N361" s="2" t="s">
        <v>137</v>
      </c>
      <c r="O361" s="2" t="s">
        <v>138</v>
      </c>
      <c r="P361" s="2" t="s">
        <v>944</v>
      </c>
      <c r="Q361" s="2" t="s">
        <v>945</v>
      </c>
      <c r="R361" s="2" t="s">
        <v>29</v>
      </c>
      <c r="S361" s="2" t="s">
        <v>30</v>
      </c>
    </row>
    <row r="362" spans="1:19">
      <c r="A362" s="1">
        <v>43952</v>
      </c>
      <c r="B362" s="1">
        <v>43952</v>
      </c>
      <c r="C362">
        <v>2020</v>
      </c>
      <c r="D362">
        <v>5</v>
      </c>
      <c r="E362" s="2" t="s">
        <v>141</v>
      </c>
      <c r="F362" s="2" t="s">
        <v>142</v>
      </c>
      <c r="G362" s="2" t="s">
        <v>21</v>
      </c>
      <c r="H362" s="2" t="s">
        <v>22</v>
      </c>
      <c r="I362" s="2" t="s">
        <v>73</v>
      </c>
      <c r="J362" s="2" t="s">
        <v>24</v>
      </c>
      <c r="K362">
        <v>1537.67</v>
      </c>
      <c r="L362">
        <v>19169.55</v>
      </c>
      <c r="M362">
        <v>1246.6600000000001</v>
      </c>
      <c r="N362" s="2" t="s">
        <v>143</v>
      </c>
      <c r="O362" s="2" t="s">
        <v>144</v>
      </c>
      <c r="P362" s="2" t="s">
        <v>946</v>
      </c>
      <c r="Q362" s="2" t="s">
        <v>947</v>
      </c>
      <c r="R362" s="2" t="s">
        <v>29</v>
      </c>
      <c r="S362" s="2" t="s">
        <v>30</v>
      </c>
    </row>
    <row r="363" spans="1:19">
      <c r="A363" s="1">
        <v>43952</v>
      </c>
      <c r="B363" s="1">
        <v>43952</v>
      </c>
      <c r="C363">
        <v>2020</v>
      </c>
      <c r="D363">
        <v>5</v>
      </c>
      <c r="E363" s="2" t="s">
        <v>147</v>
      </c>
      <c r="F363" s="2" t="s">
        <v>148</v>
      </c>
      <c r="G363" s="2" t="s">
        <v>21</v>
      </c>
      <c r="H363" s="2" t="s">
        <v>22</v>
      </c>
      <c r="I363" s="2" t="s">
        <v>73</v>
      </c>
      <c r="J363" s="2" t="s">
        <v>24</v>
      </c>
      <c r="K363">
        <v>1121.1500000000001</v>
      </c>
      <c r="L363">
        <v>18814.240000000002</v>
      </c>
      <c r="M363">
        <v>1678.12</v>
      </c>
      <c r="N363" s="2" t="s">
        <v>149</v>
      </c>
      <c r="O363" s="2" t="s">
        <v>150</v>
      </c>
      <c r="P363" s="2" t="s">
        <v>948</v>
      </c>
      <c r="Q363" s="2" t="s">
        <v>949</v>
      </c>
      <c r="R363" s="2" t="s">
        <v>29</v>
      </c>
      <c r="S363" s="2" t="s">
        <v>30</v>
      </c>
    </row>
    <row r="364" spans="1:19">
      <c r="A364" s="1">
        <v>43952</v>
      </c>
      <c r="B364" s="1">
        <v>43952</v>
      </c>
      <c r="C364">
        <v>2020</v>
      </c>
      <c r="D364">
        <v>5</v>
      </c>
      <c r="E364" s="2" t="s">
        <v>153</v>
      </c>
      <c r="F364" s="2" t="s">
        <v>154</v>
      </c>
      <c r="G364" s="2" t="s">
        <v>21</v>
      </c>
      <c r="H364" s="2" t="s">
        <v>22</v>
      </c>
      <c r="I364" s="2" t="s">
        <v>73</v>
      </c>
      <c r="J364" s="2" t="s">
        <v>101</v>
      </c>
      <c r="K364">
        <v>2658.82</v>
      </c>
      <c r="L364">
        <v>37983.79</v>
      </c>
      <c r="M364">
        <v>1428.6</v>
      </c>
      <c r="N364" s="2" t="s">
        <v>155</v>
      </c>
      <c r="O364" s="2" t="s">
        <v>156</v>
      </c>
      <c r="P364" s="2" t="s">
        <v>950</v>
      </c>
      <c r="Q364" s="2" t="s">
        <v>951</v>
      </c>
      <c r="R364" s="2" t="s">
        <v>29</v>
      </c>
      <c r="S364" s="2" t="s">
        <v>30</v>
      </c>
    </row>
    <row r="365" spans="1:19">
      <c r="A365" s="1">
        <v>43952</v>
      </c>
      <c r="B365" s="1">
        <v>43952</v>
      </c>
      <c r="C365">
        <v>2020</v>
      </c>
      <c r="D365">
        <v>5</v>
      </c>
      <c r="E365" s="2" t="s">
        <v>159</v>
      </c>
      <c r="F365" s="2" t="s">
        <v>160</v>
      </c>
      <c r="G365" s="2" t="s">
        <v>21</v>
      </c>
      <c r="H365" s="2" t="s">
        <v>22</v>
      </c>
      <c r="I365" s="2" t="s">
        <v>66</v>
      </c>
      <c r="J365" s="2" t="s">
        <v>59</v>
      </c>
      <c r="K365">
        <v>672.9</v>
      </c>
      <c r="L365">
        <v>50961.89</v>
      </c>
      <c r="M365">
        <v>7573.47</v>
      </c>
      <c r="N365" s="2" t="s">
        <v>161</v>
      </c>
      <c r="O365" s="2" t="s">
        <v>162</v>
      </c>
      <c r="P365" s="2" t="s">
        <v>952</v>
      </c>
      <c r="Q365" s="2" t="s">
        <v>953</v>
      </c>
      <c r="R365" s="2" t="s">
        <v>29</v>
      </c>
      <c r="S365" s="2" t="s">
        <v>30</v>
      </c>
    </row>
    <row r="366" spans="1:19">
      <c r="A366" s="1">
        <v>43952</v>
      </c>
      <c r="B366" s="1">
        <v>43952</v>
      </c>
      <c r="C366">
        <v>2020</v>
      </c>
      <c r="D366">
        <v>5</v>
      </c>
      <c r="E366" s="2" t="s">
        <v>165</v>
      </c>
      <c r="F366" s="2" t="s">
        <v>166</v>
      </c>
      <c r="G366" s="2" t="s">
        <v>21</v>
      </c>
      <c r="H366" s="2" t="s">
        <v>22</v>
      </c>
      <c r="I366" s="2" t="s">
        <v>23</v>
      </c>
      <c r="J366" s="2" t="s">
        <v>24</v>
      </c>
      <c r="K366">
        <v>0</v>
      </c>
      <c r="L366">
        <v>0</v>
      </c>
      <c r="N366" s="2" t="s">
        <v>167</v>
      </c>
      <c r="O366" s="2" t="s">
        <v>168</v>
      </c>
      <c r="P366" s="2" t="s">
        <v>639</v>
      </c>
      <c r="Q366" s="2" t="s">
        <v>639</v>
      </c>
      <c r="R366" s="2" t="s">
        <v>29</v>
      </c>
      <c r="S366" s="2" t="s">
        <v>30</v>
      </c>
    </row>
    <row r="367" spans="1:19">
      <c r="A367" s="1">
        <v>43952</v>
      </c>
      <c r="B367" s="1">
        <v>43952</v>
      </c>
      <c r="C367">
        <v>2020</v>
      </c>
      <c r="D367">
        <v>5</v>
      </c>
      <c r="E367" s="2" t="s">
        <v>171</v>
      </c>
      <c r="F367" s="2" t="s">
        <v>172</v>
      </c>
      <c r="G367" s="2" t="s">
        <v>21</v>
      </c>
      <c r="H367" s="2" t="s">
        <v>22</v>
      </c>
      <c r="I367" s="2" t="s">
        <v>66</v>
      </c>
      <c r="J367" s="2" t="s">
        <v>24</v>
      </c>
      <c r="N367" s="2" t="s">
        <v>173</v>
      </c>
      <c r="O367" s="2" t="s">
        <v>174</v>
      </c>
      <c r="P367" s="2" t="s">
        <v>175</v>
      </c>
      <c r="Q367" s="2" t="s">
        <v>175</v>
      </c>
      <c r="R367" s="2" t="s">
        <v>640</v>
      </c>
      <c r="S367" s="2" t="s">
        <v>641</v>
      </c>
    </row>
    <row r="368" spans="1:19">
      <c r="A368" s="1">
        <v>43952</v>
      </c>
      <c r="B368" s="1">
        <v>43952</v>
      </c>
      <c r="C368">
        <v>2020</v>
      </c>
      <c r="D368">
        <v>5</v>
      </c>
      <c r="E368" s="2" t="s">
        <v>177</v>
      </c>
      <c r="F368" s="2" t="s">
        <v>178</v>
      </c>
      <c r="G368" s="2" t="s">
        <v>21</v>
      </c>
      <c r="H368" s="2" t="s">
        <v>22</v>
      </c>
      <c r="I368" s="2" t="s">
        <v>23</v>
      </c>
      <c r="J368" s="2" t="s">
        <v>24</v>
      </c>
      <c r="K368">
        <v>1666.8</v>
      </c>
      <c r="L368">
        <v>169401.68</v>
      </c>
      <c r="M368">
        <v>10163.290000000001</v>
      </c>
      <c r="N368" s="2" t="s">
        <v>179</v>
      </c>
      <c r="O368" s="2" t="s">
        <v>180</v>
      </c>
      <c r="P368" s="2" t="s">
        <v>954</v>
      </c>
      <c r="Q368" s="2" t="s">
        <v>955</v>
      </c>
      <c r="R368" s="2" t="s">
        <v>29</v>
      </c>
      <c r="S368" s="2" t="s">
        <v>30</v>
      </c>
    </row>
    <row r="369" spans="1:19">
      <c r="A369" s="1">
        <v>43952</v>
      </c>
      <c r="B369" s="1">
        <v>43952</v>
      </c>
      <c r="C369">
        <v>2020</v>
      </c>
      <c r="D369">
        <v>5</v>
      </c>
      <c r="E369" s="2" t="s">
        <v>183</v>
      </c>
      <c r="F369" s="2" t="s">
        <v>184</v>
      </c>
      <c r="G369" s="2" t="s">
        <v>185</v>
      </c>
      <c r="H369" s="2" t="s">
        <v>22</v>
      </c>
      <c r="I369" s="2" t="s">
        <v>186</v>
      </c>
      <c r="J369" s="2" t="s">
        <v>24</v>
      </c>
      <c r="K369">
        <v>1682.02</v>
      </c>
      <c r="L369">
        <v>1564633.26</v>
      </c>
      <c r="M369">
        <v>93021.09</v>
      </c>
      <c r="N369" s="2" t="s">
        <v>187</v>
      </c>
      <c r="O369" s="2" t="s">
        <v>188</v>
      </c>
      <c r="P369" s="2" t="s">
        <v>956</v>
      </c>
      <c r="Q369" s="2" t="s">
        <v>957</v>
      </c>
      <c r="R369" s="2" t="s">
        <v>29</v>
      </c>
      <c r="S369" s="2" t="s">
        <v>30</v>
      </c>
    </row>
    <row r="370" spans="1:19">
      <c r="A370" s="1">
        <v>43952</v>
      </c>
      <c r="B370" s="1">
        <v>43952</v>
      </c>
      <c r="C370">
        <v>2020</v>
      </c>
      <c r="D370">
        <v>5</v>
      </c>
      <c r="E370" s="2" t="s">
        <v>191</v>
      </c>
      <c r="F370" s="2" t="s">
        <v>192</v>
      </c>
      <c r="G370" s="2" t="s">
        <v>185</v>
      </c>
      <c r="H370" s="2" t="s">
        <v>22</v>
      </c>
      <c r="I370" s="2" t="s">
        <v>186</v>
      </c>
      <c r="J370" s="2" t="s">
        <v>24</v>
      </c>
      <c r="K370">
        <v>516.13</v>
      </c>
      <c r="L370">
        <v>3228156.66</v>
      </c>
      <c r="M370">
        <v>625454.18000000005</v>
      </c>
      <c r="N370" s="2" t="s">
        <v>193</v>
      </c>
      <c r="O370" s="2" t="s">
        <v>194</v>
      </c>
      <c r="P370" s="2" t="s">
        <v>958</v>
      </c>
      <c r="Q370" s="2" t="s">
        <v>959</v>
      </c>
      <c r="R370" s="2" t="s">
        <v>29</v>
      </c>
      <c r="S370" s="2" t="s">
        <v>30</v>
      </c>
    </row>
    <row r="371" spans="1:19">
      <c r="A371" s="1">
        <v>43952</v>
      </c>
      <c r="B371" s="1">
        <v>43952</v>
      </c>
      <c r="C371">
        <v>2020</v>
      </c>
      <c r="D371">
        <v>5</v>
      </c>
      <c r="E371" s="2" t="s">
        <v>197</v>
      </c>
      <c r="F371" s="2" t="s">
        <v>198</v>
      </c>
      <c r="G371" s="2" t="s">
        <v>185</v>
      </c>
      <c r="H371" s="2" t="s">
        <v>22</v>
      </c>
      <c r="I371" s="2" t="s">
        <v>186</v>
      </c>
      <c r="J371" s="2" t="s">
        <v>59</v>
      </c>
      <c r="K371">
        <v>2198.14</v>
      </c>
      <c r="L371">
        <v>4792789.92</v>
      </c>
      <c r="M371">
        <v>218038.43</v>
      </c>
      <c r="N371" s="2" t="s">
        <v>199</v>
      </c>
      <c r="O371" s="2" t="s">
        <v>200</v>
      </c>
      <c r="P371" s="2" t="s">
        <v>960</v>
      </c>
      <c r="Q371" s="2" t="s">
        <v>961</v>
      </c>
      <c r="R371" s="2" t="s">
        <v>29</v>
      </c>
      <c r="S371" s="2" t="s">
        <v>30</v>
      </c>
    </row>
    <row r="372" spans="1:19">
      <c r="A372" s="1">
        <v>43952</v>
      </c>
      <c r="B372" s="1">
        <v>43952</v>
      </c>
      <c r="C372">
        <v>2020</v>
      </c>
      <c r="D372">
        <v>5</v>
      </c>
      <c r="E372" s="2" t="s">
        <v>203</v>
      </c>
      <c r="F372" s="2" t="s">
        <v>204</v>
      </c>
      <c r="G372" s="2" t="s">
        <v>39</v>
      </c>
      <c r="H372" s="2" t="s">
        <v>22</v>
      </c>
      <c r="I372" s="2" t="s">
        <v>40</v>
      </c>
      <c r="J372" s="2" t="s">
        <v>24</v>
      </c>
      <c r="K372">
        <v>1000.69</v>
      </c>
      <c r="L372">
        <v>17929.400000000001</v>
      </c>
      <c r="M372">
        <v>1791.7</v>
      </c>
      <c r="N372" s="2" t="s">
        <v>205</v>
      </c>
      <c r="O372" s="2" t="s">
        <v>206</v>
      </c>
      <c r="P372" s="2" t="s">
        <v>962</v>
      </c>
      <c r="Q372" s="2" t="s">
        <v>963</v>
      </c>
      <c r="R372" s="2" t="s">
        <v>29</v>
      </c>
      <c r="S372" s="2" t="s">
        <v>30</v>
      </c>
    </row>
    <row r="373" spans="1:19">
      <c r="A373" s="1">
        <v>43952</v>
      </c>
      <c r="B373" s="1">
        <v>43952</v>
      </c>
      <c r="C373">
        <v>2020</v>
      </c>
      <c r="D373">
        <v>5</v>
      </c>
      <c r="E373" s="2" t="s">
        <v>209</v>
      </c>
      <c r="F373" s="2" t="s">
        <v>210</v>
      </c>
      <c r="G373" s="2" t="s">
        <v>39</v>
      </c>
      <c r="H373" s="2" t="s">
        <v>22</v>
      </c>
      <c r="I373" s="2" t="s">
        <v>40</v>
      </c>
      <c r="J373" s="2" t="s">
        <v>59</v>
      </c>
      <c r="K373">
        <v>1000.69</v>
      </c>
      <c r="L373">
        <v>17929.400000000001</v>
      </c>
      <c r="M373">
        <v>1791.7</v>
      </c>
      <c r="N373" s="2" t="s">
        <v>211</v>
      </c>
      <c r="O373" s="2" t="s">
        <v>212</v>
      </c>
      <c r="P373" s="2" t="s">
        <v>962</v>
      </c>
      <c r="Q373" s="2" t="s">
        <v>963</v>
      </c>
      <c r="R373" s="2" t="s">
        <v>29</v>
      </c>
      <c r="S373" s="2" t="s">
        <v>30</v>
      </c>
    </row>
    <row r="374" spans="1:19">
      <c r="A374" s="1">
        <v>43952</v>
      </c>
      <c r="B374" s="1">
        <v>43952</v>
      </c>
      <c r="C374">
        <v>2020</v>
      </c>
      <c r="D374">
        <v>5</v>
      </c>
      <c r="E374" s="2" t="s">
        <v>213</v>
      </c>
      <c r="F374" s="2" t="s">
        <v>214</v>
      </c>
      <c r="G374" s="2" t="s">
        <v>185</v>
      </c>
      <c r="H374" s="2" t="s">
        <v>22</v>
      </c>
      <c r="I374" s="2" t="s">
        <v>215</v>
      </c>
      <c r="J374" s="2" t="s">
        <v>24</v>
      </c>
      <c r="K374">
        <v>13415.37</v>
      </c>
      <c r="L374">
        <v>392453.38</v>
      </c>
      <c r="M374">
        <v>2925.4</v>
      </c>
      <c r="N374" s="2" t="s">
        <v>216</v>
      </c>
      <c r="O374" s="2" t="s">
        <v>217</v>
      </c>
      <c r="P374" s="2" t="s">
        <v>964</v>
      </c>
      <c r="Q374" s="2" t="s">
        <v>965</v>
      </c>
      <c r="R374" s="2" t="s">
        <v>29</v>
      </c>
      <c r="S374" s="2" t="s">
        <v>30</v>
      </c>
    </row>
    <row r="375" spans="1:19">
      <c r="A375" s="1">
        <v>43952</v>
      </c>
      <c r="B375" s="1">
        <v>43952</v>
      </c>
      <c r="C375">
        <v>2020</v>
      </c>
      <c r="D375">
        <v>5</v>
      </c>
      <c r="E375" s="2" t="s">
        <v>220</v>
      </c>
      <c r="F375" s="2" t="s">
        <v>221</v>
      </c>
      <c r="G375" s="2" t="s">
        <v>185</v>
      </c>
      <c r="H375" s="2" t="s">
        <v>22</v>
      </c>
      <c r="I375" s="2" t="s">
        <v>215</v>
      </c>
      <c r="J375" s="2" t="s">
        <v>24</v>
      </c>
      <c r="K375">
        <v>1264.83</v>
      </c>
      <c r="L375">
        <v>94565.71</v>
      </c>
      <c r="M375">
        <v>7476.55</v>
      </c>
      <c r="N375" s="2" t="s">
        <v>222</v>
      </c>
      <c r="O375" s="2" t="s">
        <v>223</v>
      </c>
      <c r="P375" s="2" t="s">
        <v>966</v>
      </c>
      <c r="Q375" s="2" t="s">
        <v>967</v>
      </c>
      <c r="R375" s="2" t="s">
        <v>29</v>
      </c>
      <c r="S375" s="2" t="s">
        <v>30</v>
      </c>
    </row>
    <row r="376" spans="1:19">
      <c r="A376" s="1">
        <v>43952</v>
      </c>
      <c r="B376" s="1">
        <v>43952</v>
      </c>
      <c r="C376">
        <v>2020</v>
      </c>
      <c r="D376">
        <v>5</v>
      </c>
      <c r="E376" s="2" t="s">
        <v>226</v>
      </c>
      <c r="F376" s="2" t="s">
        <v>227</v>
      </c>
      <c r="G376" s="2" t="s">
        <v>185</v>
      </c>
      <c r="H376" s="2" t="s">
        <v>22</v>
      </c>
      <c r="I376" s="2" t="s">
        <v>215</v>
      </c>
      <c r="J376" s="2" t="s">
        <v>59</v>
      </c>
      <c r="K376">
        <v>14680.2</v>
      </c>
      <c r="L376">
        <v>487019.09</v>
      </c>
      <c r="M376">
        <v>3317.52</v>
      </c>
      <c r="N376" s="2" t="s">
        <v>228</v>
      </c>
      <c r="O376" s="2" t="s">
        <v>229</v>
      </c>
      <c r="P376" s="2" t="s">
        <v>968</v>
      </c>
      <c r="Q376" s="2" t="s">
        <v>969</v>
      </c>
      <c r="R376" s="2" t="s">
        <v>29</v>
      </c>
      <c r="S376" s="2" t="s">
        <v>30</v>
      </c>
    </row>
    <row r="377" spans="1:19">
      <c r="A377" s="1">
        <v>43952</v>
      </c>
      <c r="B377" s="1">
        <v>43952</v>
      </c>
      <c r="C377">
        <v>2020</v>
      </c>
      <c r="D377">
        <v>5</v>
      </c>
      <c r="E377" s="2" t="s">
        <v>232</v>
      </c>
      <c r="F377" s="2" t="s">
        <v>233</v>
      </c>
      <c r="G377" s="2" t="s">
        <v>21</v>
      </c>
      <c r="H377" s="2" t="s">
        <v>22</v>
      </c>
      <c r="I377" s="2" t="s">
        <v>23</v>
      </c>
      <c r="J377" s="2" t="s">
        <v>24</v>
      </c>
      <c r="K377">
        <v>995.63</v>
      </c>
      <c r="L377">
        <v>134228.78</v>
      </c>
      <c r="M377">
        <v>13481.79</v>
      </c>
      <c r="N377" s="2" t="s">
        <v>234</v>
      </c>
      <c r="O377" s="2" t="s">
        <v>235</v>
      </c>
      <c r="P377" s="2" t="s">
        <v>970</v>
      </c>
      <c r="Q377" s="2" t="s">
        <v>971</v>
      </c>
      <c r="R377" s="2" t="s">
        <v>29</v>
      </c>
      <c r="S377" s="2" t="s">
        <v>30</v>
      </c>
    </row>
    <row r="378" spans="1:19">
      <c r="A378" s="1">
        <v>43952</v>
      </c>
      <c r="B378" s="1">
        <v>43952</v>
      </c>
      <c r="C378">
        <v>2020</v>
      </c>
      <c r="D378">
        <v>5</v>
      </c>
      <c r="E378" s="2" t="s">
        <v>238</v>
      </c>
      <c r="F378" s="2" t="s">
        <v>239</v>
      </c>
      <c r="G378" s="2" t="s">
        <v>21</v>
      </c>
      <c r="H378" s="2" t="s">
        <v>22</v>
      </c>
      <c r="I378" s="2" t="s">
        <v>66</v>
      </c>
      <c r="J378" s="2" t="s">
        <v>24</v>
      </c>
      <c r="K378">
        <v>640.09</v>
      </c>
      <c r="L378">
        <v>50766.99</v>
      </c>
      <c r="M378">
        <v>7931.23</v>
      </c>
      <c r="N378" s="2" t="s">
        <v>240</v>
      </c>
      <c r="O378" s="2" t="s">
        <v>241</v>
      </c>
      <c r="P378" s="2" t="s">
        <v>972</v>
      </c>
      <c r="Q378" s="2" t="s">
        <v>973</v>
      </c>
      <c r="R378" s="2" t="s">
        <v>29</v>
      </c>
      <c r="S378" s="2" t="s">
        <v>30</v>
      </c>
    </row>
    <row r="379" spans="1:19">
      <c r="A379" s="1">
        <v>43952</v>
      </c>
      <c r="B379" s="1">
        <v>43952</v>
      </c>
      <c r="C379">
        <v>2020</v>
      </c>
      <c r="D379">
        <v>5</v>
      </c>
      <c r="E379" s="2" t="s">
        <v>244</v>
      </c>
      <c r="F379" s="2" t="s">
        <v>245</v>
      </c>
      <c r="G379" s="2" t="s">
        <v>21</v>
      </c>
      <c r="H379" s="2" t="s">
        <v>22</v>
      </c>
      <c r="I379" s="2" t="s">
        <v>23</v>
      </c>
      <c r="J379" s="2" t="s">
        <v>24</v>
      </c>
      <c r="K379">
        <v>1929.39</v>
      </c>
      <c r="L379">
        <v>1481749.52</v>
      </c>
      <c r="M379">
        <v>76798.86</v>
      </c>
      <c r="N379" s="2" t="s">
        <v>246</v>
      </c>
      <c r="O379" s="2" t="s">
        <v>247</v>
      </c>
      <c r="P379" s="2" t="s">
        <v>974</v>
      </c>
      <c r="Q379" s="2" t="s">
        <v>975</v>
      </c>
      <c r="R379" s="2" t="s">
        <v>29</v>
      </c>
      <c r="S379" s="2" t="s">
        <v>30</v>
      </c>
    </row>
    <row r="380" spans="1:19">
      <c r="A380" s="1">
        <v>43952</v>
      </c>
      <c r="B380" s="1">
        <v>43952</v>
      </c>
      <c r="C380">
        <v>2020</v>
      </c>
      <c r="D380">
        <v>5</v>
      </c>
      <c r="E380" s="2" t="s">
        <v>250</v>
      </c>
      <c r="F380" s="2" t="s">
        <v>251</v>
      </c>
      <c r="G380" s="2" t="s">
        <v>21</v>
      </c>
      <c r="H380" s="2" t="s">
        <v>22</v>
      </c>
      <c r="I380" s="2" t="s">
        <v>66</v>
      </c>
      <c r="J380" s="2" t="s">
        <v>24</v>
      </c>
      <c r="K380">
        <v>19.41</v>
      </c>
      <c r="L380">
        <v>35.549999999999997</v>
      </c>
      <c r="M380">
        <v>183.15</v>
      </c>
      <c r="N380" s="2" t="s">
        <v>252</v>
      </c>
      <c r="O380" s="2" t="s">
        <v>253</v>
      </c>
      <c r="P380" s="2" t="s">
        <v>976</v>
      </c>
      <c r="Q380" s="2" t="s">
        <v>977</v>
      </c>
      <c r="R380" s="2" t="s">
        <v>29</v>
      </c>
      <c r="S380" s="2" t="s">
        <v>30</v>
      </c>
    </row>
    <row r="381" spans="1:19">
      <c r="A381" s="1">
        <v>43952</v>
      </c>
      <c r="B381" s="1">
        <v>43952</v>
      </c>
      <c r="C381">
        <v>2020</v>
      </c>
      <c r="D381">
        <v>5</v>
      </c>
      <c r="E381" s="2" t="s">
        <v>256</v>
      </c>
      <c r="F381" s="2" t="s">
        <v>257</v>
      </c>
      <c r="G381" s="2" t="s">
        <v>21</v>
      </c>
      <c r="H381" s="2" t="s">
        <v>22</v>
      </c>
      <c r="I381" s="2" t="s">
        <v>258</v>
      </c>
      <c r="J381" s="2" t="s">
        <v>24</v>
      </c>
      <c r="K381">
        <v>306.5</v>
      </c>
      <c r="L381">
        <v>260012.14</v>
      </c>
      <c r="M381">
        <v>84832.67</v>
      </c>
      <c r="N381" s="2" t="s">
        <v>259</v>
      </c>
      <c r="O381" s="2" t="s">
        <v>260</v>
      </c>
      <c r="P381" s="2" t="s">
        <v>978</v>
      </c>
      <c r="Q381" s="2" t="s">
        <v>979</v>
      </c>
      <c r="R381" s="2" t="s">
        <v>29</v>
      </c>
      <c r="S381" s="2" t="s">
        <v>30</v>
      </c>
    </row>
    <row r="382" spans="1:19">
      <c r="A382" s="1">
        <v>43952</v>
      </c>
      <c r="B382" s="1">
        <v>43952</v>
      </c>
      <c r="C382">
        <v>2020</v>
      </c>
      <c r="D382">
        <v>5</v>
      </c>
      <c r="E382" s="2" t="s">
        <v>263</v>
      </c>
      <c r="F382" s="2" t="s">
        <v>264</v>
      </c>
      <c r="G382" s="2" t="s">
        <v>21</v>
      </c>
      <c r="H382" s="2" t="s">
        <v>22</v>
      </c>
      <c r="I382" s="2" t="s">
        <v>258</v>
      </c>
      <c r="J382" s="2" t="s">
        <v>24</v>
      </c>
      <c r="K382">
        <v>0.27</v>
      </c>
      <c r="L382">
        <v>215.2</v>
      </c>
      <c r="M382">
        <v>79703.7</v>
      </c>
      <c r="N382" s="2" t="s">
        <v>265</v>
      </c>
      <c r="O382" s="2" t="s">
        <v>266</v>
      </c>
      <c r="P382" s="2" t="s">
        <v>980</v>
      </c>
      <c r="Q382" s="2" t="s">
        <v>981</v>
      </c>
      <c r="R382" s="2" t="s">
        <v>29</v>
      </c>
      <c r="S382" s="2" t="s">
        <v>30</v>
      </c>
    </row>
    <row r="383" spans="1:19">
      <c r="A383" s="1">
        <v>43952</v>
      </c>
      <c r="B383" s="1">
        <v>43952</v>
      </c>
      <c r="C383">
        <v>2020</v>
      </c>
      <c r="D383">
        <v>5</v>
      </c>
      <c r="E383" s="2" t="s">
        <v>269</v>
      </c>
      <c r="F383" s="2" t="s">
        <v>270</v>
      </c>
      <c r="G383" s="2" t="s">
        <v>21</v>
      </c>
      <c r="H383" s="2" t="s">
        <v>22</v>
      </c>
      <c r="I383" s="2" t="s">
        <v>258</v>
      </c>
      <c r="J383" s="2" t="s">
        <v>59</v>
      </c>
      <c r="K383">
        <v>306.77</v>
      </c>
      <c r="L383">
        <v>260227.34</v>
      </c>
      <c r="M383">
        <v>84828.160000000003</v>
      </c>
      <c r="N383" s="2" t="s">
        <v>271</v>
      </c>
      <c r="O383" s="2" t="s">
        <v>272</v>
      </c>
      <c r="P383" s="2" t="s">
        <v>982</v>
      </c>
      <c r="Q383" s="2" t="s">
        <v>983</v>
      </c>
      <c r="R383" s="2" t="s">
        <v>29</v>
      </c>
      <c r="S383" s="2" t="s">
        <v>30</v>
      </c>
    </row>
    <row r="384" spans="1:19">
      <c r="A384" s="1">
        <v>43952</v>
      </c>
      <c r="B384" s="1">
        <v>43952</v>
      </c>
      <c r="C384">
        <v>2020</v>
      </c>
      <c r="D384">
        <v>5</v>
      </c>
      <c r="E384" s="2" t="s">
        <v>275</v>
      </c>
      <c r="F384" s="2" t="s">
        <v>276</v>
      </c>
      <c r="G384" s="2" t="s">
        <v>39</v>
      </c>
      <c r="H384" s="2" t="s">
        <v>22</v>
      </c>
      <c r="I384" s="2" t="s">
        <v>40</v>
      </c>
      <c r="J384" s="2" t="s">
        <v>24</v>
      </c>
      <c r="K384">
        <v>36.06</v>
      </c>
      <c r="L384">
        <v>115.61</v>
      </c>
      <c r="M384">
        <v>320.60000000000002</v>
      </c>
      <c r="N384" s="2" t="s">
        <v>277</v>
      </c>
      <c r="O384" s="2" t="s">
        <v>278</v>
      </c>
      <c r="P384" s="2" t="s">
        <v>984</v>
      </c>
      <c r="Q384" s="2" t="s">
        <v>985</v>
      </c>
      <c r="R384" s="2" t="s">
        <v>29</v>
      </c>
      <c r="S384" s="2" t="s">
        <v>30</v>
      </c>
    </row>
    <row r="385" spans="1:19">
      <c r="A385" s="1">
        <v>43952</v>
      </c>
      <c r="B385" s="1">
        <v>43952</v>
      </c>
      <c r="C385">
        <v>2020</v>
      </c>
      <c r="D385">
        <v>5</v>
      </c>
      <c r="E385" s="2" t="s">
        <v>281</v>
      </c>
      <c r="F385" s="2" t="s">
        <v>282</v>
      </c>
      <c r="G385" s="2" t="s">
        <v>39</v>
      </c>
      <c r="H385" s="2" t="s">
        <v>22</v>
      </c>
      <c r="I385" s="2" t="s">
        <v>40</v>
      </c>
      <c r="J385" s="2" t="s">
        <v>24</v>
      </c>
      <c r="K385">
        <v>0.19</v>
      </c>
      <c r="L385">
        <v>0.59</v>
      </c>
      <c r="M385">
        <v>310.52999999999997</v>
      </c>
      <c r="N385" s="2" t="s">
        <v>283</v>
      </c>
      <c r="O385" s="2" t="s">
        <v>284</v>
      </c>
      <c r="P385" s="2" t="s">
        <v>97</v>
      </c>
      <c r="Q385" s="2" t="s">
        <v>986</v>
      </c>
      <c r="R385" s="2" t="s">
        <v>29</v>
      </c>
      <c r="S385" s="2" t="s">
        <v>30</v>
      </c>
    </row>
    <row r="386" spans="1:19">
      <c r="A386" s="1">
        <v>43952</v>
      </c>
      <c r="B386" s="1">
        <v>43952</v>
      </c>
      <c r="C386">
        <v>2020</v>
      </c>
      <c r="D386">
        <v>5</v>
      </c>
      <c r="E386" s="2" t="s">
        <v>287</v>
      </c>
      <c r="F386" s="2" t="s">
        <v>288</v>
      </c>
      <c r="G386" s="2" t="s">
        <v>39</v>
      </c>
      <c r="H386" s="2" t="s">
        <v>22</v>
      </c>
      <c r="I386" s="2" t="s">
        <v>40</v>
      </c>
      <c r="J386" s="2" t="s">
        <v>59</v>
      </c>
      <c r="K386">
        <v>36.25</v>
      </c>
      <c r="L386">
        <v>116.2</v>
      </c>
      <c r="M386">
        <v>320.55</v>
      </c>
      <c r="N386" s="2" t="s">
        <v>289</v>
      </c>
      <c r="O386" s="2" t="s">
        <v>290</v>
      </c>
      <c r="P386" s="2" t="s">
        <v>987</v>
      </c>
      <c r="Q386" s="2" t="s">
        <v>988</v>
      </c>
      <c r="R386" s="2" t="s">
        <v>29</v>
      </c>
      <c r="S386" s="2" t="s">
        <v>30</v>
      </c>
    </row>
    <row r="387" spans="1:19">
      <c r="A387" s="1">
        <v>43952</v>
      </c>
      <c r="B387" s="1">
        <v>43952</v>
      </c>
      <c r="C387">
        <v>2020</v>
      </c>
      <c r="D387">
        <v>5</v>
      </c>
      <c r="E387" s="2" t="s">
        <v>293</v>
      </c>
      <c r="F387" s="2" t="s">
        <v>294</v>
      </c>
      <c r="G387" s="2" t="s">
        <v>21</v>
      </c>
      <c r="H387" s="2" t="s">
        <v>22</v>
      </c>
      <c r="I387" s="2" t="s">
        <v>295</v>
      </c>
      <c r="J387" s="2" t="s">
        <v>24</v>
      </c>
      <c r="K387">
        <v>458.98</v>
      </c>
      <c r="L387">
        <v>1177.27</v>
      </c>
      <c r="M387">
        <v>256.5</v>
      </c>
      <c r="N387" s="2" t="s">
        <v>296</v>
      </c>
      <c r="O387" s="2" t="s">
        <v>297</v>
      </c>
      <c r="P387" s="2" t="s">
        <v>989</v>
      </c>
      <c r="Q387" s="2" t="s">
        <v>990</v>
      </c>
      <c r="R387" s="2" t="s">
        <v>29</v>
      </c>
      <c r="S387" s="2" t="s">
        <v>30</v>
      </c>
    </row>
    <row r="388" spans="1:19">
      <c r="A388" s="1">
        <v>43952</v>
      </c>
      <c r="B388" s="1">
        <v>43952</v>
      </c>
      <c r="C388">
        <v>2020</v>
      </c>
      <c r="D388">
        <v>5</v>
      </c>
      <c r="E388" s="2" t="s">
        <v>300</v>
      </c>
      <c r="F388" s="2" t="s">
        <v>301</v>
      </c>
      <c r="G388" s="2" t="s">
        <v>21</v>
      </c>
      <c r="H388" s="2" t="s">
        <v>22</v>
      </c>
      <c r="I388" s="2" t="s">
        <v>295</v>
      </c>
      <c r="J388" s="2" t="s">
        <v>24</v>
      </c>
      <c r="K388">
        <v>40.82</v>
      </c>
      <c r="L388">
        <v>551.41999999999996</v>
      </c>
      <c r="M388">
        <v>1350.86</v>
      </c>
      <c r="N388" s="2" t="s">
        <v>302</v>
      </c>
      <c r="O388" s="2" t="s">
        <v>303</v>
      </c>
      <c r="P388" s="2" t="s">
        <v>991</v>
      </c>
      <c r="Q388" s="2" t="s">
        <v>992</v>
      </c>
      <c r="R388" s="2" t="s">
        <v>29</v>
      </c>
      <c r="S388" s="2" t="s">
        <v>30</v>
      </c>
    </row>
    <row r="389" spans="1:19">
      <c r="A389" s="1">
        <v>43952</v>
      </c>
      <c r="B389" s="1">
        <v>43952</v>
      </c>
      <c r="C389">
        <v>2020</v>
      </c>
      <c r="D389">
        <v>5</v>
      </c>
      <c r="E389" s="2" t="s">
        <v>306</v>
      </c>
      <c r="F389" s="2" t="s">
        <v>307</v>
      </c>
      <c r="G389" s="2" t="s">
        <v>21</v>
      </c>
      <c r="H389" s="2" t="s">
        <v>22</v>
      </c>
      <c r="I389" s="2" t="s">
        <v>295</v>
      </c>
      <c r="J389" s="2" t="s">
        <v>101</v>
      </c>
      <c r="K389">
        <v>499.8</v>
      </c>
      <c r="L389">
        <v>1728.69</v>
      </c>
      <c r="M389">
        <v>345.88</v>
      </c>
      <c r="N389" s="2" t="s">
        <v>308</v>
      </c>
      <c r="O389" s="2" t="s">
        <v>309</v>
      </c>
      <c r="P389" s="2" t="s">
        <v>993</v>
      </c>
      <c r="Q389" s="2" t="s">
        <v>994</v>
      </c>
      <c r="R389" s="2" t="s">
        <v>29</v>
      </c>
      <c r="S389" s="2" t="s">
        <v>30</v>
      </c>
    </row>
    <row r="390" spans="1:19">
      <c r="A390" s="1">
        <v>43952</v>
      </c>
      <c r="B390" s="1">
        <v>43952</v>
      </c>
      <c r="C390">
        <v>2020</v>
      </c>
      <c r="D390">
        <v>5</v>
      </c>
      <c r="E390" s="2" t="s">
        <v>312</v>
      </c>
      <c r="F390" s="2" t="s">
        <v>313</v>
      </c>
      <c r="G390" s="2" t="s">
        <v>21</v>
      </c>
      <c r="H390" s="2" t="s">
        <v>22</v>
      </c>
      <c r="I390" s="2" t="s">
        <v>295</v>
      </c>
      <c r="J390" s="2" t="s">
        <v>59</v>
      </c>
      <c r="K390">
        <v>3032.04</v>
      </c>
      <c r="L390">
        <v>12808.5</v>
      </c>
      <c r="M390">
        <v>422.44</v>
      </c>
      <c r="N390" s="2" t="s">
        <v>314</v>
      </c>
      <c r="O390" s="2" t="s">
        <v>315</v>
      </c>
      <c r="P390" s="2" t="s">
        <v>995</v>
      </c>
      <c r="Q390" s="2" t="s">
        <v>996</v>
      </c>
      <c r="R390" s="2" t="s">
        <v>29</v>
      </c>
      <c r="S390" s="2" t="s">
        <v>30</v>
      </c>
    </row>
    <row r="391" spans="1:19">
      <c r="A391" s="1">
        <v>43952</v>
      </c>
      <c r="B391" s="1">
        <v>43952</v>
      </c>
      <c r="C391">
        <v>2020</v>
      </c>
      <c r="D391">
        <v>5</v>
      </c>
      <c r="E391" s="2" t="s">
        <v>318</v>
      </c>
      <c r="F391" s="2" t="s">
        <v>319</v>
      </c>
      <c r="G391" s="2" t="s">
        <v>21</v>
      </c>
      <c r="H391" s="2" t="s">
        <v>22</v>
      </c>
      <c r="I391" s="2" t="s">
        <v>295</v>
      </c>
      <c r="J391" s="2" t="s">
        <v>24</v>
      </c>
      <c r="K391">
        <v>2532.2399999999998</v>
      </c>
      <c r="L391">
        <v>11079.8</v>
      </c>
      <c r="M391">
        <v>437.55</v>
      </c>
      <c r="N391" s="2" t="s">
        <v>320</v>
      </c>
      <c r="O391" s="2" t="s">
        <v>321</v>
      </c>
      <c r="P391" s="2" t="s">
        <v>997</v>
      </c>
      <c r="Q391" s="2" t="s">
        <v>998</v>
      </c>
      <c r="R391" s="2" t="s">
        <v>29</v>
      </c>
      <c r="S391" s="2" t="s">
        <v>30</v>
      </c>
    </row>
    <row r="392" spans="1:19">
      <c r="A392" s="1">
        <v>43952</v>
      </c>
      <c r="B392" s="1">
        <v>43952</v>
      </c>
      <c r="C392">
        <v>2020</v>
      </c>
      <c r="D392">
        <v>5</v>
      </c>
      <c r="E392" s="2" t="s">
        <v>324</v>
      </c>
      <c r="F392" s="2" t="s">
        <v>325</v>
      </c>
      <c r="G392" s="2" t="s">
        <v>21</v>
      </c>
      <c r="H392" s="2" t="s">
        <v>22</v>
      </c>
      <c r="I392" s="2" t="s">
        <v>23</v>
      </c>
      <c r="J392" s="2" t="s">
        <v>59</v>
      </c>
      <c r="K392">
        <v>18091.87</v>
      </c>
      <c r="L392">
        <v>2018057.2</v>
      </c>
      <c r="M392">
        <v>11154.5</v>
      </c>
      <c r="N392" s="2" t="s">
        <v>326</v>
      </c>
      <c r="O392" s="2" t="s">
        <v>327</v>
      </c>
      <c r="P392" s="2" t="s">
        <v>999</v>
      </c>
      <c r="Q392" s="2" t="s">
        <v>1000</v>
      </c>
      <c r="R392" s="2" t="s">
        <v>29</v>
      </c>
      <c r="S392" s="2" t="s">
        <v>30</v>
      </c>
    </row>
    <row r="393" spans="1:19">
      <c r="A393" s="1">
        <v>43952</v>
      </c>
      <c r="B393" s="1">
        <v>43952</v>
      </c>
      <c r="C393">
        <v>2020</v>
      </c>
      <c r="D393">
        <v>5</v>
      </c>
      <c r="E393" s="2" t="s">
        <v>330</v>
      </c>
      <c r="F393" s="2" t="s">
        <v>331</v>
      </c>
      <c r="G393" s="2" t="s">
        <v>21</v>
      </c>
      <c r="H393" s="2" t="s">
        <v>332</v>
      </c>
      <c r="I393" s="2" t="s">
        <v>333</v>
      </c>
      <c r="J393" s="2" t="s">
        <v>24</v>
      </c>
      <c r="K393">
        <v>88.68</v>
      </c>
      <c r="L393">
        <v>6225396.2300000004</v>
      </c>
      <c r="M393">
        <v>7020067.9199999999</v>
      </c>
      <c r="N393" s="2" t="s">
        <v>334</v>
      </c>
      <c r="O393" s="2" t="s">
        <v>335</v>
      </c>
      <c r="P393" s="2" t="s">
        <v>1001</v>
      </c>
      <c r="Q393" s="2" t="s">
        <v>1002</v>
      </c>
      <c r="R393" s="2" t="s">
        <v>29</v>
      </c>
      <c r="S393" s="2" t="s">
        <v>30</v>
      </c>
    </row>
    <row r="394" spans="1:19">
      <c r="A394" s="1">
        <v>43952</v>
      </c>
      <c r="B394" s="1">
        <v>43952</v>
      </c>
      <c r="C394">
        <v>2020</v>
      </c>
      <c r="D394">
        <v>5</v>
      </c>
      <c r="E394" s="2" t="s">
        <v>338</v>
      </c>
      <c r="F394" s="2" t="s">
        <v>339</v>
      </c>
      <c r="G394" s="2" t="s">
        <v>21</v>
      </c>
      <c r="H394" s="2" t="s">
        <v>332</v>
      </c>
      <c r="I394" s="2" t="s">
        <v>333</v>
      </c>
      <c r="J394" s="2" t="s">
        <v>24</v>
      </c>
      <c r="K394">
        <v>1.36</v>
      </c>
      <c r="L394">
        <v>816473.13</v>
      </c>
      <c r="M394">
        <v>60034788.969999999</v>
      </c>
      <c r="N394" s="2" t="s">
        <v>340</v>
      </c>
      <c r="O394" s="2" t="s">
        <v>341</v>
      </c>
      <c r="P394" s="2" t="s">
        <v>1003</v>
      </c>
      <c r="Q394" s="2" t="s">
        <v>1004</v>
      </c>
      <c r="R394" s="2" t="s">
        <v>29</v>
      </c>
      <c r="S394" s="2" t="s">
        <v>30</v>
      </c>
    </row>
    <row r="395" spans="1:19">
      <c r="A395" s="1">
        <v>43952</v>
      </c>
      <c r="B395" s="1">
        <v>43952</v>
      </c>
      <c r="C395">
        <v>2020</v>
      </c>
      <c r="D395">
        <v>5</v>
      </c>
      <c r="E395" s="2" t="s">
        <v>344</v>
      </c>
      <c r="F395" s="2" t="s">
        <v>345</v>
      </c>
      <c r="G395" s="2" t="s">
        <v>21</v>
      </c>
      <c r="H395" s="2" t="s">
        <v>332</v>
      </c>
      <c r="I395" s="2" t="s">
        <v>333</v>
      </c>
      <c r="J395" s="2" t="s">
        <v>59</v>
      </c>
      <c r="K395">
        <v>90.04</v>
      </c>
      <c r="L395">
        <v>7041869.3600000003</v>
      </c>
      <c r="M395">
        <v>7820823.3700000001</v>
      </c>
      <c r="N395" s="2" t="s">
        <v>346</v>
      </c>
      <c r="O395" s="2" t="s">
        <v>347</v>
      </c>
      <c r="P395" s="2" t="s">
        <v>1005</v>
      </c>
      <c r="Q395" s="2" t="s">
        <v>1006</v>
      </c>
      <c r="R395" s="2" t="s">
        <v>29</v>
      </c>
      <c r="S395" s="2" t="s">
        <v>30</v>
      </c>
    </row>
    <row r="396" spans="1:19">
      <c r="A396" s="1">
        <v>43952</v>
      </c>
      <c r="B396" s="1">
        <v>43952</v>
      </c>
      <c r="C396">
        <v>2020</v>
      </c>
      <c r="D396">
        <v>5</v>
      </c>
      <c r="E396" s="2" t="s">
        <v>350</v>
      </c>
      <c r="F396" s="2" t="s">
        <v>351</v>
      </c>
      <c r="G396" s="2" t="s">
        <v>21</v>
      </c>
      <c r="H396" s="2" t="s">
        <v>22</v>
      </c>
      <c r="I396" s="2" t="s">
        <v>352</v>
      </c>
      <c r="J396" s="2" t="s">
        <v>353</v>
      </c>
      <c r="K396">
        <v>25574.53</v>
      </c>
      <c r="L396">
        <v>9193905.7599999998</v>
      </c>
      <c r="M396">
        <v>35949.46</v>
      </c>
      <c r="N396" s="2" t="s">
        <v>354</v>
      </c>
      <c r="O396" s="2" t="s">
        <v>355</v>
      </c>
      <c r="P396" s="2" t="s">
        <v>1007</v>
      </c>
      <c r="Q396" s="2" t="s">
        <v>1008</v>
      </c>
      <c r="R396" s="2" t="s">
        <v>29</v>
      </c>
      <c r="S396" s="2" t="s">
        <v>30</v>
      </c>
    </row>
    <row r="397" spans="1:19">
      <c r="A397" s="1">
        <v>43952</v>
      </c>
      <c r="B397" s="1">
        <v>43952</v>
      </c>
      <c r="C397">
        <v>2020</v>
      </c>
      <c r="D397">
        <v>5</v>
      </c>
      <c r="E397" s="2" t="s">
        <v>358</v>
      </c>
      <c r="F397" s="2" t="s">
        <v>359</v>
      </c>
      <c r="G397" s="2" t="s">
        <v>21</v>
      </c>
      <c r="H397" s="2" t="s">
        <v>22</v>
      </c>
      <c r="I397" s="2" t="s">
        <v>352</v>
      </c>
      <c r="J397" s="2" t="s">
        <v>353</v>
      </c>
      <c r="K397">
        <v>25881.3</v>
      </c>
      <c r="L397">
        <v>9454133.0999999996</v>
      </c>
      <c r="M397">
        <v>36528.82</v>
      </c>
      <c r="N397" s="2" t="s">
        <v>360</v>
      </c>
      <c r="O397" s="2" t="s">
        <v>361</v>
      </c>
      <c r="P397" s="2" t="s">
        <v>1009</v>
      </c>
      <c r="Q397" s="2" t="s">
        <v>1010</v>
      </c>
      <c r="R397" s="2" t="s">
        <v>29</v>
      </c>
      <c r="S397" s="2" t="s">
        <v>30</v>
      </c>
    </row>
    <row r="398" spans="1:19">
      <c r="A398" s="1">
        <v>43952</v>
      </c>
      <c r="B398" s="1">
        <v>43952</v>
      </c>
      <c r="C398">
        <v>2020</v>
      </c>
      <c r="D398">
        <v>5</v>
      </c>
      <c r="E398" s="2" t="s">
        <v>364</v>
      </c>
      <c r="F398" s="2" t="s">
        <v>365</v>
      </c>
      <c r="G398" s="2" t="s">
        <v>21</v>
      </c>
      <c r="H398" s="2" t="s">
        <v>22</v>
      </c>
      <c r="I398" s="2" t="s">
        <v>352</v>
      </c>
      <c r="J398" s="2" t="s">
        <v>353</v>
      </c>
      <c r="K398">
        <v>25791.26</v>
      </c>
      <c r="L398">
        <v>2412263.75</v>
      </c>
      <c r="M398">
        <v>9353.0300000000007</v>
      </c>
      <c r="N398" s="2" t="s">
        <v>366</v>
      </c>
      <c r="O398" s="2" t="s">
        <v>367</v>
      </c>
      <c r="P398" s="2" t="s">
        <v>1011</v>
      </c>
      <c r="Q398" s="2" t="s">
        <v>1012</v>
      </c>
      <c r="R398" s="2" t="s">
        <v>29</v>
      </c>
      <c r="S398" s="2" t="s">
        <v>30</v>
      </c>
    </row>
    <row r="399" spans="1:19">
      <c r="A399" s="1">
        <v>43952</v>
      </c>
      <c r="B399" s="1">
        <v>43952</v>
      </c>
      <c r="C399">
        <v>2020</v>
      </c>
      <c r="D399">
        <v>5</v>
      </c>
      <c r="E399" s="2" t="s">
        <v>370</v>
      </c>
      <c r="F399" s="2" t="s">
        <v>371</v>
      </c>
      <c r="G399" s="2" t="s">
        <v>21</v>
      </c>
      <c r="H399" s="2" t="s">
        <v>22</v>
      </c>
      <c r="I399" s="2" t="s">
        <v>23</v>
      </c>
      <c r="J399" s="2" t="s">
        <v>24</v>
      </c>
      <c r="K399">
        <v>12344.97</v>
      </c>
      <c r="L399">
        <v>218391.6</v>
      </c>
      <c r="M399">
        <v>1769.07</v>
      </c>
      <c r="N399" s="2" t="s">
        <v>372</v>
      </c>
      <c r="O399" s="2" t="s">
        <v>373</v>
      </c>
      <c r="P399" s="2" t="s">
        <v>1013</v>
      </c>
      <c r="Q399" s="2" t="s">
        <v>1014</v>
      </c>
      <c r="R399" s="2" t="s">
        <v>29</v>
      </c>
      <c r="S399" s="2" t="s">
        <v>30</v>
      </c>
    </row>
    <row r="400" spans="1:19">
      <c r="A400" s="1">
        <v>43952</v>
      </c>
      <c r="B400" s="1">
        <v>43952</v>
      </c>
      <c r="C400">
        <v>2020</v>
      </c>
      <c r="D400">
        <v>5</v>
      </c>
      <c r="E400" s="2" t="s">
        <v>376</v>
      </c>
      <c r="F400" s="2" t="s">
        <v>377</v>
      </c>
      <c r="G400" s="2" t="s">
        <v>21</v>
      </c>
      <c r="H400" s="2" t="s">
        <v>22</v>
      </c>
      <c r="I400" s="2" t="s">
        <v>23</v>
      </c>
      <c r="J400" s="2" t="s">
        <v>378</v>
      </c>
      <c r="K400">
        <v>0.75</v>
      </c>
      <c r="L400">
        <v>13.55</v>
      </c>
      <c r="M400">
        <v>1806.67</v>
      </c>
      <c r="N400" s="2" t="s">
        <v>379</v>
      </c>
      <c r="O400" s="2" t="s">
        <v>380</v>
      </c>
      <c r="P400" s="2" t="s">
        <v>928</v>
      </c>
      <c r="Q400" s="2" t="s">
        <v>1015</v>
      </c>
      <c r="R400" s="2" t="s">
        <v>29</v>
      </c>
      <c r="S400" s="2" t="s">
        <v>30</v>
      </c>
    </row>
    <row r="401" spans="1:19">
      <c r="A401" s="1">
        <v>43983</v>
      </c>
      <c r="B401" s="1">
        <v>43983</v>
      </c>
      <c r="C401">
        <v>2020</v>
      </c>
      <c r="D401">
        <v>6</v>
      </c>
      <c r="E401" s="2" t="s">
        <v>19</v>
      </c>
      <c r="F401" s="2" t="s">
        <v>20</v>
      </c>
      <c r="G401" s="2" t="s">
        <v>21</v>
      </c>
      <c r="H401" s="2" t="s">
        <v>22</v>
      </c>
      <c r="I401" s="2" t="s">
        <v>23</v>
      </c>
      <c r="J401" s="2" t="s">
        <v>24</v>
      </c>
      <c r="K401">
        <v>0.89</v>
      </c>
      <c r="L401">
        <v>46.58</v>
      </c>
      <c r="M401">
        <v>5233.71</v>
      </c>
      <c r="N401" s="2" t="s">
        <v>25</v>
      </c>
      <c r="O401" s="2" t="s">
        <v>26</v>
      </c>
      <c r="P401" s="2" t="s">
        <v>1016</v>
      </c>
      <c r="Q401" s="2" t="s">
        <v>1017</v>
      </c>
      <c r="R401" s="2" t="s">
        <v>29</v>
      </c>
      <c r="S401" s="2" t="s">
        <v>30</v>
      </c>
    </row>
    <row r="402" spans="1:19">
      <c r="A402" s="1">
        <v>43983</v>
      </c>
      <c r="B402" s="1">
        <v>43983</v>
      </c>
      <c r="C402">
        <v>2020</v>
      </c>
      <c r="D402">
        <v>6</v>
      </c>
      <c r="E402" s="2" t="s">
        <v>31</v>
      </c>
      <c r="F402" s="2" t="s">
        <v>32</v>
      </c>
      <c r="G402" s="2" t="s">
        <v>21</v>
      </c>
      <c r="H402" s="2" t="s">
        <v>22</v>
      </c>
      <c r="I402" s="2" t="s">
        <v>23</v>
      </c>
      <c r="J402" s="2" t="s">
        <v>24</v>
      </c>
      <c r="K402">
        <v>1371.1</v>
      </c>
      <c r="L402">
        <v>11766.82</v>
      </c>
      <c r="M402">
        <v>858.2</v>
      </c>
      <c r="N402" s="2" t="s">
        <v>33</v>
      </c>
      <c r="O402" s="2" t="s">
        <v>34</v>
      </c>
      <c r="P402" s="2" t="s">
        <v>1018</v>
      </c>
      <c r="Q402" s="2" t="s">
        <v>1019</v>
      </c>
      <c r="R402" s="2" t="s">
        <v>29</v>
      </c>
      <c r="S402" s="2" t="s">
        <v>30</v>
      </c>
    </row>
    <row r="403" spans="1:19">
      <c r="A403" s="1">
        <v>43983</v>
      </c>
      <c r="B403" s="1">
        <v>43983</v>
      </c>
      <c r="C403">
        <v>2020</v>
      </c>
      <c r="D403">
        <v>6</v>
      </c>
      <c r="E403" s="2" t="s">
        <v>37</v>
      </c>
      <c r="F403" s="2" t="s">
        <v>38</v>
      </c>
      <c r="G403" s="2" t="s">
        <v>39</v>
      </c>
      <c r="H403" s="2" t="s">
        <v>22</v>
      </c>
      <c r="I403" s="2" t="s">
        <v>40</v>
      </c>
      <c r="J403" s="2" t="s">
        <v>24</v>
      </c>
      <c r="K403">
        <v>3.23</v>
      </c>
      <c r="L403">
        <v>163.33000000000001</v>
      </c>
      <c r="M403">
        <v>5056.66</v>
      </c>
      <c r="N403" s="2" t="s">
        <v>41</v>
      </c>
      <c r="O403" s="2" t="s">
        <v>42</v>
      </c>
      <c r="P403" s="2" t="s">
        <v>1020</v>
      </c>
      <c r="Q403" s="2" t="s">
        <v>1021</v>
      </c>
      <c r="R403" s="2" t="s">
        <v>29</v>
      </c>
      <c r="S403" s="2" t="s">
        <v>30</v>
      </c>
    </row>
    <row r="404" spans="1:19">
      <c r="A404" s="1">
        <v>43983</v>
      </c>
      <c r="B404" s="1">
        <v>43983</v>
      </c>
      <c r="C404">
        <v>2020</v>
      </c>
      <c r="D404">
        <v>6</v>
      </c>
      <c r="E404" s="2" t="s">
        <v>45</v>
      </c>
      <c r="F404" s="2" t="s">
        <v>46</v>
      </c>
      <c r="G404" s="2" t="s">
        <v>39</v>
      </c>
      <c r="H404" s="2" t="s">
        <v>22</v>
      </c>
      <c r="I404" s="2" t="s">
        <v>40</v>
      </c>
      <c r="J404" s="2" t="s">
        <v>24</v>
      </c>
      <c r="K404">
        <v>4695.03</v>
      </c>
      <c r="L404">
        <v>228733.49</v>
      </c>
      <c r="M404">
        <v>4871.82</v>
      </c>
      <c r="N404" s="2" t="s">
        <v>47</v>
      </c>
      <c r="O404" s="2" t="s">
        <v>48</v>
      </c>
      <c r="P404" s="2" t="s">
        <v>1022</v>
      </c>
      <c r="Q404" s="2" t="s">
        <v>1023</v>
      </c>
      <c r="R404" s="2" t="s">
        <v>29</v>
      </c>
      <c r="S404" s="2" t="s">
        <v>30</v>
      </c>
    </row>
    <row r="405" spans="1:19">
      <c r="A405" s="1">
        <v>43983</v>
      </c>
      <c r="B405" s="1">
        <v>43983</v>
      </c>
      <c r="C405">
        <v>2020</v>
      </c>
      <c r="D405">
        <v>6</v>
      </c>
      <c r="E405" s="2" t="s">
        <v>51</v>
      </c>
      <c r="F405" s="2" t="s">
        <v>52</v>
      </c>
      <c r="G405" s="2" t="s">
        <v>39</v>
      </c>
      <c r="H405" s="2" t="s">
        <v>22</v>
      </c>
      <c r="I405" s="2" t="s">
        <v>40</v>
      </c>
      <c r="J405" s="2" t="s">
        <v>24</v>
      </c>
      <c r="K405">
        <v>14.91</v>
      </c>
      <c r="L405">
        <v>620.20000000000005</v>
      </c>
      <c r="M405">
        <v>4159.62</v>
      </c>
      <c r="N405" s="2" t="s">
        <v>53</v>
      </c>
      <c r="O405" s="2" t="s">
        <v>54</v>
      </c>
      <c r="P405" s="2" t="s">
        <v>1024</v>
      </c>
      <c r="Q405" s="2" t="s">
        <v>1025</v>
      </c>
      <c r="R405" s="2" t="s">
        <v>29</v>
      </c>
      <c r="S405" s="2" t="s">
        <v>30</v>
      </c>
    </row>
    <row r="406" spans="1:19">
      <c r="A406" s="1">
        <v>43983</v>
      </c>
      <c r="B406" s="1">
        <v>43983</v>
      </c>
      <c r="C406">
        <v>2020</v>
      </c>
      <c r="D406">
        <v>6</v>
      </c>
      <c r="E406" s="2" t="s">
        <v>57</v>
      </c>
      <c r="F406" s="2" t="s">
        <v>58</v>
      </c>
      <c r="G406" s="2" t="s">
        <v>39</v>
      </c>
      <c r="H406" s="2" t="s">
        <v>22</v>
      </c>
      <c r="I406" s="2" t="s">
        <v>40</v>
      </c>
      <c r="J406" s="2" t="s">
        <v>59</v>
      </c>
      <c r="K406">
        <v>4713.16</v>
      </c>
      <c r="L406">
        <v>229517.02</v>
      </c>
      <c r="M406">
        <v>4869.71</v>
      </c>
      <c r="N406" s="2" t="s">
        <v>60</v>
      </c>
      <c r="O406" s="2" t="s">
        <v>61</v>
      </c>
      <c r="P406" s="2" t="s">
        <v>1026</v>
      </c>
      <c r="Q406" s="2" t="s">
        <v>1027</v>
      </c>
      <c r="R406" s="2" t="s">
        <v>29</v>
      </c>
      <c r="S406" s="2" t="s">
        <v>30</v>
      </c>
    </row>
    <row r="407" spans="1:19">
      <c r="A407" s="1">
        <v>43983</v>
      </c>
      <c r="B407" s="1">
        <v>43983</v>
      </c>
      <c r="C407">
        <v>2020</v>
      </c>
      <c r="D407">
        <v>6</v>
      </c>
      <c r="E407" s="2" t="s">
        <v>64</v>
      </c>
      <c r="F407" s="2" t="s">
        <v>65</v>
      </c>
      <c r="G407" s="2" t="s">
        <v>21</v>
      </c>
      <c r="H407" s="2" t="s">
        <v>22</v>
      </c>
      <c r="I407" s="2" t="s">
        <v>66</v>
      </c>
      <c r="J407" s="2" t="s">
        <v>24</v>
      </c>
      <c r="K407">
        <v>14.67</v>
      </c>
      <c r="L407">
        <v>186.32</v>
      </c>
      <c r="M407">
        <v>1270.07</v>
      </c>
      <c r="N407" s="2" t="s">
        <v>67</v>
      </c>
      <c r="O407" s="2" t="s">
        <v>68</v>
      </c>
      <c r="P407" s="2" t="s">
        <v>1028</v>
      </c>
      <c r="Q407" s="2" t="s">
        <v>1029</v>
      </c>
      <c r="R407" s="2" t="s">
        <v>29</v>
      </c>
      <c r="S407" s="2" t="s">
        <v>30</v>
      </c>
    </row>
    <row r="408" spans="1:19">
      <c r="A408" s="1">
        <v>43983</v>
      </c>
      <c r="B408" s="1">
        <v>43983</v>
      </c>
      <c r="C408">
        <v>2020</v>
      </c>
      <c r="D408">
        <v>6</v>
      </c>
      <c r="E408" s="2" t="s">
        <v>71</v>
      </c>
      <c r="F408" s="2" t="s">
        <v>72</v>
      </c>
      <c r="G408" s="2" t="s">
        <v>21</v>
      </c>
      <c r="H408" s="2" t="s">
        <v>22</v>
      </c>
      <c r="I408" s="2" t="s">
        <v>73</v>
      </c>
      <c r="J408" s="2" t="s">
        <v>59</v>
      </c>
      <c r="K408">
        <v>4250.8900000000003</v>
      </c>
      <c r="L408">
        <v>90483.87</v>
      </c>
      <c r="M408">
        <v>2128.59</v>
      </c>
      <c r="N408" s="2" t="s">
        <v>74</v>
      </c>
      <c r="O408" s="2" t="s">
        <v>75</v>
      </c>
      <c r="P408" s="2" t="s">
        <v>1030</v>
      </c>
      <c r="Q408" s="2" t="s">
        <v>1031</v>
      </c>
      <c r="R408" s="2" t="s">
        <v>29</v>
      </c>
      <c r="S408" s="2" t="s">
        <v>30</v>
      </c>
    </row>
    <row r="409" spans="1:19">
      <c r="A409" s="1">
        <v>43983</v>
      </c>
      <c r="B409" s="1">
        <v>43983</v>
      </c>
      <c r="C409">
        <v>2020</v>
      </c>
      <c r="D409">
        <v>6</v>
      </c>
      <c r="E409" s="2" t="s">
        <v>78</v>
      </c>
      <c r="F409" s="2" t="s">
        <v>79</v>
      </c>
      <c r="G409" s="2" t="s">
        <v>80</v>
      </c>
      <c r="H409" s="2" t="s">
        <v>81</v>
      </c>
      <c r="I409" s="2" t="s">
        <v>82</v>
      </c>
      <c r="J409" s="2" t="s">
        <v>24</v>
      </c>
      <c r="K409">
        <v>1.19</v>
      </c>
      <c r="L409">
        <v>3658696.55</v>
      </c>
      <c r="M409">
        <v>307453491.60000002</v>
      </c>
      <c r="N409" s="2" t="s">
        <v>83</v>
      </c>
      <c r="O409" s="2" t="s">
        <v>84</v>
      </c>
      <c r="P409" s="2" t="s">
        <v>1032</v>
      </c>
      <c r="Q409" s="2" t="s">
        <v>1033</v>
      </c>
      <c r="R409" s="2" t="s">
        <v>29</v>
      </c>
      <c r="S409" s="2" t="s">
        <v>30</v>
      </c>
    </row>
    <row r="410" spans="1:19">
      <c r="A410" s="1">
        <v>43983</v>
      </c>
      <c r="B410" s="1">
        <v>43983</v>
      </c>
      <c r="C410">
        <v>2020</v>
      </c>
      <c r="D410">
        <v>6</v>
      </c>
      <c r="E410" s="2" t="s">
        <v>87</v>
      </c>
      <c r="F410" s="2" t="s">
        <v>88</v>
      </c>
      <c r="G410" s="2" t="s">
        <v>80</v>
      </c>
      <c r="H410" s="2" t="s">
        <v>81</v>
      </c>
      <c r="I410" s="2" t="s">
        <v>82</v>
      </c>
      <c r="J410" s="2" t="s">
        <v>24</v>
      </c>
      <c r="K410">
        <v>0.54</v>
      </c>
      <c r="L410">
        <v>928567.31</v>
      </c>
      <c r="M410">
        <v>171956909.25999999</v>
      </c>
      <c r="N410" s="2" t="s">
        <v>89</v>
      </c>
      <c r="O410" s="2" t="s">
        <v>90</v>
      </c>
      <c r="P410" s="2" t="s">
        <v>1034</v>
      </c>
      <c r="Q410" s="2" t="s">
        <v>1035</v>
      </c>
      <c r="R410" s="2" t="s">
        <v>29</v>
      </c>
      <c r="S410" s="2" t="s">
        <v>30</v>
      </c>
    </row>
    <row r="411" spans="1:19">
      <c r="A411" s="1">
        <v>43983</v>
      </c>
      <c r="B411" s="1">
        <v>43983</v>
      </c>
      <c r="C411">
        <v>2020</v>
      </c>
      <c r="D411">
        <v>6</v>
      </c>
      <c r="E411" s="2" t="s">
        <v>93</v>
      </c>
      <c r="F411" s="2" t="s">
        <v>94</v>
      </c>
      <c r="G411" s="2" t="s">
        <v>80</v>
      </c>
      <c r="H411" s="2" t="s">
        <v>81</v>
      </c>
      <c r="I411" s="2" t="s">
        <v>82</v>
      </c>
      <c r="J411" s="2" t="s">
        <v>24</v>
      </c>
      <c r="K411">
        <v>0.27</v>
      </c>
      <c r="L411">
        <v>4244618.87</v>
      </c>
      <c r="M411">
        <v>1572081062.96</v>
      </c>
      <c r="N411" s="2" t="s">
        <v>95</v>
      </c>
      <c r="O411" s="2" t="s">
        <v>96</v>
      </c>
      <c r="P411" s="2" t="s">
        <v>980</v>
      </c>
      <c r="Q411" s="2" t="s">
        <v>1036</v>
      </c>
      <c r="R411" s="2" t="s">
        <v>29</v>
      </c>
      <c r="S411" s="2" t="s">
        <v>30</v>
      </c>
    </row>
    <row r="412" spans="1:19">
      <c r="A412" s="1">
        <v>43983</v>
      </c>
      <c r="B412" s="1">
        <v>43983</v>
      </c>
      <c r="C412">
        <v>2020</v>
      </c>
      <c r="D412">
        <v>6</v>
      </c>
      <c r="E412" s="2" t="s">
        <v>99</v>
      </c>
      <c r="F412" s="2" t="s">
        <v>100</v>
      </c>
      <c r="G412" s="2" t="s">
        <v>80</v>
      </c>
      <c r="H412" s="2" t="s">
        <v>81</v>
      </c>
      <c r="I412" s="2" t="s">
        <v>82</v>
      </c>
      <c r="J412" s="2" t="s">
        <v>101</v>
      </c>
      <c r="K412">
        <v>1.01</v>
      </c>
      <c r="L412">
        <v>9590341.2300000004</v>
      </c>
      <c r="M412">
        <v>949538735.63999999</v>
      </c>
      <c r="N412" s="2" t="s">
        <v>102</v>
      </c>
      <c r="O412" s="2" t="s">
        <v>103</v>
      </c>
      <c r="P412" s="2" t="s">
        <v>104</v>
      </c>
      <c r="Q412" s="2" t="s">
        <v>1037</v>
      </c>
      <c r="R412" s="2" t="s">
        <v>29</v>
      </c>
      <c r="S412" s="2" t="s">
        <v>30</v>
      </c>
    </row>
    <row r="413" spans="1:19">
      <c r="A413" s="1">
        <v>43983</v>
      </c>
      <c r="B413" s="1">
        <v>43983</v>
      </c>
      <c r="C413">
        <v>2020</v>
      </c>
      <c r="D413">
        <v>6</v>
      </c>
      <c r="E413" s="2" t="s">
        <v>106</v>
      </c>
      <c r="F413" s="2" t="s">
        <v>107</v>
      </c>
      <c r="G413" s="2" t="s">
        <v>80</v>
      </c>
      <c r="H413" s="2" t="s">
        <v>81</v>
      </c>
      <c r="I413" s="2" t="s">
        <v>82</v>
      </c>
      <c r="J413" s="2" t="s">
        <v>24</v>
      </c>
      <c r="K413">
        <v>0.21</v>
      </c>
      <c r="L413">
        <v>4417155.05</v>
      </c>
      <c r="M413">
        <v>2103407166.6700001</v>
      </c>
      <c r="N413" s="2" t="s">
        <v>108</v>
      </c>
      <c r="O413" s="2" t="s">
        <v>109</v>
      </c>
      <c r="P413" s="2" t="s">
        <v>403</v>
      </c>
      <c r="Q413" s="2" t="s">
        <v>1038</v>
      </c>
      <c r="R413" s="2" t="s">
        <v>29</v>
      </c>
      <c r="S413" s="2" t="s">
        <v>30</v>
      </c>
    </row>
    <row r="414" spans="1:19">
      <c r="A414" s="1">
        <v>43983</v>
      </c>
      <c r="B414" s="1">
        <v>43983</v>
      </c>
      <c r="C414">
        <v>2020</v>
      </c>
      <c r="D414">
        <v>6</v>
      </c>
      <c r="E414" s="2" t="s">
        <v>111</v>
      </c>
      <c r="F414" s="2" t="s">
        <v>112</v>
      </c>
      <c r="G414" s="2" t="s">
        <v>80</v>
      </c>
      <c r="H414" s="2" t="s">
        <v>81</v>
      </c>
      <c r="I414" s="2" t="s">
        <v>82</v>
      </c>
      <c r="J414" s="2" t="s">
        <v>24</v>
      </c>
      <c r="K414">
        <v>0.02</v>
      </c>
      <c r="L414">
        <v>134185</v>
      </c>
      <c r="M414">
        <v>670925000</v>
      </c>
      <c r="N414" s="2" t="s">
        <v>113</v>
      </c>
      <c r="O414" s="2" t="s">
        <v>114</v>
      </c>
      <c r="P414" s="2" t="s">
        <v>1039</v>
      </c>
      <c r="Q414" s="2" t="s">
        <v>1040</v>
      </c>
      <c r="R414" s="2" t="s">
        <v>29</v>
      </c>
      <c r="S414" s="2" t="s">
        <v>30</v>
      </c>
    </row>
    <row r="415" spans="1:19">
      <c r="A415" s="1">
        <v>43983</v>
      </c>
      <c r="B415" s="1">
        <v>43983</v>
      </c>
      <c r="C415">
        <v>2020</v>
      </c>
      <c r="D415">
        <v>6</v>
      </c>
      <c r="E415" s="2" t="s">
        <v>117</v>
      </c>
      <c r="F415" s="2" t="s">
        <v>118</v>
      </c>
      <c r="G415" s="2" t="s">
        <v>80</v>
      </c>
      <c r="H415" s="2" t="s">
        <v>81</v>
      </c>
      <c r="I415" s="2" t="s">
        <v>82</v>
      </c>
      <c r="J415" s="2" t="s">
        <v>59</v>
      </c>
      <c r="K415">
        <v>2.23</v>
      </c>
      <c r="L415">
        <v>13383222.779999999</v>
      </c>
      <c r="M415">
        <v>600144519.27999997</v>
      </c>
      <c r="N415" s="2" t="s">
        <v>119</v>
      </c>
      <c r="O415" s="2" t="s">
        <v>120</v>
      </c>
      <c r="P415" s="2" t="s">
        <v>1041</v>
      </c>
      <c r="Q415" s="2" t="s">
        <v>1042</v>
      </c>
      <c r="R415" s="2" t="s">
        <v>29</v>
      </c>
      <c r="S415" s="2" t="s">
        <v>30</v>
      </c>
    </row>
    <row r="416" spans="1:19">
      <c r="A416" s="1">
        <v>43983</v>
      </c>
      <c r="B416" s="1">
        <v>43983</v>
      </c>
      <c r="C416">
        <v>2020</v>
      </c>
      <c r="D416">
        <v>6</v>
      </c>
      <c r="E416" s="2" t="s">
        <v>123</v>
      </c>
      <c r="F416" s="2" t="s">
        <v>124</v>
      </c>
      <c r="G416" s="2" t="s">
        <v>21</v>
      </c>
      <c r="H416" s="2" t="s">
        <v>22</v>
      </c>
      <c r="I416" s="2" t="s">
        <v>73</v>
      </c>
      <c r="J416" s="2" t="s">
        <v>24</v>
      </c>
      <c r="K416">
        <v>659.97</v>
      </c>
      <c r="L416">
        <v>23479.41</v>
      </c>
      <c r="M416">
        <v>3557.65</v>
      </c>
      <c r="N416" s="2" t="s">
        <v>125</v>
      </c>
      <c r="O416" s="2" t="s">
        <v>126</v>
      </c>
      <c r="P416" s="2" t="s">
        <v>1043</v>
      </c>
      <c r="Q416" s="2" t="s">
        <v>1044</v>
      </c>
      <c r="R416" s="2" t="s">
        <v>29</v>
      </c>
      <c r="S416" s="2" t="s">
        <v>30</v>
      </c>
    </row>
    <row r="417" spans="1:19">
      <c r="A417" s="1">
        <v>43983</v>
      </c>
      <c r="B417" s="1">
        <v>43983</v>
      </c>
      <c r="C417">
        <v>2020</v>
      </c>
      <c r="D417">
        <v>6</v>
      </c>
      <c r="E417" s="2" t="s">
        <v>129</v>
      </c>
      <c r="F417" s="2" t="s">
        <v>130</v>
      </c>
      <c r="G417" s="2" t="s">
        <v>21</v>
      </c>
      <c r="H417" s="2" t="s">
        <v>22</v>
      </c>
      <c r="I417" s="2" t="s">
        <v>73</v>
      </c>
      <c r="J417" s="2" t="s">
        <v>24</v>
      </c>
      <c r="K417">
        <v>588.58000000000004</v>
      </c>
      <c r="L417">
        <v>19293.419999999998</v>
      </c>
      <c r="M417">
        <v>3277.96</v>
      </c>
      <c r="N417" s="2" t="s">
        <v>131</v>
      </c>
      <c r="O417" s="2" t="s">
        <v>132</v>
      </c>
      <c r="P417" s="2" t="s">
        <v>1045</v>
      </c>
      <c r="Q417" s="2" t="s">
        <v>1046</v>
      </c>
      <c r="R417" s="2" t="s">
        <v>29</v>
      </c>
      <c r="S417" s="2" t="s">
        <v>30</v>
      </c>
    </row>
    <row r="418" spans="1:19">
      <c r="A418" s="1">
        <v>43983</v>
      </c>
      <c r="B418" s="1">
        <v>43983</v>
      </c>
      <c r="C418">
        <v>2020</v>
      </c>
      <c r="D418">
        <v>6</v>
      </c>
      <c r="E418" s="2" t="s">
        <v>135</v>
      </c>
      <c r="F418" s="2" t="s">
        <v>136</v>
      </c>
      <c r="G418" s="2" t="s">
        <v>21</v>
      </c>
      <c r="H418" s="2" t="s">
        <v>22</v>
      </c>
      <c r="I418" s="2" t="s">
        <v>73</v>
      </c>
      <c r="J418" s="2" t="s">
        <v>101</v>
      </c>
      <c r="K418">
        <v>1248.55</v>
      </c>
      <c r="L418">
        <v>42772.83</v>
      </c>
      <c r="M418">
        <v>3425.8</v>
      </c>
      <c r="N418" s="2" t="s">
        <v>137</v>
      </c>
      <c r="O418" s="2" t="s">
        <v>138</v>
      </c>
      <c r="P418" s="2" t="s">
        <v>1047</v>
      </c>
      <c r="Q418" s="2" t="s">
        <v>1048</v>
      </c>
      <c r="R418" s="2" t="s">
        <v>29</v>
      </c>
      <c r="S418" s="2" t="s">
        <v>30</v>
      </c>
    </row>
    <row r="419" spans="1:19">
      <c r="A419" s="1">
        <v>43983</v>
      </c>
      <c r="B419" s="1">
        <v>43983</v>
      </c>
      <c r="C419">
        <v>2020</v>
      </c>
      <c r="D419">
        <v>6</v>
      </c>
      <c r="E419" s="2" t="s">
        <v>141</v>
      </c>
      <c r="F419" s="2" t="s">
        <v>142</v>
      </c>
      <c r="G419" s="2" t="s">
        <v>21</v>
      </c>
      <c r="H419" s="2" t="s">
        <v>22</v>
      </c>
      <c r="I419" s="2" t="s">
        <v>73</v>
      </c>
      <c r="J419" s="2" t="s">
        <v>24</v>
      </c>
      <c r="K419">
        <v>1526.95</v>
      </c>
      <c r="L419">
        <v>21922.71</v>
      </c>
      <c r="M419">
        <v>1435.72</v>
      </c>
      <c r="N419" s="2" t="s">
        <v>143</v>
      </c>
      <c r="O419" s="2" t="s">
        <v>144</v>
      </c>
      <c r="P419" s="2" t="s">
        <v>1049</v>
      </c>
      <c r="Q419" s="2" t="s">
        <v>1050</v>
      </c>
      <c r="R419" s="2" t="s">
        <v>29</v>
      </c>
      <c r="S419" s="2" t="s">
        <v>30</v>
      </c>
    </row>
    <row r="420" spans="1:19">
      <c r="A420" s="1">
        <v>43983</v>
      </c>
      <c r="B420" s="1">
        <v>43983</v>
      </c>
      <c r="C420">
        <v>2020</v>
      </c>
      <c r="D420">
        <v>6</v>
      </c>
      <c r="E420" s="2" t="s">
        <v>147</v>
      </c>
      <c r="F420" s="2" t="s">
        <v>148</v>
      </c>
      <c r="G420" s="2" t="s">
        <v>21</v>
      </c>
      <c r="H420" s="2" t="s">
        <v>22</v>
      </c>
      <c r="I420" s="2" t="s">
        <v>73</v>
      </c>
      <c r="J420" s="2" t="s">
        <v>24</v>
      </c>
      <c r="K420">
        <v>1475.38</v>
      </c>
      <c r="L420">
        <v>25788.33</v>
      </c>
      <c r="M420">
        <v>1747.91</v>
      </c>
      <c r="N420" s="2" t="s">
        <v>149</v>
      </c>
      <c r="O420" s="2" t="s">
        <v>150</v>
      </c>
      <c r="P420" s="2" t="s">
        <v>1051</v>
      </c>
      <c r="Q420" s="2" t="s">
        <v>1052</v>
      </c>
      <c r="R420" s="2" t="s">
        <v>29</v>
      </c>
      <c r="S420" s="2" t="s">
        <v>30</v>
      </c>
    </row>
    <row r="421" spans="1:19">
      <c r="A421" s="1">
        <v>43983</v>
      </c>
      <c r="B421" s="1">
        <v>43983</v>
      </c>
      <c r="C421">
        <v>2020</v>
      </c>
      <c r="D421">
        <v>6</v>
      </c>
      <c r="E421" s="2" t="s">
        <v>153</v>
      </c>
      <c r="F421" s="2" t="s">
        <v>154</v>
      </c>
      <c r="G421" s="2" t="s">
        <v>21</v>
      </c>
      <c r="H421" s="2" t="s">
        <v>22</v>
      </c>
      <c r="I421" s="2" t="s">
        <v>73</v>
      </c>
      <c r="J421" s="2" t="s">
        <v>101</v>
      </c>
      <c r="K421">
        <v>3002.34</v>
      </c>
      <c r="L421">
        <v>47711.040000000001</v>
      </c>
      <c r="M421">
        <v>1589.13</v>
      </c>
      <c r="N421" s="2" t="s">
        <v>155</v>
      </c>
      <c r="O421" s="2" t="s">
        <v>156</v>
      </c>
      <c r="P421" s="2" t="s">
        <v>1053</v>
      </c>
      <c r="Q421" s="2" t="s">
        <v>1054</v>
      </c>
      <c r="R421" s="2" t="s">
        <v>29</v>
      </c>
      <c r="S421" s="2" t="s">
        <v>30</v>
      </c>
    </row>
    <row r="422" spans="1:19">
      <c r="A422" s="1">
        <v>43983</v>
      </c>
      <c r="B422" s="1">
        <v>43983</v>
      </c>
      <c r="C422">
        <v>2020</v>
      </c>
      <c r="D422">
        <v>6</v>
      </c>
      <c r="E422" s="2" t="s">
        <v>159</v>
      </c>
      <c r="F422" s="2" t="s">
        <v>160</v>
      </c>
      <c r="G422" s="2" t="s">
        <v>21</v>
      </c>
      <c r="H422" s="2" t="s">
        <v>22</v>
      </c>
      <c r="I422" s="2" t="s">
        <v>66</v>
      </c>
      <c r="J422" s="2" t="s">
        <v>59</v>
      </c>
      <c r="K422">
        <v>837.03</v>
      </c>
      <c r="L422">
        <v>70703.19</v>
      </c>
      <c r="M422">
        <v>8446.91</v>
      </c>
      <c r="N422" s="2" t="s">
        <v>161</v>
      </c>
      <c r="O422" s="2" t="s">
        <v>162</v>
      </c>
      <c r="P422" s="2" t="s">
        <v>1055</v>
      </c>
      <c r="Q422" s="2" t="s">
        <v>1056</v>
      </c>
      <c r="R422" s="2" t="s">
        <v>29</v>
      </c>
      <c r="S422" s="2" t="s">
        <v>30</v>
      </c>
    </row>
    <row r="423" spans="1:19">
      <c r="A423" s="1">
        <v>43983</v>
      </c>
      <c r="B423" s="1">
        <v>43983</v>
      </c>
      <c r="C423">
        <v>2020</v>
      </c>
      <c r="D423">
        <v>6</v>
      </c>
      <c r="E423" s="2" t="s">
        <v>165</v>
      </c>
      <c r="F423" s="2" t="s">
        <v>166</v>
      </c>
      <c r="G423" s="2" t="s">
        <v>21</v>
      </c>
      <c r="H423" s="2" t="s">
        <v>22</v>
      </c>
      <c r="I423" s="2" t="s">
        <v>23</v>
      </c>
      <c r="J423" s="2" t="s">
        <v>24</v>
      </c>
      <c r="K423">
        <v>0</v>
      </c>
      <c r="L423">
        <v>0</v>
      </c>
      <c r="N423" s="2" t="s">
        <v>167</v>
      </c>
      <c r="O423" s="2" t="s">
        <v>168</v>
      </c>
      <c r="P423" s="2" t="s">
        <v>639</v>
      </c>
      <c r="Q423" s="2" t="s">
        <v>639</v>
      </c>
      <c r="R423" s="2" t="s">
        <v>29</v>
      </c>
      <c r="S423" s="2" t="s">
        <v>30</v>
      </c>
    </row>
    <row r="424" spans="1:19">
      <c r="A424" s="1">
        <v>43983</v>
      </c>
      <c r="B424" s="1">
        <v>43983</v>
      </c>
      <c r="C424">
        <v>2020</v>
      </c>
      <c r="D424">
        <v>6</v>
      </c>
      <c r="E424" s="2" t="s">
        <v>171</v>
      </c>
      <c r="F424" s="2" t="s">
        <v>172</v>
      </c>
      <c r="G424" s="2" t="s">
        <v>21</v>
      </c>
      <c r="H424" s="2" t="s">
        <v>22</v>
      </c>
      <c r="I424" s="2" t="s">
        <v>66</v>
      </c>
      <c r="J424" s="2" t="s">
        <v>24</v>
      </c>
      <c r="N424" s="2" t="s">
        <v>173</v>
      </c>
      <c r="O424" s="2" t="s">
        <v>174</v>
      </c>
      <c r="P424" s="2" t="s">
        <v>175</v>
      </c>
      <c r="Q424" s="2" t="s">
        <v>175</v>
      </c>
      <c r="R424" s="2" t="s">
        <v>640</v>
      </c>
      <c r="S424" s="2" t="s">
        <v>641</v>
      </c>
    </row>
    <row r="425" spans="1:19">
      <c r="A425" s="1">
        <v>43983</v>
      </c>
      <c r="B425" s="1">
        <v>43983</v>
      </c>
      <c r="C425">
        <v>2020</v>
      </c>
      <c r="D425">
        <v>6</v>
      </c>
      <c r="E425" s="2" t="s">
        <v>177</v>
      </c>
      <c r="F425" s="2" t="s">
        <v>178</v>
      </c>
      <c r="G425" s="2" t="s">
        <v>21</v>
      </c>
      <c r="H425" s="2" t="s">
        <v>22</v>
      </c>
      <c r="I425" s="2" t="s">
        <v>23</v>
      </c>
      <c r="J425" s="2" t="s">
        <v>24</v>
      </c>
      <c r="K425">
        <v>1989.12</v>
      </c>
      <c r="L425">
        <v>206950.8</v>
      </c>
      <c r="M425">
        <v>10404.14</v>
      </c>
      <c r="N425" s="2" t="s">
        <v>179</v>
      </c>
      <c r="O425" s="2" t="s">
        <v>180</v>
      </c>
      <c r="P425" s="2" t="s">
        <v>1057</v>
      </c>
      <c r="Q425" s="2" t="s">
        <v>1058</v>
      </c>
      <c r="R425" s="2" t="s">
        <v>29</v>
      </c>
      <c r="S425" s="2" t="s">
        <v>30</v>
      </c>
    </row>
    <row r="426" spans="1:19">
      <c r="A426" s="1">
        <v>43983</v>
      </c>
      <c r="B426" s="1">
        <v>43983</v>
      </c>
      <c r="C426">
        <v>2020</v>
      </c>
      <c r="D426">
        <v>6</v>
      </c>
      <c r="E426" s="2" t="s">
        <v>183</v>
      </c>
      <c r="F426" s="2" t="s">
        <v>184</v>
      </c>
      <c r="G426" s="2" t="s">
        <v>185</v>
      </c>
      <c r="H426" s="2" t="s">
        <v>22</v>
      </c>
      <c r="I426" s="2" t="s">
        <v>186</v>
      </c>
      <c r="J426" s="2" t="s">
        <v>24</v>
      </c>
      <c r="K426">
        <v>2074.35</v>
      </c>
      <c r="L426">
        <v>2005157.16</v>
      </c>
      <c r="M426">
        <v>96664.36</v>
      </c>
      <c r="N426" s="2" t="s">
        <v>187</v>
      </c>
      <c r="O426" s="2" t="s">
        <v>188</v>
      </c>
      <c r="P426" s="2" t="s">
        <v>1059</v>
      </c>
      <c r="Q426" s="2" t="s">
        <v>1060</v>
      </c>
      <c r="R426" s="2" t="s">
        <v>29</v>
      </c>
      <c r="S426" s="2" t="s">
        <v>30</v>
      </c>
    </row>
    <row r="427" spans="1:19">
      <c r="A427" s="1">
        <v>43983</v>
      </c>
      <c r="B427" s="1">
        <v>43983</v>
      </c>
      <c r="C427">
        <v>2020</v>
      </c>
      <c r="D427">
        <v>6</v>
      </c>
      <c r="E427" s="2" t="s">
        <v>191</v>
      </c>
      <c r="F427" s="2" t="s">
        <v>192</v>
      </c>
      <c r="G427" s="2" t="s">
        <v>185</v>
      </c>
      <c r="H427" s="2" t="s">
        <v>22</v>
      </c>
      <c r="I427" s="2" t="s">
        <v>186</v>
      </c>
      <c r="J427" s="2" t="s">
        <v>24</v>
      </c>
      <c r="K427">
        <v>597.86</v>
      </c>
      <c r="L427">
        <v>3635373.5</v>
      </c>
      <c r="M427">
        <v>608064.35</v>
      </c>
      <c r="N427" s="2" t="s">
        <v>193</v>
      </c>
      <c r="O427" s="2" t="s">
        <v>194</v>
      </c>
      <c r="P427" s="2" t="s">
        <v>1061</v>
      </c>
      <c r="Q427" s="2" t="s">
        <v>1062</v>
      </c>
      <c r="R427" s="2" t="s">
        <v>29</v>
      </c>
      <c r="S427" s="2" t="s">
        <v>30</v>
      </c>
    </row>
    <row r="428" spans="1:19">
      <c r="A428" s="1">
        <v>43983</v>
      </c>
      <c r="B428" s="1">
        <v>43983</v>
      </c>
      <c r="C428">
        <v>2020</v>
      </c>
      <c r="D428">
        <v>6</v>
      </c>
      <c r="E428" s="2" t="s">
        <v>197</v>
      </c>
      <c r="F428" s="2" t="s">
        <v>198</v>
      </c>
      <c r="G428" s="2" t="s">
        <v>185</v>
      </c>
      <c r="H428" s="2" t="s">
        <v>22</v>
      </c>
      <c r="I428" s="2" t="s">
        <v>186</v>
      </c>
      <c r="J428" s="2" t="s">
        <v>59</v>
      </c>
      <c r="K428">
        <v>2672.21</v>
      </c>
      <c r="L428">
        <v>5640530.6500000004</v>
      </c>
      <c r="M428">
        <v>211081.11</v>
      </c>
      <c r="N428" s="2" t="s">
        <v>199</v>
      </c>
      <c r="O428" s="2" t="s">
        <v>200</v>
      </c>
      <c r="P428" s="2" t="s">
        <v>1063</v>
      </c>
      <c r="Q428" s="2" t="s">
        <v>1064</v>
      </c>
      <c r="R428" s="2" t="s">
        <v>29</v>
      </c>
      <c r="S428" s="2" t="s">
        <v>30</v>
      </c>
    </row>
    <row r="429" spans="1:19">
      <c r="A429" s="1">
        <v>43983</v>
      </c>
      <c r="B429" s="1">
        <v>43983</v>
      </c>
      <c r="C429">
        <v>2020</v>
      </c>
      <c r="D429">
        <v>6</v>
      </c>
      <c r="E429" s="2" t="s">
        <v>203</v>
      </c>
      <c r="F429" s="2" t="s">
        <v>204</v>
      </c>
      <c r="G429" s="2" t="s">
        <v>39</v>
      </c>
      <c r="H429" s="2" t="s">
        <v>22</v>
      </c>
      <c r="I429" s="2" t="s">
        <v>40</v>
      </c>
      <c r="J429" s="2" t="s">
        <v>24</v>
      </c>
      <c r="K429">
        <v>990.75</v>
      </c>
      <c r="L429">
        <v>19748.990000000002</v>
      </c>
      <c r="M429">
        <v>1993.34</v>
      </c>
      <c r="N429" s="2" t="s">
        <v>205</v>
      </c>
      <c r="O429" s="2" t="s">
        <v>206</v>
      </c>
      <c r="P429" s="2" t="s">
        <v>1065</v>
      </c>
      <c r="Q429" s="2" t="s">
        <v>1066</v>
      </c>
      <c r="R429" s="2" t="s">
        <v>29</v>
      </c>
      <c r="S429" s="2" t="s">
        <v>30</v>
      </c>
    </row>
    <row r="430" spans="1:19">
      <c r="A430" s="1">
        <v>43983</v>
      </c>
      <c r="B430" s="1">
        <v>43983</v>
      </c>
      <c r="C430">
        <v>2020</v>
      </c>
      <c r="D430">
        <v>6</v>
      </c>
      <c r="E430" s="2" t="s">
        <v>209</v>
      </c>
      <c r="F430" s="2" t="s">
        <v>210</v>
      </c>
      <c r="G430" s="2" t="s">
        <v>39</v>
      </c>
      <c r="H430" s="2" t="s">
        <v>22</v>
      </c>
      <c r="I430" s="2" t="s">
        <v>40</v>
      </c>
      <c r="J430" s="2" t="s">
        <v>59</v>
      </c>
      <c r="K430">
        <v>990.75</v>
      </c>
      <c r="L430">
        <v>19748.990000000002</v>
      </c>
      <c r="M430">
        <v>1993.34</v>
      </c>
      <c r="N430" s="2" t="s">
        <v>211</v>
      </c>
      <c r="O430" s="2" t="s">
        <v>212</v>
      </c>
      <c r="P430" s="2" t="s">
        <v>1065</v>
      </c>
      <c r="Q430" s="2" t="s">
        <v>1066</v>
      </c>
      <c r="R430" s="2" t="s">
        <v>29</v>
      </c>
      <c r="S430" s="2" t="s">
        <v>30</v>
      </c>
    </row>
    <row r="431" spans="1:19">
      <c r="A431" s="1">
        <v>43983</v>
      </c>
      <c r="B431" s="1">
        <v>43983</v>
      </c>
      <c r="C431">
        <v>2020</v>
      </c>
      <c r="D431">
        <v>6</v>
      </c>
      <c r="E431" s="2" t="s">
        <v>213</v>
      </c>
      <c r="F431" s="2" t="s">
        <v>214</v>
      </c>
      <c r="G431" s="2" t="s">
        <v>185</v>
      </c>
      <c r="H431" s="2" t="s">
        <v>22</v>
      </c>
      <c r="I431" s="2" t="s">
        <v>215</v>
      </c>
      <c r="J431" s="2" t="s">
        <v>24</v>
      </c>
      <c r="K431">
        <v>14822.05</v>
      </c>
      <c r="L431">
        <v>481952.51</v>
      </c>
      <c r="M431">
        <v>3251.59</v>
      </c>
      <c r="N431" s="2" t="s">
        <v>216</v>
      </c>
      <c r="O431" s="2" t="s">
        <v>217</v>
      </c>
      <c r="P431" s="2" t="s">
        <v>1067</v>
      </c>
      <c r="Q431" s="2" t="s">
        <v>1068</v>
      </c>
      <c r="R431" s="2" t="s">
        <v>29</v>
      </c>
      <c r="S431" s="2" t="s">
        <v>30</v>
      </c>
    </row>
    <row r="432" spans="1:19">
      <c r="A432" s="1">
        <v>43983</v>
      </c>
      <c r="B432" s="1">
        <v>43983</v>
      </c>
      <c r="C432">
        <v>2020</v>
      </c>
      <c r="D432">
        <v>6</v>
      </c>
      <c r="E432" s="2" t="s">
        <v>220</v>
      </c>
      <c r="F432" s="2" t="s">
        <v>221</v>
      </c>
      <c r="G432" s="2" t="s">
        <v>185</v>
      </c>
      <c r="H432" s="2" t="s">
        <v>22</v>
      </c>
      <c r="I432" s="2" t="s">
        <v>215</v>
      </c>
      <c r="J432" s="2" t="s">
        <v>24</v>
      </c>
      <c r="K432">
        <v>1424.08</v>
      </c>
      <c r="L432">
        <v>118981.22</v>
      </c>
      <c r="M432">
        <v>8354.9500000000007</v>
      </c>
      <c r="N432" s="2" t="s">
        <v>222</v>
      </c>
      <c r="O432" s="2" t="s">
        <v>223</v>
      </c>
      <c r="P432" s="2" t="s">
        <v>1069</v>
      </c>
      <c r="Q432" s="2" t="s">
        <v>1070</v>
      </c>
      <c r="R432" s="2" t="s">
        <v>29</v>
      </c>
      <c r="S432" s="2" t="s">
        <v>30</v>
      </c>
    </row>
    <row r="433" spans="1:19">
      <c r="A433" s="1">
        <v>43983</v>
      </c>
      <c r="B433" s="1">
        <v>43983</v>
      </c>
      <c r="C433">
        <v>2020</v>
      </c>
      <c r="D433">
        <v>6</v>
      </c>
      <c r="E433" s="2" t="s">
        <v>226</v>
      </c>
      <c r="F433" s="2" t="s">
        <v>227</v>
      </c>
      <c r="G433" s="2" t="s">
        <v>185</v>
      </c>
      <c r="H433" s="2" t="s">
        <v>22</v>
      </c>
      <c r="I433" s="2" t="s">
        <v>215</v>
      </c>
      <c r="J433" s="2" t="s">
        <v>59</v>
      </c>
      <c r="K433">
        <v>16246.12</v>
      </c>
      <c r="L433">
        <v>600933.73</v>
      </c>
      <c r="M433">
        <v>3698.94</v>
      </c>
      <c r="N433" s="2" t="s">
        <v>228</v>
      </c>
      <c r="O433" s="2" t="s">
        <v>229</v>
      </c>
      <c r="P433" s="2" t="s">
        <v>1071</v>
      </c>
      <c r="Q433" s="2" t="s">
        <v>1072</v>
      </c>
      <c r="R433" s="2" t="s">
        <v>29</v>
      </c>
      <c r="S433" s="2" t="s">
        <v>30</v>
      </c>
    </row>
    <row r="434" spans="1:19">
      <c r="A434" s="1">
        <v>43983</v>
      </c>
      <c r="B434" s="1">
        <v>43983</v>
      </c>
      <c r="C434">
        <v>2020</v>
      </c>
      <c r="D434">
        <v>6</v>
      </c>
      <c r="E434" s="2" t="s">
        <v>232</v>
      </c>
      <c r="F434" s="2" t="s">
        <v>233</v>
      </c>
      <c r="G434" s="2" t="s">
        <v>21</v>
      </c>
      <c r="H434" s="2" t="s">
        <v>22</v>
      </c>
      <c r="I434" s="2" t="s">
        <v>23</v>
      </c>
      <c r="J434" s="2" t="s">
        <v>24</v>
      </c>
      <c r="K434">
        <v>1337.29</v>
      </c>
      <c r="L434">
        <v>112284.9</v>
      </c>
      <c r="M434">
        <v>8396.4500000000007</v>
      </c>
      <c r="N434" s="2" t="s">
        <v>234</v>
      </c>
      <c r="O434" s="2" t="s">
        <v>235</v>
      </c>
      <c r="P434" s="2" t="s">
        <v>1073</v>
      </c>
      <c r="Q434" s="2" t="s">
        <v>1074</v>
      </c>
      <c r="R434" s="2" t="s">
        <v>29</v>
      </c>
      <c r="S434" s="2" t="s">
        <v>30</v>
      </c>
    </row>
    <row r="435" spans="1:19">
      <c r="A435" s="1">
        <v>43983</v>
      </c>
      <c r="B435" s="1">
        <v>43983</v>
      </c>
      <c r="C435">
        <v>2020</v>
      </c>
      <c r="D435">
        <v>6</v>
      </c>
      <c r="E435" s="2" t="s">
        <v>238</v>
      </c>
      <c r="F435" s="2" t="s">
        <v>239</v>
      </c>
      <c r="G435" s="2" t="s">
        <v>21</v>
      </c>
      <c r="H435" s="2" t="s">
        <v>22</v>
      </c>
      <c r="I435" s="2" t="s">
        <v>66</v>
      </c>
      <c r="J435" s="2" t="s">
        <v>24</v>
      </c>
      <c r="K435">
        <v>788.94</v>
      </c>
      <c r="L435">
        <v>70491.5</v>
      </c>
      <c r="M435">
        <v>8934.9599999999991</v>
      </c>
      <c r="N435" s="2" t="s">
        <v>240</v>
      </c>
      <c r="O435" s="2" t="s">
        <v>241</v>
      </c>
      <c r="P435" s="2" t="s">
        <v>1075</v>
      </c>
      <c r="Q435" s="2" t="s">
        <v>1076</v>
      </c>
      <c r="R435" s="2" t="s">
        <v>29</v>
      </c>
      <c r="S435" s="2" t="s">
        <v>30</v>
      </c>
    </row>
    <row r="436" spans="1:19">
      <c r="A436" s="1">
        <v>43983</v>
      </c>
      <c r="B436" s="1">
        <v>43983</v>
      </c>
      <c r="C436">
        <v>2020</v>
      </c>
      <c r="D436">
        <v>6</v>
      </c>
      <c r="E436" s="2" t="s">
        <v>244</v>
      </c>
      <c r="F436" s="2" t="s">
        <v>245</v>
      </c>
      <c r="G436" s="2" t="s">
        <v>21</v>
      </c>
      <c r="H436" s="2" t="s">
        <v>22</v>
      </c>
      <c r="I436" s="2" t="s">
        <v>23</v>
      </c>
      <c r="J436" s="2" t="s">
        <v>24</v>
      </c>
      <c r="K436">
        <v>2274.0100000000002</v>
      </c>
      <c r="L436">
        <v>1906586.12</v>
      </c>
      <c r="M436">
        <v>83842.47</v>
      </c>
      <c r="N436" s="2" t="s">
        <v>246</v>
      </c>
      <c r="O436" s="2" t="s">
        <v>247</v>
      </c>
      <c r="P436" s="2" t="s">
        <v>1077</v>
      </c>
      <c r="Q436" s="2" t="s">
        <v>1078</v>
      </c>
      <c r="R436" s="2" t="s">
        <v>29</v>
      </c>
      <c r="S436" s="2" t="s">
        <v>30</v>
      </c>
    </row>
    <row r="437" spans="1:19">
      <c r="A437" s="1">
        <v>43983</v>
      </c>
      <c r="B437" s="1">
        <v>43983</v>
      </c>
      <c r="C437">
        <v>2020</v>
      </c>
      <c r="D437">
        <v>6</v>
      </c>
      <c r="E437" s="2" t="s">
        <v>250</v>
      </c>
      <c r="F437" s="2" t="s">
        <v>251</v>
      </c>
      <c r="G437" s="2" t="s">
        <v>21</v>
      </c>
      <c r="H437" s="2" t="s">
        <v>22</v>
      </c>
      <c r="I437" s="2" t="s">
        <v>66</v>
      </c>
      <c r="J437" s="2" t="s">
        <v>24</v>
      </c>
      <c r="K437">
        <v>33.42</v>
      </c>
      <c r="L437">
        <v>25.36</v>
      </c>
      <c r="M437">
        <v>75.88</v>
      </c>
      <c r="N437" s="2" t="s">
        <v>252</v>
      </c>
      <c r="O437" s="2" t="s">
        <v>253</v>
      </c>
      <c r="P437" s="2" t="s">
        <v>1079</v>
      </c>
      <c r="Q437" s="2" t="s">
        <v>1080</v>
      </c>
      <c r="R437" s="2" t="s">
        <v>29</v>
      </c>
      <c r="S437" s="2" t="s">
        <v>30</v>
      </c>
    </row>
    <row r="438" spans="1:19">
      <c r="A438" s="1">
        <v>43983</v>
      </c>
      <c r="B438" s="1">
        <v>43983</v>
      </c>
      <c r="C438">
        <v>2020</v>
      </c>
      <c r="D438">
        <v>6</v>
      </c>
      <c r="E438" s="2" t="s">
        <v>256</v>
      </c>
      <c r="F438" s="2" t="s">
        <v>257</v>
      </c>
      <c r="G438" s="2" t="s">
        <v>21</v>
      </c>
      <c r="H438" s="2" t="s">
        <v>22</v>
      </c>
      <c r="I438" s="2" t="s">
        <v>258</v>
      </c>
      <c r="J438" s="2" t="s">
        <v>24</v>
      </c>
      <c r="K438">
        <v>496.38</v>
      </c>
      <c r="L438">
        <v>401440.56</v>
      </c>
      <c r="M438">
        <v>80873.64</v>
      </c>
      <c r="N438" s="2" t="s">
        <v>259</v>
      </c>
      <c r="O438" s="2" t="s">
        <v>260</v>
      </c>
      <c r="P438" s="2" t="s">
        <v>1081</v>
      </c>
      <c r="Q438" s="2" t="s">
        <v>1082</v>
      </c>
      <c r="R438" s="2" t="s">
        <v>29</v>
      </c>
      <c r="S438" s="2" t="s">
        <v>30</v>
      </c>
    </row>
    <row r="439" spans="1:19">
      <c r="A439" s="1">
        <v>43983</v>
      </c>
      <c r="B439" s="1">
        <v>43983</v>
      </c>
      <c r="C439">
        <v>2020</v>
      </c>
      <c r="D439">
        <v>6</v>
      </c>
      <c r="E439" s="2" t="s">
        <v>263</v>
      </c>
      <c r="F439" s="2" t="s">
        <v>264</v>
      </c>
      <c r="G439" s="2" t="s">
        <v>21</v>
      </c>
      <c r="H439" s="2" t="s">
        <v>22</v>
      </c>
      <c r="I439" s="2" t="s">
        <v>258</v>
      </c>
      <c r="J439" s="2" t="s">
        <v>24</v>
      </c>
      <c r="K439">
        <v>0.32</v>
      </c>
      <c r="L439">
        <v>225.49</v>
      </c>
      <c r="M439">
        <v>70465.62</v>
      </c>
      <c r="N439" s="2" t="s">
        <v>265</v>
      </c>
      <c r="O439" s="2" t="s">
        <v>266</v>
      </c>
      <c r="P439" s="2" t="s">
        <v>1083</v>
      </c>
      <c r="Q439" s="2" t="s">
        <v>1084</v>
      </c>
      <c r="R439" s="2" t="s">
        <v>29</v>
      </c>
      <c r="S439" s="2" t="s">
        <v>30</v>
      </c>
    </row>
    <row r="440" spans="1:19">
      <c r="A440" s="1">
        <v>43983</v>
      </c>
      <c r="B440" s="1">
        <v>43983</v>
      </c>
      <c r="C440">
        <v>2020</v>
      </c>
      <c r="D440">
        <v>6</v>
      </c>
      <c r="E440" s="2" t="s">
        <v>269</v>
      </c>
      <c r="F440" s="2" t="s">
        <v>270</v>
      </c>
      <c r="G440" s="2" t="s">
        <v>21</v>
      </c>
      <c r="H440" s="2" t="s">
        <v>22</v>
      </c>
      <c r="I440" s="2" t="s">
        <v>258</v>
      </c>
      <c r="J440" s="2" t="s">
        <v>59</v>
      </c>
      <c r="K440">
        <v>496.69</v>
      </c>
      <c r="L440">
        <v>401666.05</v>
      </c>
      <c r="M440">
        <v>80868.56</v>
      </c>
      <c r="N440" s="2" t="s">
        <v>271</v>
      </c>
      <c r="O440" s="2" t="s">
        <v>272</v>
      </c>
      <c r="P440" s="2" t="s">
        <v>1085</v>
      </c>
      <c r="Q440" s="2" t="s">
        <v>1086</v>
      </c>
      <c r="R440" s="2" t="s">
        <v>29</v>
      </c>
      <c r="S440" s="2" t="s">
        <v>30</v>
      </c>
    </row>
    <row r="441" spans="1:19">
      <c r="A441" s="1">
        <v>43983</v>
      </c>
      <c r="B441" s="1">
        <v>43983</v>
      </c>
      <c r="C441">
        <v>2020</v>
      </c>
      <c r="D441">
        <v>6</v>
      </c>
      <c r="E441" s="2" t="s">
        <v>275</v>
      </c>
      <c r="F441" s="2" t="s">
        <v>276</v>
      </c>
      <c r="G441" s="2" t="s">
        <v>39</v>
      </c>
      <c r="H441" s="2" t="s">
        <v>22</v>
      </c>
      <c r="I441" s="2" t="s">
        <v>40</v>
      </c>
      <c r="J441" s="2" t="s">
        <v>24</v>
      </c>
      <c r="K441">
        <v>27.82</v>
      </c>
      <c r="L441">
        <v>113.59</v>
      </c>
      <c r="M441">
        <v>408.3</v>
      </c>
      <c r="N441" s="2" t="s">
        <v>277</v>
      </c>
      <c r="O441" s="2" t="s">
        <v>278</v>
      </c>
      <c r="P441" s="2" t="s">
        <v>1087</v>
      </c>
      <c r="Q441" s="2" t="s">
        <v>1088</v>
      </c>
      <c r="R441" s="2" t="s">
        <v>29</v>
      </c>
      <c r="S441" s="2" t="s">
        <v>30</v>
      </c>
    </row>
    <row r="442" spans="1:19">
      <c r="A442" s="1">
        <v>43983</v>
      </c>
      <c r="B442" s="1">
        <v>43983</v>
      </c>
      <c r="C442">
        <v>2020</v>
      </c>
      <c r="D442">
        <v>6</v>
      </c>
      <c r="E442" s="2" t="s">
        <v>281</v>
      </c>
      <c r="F442" s="2" t="s">
        <v>282</v>
      </c>
      <c r="G442" s="2" t="s">
        <v>39</v>
      </c>
      <c r="H442" s="2" t="s">
        <v>22</v>
      </c>
      <c r="I442" s="2" t="s">
        <v>40</v>
      </c>
      <c r="J442" s="2" t="s">
        <v>24</v>
      </c>
      <c r="K442">
        <v>1.6</v>
      </c>
      <c r="L442">
        <v>2.5099999999999998</v>
      </c>
      <c r="M442">
        <v>156.88</v>
      </c>
      <c r="N442" s="2" t="s">
        <v>283</v>
      </c>
      <c r="O442" s="2" t="s">
        <v>284</v>
      </c>
      <c r="P442" s="2" t="s">
        <v>1089</v>
      </c>
      <c r="Q442" s="2" t="s">
        <v>1090</v>
      </c>
      <c r="R442" s="2" t="s">
        <v>29</v>
      </c>
      <c r="S442" s="2" t="s">
        <v>30</v>
      </c>
    </row>
    <row r="443" spans="1:19">
      <c r="A443" s="1">
        <v>43983</v>
      </c>
      <c r="B443" s="1">
        <v>43983</v>
      </c>
      <c r="C443">
        <v>2020</v>
      </c>
      <c r="D443">
        <v>6</v>
      </c>
      <c r="E443" s="2" t="s">
        <v>287</v>
      </c>
      <c r="F443" s="2" t="s">
        <v>288</v>
      </c>
      <c r="G443" s="2" t="s">
        <v>39</v>
      </c>
      <c r="H443" s="2" t="s">
        <v>22</v>
      </c>
      <c r="I443" s="2" t="s">
        <v>40</v>
      </c>
      <c r="J443" s="2" t="s">
        <v>59</v>
      </c>
      <c r="K443">
        <v>29.42</v>
      </c>
      <c r="L443">
        <v>116.09</v>
      </c>
      <c r="M443">
        <v>394.6</v>
      </c>
      <c r="N443" s="2" t="s">
        <v>289</v>
      </c>
      <c r="O443" s="2" t="s">
        <v>290</v>
      </c>
      <c r="P443" s="2" t="s">
        <v>1091</v>
      </c>
      <c r="Q443" s="2" t="s">
        <v>1092</v>
      </c>
      <c r="R443" s="2" t="s">
        <v>29</v>
      </c>
      <c r="S443" s="2" t="s">
        <v>30</v>
      </c>
    </row>
    <row r="444" spans="1:19">
      <c r="A444" s="1">
        <v>43983</v>
      </c>
      <c r="B444" s="1">
        <v>43983</v>
      </c>
      <c r="C444">
        <v>2020</v>
      </c>
      <c r="D444">
        <v>6</v>
      </c>
      <c r="E444" s="2" t="s">
        <v>293</v>
      </c>
      <c r="F444" s="2" t="s">
        <v>294</v>
      </c>
      <c r="G444" s="2" t="s">
        <v>21</v>
      </c>
      <c r="H444" s="2" t="s">
        <v>22</v>
      </c>
      <c r="I444" s="2" t="s">
        <v>295</v>
      </c>
      <c r="J444" s="2" t="s">
        <v>24</v>
      </c>
      <c r="K444">
        <v>605.62</v>
      </c>
      <c r="L444">
        <v>1652.46</v>
      </c>
      <c r="M444">
        <v>272.85000000000002</v>
      </c>
      <c r="N444" s="2" t="s">
        <v>296</v>
      </c>
      <c r="O444" s="2" t="s">
        <v>297</v>
      </c>
      <c r="P444" s="2" t="s">
        <v>1093</v>
      </c>
      <c r="Q444" s="2" t="s">
        <v>1094</v>
      </c>
      <c r="R444" s="2" t="s">
        <v>29</v>
      </c>
      <c r="S444" s="2" t="s">
        <v>30</v>
      </c>
    </row>
    <row r="445" spans="1:19">
      <c r="A445" s="1">
        <v>43983</v>
      </c>
      <c r="B445" s="1">
        <v>43983</v>
      </c>
      <c r="C445">
        <v>2020</v>
      </c>
      <c r="D445">
        <v>6</v>
      </c>
      <c r="E445" s="2" t="s">
        <v>300</v>
      </c>
      <c r="F445" s="2" t="s">
        <v>301</v>
      </c>
      <c r="G445" s="2" t="s">
        <v>21</v>
      </c>
      <c r="H445" s="2" t="s">
        <v>22</v>
      </c>
      <c r="I445" s="2" t="s">
        <v>295</v>
      </c>
      <c r="J445" s="2" t="s">
        <v>24</v>
      </c>
      <c r="K445">
        <v>35.36</v>
      </c>
      <c r="L445">
        <v>709.69</v>
      </c>
      <c r="M445">
        <v>2007.04</v>
      </c>
      <c r="N445" s="2" t="s">
        <v>302</v>
      </c>
      <c r="O445" s="2" t="s">
        <v>303</v>
      </c>
      <c r="P445" s="2" t="s">
        <v>384</v>
      </c>
      <c r="Q445" s="2" t="s">
        <v>1095</v>
      </c>
      <c r="R445" s="2" t="s">
        <v>29</v>
      </c>
      <c r="S445" s="2" t="s">
        <v>30</v>
      </c>
    </row>
    <row r="446" spans="1:19">
      <c r="A446" s="1">
        <v>43983</v>
      </c>
      <c r="B446" s="1">
        <v>43983</v>
      </c>
      <c r="C446">
        <v>2020</v>
      </c>
      <c r="D446">
        <v>6</v>
      </c>
      <c r="E446" s="2" t="s">
        <v>306</v>
      </c>
      <c r="F446" s="2" t="s">
        <v>307</v>
      </c>
      <c r="G446" s="2" t="s">
        <v>21</v>
      </c>
      <c r="H446" s="2" t="s">
        <v>22</v>
      </c>
      <c r="I446" s="2" t="s">
        <v>295</v>
      </c>
      <c r="J446" s="2" t="s">
        <v>101</v>
      </c>
      <c r="K446">
        <v>640.98</v>
      </c>
      <c r="L446">
        <v>2362.15</v>
      </c>
      <c r="M446">
        <v>368.52</v>
      </c>
      <c r="N446" s="2" t="s">
        <v>308</v>
      </c>
      <c r="O446" s="2" t="s">
        <v>309</v>
      </c>
      <c r="P446" s="2" t="s">
        <v>1096</v>
      </c>
      <c r="Q446" s="2" t="s">
        <v>1097</v>
      </c>
      <c r="R446" s="2" t="s">
        <v>29</v>
      </c>
      <c r="S446" s="2" t="s">
        <v>30</v>
      </c>
    </row>
    <row r="447" spans="1:19">
      <c r="A447" s="1">
        <v>43983</v>
      </c>
      <c r="B447" s="1">
        <v>43983</v>
      </c>
      <c r="C447">
        <v>2020</v>
      </c>
      <c r="D447">
        <v>6</v>
      </c>
      <c r="E447" s="2" t="s">
        <v>312</v>
      </c>
      <c r="F447" s="2" t="s">
        <v>313</v>
      </c>
      <c r="G447" s="2" t="s">
        <v>21</v>
      </c>
      <c r="H447" s="2" t="s">
        <v>22</v>
      </c>
      <c r="I447" s="2" t="s">
        <v>295</v>
      </c>
      <c r="J447" s="2" t="s">
        <v>59</v>
      </c>
      <c r="K447">
        <v>3546.66</v>
      </c>
      <c r="L447">
        <v>14494.15</v>
      </c>
      <c r="M447">
        <v>408.67</v>
      </c>
      <c r="N447" s="2" t="s">
        <v>314</v>
      </c>
      <c r="O447" s="2" t="s">
        <v>315</v>
      </c>
      <c r="P447" s="2" t="s">
        <v>1098</v>
      </c>
      <c r="Q447" s="2" t="s">
        <v>1099</v>
      </c>
      <c r="R447" s="2" t="s">
        <v>29</v>
      </c>
      <c r="S447" s="2" t="s">
        <v>30</v>
      </c>
    </row>
    <row r="448" spans="1:19">
      <c r="A448" s="1">
        <v>43983</v>
      </c>
      <c r="B448" s="1">
        <v>43983</v>
      </c>
      <c r="C448">
        <v>2020</v>
      </c>
      <c r="D448">
        <v>6</v>
      </c>
      <c r="E448" s="2" t="s">
        <v>318</v>
      </c>
      <c r="F448" s="2" t="s">
        <v>319</v>
      </c>
      <c r="G448" s="2" t="s">
        <v>21</v>
      </c>
      <c r="H448" s="2" t="s">
        <v>22</v>
      </c>
      <c r="I448" s="2" t="s">
        <v>295</v>
      </c>
      <c r="J448" s="2" t="s">
        <v>24</v>
      </c>
      <c r="K448">
        <v>2905.68</v>
      </c>
      <c r="L448">
        <v>12132</v>
      </c>
      <c r="M448">
        <v>417.53</v>
      </c>
      <c r="N448" s="2" t="s">
        <v>320</v>
      </c>
      <c r="O448" s="2" t="s">
        <v>321</v>
      </c>
      <c r="P448" s="2" t="s">
        <v>1100</v>
      </c>
      <c r="Q448" s="2" t="s">
        <v>1101</v>
      </c>
      <c r="R448" s="2" t="s">
        <v>29</v>
      </c>
      <c r="S448" s="2" t="s">
        <v>30</v>
      </c>
    </row>
    <row r="449" spans="1:19">
      <c r="A449" s="1">
        <v>43983</v>
      </c>
      <c r="B449" s="1">
        <v>43983</v>
      </c>
      <c r="C449">
        <v>2020</v>
      </c>
      <c r="D449">
        <v>6</v>
      </c>
      <c r="E449" s="2" t="s">
        <v>324</v>
      </c>
      <c r="F449" s="2" t="s">
        <v>325</v>
      </c>
      <c r="G449" s="2" t="s">
        <v>21</v>
      </c>
      <c r="H449" s="2" t="s">
        <v>22</v>
      </c>
      <c r="I449" s="2" t="s">
        <v>23</v>
      </c>
      <c r="J449" s="2" t="s">
        <v>59</v>
      </c>
      <c r="K449">
        <v>20341.73</v>
      </c>
      <c r="L449">
        <v>2499470.2200000002</v>
      </c>
      <c r="M449">
        <v>12287.4</v>
      </c>
      <c r="N449" s="2" t="s">
        <v>326</v>
      </c>
      <c r="O449" s="2" t="s">
        <v>327</v>
      </c>
      <c r="P449" s="2" t="s">
        <v>1102</v>
      </c>
      <c r="Q449" s="2" t="s">
        <v>1103</v>
      </c>
      <c r="R449" s="2" t="s">
        <v>29</v>
      </c>
      <c r="S449" s="2" t="s">
        <v>30</v>
      </c>
    </row>
    <row r="450" spans="1:19">
      <c r="A450" s="1">
        <v>43983</v>
      </c>
      <c r="B450" s="1">
        <v>43983</v>
      </c>
      <c r="C450">
        <v>2020</v>
      </c>
      <c r="D450">
        <v>6</v>
      </c>
      <c r="E450" s="2" t="s">
        <v>330</v>
      </c>
      <c r="F450" s="2" t="s">
        <v>331</v>
      </c>
      <c r="G450" s="2" t="s">
        <v>21</v>
      </c>
      <c r="H450" s="2" t="s">
        <v>332</v>
      </c>
      <c r="I450" s="2" t="s">
        <v>333</v>
      </c>
      <c r="J450" s="2" t="s">
        <v>24</v>
      </c>
      <c r="K450">
        <v>118.09</v>
      </c>
      <c r="L450">
        <v>7641699.5800000001</v>
      </c>
      <c r="M450">
        <v>6471081.0199999996</v>
      </c>
      <c r="N450" s="2" t="s">
        <v>334</v>
      </c>
      <c r="O450" s="2" t="s">
        <v>335</v>
      </c>
      <c r="P450" s="2" t="s">
        <v>1104</v>
      </c>
      <c r="Q450" s="2" t="s">
        <v>1105</v>
      </c>
      <c r="R450" s="2" t="s">
        <v>29</v>
      </c>
      <c r="S450" s="2" t="s">
        <v>30</v>
      </c>
    </row>
    <row r="451" spans="1:19">
      <c r="A451" s="1">
        <v>43983</v>
      </c>
      <c r="B451" s="1">
        <v>43983</v>
      </c>
      <c r="C451">
        <v>2020</v>
      </c>
      <c r="D451">
        <v>6</v>
      </c>
      <c r="E451" s="2" t="s">
        <v>338</v>
      </c>
      <c r="F451" s="2" t="s">
        <v>339</v>
      </c>
      <c r="G451" s="2" t="s">
        <v>21</v>
      </c>
      <c r="H451" s="2" t="s">
        <v>332</v>
      </c>
      <c r="I451" s="2" t="s">
        <v>333</v>
      </c>
      <c r="J451" s="2" t="s">
        <v>24</v>
      </c>
      <c r="K451">
        <v>1.59</v>
      </c>
      <c r="L451">
        <v>1010278.14</v>
      </c>
      <c r="M451">
        <v>63539505.659999996</v>
      </c>
      <c r="N451" s="2" t="s">
        <v>340</v>
      </c>
      <c r="O451" s="2" t="s">
        <v>341</v>
      </c>
      <c r="P451" s="2" t="s">
        <v>613</v>
      </c>
      <c r="Q451" s="2" t="s">
        <v>1106</v>
      </c>
      <c r="R451" s="2" t="s">
        <v>29</v>
      </c>
      <c r="S451" s="2" t="s">
        <v>30</v>
      </c>
    </row>
    <row r="452" spans="1:19">
      <c r="A452" s="1">
        <v>43983</v>
      </c>
      <c r="B452" s="1">
        <v>43983</v>
      </c>
      <c r="C452">
        <v>2020</v>
      </c>
      <c r="D452">
        <v>6</v>
      </c>
      <c r="E452" s="2" t="s">
        <v>344</v>
      </c>
      <c r="F452" s="2" t="s">
        <v>345</v>
      </c>
      <c r="G452" s="2" t="s">
        <v>21</v>
      </c>
      <c r="H452" s="2" t="s">
        <v>332</v>
      </c>
      <c r="I452" s="2" t="s">
        <v>333</v>
      </c>
      <c r="J452" s="2" t="s">
        <v>59</v>
      </c>
      <c r="K452">
        <v>119.68</v>
      </c>
      <c r="L452">
        <v>8651977.7200000007</v>
      </c>
      <c r="M452">
        <v>7229259.46</v>
      </c>
      <c r="N452" s="2" t="s">
        <v>346</v>
      </c>
      <c r="O452" s="2" t="s">
        <v>347</v>
      </c>
      <c r="P452" s="2" t="s">
        <v>1107</v>
      </c>
      <c r="Q452" s="2" t="s">
        <v>1108</v>
      </c>
      <c r="R452" s="2" t="s">
        <v>29</v>
      </c>
      <c r="S452" s="2" t="s">
        <v>30</v>
      </c>
    </row>
    <row r="453" spans="1:19">
      <c r="A453" s="1">
        <v>43983</v>
      </c>
      <c r="B453" s="1">
        <v>43983</v>
      </c>
      <c r="C453">
        <v>2020</v>
      </c>
      <c r="D453">
        <v>6</v>
      </c>
      <c r="E453" s="2" t="s">
        <v>350</v>
      </c>
      <c r="F453" s="2" t="s">
        <v>351</v>
      </c>
      <c r="G453" s="2" t="s">
        <v>21</v>
      </c>
      <c r="H453" s="2" t="s">
        <v>22</v>
      </c>
      <c r="I453" s="2" t="s">
        <v>352</v>
      </c>
      <c r="J453" s="2" t="s">
        <v>353</v>
      </c>
      <c r="K453">
        <v>29095.98</v>
      </c>
      <c r="L453">
        <v>11327129.140000001</v>
      </c>
      <c r="M453">
        <v>38930.22</v>
      </c>
      <c r="N453" s="2" t="s">
        <v>354</v>
      </c>
      <c r="O453" s="2" t="s">
        <v>355</v>
      </c>
      <c r="P453" s="2" t="s">
        <v>1109</v>
      </c>
      <c r="Q453" s="2" t="s">
        <v>1110</v>
      </c>
      <c r="R453" s="2" t="s">
        <v>29</v>
      </c>
      <c r="S453" s="2" t="s">
        <v>30</v>
      </c>
    </row>
    <row r="454" spans="1:19">
      <c r="A454" s="1">
        <v>43983</v>
      </c>
      <c r="B454" s="1">
        <v>43983</v>
      </c>
      <c r="C454">
        <v>2020</v>
      </c>
      <c r="D454">
        <v>6</v>
      </c>
      <c r="E454" s="2" t="s">
        <v>358</v>
      </c>
      <c r="F454" s="2" t="s">
        <v>359</v>
      </c>
      <c r="G454" s="2" t="s">
        <v>21</v>
      </c>
      <c r="H454" s="2" t="s">
        <v>22</v>
      </c>
      <c r="I454" s="2" t="s">
        <v>352</v>
      </c>
      <c r="J454" s="2" t="s">
        <v>353</v>
      </c>
      <c r="K454">
        <v>29592.67</v>
      </c>
      <c r="L454">
        <v>11728795.199999999</v>
      </c>
      <c r="M454">
        <v>39634.120000000003</v>
      </c>
      <c r="N454" s="2" t="s">
        <v>360</v>
      </c>
      <c r="O454" s="2" t="s">
        <v>361</v>
      </c>
      <c r="P454" s="2" t="s">
        <v>1111</v>
      </c>
      <c r="Q454" s="2" t="s">
        <v>1112</v>
      </c>
      <c r="R454" s="2" t="s">
        <v>29</v>
      </c>
      <c r="S454" s="2" t="s">
        <v>30</v>
      </c>
    </row>
    <row r="455" spans="1:19">
      <c r="A455" s="1">
        <v>43983</v>
      </c>
      <c r="B455" s="1">
        <v>43983</v>
      </c>
      <c r="C455">
        <v>2020</v>
      </c>
      <c r="D455">
        <v>6</v>
      </c>
      <c r="E455" s="2" t="s">
        <v>364</v>
      </c>
      <c r="F455" s="2" t="s">
        <v>365</v>
      </c>
      <c r="G455" s="2" t="s">
        <v>21</v>
      </c>
      <c r="H455" s="2" t="s">
        <v>22</v>
      </c>
      <c r="I455" s="2" t="s">
        <v>352</v>
      </c>
      <c r="J455" s="2" t="s">
        <v>353</v>
      </c>
      <c r="K455">
        <v>29472.99</v>
      </c>
      <c r="L455">
        <v>3076817.48</v>
      </c>
      <c r="M455">
        <v>10439.450000000001</v>
      </c>
      <c r="N455" s="2" t="s">
        <v>366</v>
      </c>
      <c r="O455" s="2" t="s">
        <v>367</v>
      </c>
      <c r="P455" s="2" t="s">
        <v>1113</v>
      </c>
      <c r="Q455" s="2" t="s">
        <v>1114</v>
      </c>
      <c r="R455" s="2" t="s">
        <v>29</v>
      </c>
      <c r="S455" s="2" t="s">
        <v>30</v>
      </c>
    </row>
    <row r="456" spans="1:19">
      <c r="A456" s="1">
        <v>43983</v>
      </c>
      <c r="B456" s="1">
        <v>43983</v>
      </c>
      <c r="C456">
        <v>2020</v>
      </c>
      <c r="D456">
        <v>6</v>
      </c>
      <c r="E456" s="2" t="s">
        <v>370</v>
      </c>
      <c r="F456" s="2" t="s">
        <v>371</v>
      </c>
      <c r="G456" s="2" t="s">
        <v>21</v>
      </c>
      <c r="H456" s="2" t="s">
        <v>22</v>
      </c>
      <c r="I456" s="2" t="s">
        <v>23</v>
      </c>
      <c r="J456" s="2" t="s">
        <v>24</v>
      </c>
      <c r="K456">
        <v>13369.31</v>
      </c>
      <c r="L456">
        <v>261835</v>
      </c>
      <c r="M456">
        <v>1958.48</v>
      </c>
      <c r="N456" s="2" t="s">
        <v>372</v>
      </c>
      <c r="O456" s="2" t="s">
        <v>373</v>
      </c>
      <c r="P456" s="2" t="s">
        <v>1115</v>
      </c>
      <c r="Q456" s="2" t="s">
        <v>1116</v>
      </c>
      <c r="R456" s="2" t="s">
        <v>29</v>
      </c>
      <c r="S456" s="2" t="s">
        <v>30</v>
      </c>
    </row>
    <row r="457" spans="1:19">
      <c r="A457" s="1">
        <v>43983</v>
      </c>
      <c r="B457" s="1">
        <v>43983</v>
      </c>
      <c r="C457">
        <v>2020</v>
      </c>
      <c r="D457">
        <v>6</v>
      </c>
      <c r="E457" s="2" t="s">
        <v>376</v>
      </c>
      <c r="F457" s="2" t="s">
        <v>377</v>
      </c>
      <c r="G457" s="2" t="s">
        <v>21</v>
      </c>
      <c r="H457" s="2" t="s">
        <v>22</v>
      </c>
      <c r="I457" s="2" t="s">
        <v>23</v>
      </c>
      <c r="J457" s="2" t="s">
        <v>378</v>
      </c>
      <c r="K457">
        <v>0.85</v>
      </c>
      <c r="L457">
        <v>14.56</v>
      </c>
      <c r="M457">
        <v>1712.94</v>
      </c>
      <c r="N457" s="2" t="s">
        <v>379</v>
      </c>
      <c r="O457" s="2" t="s">
        <v>380</v>
      </c>
      <c r="P457" s="2" t="s">
        <v>1117</v>
      </c>
      <c r="Q457" s="2" t="s">
        <v>1118</v>
      </c>
      <c r="R457" s="2" t="s">
        <v>29</v>
      </c>
      <c r="S457" s="2" t="s">
        <v>30</v>
      </c>
    </row>
    <row r="458" spans="1:19">
      <c r="A458" s="1">
        <v>44013</v>
      </c>
      <c r="B458" s="1">
        <v>44013</v>
      </c>
      <c r="C458">
        <v>2020</v>
      </c>
      <c r="D458">
        <v>7</v>
      </c>
      <c r="E458" s="2" t="s">
        <v>19</v>
      </c>
      <c r="F458" s="2" t="s">
        <v>20</v>
      </c>
      <c r="G458" s="2" t="s">
        <v>21</v>
      </c>
      <c r="H458" s="2" t="s">
        <v>22</v>
      </c>
      <c r="I458" s="2" t="s">
        <v>23</v>
      </c>
      <c r="J458" s="2" t="s">
        <v>24</v>
      </c>
      <c r="K458">
        <v>0.86</v>
      </c>
      <c r="L458">
        <v>45.14</v>
      </c>
      <c r="M458">
        <v>5248.84</v>
      </c>
      <c r="N458" s="2" t="s">
        <v>25</v>
      </c>
      <c r="O458" s="2" t="s">
        <v>26</v>
      </c>
      <c r="P458" s="2" t="s">
        <v>723</v>
      </c>
      <c r="Q458" s="2" t="s">
        <v>1119</v>
      </c>
      <c r="R458" s="2" t="s">
        <v>29</v>
      </c>
      <c r="S458" s="2" t="s">
        <v>30</v>
      </c>
    </row>
    <row r="459" spans="1:19">
      <c r="A459" s="1">
        <v>44013</v>
      </c>
      <c r="B459" s="1">
        <v>44013</v>
      </c>
      <c r="C459">
        <v>2020</v>
      </c>
      <c r="D459">
        <v>7</v>
      </c>
      <c r="E459" s="2" t="s">
        <v>31</v>
      </c>
      <c r="F459" s="2" t="s">
        <v>32</v>
      </c>
      <c r="G459" s="2" t="s">
        <v>21</v>
      </c>
      <c r="H459" s="2" t="s">
        <v>22</v>
      </c>
      <c r="I459" s="2" t="s">
        <v>23</v>
      </c>
      <c r="J459" s="2" t="s">
        <v>24</v>
      </c>
      <c r="K459">
        <v>1182.3800000000001</v>
      </c>
      <c r="L459">
        <v>8975.5300000000007</v>
      </c>
      <c r="M459">
        <v>759.11</v>
      </c>
      <c r="N459" s="2" t="s">
        <v>33</v>
      </c>
      <c r="O459" s="2" t="s">
        <v>34</v>
      </c>
      <c r="P459" s="2" t="s">
        <v>1120</v>
      </c>
      <c r="Q459" s="2" t="s">
        <v>1121</v>
      </c>
      <c r="R459" s="2" t="s">
        <v>29</v>
      </c>
      <c r="S459" s="2" t="s">
        <v>30</v>
      </c>
    </row>
    <row r="460" spans="1:19">
      <c r="A460" s="1">
        <v>44013</v>
      </c>
      <c r="B460" s="1">
        <v>44013</v>
      </c>
      <c r="C460">
        <v>2020</v>
      </c>
      <c r="D460">
        <v>7</v>
      </c>
      <c r="E460" s="2" t="s">
        <v>37</v>
      </c>
      <c r="F460" s="2" t="s">
        <v>38</v>
      </c>
      <c r="G460" s="2" t="s">
        <v>39</v>
      </c>
      <c r="H460" s="2" t="s">
        <v>22</v>
      </c>
      <c r="I460" s="2" t="s">
        <v>40</v>
      </c>
      <c r="J460" s="2" t="s">
        <v>24</v>
      </c>
      <c r="K460">
        <v>3.29</v>
      </c>
      <c r="L460">
        <v>166.76</v>
      </c>
      <c r="M460">
        <v>5068.6899999999996</v>
      </c>
      <c r="N460" s="2" t="s">
        <v>41</v>
      </c>
      <c r="O460" s="2" t="s">
        <v>42</v>
      </c>
      <c r="P460" s="2" t="s">
        <v>1122</v>
      </c>
      <c r="Q460" s="2" t="s">
        <v>1123</v>
      </c>
      <c r="R460" s="2" t="s">
        <v>29</v>
      </c>
      <c r="S460" s="2" t="s">
        <v>30</v>
      </c>
    </row>
    <row r="461" spans="1:19">
      <c r="A461" s="1">
        <v>44013</v>
      </c>
      <c r="B461" s="1">
        <v>44013</v>
      </c>
      <c r="C461">
        <v>2020</v>
      </c>
      <c r="D461">
        <v>7</v>
      </c>
      <c r="E461" s="2" t="s">
        <v>45</v>
      </c>
      <c r="F461" s="2" t="s">
        <v>46</v>
      </c>
      <c r="G461" s="2" t="s">
        <v>39</v>
      </c>
      <c r="H461" s="2" t="s">
        <v>22</v>
      </c>
      <c r="I461" s="2" t="s">
        <v>40</v>
      </c>
      <c r="J461" s="2" t="s">
        <v>24</v>
      </c>
      <c r="K461">
        <v>4661.4799999999996</v>
      </c>
      <c r="L461">
        <v>231210.41</v>
      </c>
      <c r="M461">
        <v>4960.0200000000004</v>
      </c>
      <c r="N461" s="2" t="s">
        <v>47</v>
      </c>
      <c r="O461" s="2" t="s">
        <v>48</v>
      </c>
      <c r="P461" s="2" t="s">
        <v>1124</v>
      </c>
      <c r="Q461" s="2" t="s">
        <v>1125</v>
      </c>
      <c r="R461" s="2" t="s">
        <v>29</v>
      </c>
      <c r="S461" s="2" t="s">
        <v>30</v>
      </c>
    </row>
    <row r="462" spans="1:19">
      <c r="A462" s="1">
        <v>44013</v>
      </c>
      <c r="B462" s="1">
        <v>44013</v>
      </c>
      <c r="C462">
        <v>2020</v>
      </c>
      <c r="D462">
        <v>7</v>
      </c>
      <c r="E462" s="2" t="s">
        <v>51</v>
      </c>
      <c r="F462" s="2" t="s">
        <v>52</v>
      </c>
      <c r="G462" s="2" t="s">
        <v>39</v>
      </c>
      <c r="H462" s="2" t="s">
        <v>22</v>
      </c>
      <c r="I462" s="2" t="s">
        <v>40</v>
      </c>
      <c r="J462" s="2" t="s">
        <v>24</v>
      </c>
      <c r="K462">
        <v>19.2</v>
      </c>
      <c r="L462">
        <v>696.56</v>
      </c>
      <c r="M462">
        <v>3627.92</v>
      </c>
      <c r="N462" s="2" t="s">
        <v>53</v>
      </c>
      <c r="O462" s="2" t="s">
        <v>54</v>
      </c>
      <c r="P462" s="2" t="s">
        <v>1126</v>
      </c>
      <c r="Q462" s="2" t="s">
        <v>1127</v>
      </c>
      <c r="R462" s="2" t="s">
        <v>29</v>
      </c>
      <c r="S462" s="2" t="s">
        <v>30</v>
      </c>
    </row>
    <row r="463" spans="1:19">
      <c r="A463" s="1">
        <v>44013</v>
      </c>
      <c r="B463" s="1">
        <v>44013</v>
      </c>
      <c r="C463">
        <v>2020</v>
      </c>
      <c r="D463">
        <v>7</v>
      </c>
      <c r="E463" s="2" t="s">
        <v>57</v>
      </c>
      <c r="F463" s="2" t="s">
        <v>58</v>
      </c>
      <c r="G463" s="2" t="s">
        <v>39</v>
      </c>
      <c r="H463" s="2" t="s">
        <v>22</v>
      </c>
      <c r="I463" s="2" t="s">
        <v>40</v>
      </c>
      <c r="J463" s="2" t="s">
        <v>59</v>
      </c>
      <c r="K463">
        <v>4683.9799999999996</v>
      </c>
      <c r="L463">
        <v>232073.73</v>
      </c>
      <c r="M463">
        <v>4954.63</v>
      </c>
      <c r="N463" s="2" t="s">
        <v>60</v>
      </c>
      <c r="O463" s="2" t="s">
        <v>61</v>
      </c>
      <c r="P463" s="2" t="s">
        <v>1128</v>
      </c>
      <c r="Q463" s="2" t="s">
        <v>1129</v>
      </c>
      <c r="R463" s="2" t="s">
        <v>29</v>
      </c>
      <c r="S463" s="2" t="s">
        <v>30</v>
      </c>
    </row>
    <row r="464" spans="1:19">
      <c r="A464" s="1">
        <v>44013</v>
      </c>
      <c r="B464" s="1">
        <v>44013</v>
      </c>
      <c r="C464">
        <v>2020</v>
      </c>
      <c r="D464">
        <v>7</v>
      </c>
      <c r="E464" s="2" t="s">
        <v>64</v>
      </c>
      <c r="F464" s="2" t="s">
        <v>65</v>
      </c>
      <c r="G464" s="2" t="s">
        <v>21</v>
      </c>
      <c r="H464" s="2" t="s">
        <v>22</v>
      </c>
      <c r="I464" s="2" t="s">
        <v>66</v>
      </c>
      <c r="J464" s="2" t="s">
        <v>24</v>
      </c>
      <c r="K464">
        <v>15.96</v>
      </c>
      <c r="L464">
        <v>216.03</v>
      </c>
      <c r="M464">
        <v>1353.57</v>
      </c>
      <c r="N464" s="2" t="s">
        <v>67</v>
      </c>
      <c r="O464" s="2" t="s">
        <v>68</v>
      </c>
      <c r="P464" s="2" t="s">
        <v>1130</v>
      </c>
      <c r="Q464" s="2" t="s">
        <v>1131</v>
      </c>
      <c r="R464" s="2" t="s">
        <v>29</v>
      </c>
      <c r="S464" s="2" t="s">
        <v>30</v>
      </c>
    </row>
    <row r="465" spans="1:19">
      <c r="A465" s="1">
        <v>44013</v>
      </c>
      <c r="B465" s="1">
        <v>44013</v>
      </c>
      <c r="C465">
        <v>2020</v>
      </c>
      <c r="D465">
        <v>7</v>
      </c>
      <c r="E465" s="2" t="s">
        <v>71</v>
      </c>
      <c r="F465" s="2" t="s">
        <v>72</v>
      </c>
      <c r="G465" s="2" t="s">
        <v>21</v>
      </c>
      <c r="H465" s="2" t="s">
        <v>22</v>
      </c>
      <c r="I465" s="2" t="s">
        <v>73</v>
      </c>
      <c r="J465" s="2" t="s">
        <v>59</v>
      </c>
      <c r="K465">
        <v>4481.59</v>
      </c>
      <c r="L465">
        <v>95882.98</v>
      </c>
      <c r="M465">
        <v>2139.4899999999998</v>
      </c>
      <c r="N465" s="2" t="s">
        <v>74</v>
      </c>
      <c r="O465" s="2" t="s">
        <v>75</v>
      </c>
      <c r="P465" s="2" t="s">
        <v>1132</v>
      </c>
      <c r="Q465" s="2" t="s">
        <v>1133</v>
      </c>
      <c r="R465" s="2" t="s">
        <v>29</v>
      </c>
      <c r="S465" s="2" t="s">
        <v>30</v>
      </c>
    </row>
    <row r="466" spans="1:19">
      <c r="A466" s="1">
        <v>44013</v>
      </c>
      <c r="B466" s="1">
        <v>44013</v>
      </c>
      <c r="C466">
        <v>2020</v>
      </c>
      <c r="D466">
        <v>7</v>
      </c>
      <c r="E466" s="2" t="s">
        <v>78</v>
      </c>
      <c r="F466" s="2" t="s">
        <v>79</v>
      </c>
      <c r="G466" s="2" t="s">
        <v>80</v>
      </c>
      <c r="H466" s="2" t="s">
        <v>81</v>
      </c>
      <c r="I466" s="2" t="s">
        <v>82</v>
      </c>
      <c r="J466" s="2" t="s">
        <v>24</v>
      </c>
      <c r="K466">
        <v>1.28</v>
      </c>
      <c r="L466">
        <v>4544293.8600000003</v>
      </c>
      <c r="M466">
        <v>355022957.81</v>
      </c>
      <c r="N466" s="2" t="s">
        <v>83</v>
      </c>
      <c r="O466" s="2" t="s">
        <v>84</v>
      </c>
      <c r="P466" s="2" t="s">
        <v>1134</v>
      </c>
      <c r="Q466" s="2" t="s">
        <v>1135</v>
      </c>
      <c r="R466" s="2" t="s">
        <v>29</v>
      </c>
      <c r="S466" s="2" t="s">
        <v>30</v>
      </c>
    </row>
    <row r="467" spans="1:19">
      <c r="A467" s="1">
        <v>44013</v>
      </c>
      <c r="B467" s="1">
        <v>44013</v>
      </c>
      <c r="C467">
        <v>2020</v>
      </c>
      <c r="D467">
        <v>7</v>
      </c>
      <c r="E467" s="2" t="s">
        <v>87</v>
      </c>
      <c r="F467" s="2" t="s">
        <v>88</v>
      </c>
      <c r="G467" s="2" t="s">
        <v>80</v>
      </c>
      <c r="H467" s="2" t="s">
        <v>81</v>
      </c>
      <c r="I467" s="2" t="s">
        <v>82</v>
      </c>
      <c r="J467" s="2" t="s">
        <v>24</v>
      </c>
      <c r="K467">
        <v>0.73</v>
      </c>
      <c r="L467">
        <v>1146553.6599999999</v>
      </c>
      <c r="M467">
        <v>157062145.21000001</v>
      </c>
      <c r="N467" s="2" t="s">
        <v>89</v>
      </c>
      <c r="O467" s="2" t="s">
        <v>90</v>
      </c>
      <c r="P467" s="2" t="s">
        <v>1136</v>
      </c>
      <c r="Q467" s="2" t="s">
        <v>1137</v>
      </c>
      <c r="R467" s="2" t="s">
        <v>29</v>
      </c>
      <c r="S467" s="2" t="s">
        <v>30</v>
      </c>
    </row>
    <row r="468" spans="1:19">
      <c r="A468" s="1">
        <v>44013</v>
      </c>
      <c r="B468" s="1">
        <v>44013</v>
      </c>
      <c r="C468">
        <v>2020</v>
      </c>
      <c r="D468">
        <v>7</v>
      </c>
      <c r="E468" s="2" t="s">
        <v>93</v>
      </c>
      <c r="F468" s="2" t="s">
        <v>94</v>
      </c>
      <c r="G468" s="2" t="s">
        <v>80</v>
      </c>
      <c r="H468" s="2" t="s">
        <v>81</v>
      </c>
      <c r="I468" s="2" t="s">
        <v>82</v>
      </c>
      <c r="J468" s="2" t="s">
        <v>24</v>
      </c>
      <c r="K468">
        <v>0.28999999999999998</v>
      </c>
      <c r="L468">
        <v>4098668.14</v>
      </c>
      <c r="M468">
        <v>1413333841.3800001</v>
      </c>
      <c r="N468" s="2" t="s">
        <v>95</v>
      </c>
      <c r="O468" s="2" t="s">
        <v>96</v>
      </c>
      <c r="P468" s="2" t="s">
        <v>1138</v>
      </c>
      <c r="Q468" s="2" t="s">
        <v>1139</v>
      </c>
      <c r="R468" s="2" t="s">
        <v>29</v>
      </c>
      <c r="S468" s="2" t="s">
        <v>30</v>
      </c>
    </row>
    <row r="469" spans="1:19">
      <c r="A469" s="1">
        <v>44013</v>
      </c>
      <c r="B469" s="1">
        <v>44013</v>
      </c>
      <c r="C469">
        <v>2020</v>
      </c>
      <c r="D469">
        <v>7</v>
      </c>
      <c r="E469" s="2" t="s">
        <v>99</v>
      </c>
      <c r="F469" s="2" t="s">
        <v>100</v>
      </c>
      <c r="G469" s="2" t="s">
        <v>80</v>
      </c>
      <c r="H469" s="2" t="s">
        <v>81</v>
      </c>
      <c r="I469" s="2" t="s">
        <v>82</v>
      </c>
      <c r="J469" s="2" t="s">
        <v>101</v>
      </c>
      <c r="K469">
        <v>1.22</v>
      </c>
      <c r="L469">
        <v>9407660.0500000007</v>
      </c>
      <c r="M469">
        <v>771119676.23000002</v>
      </c>
      <c r="N469" s="2" t="s">
        <v>102</v>
      </c>
      <c r="O469" s="2" t="s">
        <v>103</v>
      </c>
      <c r="P469" s="2" t="s">
        <v>1140</v>
      </c>
      <c r="Q469" s="2" t="s">
        <v>1141</v>
      </c>
      <c r="R469" s="2" t="s">
        <v>29</v>
      </c>
      <c r="S469" s="2" t="s">
        <v>30</v>
      </c>
    </row>
    <row r="470" spans="1:19">
      <c r="A470" s="1">
        <v>44013</v>
      </c>
      <c r="B470" s="1">
        <v>44013</v>
      </c>
      <c r="C470">
        <v>2020</v>
      </c>
      <c r="D470">
        <v>7</v>
      </c>
      <c r="E470" s="2" t="s">
        <v>106</v>
      </c>
      <c r="F470" s="2" t="s">
        <v>107</v>
      </c>
      <c r="G470" s="2" t="s">
        <v>80</v>
      </c>
      <c r="H470" s="2" t="s">
        <v>81</v>
      </c>
      <c r="I470" s="2" t="s">
        <v>82</v>
      </c>
      <c r="J470" s="2" t="s">
        <v>24</v>
      </c>
      <c r="K470">
        <v>0.2</v>
      </c>
      <c r="L470">
        <v>4162438.25</v>
      </c>
      <c r="M470">
        <v>2081219125</v>
      </c>
      <c r="N470" s="2" t="s">
        <v>108</v>
      </c>
      <c r="O470" s="2" t="s">
        <v>109</v>
      </c>
      <c r="P470" s="2" t="s">
        <v>1142</v>
      </c>
      <c r="Q470" s="2" t="s">
        <v>1143</v>
      </c>
      <c r="R470" s="2" t="s">
        <v>29</v>
      </c>
      <c r="S470" s="2" t="s">
        <v>30</v>
      </c>
    </row>
    <row r="471" spans="1:19">
      <c r="A471" s="1">
        <v>44013</v>
      </c>
      <c r="B471" s="1">
        <v>44013</v>
      </c>
      <c r="C471">
        <v>2020</v>
      </c>
      <c r="D471">
        <v>7</v>
      </c>
      <c r="E471" s="2" t="s">
        <v>111</v>
      </c>
      <c r="F471" s="2" t="s">
        <v>112</v>
      </c>
      <c r="G471" s="2" t="s">
        <v>80</v>
      </c>
      <c r="H471" s="2" t="s">
        <v>81</v>
      </c>
      <c r="I471" s="2" t="s">
        <v>82</v>
      </c>
      <c r="J471" s="2" t="s">
        <v>24</v>
      </c>
      <c r="K471">
        <v>0.02</v>
      </c>
      <c r="L471">
        <v>150275</v>
      </c>
      <c r="M471">
        <v>751375000</v>
      </c>
      <c r="N471" s="2" t="s">
        <v>113</v>
      </c>
      <c r="O471" s="2" t="s">
        <v>114</v>
      </c>
      <c r="P471" s="2" t="s">
        <v>1039</v>
      </c>
      <c r="Q471" s="2" t="s">
        <v>1144</v>
      </c>
      <c r="R471" s="2" t="s">
        <v>29</v>
      </c>
      <c r="S471" s="2" t="s">
        <v>30</v>
      </c>
    </row>
    <row r="472" spans="1:19">
      <c r="A472" s="1">
        <v>44013</v>
      </c>
      <c r="B472" s="1">
        <v>44013</v>
      </c>
      <c r="C472">
        <v>2020</v>
      </c>
      <c r="D472">
        <v>7</v>
      </c>
      <c r="E472" s="2" t="s">
        <v>117</v>
      </c>
      <c r="F472" s="2" t="s">
        <v>118</v>
      </c>
      <c r="G472" s="2" t="s">
        <v>80</v>
      </c>
      <c r="H472" s="2" t="s">
        <v>81</v>
      </c>
      <c r="I472" s="2" t="s">
        <v>82</v>
      </c>
      <c r="J472" s="2" t="s">
        <v>59</v>
      </c>
      <c r="K472">
        <v>2.52</v>
      </c>
      <c r="L472">
        <v>14102228.91</v>
      </c>
      <c r="M472">
        <v>559612258.33000004</v>
      </c>
      <c r="N472" s="2" t="s">
        <v>119</v>
      </c>
      <c r="O472" s="2" t="s">
        <v>120</v>
      </c>
      <c r="P472" s="2" t="s">
        <v>1145</v>
      </c>
      <c r="Q472" s="2" t="s">
        <v>1146</v>
      </c>
      <c r="R472" s="2" t="s">
        <v>29</v>
      </c>
      <c r="S472" s="2" t="s">
        <v>30</v>
      </c>
    </row>
    <row r="473" spans="1:19">
      <c r="A473" s="1">
        <v>44013</v>
      </c>
      <c r="B473" s="1">
        <v>44013</v>
      </c>
      <c r="C473">
        <v>2020</v>
      </c>
      <c r="D473">
        <v>7</v>
      </c>
      <c r="E473" s="2" t="s">
        <v>123</v>
      </c>
      <c r="F473" s="2" t="s">
        <v>124</v>
      </c>
      <c r="G473" s="2" t="s">
        <v>21</v>
      </c>
      <c r="H473" s="2" t="s">
        <v>22</v>
      </c>
      <c r="I473" s="2" t="s">
        <v>73</v>
      </c>
      <c r="J473" s="2" t="s">
        <v>24</v>
      </c>
      <c r="K473">
        <v>718.03</v>
      </c>
      <c r="L473">
        <v>25451.02</v>
      </c>
      <c r="M473">
        <v>3544.56</v>
      </c>
      <c r="N473" s="2" t="s">
        <v>125</v>
      </c>
      <c r="O473" s="2" t="s">
        <v>126</v>
      </c>
      <c r="P473" s="2" t="s">
        <v>1147</v>
      </c>
      <c r="Q473" s="2" t="s">
        <v>1148</v>
      </c>
      <c r="R473" s="2" t="s">
        <v>29</v>
      </c>
      <c r="S473" s="2" t="s">
        <v>30</v>
      </c>
    </row>
    <row r="474" spans="1:19">
      <c r="A474" s="1">
        <v>44013</v>
      </c>
      <c r="B474" s="1">
        <v>44013</v>
      </c>
      <c r="C474">
        <v>2020</v>
      </c>
      <c r="D474">
        <v>7</v>
      </c>
      <c r="E474" s="2" t="s">
        <v>129</v>
      </c>
      <c r="F474" s="2" t="s">
        <v>130</v>
      </c>
      <c r="G474" s="2" t="s">
        <v>21</v>
      </c>
      <c r="H474" s="2" t="s">
        <v>22</v>
      </c>
      <c r="I474" s="2" t="s">
        <v>73</v>
      </c>
      <c r="J474" s="2" t="s">
        <v>24</v>
      </c>
      <c r="K474">
        <v>601.63</v>
      </c>
      <c r="L474">
        <v>20107</v>
      </c>
      <c r="M474">
        <v>3342.09</v>
      </c>
      <c r="N474" s="2" t="s">
        <v>131</v>
      </c>
      <c r="O474" s="2" t="s">
        <v>132</v>
      </c>
      <c r="P474" s="2" t="s">
        <v>1149</v>
      </c>
      <c r="Q474" s="2" t="s">
        <v>1150</v>
      </c>
      <c r="R474" s="2" t="s">
        <v>29</v>
      </c>
      <c r="S474" s="2" t="s">
        <v>30</v>
      </c>
    </row>
    <row r="475" spans="1:19">
      <c r="A475" s="1">
        <v>44013</v>
      </c>
      <c r="B475" s="1">
        <v>44013</v>
      </c>
      <c r="C475">
        <v>2020</v>
      </c>
      <c r="D475">
        <v>7</v>
      </c>
      <c r="E475" s="2" t="s">
        <v>135</v>
      </c>
      <c r="F475" s="2" t="s">
        <v>136</v>
      </c>
      <c r="G475" s="2" t="s">
        <v>21</v>
      </c>
      <c r="H475" s="2" t="s">
        <v>22</v>
      </c>
      <c r="I475" s="2" t="s">
        <v>73</v>
      </c>
      <c r="J475" s="2" t="s">
        <v>101</v>
      </c>
      <c r="K475">
        <v>1319.66</v>
      </c>
      <c r="L475">
        <v>45558.02</v>
      </c>
      <c r="M475">
        <v>3452.25</v>
      </c>
      <c r="N475" s="2" t="s">
        <v>137</v>
      </c>
      <c r="O475" s="2" t="s">
        <v>138</v>
      </c>
      <c r="P475" s="2" t="s">
        <v>1151</v>
      </c>
      <c r="Q475" s="2" t="s">
        <v>1152</v>
      </c>
      <c r="R475" s="2" t="s">
        <v>29</v>
      </c>
      <c r="S475" s="2" t="s">
        <v>30</v>
      </c>
    </row>
    <row r="476" spans="1:19">
      <c r="A476" s="1">
        <v>44013</v>
      </c>
      <c r="B476" s="1">
        <v>44013</v>
      </c>
      <c r="C476">
        <v>2020</v>
      </c>
      <c r="D476">
        <v>7</v>
      </c>
      <c r="E476" s="2" t="s">
        <v>141</v>
      </c>
      <c r="F476" s="2" t="s">
        <v>142</v>
      </c>
      <c r="G476" s="2" t="s">
        <v>21</v>
      </c>
      <c r="H476" s="2" t="s">
        <v>22</v>
      </c>
      <c r="I476" s="2" t="s">
        <v>73</v>
      </c>
      <c r="J476" s="2" t="s">
        <v>24</v>
      </c>
      <c r="K476">
        <v>1699.99</v>
      </c>
      <c r="L476">
        <v>24503.57</v>
      </c>
      <c r="M476">
        <v>1441.39</v>
      </c>
      <c r="N476" s="2" t="s">
        <v>143</v>
      </c>
      <c r="O476" s="2" t="s">
        <v>144</v>
      </c>
      <c r="P476" s="2" t="s">
        <v>1153</v>
      </c>
      <c r="Q476" s="2" t="s">
        <v>1154</v>
      </c>
      <c r="R476" s="2" t="s">
        <v>29</v>
      </c>
      <c r="S476" s="2" t="s">
        <v>30</v>
      </c>
    </row>
    <row r="477" spans="1:19">
      <c r="A477" s="1">
        <v>44013</v>
      </c>
      <c r="B477" s="1">
        <v>44013</v>
      </c>
      <c r="C477">
        <v>2020</v>
      </c>
      <c r="D477">
        <v>7</v>
      </c>
      <c r="E477" s="2" t="s">
        <v>147</v>
      </c>
      <c r="F477" s="2" t="s">
        <v>148</v>
      </c>
      <c r="G477" s="2" t="s">
        <v>21</v>
      </c>
      <c r="H477" s="2" t="s">
        <v>22</v>
      </c>
      <c r="I477" s="2" t="s">
        <v>73</v>
      </c>
      <c r="J477" s="2" t="s">
        <v>24</v>
      </c>
      <c r="K477">
        <v>1461.94</v>
      </c>
      <c r="L477">
        <v>25821.39</v>
      </c>
      <c r="M477">
        <v>1766.24</v>
      </c>
      <c r="N477" s="2" t="s">
        <v>149</v>
      </c>
      <c r="O477" s="2" t="s">
        <v>150</v>
      </c>
      <c r="P477" s="2" t="s">
        <v>1155</v>
      </c>
      <c r="Q477" s="2" t="s">
        <v>1156</v>
      </c>
      <c r="R477" s="2" t="s">
        <v>29</v>
      </c>
      <c r="S477" s="2" t="s">
        <v>30</v>
      </c>
    </row>
    <row r="478" spans="1:19">
      <c r="A478" s="1">
        <v>44013</v>
      </c>
      <c r="B478" s="1">
        <v>44013</v>
      </c>
      <c r="C478">
        <v>2020</v>
      </c>
      <c r="D478">
        <v>7</v>
      </c>
      <c r="E478" s="2" t="s">
        <v>153</v>
      </c>
      <c r="F478" s="2" t="s">
        <v>154</v>
      </c>
      <c r="G478" s="2" t="s">
        <v>21</v>
      </c>
      <c r="H478" s="2" t="s">
        <v>22</v>
      </c>
      <c r="I478" s="2" t="s">
        <v>73</v>
      </c>
      <c r="J478" s="2" t="s">
        <v>101</v>
      </c>
      <c r="K478">
        <v>3161.93</v>
      </c>
      <c r="L478">
        <v>50324.959999999999</v>
      </c>
      <c r="M478">
        <v>1591.59</v>
      </c>
      <c r="N478" s="2" t="s">
        <v>155</v>
      </c>
      <c r="O478" s="2" t="s">
        <v>156</v>
      </c>
      <c r="P478" s="2" t="s">
        <v>1157</v>
      </c>
      <c r="Q478" s="2" t="s">
        <v>1158</v>
      </c>
      <c r="R478" s="2" t="s">
        <v>29</v>
      </c>
      <c r="S478" s="2" t="s">
        <v>30</v>
      </c>
    </row>
    <row r="479" spans="1:19">
      <c r="A479" s="1">
        <v>44013</v>
      </c>
      <c r="B479" s="1">
        <v>44013</v>
      </c>
      <c r="C479">
        <v>2020</v>
      </c>
      <c r="D479">
        <v>7</v>
      </c>
      <c r="E479" s="2" t="s">
        <v>159</v>
      </c>
      <c r="F479" s="2" t="s">
        <v>160</v>
      </c>
      <c r="G479" s="2" t="s">
        <v>21</v>
      </c>
      <c r="H479" s="2" t="s">
        <v>22</v>
      </c>
      <c r="I479" s="2" t="s">
        <v>66</v>
      </c>
      <c r="J479" s="2" t="s">
        <v>59</v>
      </c>
      <c r="K479">
        <v>855.71</v>
      </c>
      <c r="L479">
        <v>68355.91</v>
      </c>
      <c r="M479">
        <v>7988.21</v>
      </c>
      <c r="N479" s="2" t="s">
        <v>161</v>
      </c>
      <c r="O479" s="2" t="s">
        <v>162</v>
      </c>
      <c r="P479" s="2" t="s">
        <v>1159</v>
      </c>
      <c r="Q479" s="2" t="s">
        <v>1160</v>
      </c>
      <c r="R479" s="2" t="s">
        <v>29</v>
      </c>
      <c r="S479" s="2" t="s">
        <v>30</v>
      </c>
    </row>
    <row r="480" spans="1:19">
      <c r="A480" s="1">
        <v>44013</v>
      </c>
      <c r="B480" s="1">
        <v>44013</v>
      </c>
      <c r="C480">
        <v>2020</v>
      </c>
      <c r="D480">
        <v>7</v>
      </c>
      <c r="E480" s="2" t="s">
        <v>165</v>
      </c>
      <c r="F480" s="2" t="s">
        <v>166</v>
      </c>
      <c r="G480" s="2" t="s">
        <v>21</v>
      </c>
      <c r="H480" s="2" t="s">
        <v>22</v>
      </c>
      <c r="I480" s="2" t="s">
        <v>23</v>
      </c>
      <c r="J480" s="2" t="s">
        <v>24</v>
      </c>
      <c r="K480">
        <v>0</v>
      </c>
      <c r="L480">
        <v>0</v>
      </c>
      <c r="N480" s="2" t="s">
        <v>167</v>
      </c>
      <c r="O480" s="2" t="s">
        <v>168</v>
      </c>
      <c r="P480" s="2" t="s">
        <v>639</v>
      </c>
      <c r="Q480" s="2" t="s">
        <v>639</v>
      </c>
      <c r="R480" s="2" t="s">
        <v>29</v>
      </c>
      <c r="S480" s="2" t="s">
        <v>30</v>
      </c>
    </row>
    <row r="481" spans="1:19">
      <c r="A481" s="1">
        <v>44013</v>
      </c>
      <c r="B481" s="1">
        <v>44013</v>
      </c>
      <c r="C481">
        <v>2020</v>
      </c>
      <c r="D481">
        <v>7</v>
      </c>
      <c r="E481" s="2" t="s">
        <v>171</v>
      </c>
      <c r="F481" s="2" t="s">
        <v>172</v>
      </c>
      <c r="G481" s="2" t="s">
        <v>21</v>
      </c>
      <c r="H481" s="2" t="s">
        <v>22</v>
      </c>
      <c r="I481" s="2" t="s">
        <v>66</v>
      </c>
      <c r="J481" s="2" t="s">
        <v>24</v>
      </c>
      <c r="N481" s="2" t="s">
        <v>173</v>
      </c>
      <c r="O481" s="2" t="s">
        <v>174</v>
      </c>
      <c r="P481" s="2" t="s">
        <v>175</v>
      </c>
      <c r="Q481" s="2" t="s">
        <v>175</v>
      </c>
      <c r="R481" s="2" t="s">
        <v>640</v>
      </c>
      <c r="S481" s="2" t="s">
        <v>641</v>
      </c>
    </row>
    <row r="482" spans="1:19">
      <c r="A482" s="1">
        <v>44013</v>
      </c>
      <c r="B482" s="1">
        <v>44013</v>
      </c>
      <c r="C482">
        <v>2020</v>
      </c>
      <c r="D482">
        <v>7</v>
      </c>
      <c r="E482" s="2" t="s">
        <v>177</v>
      </c>
      <c r="F482" s="2" t="s">
        <v>178</v>
      </c>
      <c r="G482" s="2" t="s">
        <v>21</v>
      </c>
      <c r="H482" s="2" t="s">
        <v>22</v>
      </c>
      <c r="I482" s="2" t="s">
        <v>23</v>
      </c>
      <c r="J482" s="2" t="s">
        <v>24</v>
      </c>
      <c r="K482">
        <v>2220.9899999999998</v>
      </c>
      <c r="L482">
        <v>225775.28</v>
      </c>
      <c r="M482">
        <v>10165.52</v>
      </c>
      <c r="N482" s="2" t="s">
        <v>179</v>
      </c>
      <c r="O482" s="2" t="s">
        <v>180</v>
      </c>
      <c r="P482" s="2" t="s">
        <v>1161</v>
      </c>
      <c r="Q482" s="2" t="s">
        <v>1162</v>
      </c>
      <c r="R482" s="2" t="s">
        <v>29</v>
      </c>
      <c r="S482" s="2" t="s">
        <v>30</v>
      </c>
    </row>
    <row r="483" spans="1:19">
      <c r="A483" s="1">
        <v>44013</v>
      </c>
      <c r="B483" s="1">
        <v>44013</v>
      </c>
      <c r="C483">
        <v>2020</v>
      </c>
      <c r="D483">
        <v>7</v>
      </c>
      <c r="E483" s="2" t="s">
        <v>183</v>
      </c>
      <c r="F483" s="2" t="s">
        <v>184</v>
      </c>
      <c r="G483" s="2" t="s">
        <v>185</v>
      </c>
      <c r="H483" s="2" t="s">
        <v>22</v>
      </c>
      <c r="I483" s="2" t="s">
        <v>186</v>
      </c>
      <c r="J483" s="2" t="s">
        <v>24</v>
      </c>
      <c r="K483">
        <v>2265.41</v>
      </c>
      <c r="L483">
        <v>1946146.16</v>
      </c>
      <c r="M483">
        <v>85907.02</v>
      </c>
      <c r="N483" s="2" t="s">
        <v>187</v>
      </c>
      <c r="O483" s="2" t="s">
        <v>188</v>
      </c>
      <c r="P483" s="2" t="s">
        <v>1163</v>
      </c>
      <c r="Q483" s="2" t="s">
        <v>1164</v>
      </c>
      <c r="R483" s="2" t="s">
        <v>29</v>
      </c>
      <c r="S483" s="2" t="s">
        <v>30</v>
      </c>
    </row>
    <row r="484" spans="1:19">
      <c r="A484" s="1">
        <v>44013</v>
      </c>
      <c r="B484" s="1">
        <v>44013</v>
      </c>
      <c r="C484">
        <v>2020</v>
      </c>
      <c r="D484">
        <v>7</v>
      </c>
      <c r="E484" s="2" t="s">
        <v>191</v>
      </c>
      <c r="F484" s="2" t="s">
        <v>192</v>
      </c>
      <c r="G484" s="2" t="s">
        <v>185</v>
      </c>
      <c r="H484" s="2" t="s">
        <v>22</v>
      </c>
      <c r="I484" s="2" t="s">
        <v>186</v>
      </c>
      <c r="J484" s="2" t="s">
        <v>24</v>
      </c>
      <c r="K484">
        <v>716.1</v>
      </c>
      <c r="L484">
        <v>3032406.08</v>
      </c>
      <c r="M484">
        <v>423461.26</v>
      </c>
      <c r="N484" s="2" t="s">
        <v>193</v>
      </c>
      <c r="O484" s="2" t="s">
        <v>194</v>
      </c>
      <c r="P484" s="2" t="s">
        <v>1165</v>
      </c>
      <c r="Q484" s="2" t="s">
        <v>1166</v>
      </c>
      <c r="R484" s="2" t="s">
        <v>29</v>
      </c>
      <c r="S484" s="2" t="s">
        <v>30</v>
      </c>
    </row>
    <row r="485" spans="1:19">
      <c r="A485" s="1">
        <v>44013</v>
      </c>
      <c r="B485" s="1">
        <v>44013</v>
      </c>
      <c r="C485">
        <v>2020</v>
      </c>
      <c r="D485">
        <v>7</v>
      </c>
      <c r="E485" s="2" t="s">
        <v>197</v>
      </c>
      <c r="F485" s="2" t="s">
        <v>198</v>
      </c>
      <c r="G485" s="2" t="s">
        <v>185</v>
      </c>
      <c r="H485" s="2" t="s">
        <v>22</v>
      </c>
      <c r="I485" s="2" t="s">
        <v>186</v>
      </c>
      <c r="J485" s="2" t="s">
        <v>59</v>
      </c>
      <c r="K485">
        <v>2981.5</v>
      </c>
      <c r="L485">
        <v>4978552.24</v>
      </c>
      <c r="M485">
        <v>166981.46</v>
      </c>
      <c r="N485" s="2" t="s">
        <v>199</v>
      </c>
      <c r="O485" s="2" t="s">
        <v>200</v>
      </c>
      <c r="P485" s="2" t="s">
        <v>1167</v>
      </c>
      <c r="Q485" s="2" t="s">
        <v>1168</v>
      </c>
      <c r="R485" s="2" t="s">
        <v>29</v>
      </c>
      <c r="S485" s="2" t="s">
        <v>30</v>
      </c>
    </row>
    <row r="486" spans="1:19">
      <c r="A486" s="1">
        <v>44013</v>
      </c>
      <c r="B486" s="1">
        <v>44013</v>
      </c>
      <c r="C486">
        <v>2020</v>
      </c>
      <c r="D486">
        <v>7</v>
      </c>
      <c r="E486" s="2" t="s">
        <v>203</v>
      </c>
      <c r="F486" s="2" t="s">
        <v>204</v>
      </c>
      <c r="G486" s="2" t="s">
        <v>39</v>
      </c>
      <c r="H486" s="2" t="s">
        <v>22</v>
      </c>
      <c r="I486" s="2" t="s">
        <v>40</v>
      </c>
      <c r="J486" s="2" t="s">
        <v>24</v>
      </c>
      <c r="K486">
        <v>743.41</v>
      </c>
      <c r="L486">
        <v>17468.5</v>
      </c>
      <c r="M486">
        <v>2349.7800000000002</v>
      </c>
      <c r="N486" s="2" t="s">
        <v>205</v>
      </c>
      <c r="O486" s="2" t="s">
        <v>206</v>
      </c>
      <c r="P486" s="2" t="s">
        <v>1169</v>
      </c>
      <c r="Q486" s="2" t="s">
        <v>1170</v>
      </c>
      <c r="R486" s="2" t="s">
        <v>29</v>
      </c>
      <c r="S486" s="2" t="s">
        <v>30</v>
      </c>
    </row>
    <row r="487" spans="1:19">
      <c r="A487" s="1">
        <v>44013</v>
      </c>
      <c r="B487" s="1">
        <v>44013</v>
      </c>
      <c r="C487">
        <v>2020</v>
      </c>
      <c r="D487">
        <v>7</v>
      </c>
      <c r="E487" s="2" t="s">
        <v>209</v>
      </c>
      <c r="F487" s="2" t="s">
        <v>210</v>
      </c>
      <c r="G487" s="2" t="s">
        <v>39</v>
      </c>
      <c r="H487" s="2" t="s">
        <v>22</v>
      </c>
      <c r="I487" s="2" t="s">
        <v>40</v>
      </c>
      <c r="J487" s="2" t="s">
        <v>59</v>
      </c>
      <c r="K487">
        <v>743.41</v>
      </c>
      <c r="L487">
        <v>17468.5</v>
      </c>
      <c r="M487">
        <v>2349.7800000000002</v>
      </c>
      <c r="N487" s="2" t="s">
        <v>211</v>
      </c>
      <c r="O487" s="2" t="s">
        <v>212</v>
      </c>
      <c r="P487" s="2" t="s">
        <v>1169</v>
      </c>
      <c r="Q487" s="2" t="s">
        <v>1170</v>
      </c>
      <c r="R487" s="2" t="s">
        <v>29</v>
      </c>
      <c r="S487" s="2" t="s">
        <v>30</v>
      </c>
    </row>
    <row r="488" spans="1:19">
      <c r="A488" s="1">
        <v>44013</v>
      </c>
      <c r="B488" s="1">
        <v>44013</v>
      </c>
      <c r="C488">
        <v>2020</v>
      </c>
      <c r="D488">
        <v>7</v>
      </c>
      <c r="E488" s="2" t="s">
        <v>213</v>
      </c>
      <c r="F488" s="2" t="s">
        <v>214</v>
      </c>
      <c r="G488" s="2" t="s">
        <v>185</v>
      </c>
      <c r="H488" s="2" t="s">
        <v>22</v>
      </c>
      <c r="I488" s="2" t="s">
        <v>215</v>
      </c>
      <c r="J488" s="2" t="s">
        <v>24</v>
      </c>
      <c r="K488">
        <v>15770.96</v>
      </c>
      <c r="L488">
        <v>508536.5</v>
      </c>
      <c r="M488">
        <v>3224.51</v>
      </c>
      <c r="N488" s="2" t="s">
        <v>216</v>
      </c>
      <c r="O488" s="2" t="s">
        <v>217</v>
      </c>
      <c r="P488" s="2" t="s">
        <v>1171</v>
      </c>
      <c r="Q488" s="2" t="s">
        <v>1172</v>
      </c>
      <c r="R488" s="2" t="s">
        <v>29</v>
      </c>
      <c r="S488" s="2" t="s">
        <v>30</v>
      </c>
    </row>
    <row r="489" spans="1:19">
      <c r="A489" s="1">
        <v>44013</v>
      </c>
      <c r="B489" s="1">
        <v>44013</v>
      </c>
      <c r="C489">
        <v>2020</v>
      </c>
      <c r="D489">
        <v>7</v>
      </c>
      <c r="E489" s="2" t="s">
        <v>220</v>
      </c>
      <c r="F489" s="2" t="s">
        <v>221</v>
      </c>
      <c r="G489" s="2" t="s">
        <v>185</v>
      </c>
      <c r="H489" s="2" t="s">
        <v>22</v>
      </c>
      <c r="I489" s="2" t="s">
        <v>215</v>
      </c>
      <c r="J489" s="2" t="s">
        <v>24</v>
      </c>
      <c r="K489">
        <v>1574.09</v>
      </c>
      <c r="L489">
        <v>130562.02</v>
      </c>
      <c r="M489">
        <v>8294.44</v>
      </c>
      <c r="N489" s="2" t="s">
        <v>222</v>
      </c>
      <c r="O489" s="2" t="s">
        <v>223</v>
      </c>
      <c r="P489" s="2" t="s">
        <v>1173</v>
      </c>
      <c r="Q489" s="2" t="s">
        <v>1174</v>
      </c>
      <c r="R489" s="2" t="s">
        <v>29</v>
      </c>
      <c r="S489" s="2" t="s">
        <v>30</v>
      </c>
    </row>
    <row r="490" spans="1:19">
      <c r="A490" s="1">
        <v>44013</v>
      </c>
      <c r="B490" s="1">
        <v>44013</v>
      </c>
      <c r="C490">
        <v>2020</v>
      </c>
      <c r="D490">
        <v>7</v>
      </c>
      <c r="E490" s="2" t="s">
        <v>226</v>
      </c>
      <c r="F490" s="2" t="s">
        <v>227</v>
      </c>
      <c r="G490" s="2" t="s">
        <v>185</v>
      </c>
      <c r="H490" s="2" t="s">
        <v>22</v>
      </c>
      <c r="I490" s="2" t="s">
        <v>215</v>
      </c>
      <c r="J490" s="2" t="s">
        <v>59</v>
      </c>
      <c r="K490">
        <v>17345.05</v>
      </c>
      <c r="L490">
        <v>639098.51</v>
      </c>
      <c r="M490">
        <v>3684.62</v>
      </c>
      <c r="N490" s="2" t="s">
        <v>228</v>
      </c>
      <c r="O490" s="2" t="s">
        <v>229</v>
      </c>
      <c r="P490" s="2" t="s">
        <v>1175</v>
      </c>
      <c r="Q490" s="2" t="s">
        <v>1176</v>
      </c>
      <c r="R490" s="2" t="s">
        <v>29</v>
      </c>
      <c r="S490" s="2" t="s">
        <v>30</v>
      </c>
    </row>
    <row r="491" spans="1:19">
      <c r="A491" s="1">
        <v>44013</v>
      </c>
      <c r="B491" s="1">
        <v>44013</v>
      </c>
      <c r="C491">
        <v>2020</v>
      </c>
      <c r="D491">
        <v>7</v>
      </c>
      <c r="E491" s="2" t="s">
        <v>232</v>
      </c>
      <c r="F491" s="2" t="s">
        <v>233</v>
      </c>
      <c r="G491" s="2" t="s">
        <v>21</v>
      </c>
      <c r="H491" s="2" t="s">
        <v>22</v>
      </c>
      <c r="I491" s="2" t="s">
        <v>23</v>
      </c>
      <c r="J491" s="2" t="s">
        <v>24</v>
      </c>
      <c r="K491">
        <v>1053.6300000000001</v>
      </c>
      <c r="L491">
        <v>98960.26</v>
      </c>
      <c r="M491">
        <v>9392.32</v>
      </c>
      <c r="N491" s="2" t="s">
        <v>234</v>
      </c>
      <c r="O491" s="2" t="s">
        <v>235</v>
      </c>
      <c r="P491" s="2" t="s">
        <v>1177</v>
      </c>
      <c r="Q491" s="2" t="s">
        <v>1178</v>
      </c>
      <c r="R491" s="2" t="s">
        <v>29</v>
      </c>
      <c r="S491" s="2" t="s">
        <v>30</v>
      </c>
    </row>
    <row r="492" spans="1:19">
      <c r="A492" s="1">
        <v>44013</v>
      </c>
      <c r="B492" s="1">
        <v>44013</v>
      </c>
      <c r="C492">
        <v>2020</v>
      </c>
      <c r="D492">
        <v>7</v>
      </c>
      <c r="E492" s="2" t="s">
        <v>238</v>
      </c>
      <c r="F492" s="2" t="s">
        <v>239</v>
      </c>
      <c r="G492" s="2" t="s">
        <v>21</v>
      </c>
      <c r="H492" s="2" t="s">
        <v>22</v>
      </c>
      <c r="I492" s="2" t="s">
        <v>66</v>
      </c>
      <c r="J492" s="2" t="s">
        <v>24</v>
      </c>
      <c r="K492">
        <v>801.08</v>
      </c>
      <c r="L492">
        <v>68083.429999999993</v>
      </c>
      <c r="M492">
        <v>8498.9599999999991</v>
      </c>
      <c r="N492" s="2" t="s">
        <v>240</v>
      </c>
      <c r="O492" s="2" t="s">
        <v>241</v>
      </c>
      <c r="P492" s="2" t="s">
        <v>1179</v>
      </c>
      <c r="Q492" s="2" t="s">
        <v>1180</v>
      </c>
      <c r="R492" s="2" t="s">
        <v>29</v>
      </c>
      <c r="S492" s="2" t="s">
        <v>30</v>
      </c>
    </row>
    <row r="493" spans="1:19">
      <c r="A493" s="1">
        <v>44013</v>
      </c>
      <c r="B493" s="1">
        <v>44013</v>
      </c>
      <c r="C493">
        <v>2020</v>
      </c>
      <c r="D493">
        <v>7</v>
      </c>
      <c r="E493" s="2" t="s">
        <v>244</v>
      </c>
      <c r="F493" s="2" t="s">
        <v>245</v>
      </c>
      <c r="G493" s="2" t="s">
        <v>21</v>
      </c>
      <c r="H493" s="2" t="s">
        <v>22</v>
      </c>
      <c r="I493" s="2" t="s">
        <v>23</v>
      </c>
      <c r="J493" s="2" t="s">
        <v>24</v>
      </c>
      <c r="K493">
        <v>2401.0300000000002</v>
      </c>
      <c r="L493">
        <v>1963113.39</v>
      </c>
      <c r="M493">
        <v>81761.3</v>
      </c>
      <c r="N493" s="2" t="s">
        <v>246</v>
      </c>
      <c r="O493" s="2" t="s">
        <v>247</v>
      </c>
      <c r="P493" s="2" t="s">
        <v>1181</v>
      </c>
      <c r="Q493" s="2" t="s">
        <v>1182</v>
      </c>
      <c r="R493" s="2" t="s">
        <v>29</v>
      </c>
      <c r="S493" s="2" t="s">
        <v>30</v>
      </c>
    </row>
    <row r="494" spans="1:19">
      <c r="A494" s="1">
        <v>44013</v>
      </c>
      <c r="B494" s="1">
        <v>44013</v>
      </c>
      <c r="C494">
        <v>2020</v>
      </c>
      <c r="D494">
        <v>7</v>
      </c>
      <c r="E494" s="2" t="s">
        <v>250</v>
      </c>
      <c r="F494" s="2" t="s">
        <v>251</v>
      </c>
      <c r="G494" s="2" t="s">
        <v>21</v>
      </c>
      <c r="H494" s="2" t="s">
        <v>22</v>
      </c>
      <c r="I494" s="2" t="s">
        <v>66</v>
      </c>
      <c r="J494" s="2" t="s">
        <v>24</v>
      </c>
      <c r="K494">
        <v>38.67</v>
      </c>
      <c r="L494">
        <v>56.44</v>
      </c>
      <c r="M494">
        <v>145.94999999999999</v>
      </c>
      <c r="N494" s="2" t="s">
        <v>252</v>
      </c>
      <c r="O494" s="2" t="s">
        <v>253</v>
      </c>
      <c r="P494" s="2" t="s">
        <v>1183</v>
      </c>
      <c r="Q494" s="2" t="s">
        <v>1184</v>
      </c>
      <c r="R494" s="2" t="s">
        <v>29</v>
      </c>
      <c r="S494" s="2" t="s">
        <v>30</v>
      </c>
    </row>
    <row r="495" spans="1:19">
      <c r="A495" s="1">
        <v>44013</v>
      </c>
      <c r="B495" s="1">
        <v>44013</v>
      </c>
      <c r="C495">
        <v>2020</v>
      </c>
      <c r="D495">
        <v>7</v>
      </c>
      <c r="E495" s="2" t="s">
        <v>256</v>
      </c>
      <c r="F495" s="2" t="s">
        <v>257</v>
      </c>
      <c r="G495" s="2" t="s">
        <v>21</v>
      </c>
      <c r="H495" s="2" t="s">
        <v>22</v>
      </c>
      <c r="I495" s="2" t="s">
        <v>258</v>
      </c>
      <c r="J495" s="2" t="s">
        <v>24</v>
      </c>
      <c r="K495">
        <v>532.24</v>
      </c>
      <c r="L495">
        <v>433799.37</v>
      </c>
      <c r="M495">
        <v>81504.47</v>
      </c>
      <c r="N495" s="2" t="s">
        <v>259</v>
      </c>
      <c r="O495" s="2" t="s">
        <v>260</v>
      </c>
      <c r="P495" s="2" t="s">
        <v>1185</v>
      </c>
      <c r="Q495" s="2" t="s">
        <v>1186</v>
      </c>
      <c r="R495" s="2" t="s">
        <v>29</v>
      </c>
      <c r="S495" s="2" t="s">
        <v>30</v>
      </c>
    </row>
    <row r="496" spans="1:19">
      <c r="A496" s="1">
        <v>44013</v>
      </c>
      <c r="B496" s="1">
        <v>44013</v>
      </c>
      <c r="C496">
        <v>2020</v>
      </c>
      <c r="D496">
        <v>7</v>
      </c>
      <c r="E496" s="2" t="s">
        <v>263</v>
      </c>
      <c r="F496" s="2" t="s">
        <v>264</v>
      </c>
      <c r="G496" s="2" t="s">
        <v>21</v>
      </c>
      <c r="H496" s="2" t="s">
        <v>22</v>
      </c>
      <c r="I496" s="2" t="s">
        <v>258</v>
      </c>
      <c r="J496" s="2" t="s">
        <v>24</v>
      </c>
      <c r="K496">
        <v>0.14000000000000001</v>
      </c>
      <c r="L496">
        <v>272.36</v>
      </c>
      <c r="M496">
        <v>194542.86</v>
      </c>
      <c r="N496" s="2" t="s">
        <v>265</v>
      </c>
      <c r="O496" s="2" t="s">
        <v>266</v>
      </c>
      <c r="P496" s="2" t="s">
        <v>1187</v>
      </c>
      <c r="Q496" s="2" t="s">
        <v>1188</v>
      </c>
      <c r="R496" s="2" t="s">
        <v>29</v>
      </c>
      <c r="S496" s="2" t="s">
        <v>30</v>
      </c>
    </row>
    <row r="497" spans="1:19">
      <c r="A497" s="1">
        <v>44013</v>
      </c>
      <c r="B497" s="1">
        <v>44013</v>
      </c>
      <c r="C497">
        <v>2020</v>
      </c>
      <c r="D497">
        <v>7</v>
      </c>
      <c r="E497" s="2" t="s">
        <v>269</v>
      </c>
      <c r="F497" s="2" t="s">
        <v>270</v>
      </c>
      <c r="G497" s="2" t="s">
        <v>21</v>
      </c>
      <c r="H497" s="2" t="s">
        <v>22</v>
      </c>
      <c r="I497" s="2" t="s">
        <v>258</v>
      </c>
      <c r="J497" s="2" t="s">
        <v>59</v>
      </c>
      <c r="K497">
        <v>532.38</v>
      </c>
      <c r="L497">
        <v>434071.73</v>
      </c>
      <c r="M497">
        <v>81534.19</v>
      </c>
      <c r="N497" s="2" t="s">
        <v>271</v>
      </c>
      <c r="O497" s="2" t="s">
        <v>272</v>
      </c>
      <c r="P497" s="2" t="s">
        <v>1189</v>
      </c>
      <c r="Q497" s="2" t="s">
        <v>1190</v>
      </c>
      <c r="R497" s="2" t="s">
        <v>29</v>
      </c>
      <c r="S497" s="2" t="s">
        <v>30</v>
      </c>
    </row>
    <row r="498" spans="1:19">
      <c r="A498" s="1">
        <v>44013</v>
      </c>
      <c r="B498" s="1">
        <v>44013</v>
      </c>
      <c r="C498">
        <v>2020</v>
      </c>
      <c r="D498">
        <v>7</v>
      </c>
      <c r="E498" s="2" t="s">
        <v>275</v>
      </c>
      <c r="F498" s="2" t="s">
        <v>276</v>
      </c>
      <c r="G498" s="2" t="s">
        <v>39</v>
      </c>
      <c r="H498" s="2" t="s">
        <v>22</v>
      </c>
      <c r="I498" s="2" t="s">
        <v>40</v>
      </c>
      <c r="J498" s="2" t="s">
        <v>24</v>
      </c>
      <c r="K498">
        <v>30.67</v>
      </c>
      <c r="L498">
        <v>132.21</v>
      </c>
      <c r="M498">
        <v>431.07</v>
      </c>
      <c r="N498" s="2" t="s">
        <v>277</v>
      </c>
      <c r="O498" s="2" t="s">
        <v>278</v>
      </c>
      <c r="P498" s="2" t="s">
        <v>1191</v>
      </c>
      <c r="Q498" s="2" t="s">
        <v>1192</v>
      </c>
      <c r="R498" s="2" t="s">
        <v>29</v>
      </c>
      <c r="S498" s="2" t="s">
        <v>30</v>
      </c>
    </row>
    <row r="499" spans="1:19">
      <c r="A499" s="1">
        <v>44013</v>
      </c>
      <c r="B499" s="1">
        <v>44013</v>
      </c>
      <c r="C499">
        <v>2020</v>
      </c>
      <c r="D499">
        <v>7</v>
      </c>
      <c r="E499" s="2" t="s">
        <v>281</v>
      </c>
      <c r="F499" s="2" t="s">
        <v>282</v>
      </c>
      <c r="G499" s="2" t="s">
        <v>39</v>
      </c>
      <c r="H499" s="2" t="s">
        <v>22</v>
      </c>
      <c r="I499" s="2" t="s">
        <v>40</v>
      </c>
      <c r="J499" s="2" t="s">
        <v>24</v>
      </c>
      <c r="K499">
        <v>2.9</v>
      </c>
      <c r="L499">
        <v>3.31</v>
      </c>
      <c r="M499">
        <v>114.14</v>
      </c>
      <c r="N499" s="2" t="s">
        <v>283</v>
      </c>
      <c r="O499" s="2" t="s">
        <v>284</v>
      </c>
      <c r="P499" s="2" t="s">
        <v>1193</v>
      </c>
      <c r="Q499" s="2" t="s">
        <v>1194</v>
      </c>
      <c r="R499" s="2" t="s">
        <v>29</v>
      </c>
      <c r="S499" s="2" t="s">
        <v>30</v>
      </c>
    </row>
    <row r="500" spans="1:19">
      <c r="A500" s="1">
        <v>44013</v>
      </c>
      <c r="B500" s="1">
        <v>44013</v>
      </c>
      <c r="C500">
        <v>2020</v>
      </c>
      <c r="D500">
        <v>7</v>
      </c>
      <c r="E500" s="2" t="s">
        <v>287</v>
      </c>
      <c r="F500" s="2" t="s">
        <v>288</v>
      </c>
      <c r="G500" s="2" t="s">
        <v>39</v>
      </c>
      <c r="H500" s="2" t="s">
        <v>22</v>
      </c>
      <c r="I500" s="2" t="s">
        <v>40</v>
      </c>
      <c r="J500" s="2" t="s">
        <v>59</v>
      </c>
      <c r="K500">
        <v>33.57</v>
      </c>
      <c r="L500">
        <v>135.51</v>
      </c>
      <c r="M500">
        <v>403.66</v>
      </c>
      <c r="N500" s="2" t="s">
        <v>289</v>
      </c>
      <c r="O500" s="2" t="s">
        <v>290</v>
      </c>
      <c r="P500" s="2" t="s">
        <v>1195</v>
      </c>
      <c r="Q500" s="2" t="s">
        <v>1196</v>
      </c>
      <c r="R500" s="2" t="s">
        <v>29</v>
      </c>
      <c r="S500" s="2" t="s">
        <v>30</v>
      </c>
    </row>
    <row r="501" spans="1:19">
      <c r="A501" s="1">
        <v>44013</v>
      </c>
      <c r="B501" s="1">
        <v>44013</v>
      </c>
      <c r="C501">
        <v>2020</v>
      </c>
      <c r="D501">
        <v>7</v>
      </c>
      <c r="E501" s="2" t="s">
        <v>293</v>
      </c>
      <c r="F501" s="2" t="s">
        <v>294</v>
      </c>
      <c r="G501" s="2" t="s">
        <v>21</v>
      </c>
      <c r="H501" s="2" t="s">
        <v>22</v>
      </c>
      <c r="I501" s="2" t="s">
        <v>295</v>
      </c>
      <c r="J501" s="2" t="s">
        <v>24</v>
      </c>
      <c r="K501">
        <v>757.34</v>
      </c>
      <c r="L501">
        <v>2001.8</v>
      </c>
      <c r="M501">
        <v>264.32</v>
      </c>
      <c r="N501" s="2" t="s">
        <v>296</v>
      </c>
      <c r="O501" s="2" t="s">
        <v>297</v>
      </c>
      <c r="P501" s="2" t="s">
        <v>1197</v>
      </c>
      <c r="Q501" s="2" t="s">
        <v>1198</v>
      </c>
      <c r="R501" s="2" t="s">
        <v>29</v>
      </c>
      <c r="S501" s="2" t="s">
        <v>30</v>
      </c>
    </row>
    <row r="502" spans="1:19">
      <c r="A502" s="1">
        <v>44013</v>
      </c>
      <c r="B502" s="1">
        <v>44013</v>
      </c>
      <c r="C502">
        <v>2020</v>
      </c>
      <c r="D502">
        <v>7</v>
      </c>
      <c r="E502" s="2" t="s">
        <v>300</v>
      </c>
      <c r="F502" s="2" t="s">
        <v>301</v>
      </c>
      <c r="G502" s="2" t="s">
        <v>21</v>
      </c>
      <c r="H502" s="2" t="s">
        <v>22</v>
      </c>
      <c r="I502" s="2" t="s">
        <v>295</v>
      </c>
      <c r="J502" s="2" t="s">
        <v>24</v>
      </c>
      <c r="K502">
        <v>24.49</v>
      </c>
      <c r="L502">
        <v>627.58000000000004</v>
      </c>
      <c r="M502">
        <v>2562.6</v>
      </c>
      <c r="N502" s="2" t="s">
        <v>302</v>
      </c>
      <c r="O502" s="2" t="s">
        <v>303</v>
      </c>
      <c r="P502" s="2" t="s">
        <v>1199</v>
      </c>
      <c r="Q502" s="2" t="s">
        <v>1200</v>
      </c>
      <c r="R502" s="2" t="s">
        <v>29</v>
      </c>
      <c r="S502" s="2" t="s">
        <v>30</v>
      </c>
    </row>
    <row r="503" spans="1:19">
      <c r="A503" s="1">
        <v>44013</v>
      </c>
      <c r="B503" s="1">
        <v>44013</v>
      </c>
      <c r="C503">
        <v>2020</v>
      </c>
      <c r="D503">
        <v>7</v>
      </c>
      <c r="E503" s="2" t="s">
        <v>306</v>
      </c>
      <c r="F503" s="2" t="s">
        <v>307</v>
      </c>
      <c r="G503" s="2" t="s">
        <v>21</v>
      </c>
      <c r="H503" s="2" t="s">
        <v>22</v>
      </c>
      <c r="I503" s="2" t="s">
        <v>295</v>
      </c>
      <c r="J503" s="2" t="s">
        <v>101</v>
      </c>
      <c r="K503">
        <v>781.83</v>
      </c>
      <c r="L503">
        <v>2629.38</v>
      </c>
      <c r="M503">
        <v>336.31</v>
      </c>
      <c r="N503" s="2" t="s">
        <v>308</v>
      </c>
      <c r="O503" s="2" t="s">
        <v>309</v>
      </c>
      <c r="P503" s="2" t="s">
        <v>1201</v>
      </c>
      <c r="Q503" s="2" t="s">
        <v>1202</v>
      </c>
      <c r="R503" s="2" t="s">
        <v>29</v>
      </c>
      <c r="S503" s="2" t="s">
        <v>30</v>
      </c>
    </row>
    <row r="504" spans="1:19">
      <c r="A504" s="1">
        <v>44013</v>
      </c>
      <c r="B504" s="1">
        <v>44013</v>
      </c>
      <c r="C504">
        <v>2020</v>
      </c>
      <c r="D504">
        <v>7</v>
      </c>
      <c r="E504" s="2" t="s">
        <v>312</v>
      </c>
      <c r="F504" s="2" t="s">
        <v>313</v>
      </c>
      <c r="G504" s="2" t="s">
        <v>21</v>
      </c>
      <c r="H504" s="2" t="s">
        <v>22</v>
      </c>
      <c r="I504" s="2" t="s">
        <v>295</v>
      </c>
      <c r="J504" s="2" t="s">
        <v>59</v>
      </c>
      <c r="K504">
        <v>3987.42</v>
      </c>
      <c r="L504">
        <v>15521.29</v>
      </c>
      <c r="M504">
        <v>389.26</v>
      </c>
      <c r="N504" s="2" t="s">
        <v>314</v>
      </c>
      <c r="O504" s="2" t="s">
        <v>315</v>
      </c>
      <c r="P504" s="2" t="s">
        <v>1203</v>
      </c>
      <c r="Q504" s="2" t="s">
        <v>1204</v>
      </c>
      <c r="R504" s="2" t="s">
        <v>29</v>
      </c>
      <c r="S504" s="2" t="s">
        <v>30</v>
      </c>
    </row>
    <row r="505" spans="1:19">
      <c r="A505" s="1">
        <v>44013</v>
      </c>
      <c r="B505" s="1">
        <v>44013</v>
      </c>
      <c r="C505">
        <v>2020</v>
      </c>
      <c r="D505">
        <v>7</v>
      </c>
      <c r="E505" s="2" t="s">
        <v>318</v>
      </c>
      <c r="F505" s="2" t="s">
        <v>319</v>
      </c>
      <c r="G505" s="2" t="s">
        <v>21</v>
      </c>
      <c r="H505" s="2" t="s">
        <v>22</v>
      </c>
      <c r="I505" s="2" t="s">
        <v>295</v>
      </c>
      <c r="J505" s="2" t="s">
        <v>24</v>
      </c>
      <c r="K505">
        <v>3205.59</v>
      </c>
      <c r="L505">
        <v>12891.91</v>
      </c>
      <c r="M505">
        <v>402.17</v>
      </c>
      <c r="N505" s="2" t="s">
        <v>320</v>
      </c>
      <c r="O505" s="2" t="s">
        <v>321</v>
      </c>
      <c r="P505" s="2" t="s">
        <v>1205</v>
      </c>
      <c r="Q505" s="2" t="s">
        <v>1206</v>
      </c>
      <c r="R505" s="2" t="s">
        <v>29</v>
      </c>
      <c r="S505" s="2" t="s">
        <v>30</v>
      </c>
    </row>
    <row r="506" spans="1:19">
      <c r="A506" s="1">
        <v>44013</v>
      </c>
      <c r="B506" s="1">
        <v>44013</v>
      </c>
      <c r="C506">
        <v>2020</v>
      </c>
      <c r="D506">
        <v>7</v>
      </c>
      <c r="E506" s="2" t="s">
        <v>324</v>
      </c>
      <c r="F506" s="2" t="s">
        <v>325</v>
      </c>
      <c r="G506" s="2" t="s">
        <v>21</v>
      </c>
      <c r="H506" s="2" t="s">
        <v>22</v>
      </c>
      <c r="I506" s="2" t="s">
        <v>23</v>
      </c>
      <c r="J506" s="2" t="s">
        <v>59</v>
      </c>
      <c r="K506">
        <v>21832.43</v>
      </c>
      <c r="L506">
        <v>2587407.4500000002</v>
      </c>
      <c r="M506">
        <v>11851.21</v>
      </c>
      <c r="N506" s="2" t="s">
        <v>326</v>
      </c>
      <c r="O506" s="2" t="s">
        <v>327</v>
      </c>
      <c r="P506" s="2" t="s">
        <v>1207</v>
      </c>
      <c r="Q506" s="2" t="s">
        <v>1208</v>
      </c>
      <c r="R506" s="2" t="s">
        <v>29</v>
      </c>
      <c r="S506" s="2" t="s">
        <v>30</v>
      </c>
    </row>
    <row r="507" spans="1:19">
      <c r="A507" s="1">
        <v>44013</v>
      </c>
      <c r="B507" s="1">
        <v>44013</v>
      </c>
      <c r="C507">
        <v>2020</v>
      </c>
      <c r="D507">
        <v>7</v>
      </c>
      <c r="E507" s="2" t="s">
        <v>330</v>
      </c>
      <c r="F507" s="2" t="s">
        <v>331</v>
      </c>
      <c r="G507" s="2" t="s">
        <v>21</v>
      </c>
      <c r="H507" s="2" t="s">
        <v>332</v>
      </c>
      <c r="I507" s="2" t="s">
        <v>333</v>
      </c>
      <c r="J507" s="2" t="s">
        <v>24</v>
      </c>
      <c r="K507">
        <v>123.22</v>
      </c>
      <c r="L507">
        <v>7137945.04</v>
      </c>
      <c r="M507">
        <v>5792846.1600000001</v>
      </c>
      <c r="N507" s="2" t="s">
        <v>334</v>
      </c>
      <c r="O507" s="2" t="s">
        <v>335</v>
      </c>
      <c r="P507" s="2" t="s">
        <v>1209</v>
      </c>
      <c r="Q507" s="2" t="s">
        <v>1210</v>
      </c>
      <c r="R507" s="2" t="s">
        <v>29</v>
      </c>
      <c r="S507" s="2" t="s">
        <v>30</v>
      </c>
    </row>
    <row r="508" spans="1:19">
      <c r="A508" s="1">
        <v>44013</v>
      </c>
      <c r="B508" s="1">
        <v>44013</v>
      </c>
      <c r="C508">
        <v>2020</v>
      </c>
      <c r="D508">
        <v>7</v>
      </c>
      <c r="E508" s="2" t="s">
        <v>338</v>
      </c>
      <c r="F508" s="2" t="s">
        <v>339</v>
      </c>
      <c r="G508" s="2" t="s">
        <v>21</v>
      </c>
      <c r="H508" s="2" t="s">
        <v>332</v>
      </c>
      <c r="I508" s="2" t="s">
        <v>333</v>
      </c>
      <c r="J508" s="2" t="s">
        <v>24</v>
      </c>
      <c r="K508">
        <v>1.55</v>
      </c>
      <c r="L508">
        <v>1197334.01</v>
      </c>
      <c r="M508">
        <v>77247355.480000004</v>
      </c>
      <c r="N508" s="2" t="s">
        <v>340</v>
      </c>
      <c r="O508" s="2" t="s">
        <v>341</v>
      </c>
      <c r="P508" s="2" t="s">
        <v>1211</v>
      </c>
      <c r="Q508" s="2" t="s">
        <v>1212</v>
      </c>
      <c r="R508" s="2" t="s">
        <v>29</v>
      </c>
      <c r="S508" s="2" t="s">
        <v>30</v>
      </c>
    </row>
    <row r="509" spans="1:19">
      <c r="A509" s="1">
        <v>44013</v>
      </c>
      <c r="B509" s="1">
        <v>44013</v>
      </c>
      <c r="C509">
        <v>2020</v>
      </c>
      <c r="D509">
        <v>7</v>
      </c>
      <c r="E509" s="2" t="s">
        <v>344</v>
      </c>
      <c r="F509" s="2" t="s">
        <v>345</v>
      </c>
      <c r="G509" s="2" t="s">
        <v>21</v>
      </c>
      <c r="H509" s="2" t="s">
        <v>332</v>
      </c>
      <c r="I509" s="2" t="s">
        <v>333</v>
      </c>
      <c r="J509" s="2" t="s">
        <v>59</v>
      </c>
      <c r="K509">
        <v>124.76</v>
      </c>
      <c r="L509">
        <v>8335279.0499999998</v>
      </c>
      <c r="M509">
        <v>6681050.8600000003</v>
      </c>
      <c r="N509" s="2" t="s">
        <v>346</v>
      </c>
      <c r="O509" s="2" t="s">
        <v>347</v>
      </c>
      <c r="P509" s="2" t="s">
        <v>1213</v>
      </c>
      <c r="Q509" s="2" t="s">
        <v>1214</v>
      </c>
      <c r="R509" s="2" t="s">
        <v>29</v>
      </c>
      <c r="S509" s="2" t="s">
        <v>30</v>
      </c>
    </row>
    <row r="510" spans="1:19">
      <c r="A510" s="1">
        <v>44013</v>
      </c>
      <c r="B510" s="1">
        <v>44013</v>
      </c>
      <c r="C510">
        <v>2020</v>
      </c>
      <c r="D510">
        <v>7</v>
      </c>
      <c r="E510" s="2" t="s">
        <v>350</v>
      </c>
      <c r="F510" s="2" t="s">
        <v>351</v>
      </c>
      <c r="G510" s="2" t="s">
        <v>21</v>
      </c>
      <c r="H510" s="2" t="s">
        <v>22</v>
      </c>
      <c r="I510" s="2" t="s">
        <v>352</v>
      </c>
      <c r="J510" s="2" t="s">
        <v>353</v>
      </c>
      <c r="K510">
        <v>31281.919999999998</v>
      </c>
      <c r="L510">
        <v>11102446.67</v>
      </c>
      <c r="M510">
        <v>35491.58</v>
      </c>
      <c r="N510" s="2" t="s">
        <v>354</v>
      </c>
      <c r="O510" s="2" t="s">
        <v>355</v>
      </c>
      <c r="P510" s="2" t="s">
        <v>1215</v>
      </c>
      <c r="Q510" s="2" t="s">
        <v>1216</v>
      </c>
      <c r="R510" s="2" t="s">
        <v>29</v>
      </c>
      <c r="S510" s="2" t="s">
        <v>30</v>
      </c>
    </row>
    <row r="511" spans="1:19">
      <c r="A511" s="1">
        <v>44013</v>
      </c>
      <c r="B511" s="1">
        <v>44013</v>
      </c>
      <c r="C511">
        <v>2020</v>
      </c>
      <c r="D511">
        <v>7</v>
      </c>
      <c r="E511" s="2" t="s">
        <v>358</v>
      </c>
      <c r="F511" s="2" t="s">
        <v>359</v>
      </c>
      <c r="G511" s="2" t="s">
        <v>21</v>
      </c>
      <c r="H511" s="2" t="s">
        <v>22</v>
      </c>
      <c r="I511" s="2" t="s">
        <v>352</v>
      </c>
      <c r="J511" s="2" t="s">
        <v>353</v>
      </c>
      <c r="K511">
        <v>31814.3</v>
      </c>
      <c r="L511">
        <v>11536518.4</v>
      </c>
      <c r="M511">
        <v>36262.050000000003</v>
      </c>
      <c r="N511" s="2" t="s">
        <v>360</v>
      </c>
      <c r="O511" s="2" t="s">
        <v>361</v>
      </c>
      <c r="P511" s="2" t="s">
        <v>1217</v>
      </c>
      <c r="Q511" s="2" t="s">
        <v>1218</v>
      </c>
      <c r="R511" s="2" t="s">
        <v>29</v>
      </c>
      <c r="S511" s="2" t="s">
        <v>30</v>
      </c>
    </row>
    <row r="512" spans="1:19">
      <c r="A512" s="1">
        <v>44013</v>
      </c>
      <c r="B512" s="1">
        <v>44013</v>
      </c>
      <c r="C512">
        <v>2020</v>
      </c>
      <c r="D512">
        <v>7</v>
      </c>
      <c r="E512" s="2" t="s">
        <v>364</v>
      </c>
      <c r="F512" s="2" t="s">
        <v>365</v>
      </c>
      <c r="G512" s="2" t="s">
        <v>21</v>
      </c>
      <c r="H512" s="2" t="s">
        <v>22</v>
      </c>
      <c r="I512" s="2" t="s">
        <v>352</v>
      </c>
      <c r="J512" s="2" t="s">
        <v>353</v>
      </c>
      <c r="K512">
        <v>31689.54</v>
      </c>
      <c r="L512">
        <v>3201239.35</v>
      </c>
      <c r="M512">
        <v>10101.879999999999</v>
      </c>
      <c r="N512" s="2" t="s">
        <v>366</v>
      </c>
      <c r="O512" s="2" t="s">
        <v>367</v>
      </c>
      <c r="P512" s="2" t="s">
        <v>1219</v>
      </c>
      <c r="Q512" s="2" t="s">
        <v>1220</v>
      </c>
      <c r="R512" s="2" t="s">
        <v>29</v>
      </c>
      <c r="S512" s="2" t="s">
        <v>30</v>
      </c>
    </row>
    <row r="513" spans="1:19">
      <c r="A513" s="1">
        <v>44013</v>
      </c>
      <c r="B513" s="1">
        <v>44013</v>
      </c>
      <c r="C513">
        <v>2020</v>
      </c>
      <c r="D513">
        <v>7</v>
      </c>
      <c r="E513" s="2" t="s">
        <v>370</v>
      </c>
      <c r="F513" s="2" t="s">
        <v>371</v>
      </c>
      <c r="G513" s="2" t="s">
        <v>21</v>
      </c>
      <c r="H513" s="2" t="s">
        <v>22</v>
      </c>
      <c r="I513" s="2" t="s">
        <v>23</v>
      </c>
      <c r="J513" s="2" t="s">
        <v>24</v>
      </c>
      <c r="K513">
        <v>14973.54</v>
      </c>
      <c r="L513">
        <v>290537.86</v>
      </c>
      <c r="M513">
        <v>1940.34</v>
      </c>
      <c r="N513" s="2" t="s">
        <v>372</v>
      </c>
      <c r="O513" s="2" t="s">
        <v>373</v>
      </c>
      <c r="P513" s="2" t="s">
        <v>1221</v>
      </c>
      <c r="Q513" s="2" t="s">
        <v>1222</v>
      </c>
      <c r="R513" s="2" t="s">
        <v>29</v>
      </c>
      <c r="S513" s="2" t="s">
        <v>30</v>
      </c>
    </row>
    <row r="514" spans="1:19">
      <c r="A514" s="1">
        <v>44013</v>
      </c>
      <c r="B514" s="1">
        <v>44013</v>
      </c>
      <c r="C514">
        <v>2020</v>
      </c>
      <c r="D514">
        <v>7</v>
      </c>
      <c r="E514" s="2" t="s">
        <v>376</v>
      </c>
      <c r="F514" s="2" t="s">
        <v>377</v>
      </c>
      <c r="G514" s="2" t="s">
        <v>21</v>
      </c>
      <c r="H514" s="2" t="s">
        <v>22</v>
      </c>
      <c r="I514" s="2" t="s">
        <v>23</v>
      </c>
      <c r="J514" s="2" t="s">
        <v>378</v>
      </c>
      <c r="K514">
        <v>0.91</v>
      </c>
      <c r="L514">
        <v>15.29</v>
      </c>
      <c r="M514">
        <v>1680.22</v>
      </c>
      <c r="N514" s="2" t="s">
        <v>379</v>
      </c>
      <c r="O514" s="2" t="s">
        <v>380</v>
      </c>
      <c r="P514" s="2" t="s">
        <v>1223</v>
      </c>
      <c r="Q514" s="2" t="s">
        <v>1224</v>
      </c>
      <c r="R514" s="2" t="s">
        <v>29</v>
      </c>
      <c r="S514" s="2" t="s">
        <v>30</v>
      </c>
    </row>
    <row r="515" spans="1:19">
      <c r="A515" s="1">
        <v>44044</v>
      </c>
      <c r="B515" s="1">
        <v>44044</v>
      </c>
      <c r="C515">
        <v>2020</v>
      </c>
      <c r="D515">
        <v>8</v>
      </c>
      <c r="E515" s="2" t="s">
        <v>19</v>
      </c>
      <c r="F515" s="2" t="s">
        <v>20</v>
      </c>
      <c r="G515" s="2" t="s">
        <v>21</v>
      </c>
      <c r="H515" s="2" t="s">
        <v>22</v>
      </c>
      <c r="I515" s="2" t="s">
        <v>23</v>
      </c>
      <c r="J515" s="2" t="s">
        <v>24</v>
      </c>
      <c r="K515">
        <v>0.89</v>
      </c>
      <c r="L515">
        <v>46.39</v>
      </c>
      <c r="M515">
        <v>5212.3599999999997</v>
      </c>
      <c r="N515" s="2" t="s">
        <v>25</v>
      </c>
      <c r="O515" s="2" t="s">
        <v>26</v>
      </c>
      <c r="P515" s="2" t="s">
        <v>1016</v>
      </c>
      <c r="Q515" s="2" t="s">
        <v>1225</v>
      </c>
      <c r="R515" s="2" t="s">
        <v>29</v>
      </c>
      <c r="S515" s="2" t="s">
        <v>30</v>
      </c>
    </row>
    <row r="516" spans="1:19">
      <c r="A516" s="1">
        <v>44044</v>
      </c>
      <c r="B516" s="1">
        <v>44044</v>
      </c>
      <c r="C516">
        <v>2020</v>
      </c>
      <c r="D516">
        <v>8</v>
      </c>
      <c r="E516" s="2" t="s">
        <v>31</v>
      </c>
      <c r="F516" s="2" t="s">
        <v>32</v>
      </c>
      <c r="G516" s="2" t="s">
        <v>21</v>
      </c>
      <c r="H516" s="2" t="s">
        <v>22</v>
      </c>
      <c r="I516" s="2" t="s">
        <v>23</v>
      </c>
      <c r="J516" s="2" t="s">
        <v>24</v>
      </c>
      <c r="K516">
        <v>1196.3900000000001</v>
      </c>
      <c r="L516">
        <v>8312.98</v>
      </c>
      <c r="M516">
        <v>694.84</v>
      </c>
      <c r="N516" s="2" t="s">
        <v>33</v>
      </c>
      <c r="O516" s="2" t="s">
        <v>34</v>
      </c>
      <c r="P516" s="2" t="s">
        <v>1226</v>
      </c>
      <c r="Q516" s="2" t="s">
        <v>1227</v>
      </c>
      <c r="R516" s="2" t="s">
        <v>29</v>
      </c>
      <c r="S516" s="2" t="s">
        <v>30</v>
      </c>
    </row>
    <row r="517" spans="1:19">
      <c r="A517" s="1">
        <v>44044</v>
      </c>
      <c r="B517" s="1">
        <v>44044</v>
      </c>
      <c r="C517">
        <v>2020</v>
      </c>
      <c r="D517">
        <v>8</v>
      </c>
      <c r="E517" s="2" t="s">
        <v>37</v>
      </c>
      <c r="F517" s="2" t="s">
        <v>38</v>
      </c>
      <c r="G517" s="2" t="s">
        <v>39</v>
      </c>
      <c r="H517" s="2" t="s">
        <v>22</v>
      </c>
      <c r="I517" s="2" t="s">
        <v>40</v>
      </c>
      <c r="J517" s="2" t="s">
        <v>24</v>
      </c>
      <c r="K517">
        <v>3.66</v>
      </c>
      <c r="L517">
        <v>183.57</v>
      </c>
      <c r="M517">
        <v>5015.57</v>
      </c>
      <c r="N517" s="2" t="s">
        <v>41</v>
      </c>
      <c r="O517" s="2" t="s">
        <v>42</v>
      </c>
      <c r="P517" s="2" t="s">
        <v>1228</v>
      </c>
      <c r="Q517" s="2" t="s">
        <v>1229</v>
      </c>
      <c r="R517" s="2" t="s">
        <v>29</v>
      </c>
      <c r="S517" s="2" t="s">
        <v>30</v>
      </c>
    </row>
    <row r="518" spans="1:19">
      <c r="A518" s="1">
        <v>44044</v>
      </c>
      <c r="B518" s="1">
        <v>44044</v>
      </c>
      <c r="C518">
        <v>2020</v>
      </c>
      <c r="D518">
        <v>8</v>
      </c>
      <c r="E518" s="2" t="s">
        <v>45</v>
      </c>
      <c r="F518" s="2" t="s">
        <v>46</v>
      </c>
      <c r="G518" s="2" t="s">
        <v>39</v>
      </c>
      <c r="H518" s="2" t="s">
        <v>22</v>
      </c>
      <c r="I518" s="2" t="s">
        <v>40</v>
      </c>
      <c r="J518" s="2" t="s">
        <v>24</v>
      </c>
      <c r="K518">
        <v>4834.5</v>
      </c>
      <c r="L518">
        <v>235549.49</v>
      </c>
      <c r="M518">
        <v>4872.26</v>
      </c>
      <c r="N518" s="2" t="s">
        <v>47</v>
      </c>
      <c r="O518" s="2" t="s">
        <v>48</v>
      </c>
      <c r="P518" s="2" t="s">
        <v>1230</v>
      </c>
      <c r="Q518" s="2" t="s">
        <v>1231</v>
      </c>
      <c r="R518" s="2" t="s">
        <v>29</v>
      </c>
      <c r="S518" s="2" t="s">
        <v>30</v>
      </c>
    </row>
    <row r="519" spans="1:19">
      <c r="A519" s="1">
        <v>44044</v>
      </c>
      <c r="B519" s="1">
        <v>44044</v>
      </c>
      <c r="C519">
        <v>2020</v>
      </c>
      <c r="D519">
        <v>8</v>
      </c>
      <c r="E519" s="2" t="s">
        <v>51</v>
      </c>
      <c r="F519" s="2" t="s">
        <v>52</v>
      </c>
      <c r="G519" s="2" t="s">
        <v>39</v>
      </c>
      <c r="H519" s="2" t="s">
        <v>22</v>
      </c>
      <c r="I519" s="2" t="s">
        <v>40</v>
      </c>
      <c r="J519" s="2" t="s">
        <v>24</v>
      </c>
      <c r="K519">
        <v>20.55</v>
      </c>
      <c r="L519">
        <v>712.6</v>
      </c>
      <c r="M519">
        <v>3467.64</v>
      </c>
      <c r="N519" s="2" t="s">
        <v>53</v>
      </c>
      <c r="O519" s="2" t="s">
        <v>54</v>
      </c>
      <c r="P519" s="2" t="s">
        <v>1232</v>
      </c>
      <c r="Q519" s="2" t="s">
        <v>1233</v>
      </c>
      <c r="R519" s="2" t="s">
        <v>29</v>
      </c>
      <c r="S519" s="2" t="s">
        <v>30</v>
      </c>
    </row>
    <row r="520" spans="1:19">
      <c r="A520" s="1">
        <v>44044</v>
      </c>
      <c r="B520" s="1">
        <v>44044</v>
      </c>
      <c r="C520">
        <v>2020</v>
      </c>
      <c r="D520">
        <v>8</v>
      </c>
      <c r="E520" s="2" t="s">
        <v>57</v>
      </c>
      <c r="F520" s="2" t="s">
        <v>58</v>
      </c>
      <c r="G520" s="2" t="s">
        <v>39</v>
      </c>
      <c r="H520" s="2" t="s">
        <v>22</v>
      </c>
      <c r="I520" s="2" t="s">
        <v>40</v>
      </c>
      <c r="J520" s="2" t="s">
        <v>59</v>
      </c>
      <c r="K520">
        <v>4858.71</v>
      </c>
      <c r="L520">
        <v>236445.66</v>
      </c>
      <c r="M520">
        <v>4866.43</v>
      </c>
      <c r="N520" s="2" t="s">
        <v>60</v>
      </c>
      <c r="O520" s="2" t="s">
        <v>61</v>
      </c>
      <c r="P520" s="2" t="s">
        <v>1234</v>
      </c>
      <c r="Q520" s="2" t="s">
        <v>1235</v>
      </c>
      <c r="R520" s="2" t="s">
        <v>29</v>
      </c>
      <c r="S520" s="2" t="s">
        <v>30</v>
      </c>
    </row>
    <row r="521" spans="1:19">
      <c r="A521" s="1">
        <v>44044</v>
      </c>
      <c r="B521" s="1">
        <v>44044</v>
      </c>
      <c r="C521">
        <v>2020</v>
      </c>
      <c r="D521">
        <v>8</v>
      </c>
      <c r="E521" s="2" t="s">
        <v>64</v>
      </c>
      <c r="F521" s="2" t="s">
        <v>65</v>
      </c>
      <c r="G521" s="2" t="s">
        <v>21</v>
      </c>
      <c r="H521" s="2" t="s">
        <v>22</v>
      </c>
      <c r="I521" s="2" t="s">
        <v>66</v>
      </c>
      <c r="J521" s="2" t="s">
        <v>24</v>
      </c>
      <c r="K521">
        <v>19.5</v>
      </c>
      <c r="L521">
        <v>253.04</v>
      </c>
      <c r="M521">
        <v>1297.6400000000001</v>
      </c>
      <c r="N521" s="2" t="s">
        <v>67</v>
      </c>
      <c r="O521" s="2" t="s">
        <v>68</v>
      </c>
      <c r="P521" s="2" t="s">
        <v>1236</v>
      </c>
      <c r="Q521" s="2" t="s">
        <v>1237</v>
      </c>
      <c r="R521" s="2" t="s">
        <v>29</v>
      </c>
      <c r="S521" s="2" t="s">
        <v>30</v>
      </c>
    </row>
    <row r="522" spans="1:19">
      <c r="A522" s="1">
        <v>44044</v>
      </c>
      <c r="B522" s="1">
        <v>44044</v>
      </c>
      <c r="C522">
        <v>2020</v>
      </c>
      <c r="D522">
        <v>8</v>
      </c>
      <c r="E522" s="2" t="s">
        <v>71</v>
      </c>
      <c r="F522" s="2" t="s">
        <v>72</v>
      </c>
      <c r="G522" s="2" t="s">
        <v>21</v>
      </c>
      <c r="H522" s="2" t="s">
        <v>22</v>
      </c>
      <c r="I522" s="2" t="s">
        <v>73</v>
      </c>
      <c r="J522" s="2" t="s">
        <v>59</v>
      </c>
      <c r="K522">
        <v>4814.53</v>
      </c>
      <c r="L522">
        <v>105081.07</v>
      </c>
      <c r="M522">
        <v>2182.58</v>
      </c>
      <c r="N522" s="2" t="s">
        <v>74</v>
      </c>
      <c r="O522" s="2" t="s">
        <v>75</v>
      </c>
      <c r="P522" s="2" t="s">
        <v>1238</v>
      </c>
      <c r="Q522" s="2" t="s">
        <v>1239</v>
      </c>
      <c r="R522" s="2" t="s">
        <v>29</v>
      </c>
      <c r="S522" s="2" t="s">
        <v>30</v>
      </c>
    </row>
    <row r="523" spans="1:19">
      <c r="A523" s="1">
        <v>44044</v>
      </c>
      <c r="B523" s="1">
        <v>44044</v>
      </c>
      <c r="C523">
        <v>2020</v>
      </c>
      <c r="D523">
        <v>8</v>
      </c>
      <c r="E523" s="2" t="s">
        <v>78</v>
      </c>
      <c r="F523" s="2" t="s">
        <v>79</v>
      </c>
      <c r="G523" s="2" t="s">
        <v>80</v>
      </c>
      <c r="H523" s="2" t="s">
        <v>81</v>
      </c>
      <c r="I523" s="2" t="s">
        <v>82</v>
      </c>
      <c r="J523" s="2" t="s">
        <v>24</v>
      </c>
      <c r="K523">
        <v>1.28</v>
      </c>
      <c r="L523">
        <v>3749568.82</v>
      </c>
      <c r="M523">
        <v>292935064.06</v>
      </c>
      <c r="N523" s="2" t="s">
        <v>83</v>
      </c>
      <c r="O523" s="2" t="s">
        <v>84</v>
      </c>
      <c r="P523" s="2" t="s">
        <v>1134</v>
      </c>
      <c r="Q523" s="2" t="s">
        <v>1240</v>
      </c>
      <c r="R523" s="2" t="s">
        <v>29</v>
      </c>
      <c r="S523" s="2" t="s">
        <v>30</v>
      </c>
    </row>
    <row r="524" spans="1:19">
      <c r="A524" s="1">
        <v>44044</v>
      </c>
      <c r="B524" s="1">
        <v>44044</v>
      </c>
      <c r="C524">
        <v>2020</v>
      </c>
      <c r="D524">
        <v>8</v>
      </c>
      <c r="E524" s="2" t="s">
        <v>87</v>
      </c>
      <c r="F524" s="2" t="s">
        <v>88</v>
      </c>
      <c r="G524" s="2" t="s">
        <v>80</v>
      </c>
      <c r="H524" s="2" t="s">
        <v>81</v>
      </c>
      <c r="I524" s="2" t="s">
        <v>82</v>
      </c>
      <c r="J524" s="2" t="s">
        <v>24</v>
      </c>
      <c r="K524">
        <v>0.52</v>
      </c>
      <c r="L524">
        <v>867395.03</v>
      </c>
      <c r="M524">
        <v>166806736.53999999</v>
      </c>
      <c r="N524" s="2" t="s">
        <v>89</v>
      </c>
      <c r="O524" s="2" t="s">
        <v>90</v>
      </c>
      <c r="P524" s="2" t="s">
        <v>1241</v>
      </c>
      <c r="Q524" s="2" t="s">
        <v>1242</v>
      </c>
      <c r="R524" s="2" t="s">
        <v>29</v>
      </c>
      <c r="S524" s="2" t="s">
        <v>30</v>
      </c>
    </row>
    <row r="525" spans="1:19">
      <c r="A525" s="1">
        <v>44044</v>
      </c>
      <c r="B525" s="1">
        <v>44044</v>
      </c>
      <c r="C525">
        <v>2020</v>
      </c>
      <c r="D525">
        <v>8</v>
      </c>
      <c r="E525" s="2" t="s">
        <v>93</v>
      </c>
      <c r="F525" s="2" t="s">
        <v>94</v>
      </c>
      <c r="G525" s="2" t="s">
        <v>80</v>
      </c>
      <c r="H525" s="2" t="s">
        <v>81</v>
      </c>
      <c r="I525" s="2" t="s">
        <v>82</v>
      </c>
      <c r="J525" s="2" t="s">
        <v>24</v>
      </c>
      <c r="K525">
        <v>0.27</v>
      </c>
      <c r="L525">
        <v>3793333.49</v>
      </c>
      <c r="M525">
        <v>1404938329.6300001</v>
      </c>
      <c r="N525" s="2" t="s">
        <v>95</v>
      </c>
      <c r="O525" s="2" t="s">
        <v>96</v>
      </c>
      <c r="P525" s="2" t="s">
        <v>980</v>
      </c>
      <c r="Q525" s="2" t="s">
        <v>1243</v>
      </c>
      <c r="R525" s="2" t="s">
        <v>29</v>
      </c>
      <c r="S525" s="2" t="s">
        <v>30</v>
      </c>
    </row>
    <row r="526" spans="1:19">
      <c r="A526" s="1">
        <v>44044</v>
      </c>
      <c r="B526" s="1">
        <v>44044</v>
      </c>
      <c r="C526">
        <v>2020</v>
      </c>
      <c r="D526">
        <v>8</v>
      </c>
      <c r="E526" s="2" t="s">
        <v>99</v>
      </c>
      <c r="F526" s="2" t="s">
        <v>100</v>
      </c>
      <c r="G526" s="2" t="s">
        <v>80</v>
      </c>
      <c r="H526" s="2" t="s">
        <v>81</v>
      </c>
      <c r="I526" s="2" t="s">
        <v>82</v>
      </c>
      <c r="J526" s="2" t="s">
        <v>101</v>
      </c>
      <c r="K526">
        <v>0.96</v>
      </c>
      <c r="L526">
        <v>8614890.7699999996</v>
      </c>
      <c r="M526">
        <v>897384455.21000004</v>
      </c>
      <c r="N526" s="2" t="s">
        <v>102</v>
      </c>
      <c r="O526" s="2" t="s">
        <v>103</v>
      </c>
      <c r="P526" s="2" t="s">
        <v>1244</v>
      </c>
      <c r="Q526" s="2" t="s">
        <v>1245</v>
      </c>
      <c r="R526" s="2" t="s">
        <v>29</v>
      </c>
      <c r="S526" s="2" t="s">
        <v>30</v>
      </c>
    </row>
    <row r="527" spans="1:19">
      <c r="A527" s="1">
        <v>44044</v>
      </c>
      <c r="B527" s="1">
        <v>44044</v>
      </c>
      <c r="C527">
        <v>2020</v>
      </c>
      <c r="D527">
        <v>8</v>
      </c>
      <c r="E527" s="2" t="s">
        <v>106</v>
      </c>
      <c r="F527" s="2" t="s">
        <v>107</v>
      </c>
      <c r="G527" s="2" t="s">
        <v>80</v>
      </c>
      <c r="H527" s="2" t="s">
        <v>81</v>
      </c>
      <c r="I527" s="2" t="s">
        <v>82</v>
      </c>
      <c r="J527" s="2" t="s">
        <v>24</v>
      </c>
      <c r="K527">
        <v>0.18</v>
      </c>
      <c r="L527">
        <v>3954162.25</v>
      </c>
      <c r="M527">
        <v>2196756805.5599999</v>
      </c>
      <c r="N527" s="2" t="s">
        <v>108</v>
      </c>
      <c r="O527" s="2" t="s">
        <v>109</v>
      </c>
      <c r="P527" s="2" t="s">
        <v>935</v>
      </c>
      <c r="Q527" s="2" t="s">
        <v>1246</v>
      </c>
      <c r="R527" s="2" t="s">
        <v>29</v>
      </c>
      <c r="S527" s="2" t="s">
        <v>30</v>
      </c>
    </row>
    <row r="528" spans="1:19">
      <c r="A528" s="1">
        <v>44044</v>
      </c>
      <c r="B528" s="1">
        <v>44044</v>
      </c>
      <c r="C528">
        <v>2020</v>
      </c>
      <c r="D528">
        <v>8</v>
      </c>
      <c r="E528" s="2" t="s">
        <v>111</v>
      </c>
      <c r="F528" s="2" t="s">
        <v>112</v>
      </c>
      <c r="G528" s="2" t="s">
        <v>80</v>
      </c>
      <c r="H528" s="2" t="s">
        <v>81</v>
      </c>
      <c r="I528" s="2" t="s">
        <v>82</v>
      </c>
      <c r="J528" s="2" t="s">
        <v>24</v>
      </c>
      <c r="K528">
        <v>0.03</v>
      </c>
      <c r="L528">
        <v>211840</v>
      </c>
      <c r="M528">
        <v>706133333.33000004</v>
      </c>
      <c r="N528" s="2" t="s">
        <v>113</v>
      </c>
      <c r="O528" s="2" t="s">
        <v>114</v>
      </c>
      <c r="P528" s="2" t="s">
        <v>1247</v>
      </c>
      <c r="Q528" s="2" t="s">
        <v>1248</v>
      </c>
      <c r="R528" s="2" t="s">
        <v>29</v>
      </c>
      <c r="S528" s="2" t="s">
        <v>30</v>
      </c>
    </row>
    <row r="529" spans="1:19">
      <c r="A529" s="1">
        <v>44044</v>
      </c>
      <c r="B529" s="1">
        <v>44044</v>
      </c>
      <c r="C529">
        <v>2020</v>
      </c>
      <c r="D529">
        <v>8</v>
      </c>
      <c r="E529" s="2" t="s">
        <v>117</v>
      </c>
      <c r="F529" s="2" t="s">
        <v>118</v>
      </c>
      <c r="G529" s="2" t="s">
        <v>80</v>
      </c>
      <c r="H529" s="2" t="s">
        <v>81</v>
      </c>
      <c r="I529" s="2" t="s">
        <v>82</v>
      </c>
      <c r="J529" s="2" t="s">
        <v>59</v>
      </c>
      <c r="K529">
        <v>2.2799999999999998</v>
      </c>
      <c r="L529">
        <v>12576299.59</v>
      </c>
      <c r="M529">
        <v>551592087.27999997</v>
      </c>
      <c r="N529" s="2" t="s">
        <v>119</v>
      </c>
      <c r="O529" s="2" t="s">
        <v>120</v>
      </c>
      <c r="P529" s="2" t="s">
        <v>1249</v>
      </c>
      <c r="Q529" s="2" t="s">
        <v>1250</v>
      </c>
      <c r="R529" s="2" t="s">
        <v>29</v>
      </c>
      <c r="S529" s="2" t="s">
        <v>30</v>
      </c>
    </row>
    <row r="530" spans="1:19">
      <c r="A530" s="1">
        <v>44044</v>
      </c>
      <c r="B530" s="1">
        <v>44044</v>
      </c>
      <c r="C530">
        <v>2020</v>
      </c>
      <c r="D530">
        <v>8</v>
      </c>
      <c r="E530" s="2" t="s">
        <v>123</v>
      </c>
      <c r="F530" s="2" t="s">
        <v>124</v>
      </c>
      <c r="G530" s="2" t="s">
        <v>21</v>
      </c>
      <c r="H530" s="2" t="s">
        <v>22</v>
      </c>
      <c r="I530" s="2" t="s">
        <v>73</v>
      </c>
      <c r="J530" s="2" t="s">
        <v>24</v>
      </c>
      <c r="K530">
        <v>765.64</v>
      </c>
      <c r="L530">
        <v>29309.85</v>
      </c>
      <c r="M530">
        <v>3828.15</v>
      </c>
      <c r="N530" s="2" t="s">
        <v>125</v>
      </c>
      <c r="O530" s="2" t="s">
        <v>126</v>
      </c>
      <c r="P530" s="2" t="s">
        <v>1251</v>
      </c>
      <c r="Q530" s="2" t="s">
        <v>1252</v>
      </c>
      <c r="R530" s="2" t="s">
        <v>29</v>
      </c>
      <c r="S530" s="2" t="s">
        <v>30</v>
      </c>
    </row>
    <row r="531" spans="1:19">
      <c r="A531" s="1">
        <v>44044</v>
      </c>
      <c r="B531" s="1">
        <v>44044</v>
      </c>
      <c r="C531">
        <v>2020</v>
      </c>
      <c r="D531">
        <v>8</v>
      </c>
      <c r="E531" s="2" t="s">
        <v>129</v>
      </c>
      <c r="F531" s="2" t="s">
        <v>130</v>
      </c>
      <c r="G531" s="2" t="s">
        <v>21</v>
      </c>
      <c r="H531" s="2" t="s">
        <v>22</v>
      </c>
      <c r="I531" s="2" t="s">
        <v>73</v>
      </c>
      <c r="J531" s="2" t="s">
        <v>24</v>
      </c>
      <c r="K531">
        <v>659.47</v>
      </c>
      <c r="L531">
        <v>21001.15</v>
      </c>
      <c r="M531">
        <v>3184.55</v>
      </c>
      <c r="N531" s="2" t="s">
        <v>131</v>
      </c>
      <c r="O531" s="2" t="s">
        <v>132</v>
      </c>
      <c r="P531" s="2" t="s">
        <v>1253</v>
      </c>
      <c r="Q531" s="2" t="s">
        <v>1254</v>
      </c>
      <c r="R531" s="2" t="s">
        <v>29</v>
      </c>
      <c r="S531" s="2" t="s">
        <v>30</v>
      </c>
    </row>
    <row r="532" spans="1:19">
      <c r="A532" s="1">
        <v>44044</v>
      </c>
      <c r="B532" s="1">
        <v>44044</v>
      </c>
      <c r="C532">
        <v>2020</v>
      </c>
      <c r="D532">
        <v>8</v>
      </c>
      <c r="E532" s="2" t="s">
        <v>135</v>
      </c>
      <c r="F532" s="2" t="s">
        <v>136</v>
      </c>
      <c r="G532" s="2" t="s">
        <v>21</v>
      </c>
      <c r="H532" s="2" t="s">
        <v>22</v>
      </c>
      <c r="I532" s="2" t="s">
        <v>73</v>
      </c>
      <c r="J532" s="2" t="s">
        <v>101</v>
      </c>
      <c r="K532">
        <v>1425.11</v>
      </c>
      <c r="L532">
        <v>50311</v>
      </c>
      <c r="M532">
        <v>3530.32</v>
      </c>
      <c r="N532" s="2" t="s">
        <v>137</v>
      </c>
      <c r="O532" s="2" t="s">
        <v>138</v>
      </c>
      <c r="P532" s="2" t="s">
        <v>1255</v>
      </c>
      <c r="Q532" s="2" t="s">
        <v>1256</v>
      </c>
      <c r="R532" s="2" t="s">
        <v>29</v>
      </c>
      <c r="S532" s="2" t="s">
        <v>30</v>
      </c>
    </row>
    <row r="533" spans="1:19">
      <c r="A533" s="1">
        <v>44044</v>
      </c>
      <c r="B533" s="1">
        <v>44044</v>
      </c>
      <c r="C533">
        <v>2020</v>
      </c>
      <c r="D533">
        <v>8</v>
      </c>
      <c r="E533" s="2" t="s">
        <v>141</v>
      </c>
      <c r="F533" s="2" t="s">
        <v>142</v>
      </c>
      <c r="G533" s="2" t="s">
        <v>21</v>
      </c>
      <c r="H533" s="2" t="s">
        <v>22</v>
      </c>
      <c r="I533" s="2" t="s">
        <v>73</v>
      </c>
      <c r="J533" s="2" t="s">
        <v>24</v>
      </c>
      <c r="K533">
        <v>1741.95</v>
      </c>
      <c r="L533">
        <v>25245.35</v>
      </c>
      <c r="M533">
        <v>1449.26</v>
      </c>
      <c r="N533" s="2" t="s">
        <v>143</v>
      </c>
      <c r="O533" s="2" t="s">
        <v>144</v>
      </c>
      <c r="P533" s="2" t="s">
        <v>1257</v>
      </c>
      <c r="Q533" s="2" t="s">
        <v>1258</v>
      </c>
      <c r="R533" s="2" t="s">
        <v>29</v>
      </c>
      <c r="S533" s="2" t="s">
        <v>30</v>
      </c>
    </row>
    <row r="534" spans="1:19">
      <c r="A534" s="1">
        <v>44044</v>
      </c>
      <c r="B534" s="1">
        <v>44044</v>
      </c>
      <c r="C534">
        <v>2020</v>
      </c>
      <c r="D534">
        <v>8</v>
      </c>
      <c r="E534" s="2" t="s">
        <v>147</v>
      </c>
      <c r="F534" s="2" t="s">
        <v>148</v>
      </c>
      <c r="G534" s="2" t="s">
        <v>21</v>
      </c>
      <c r="H534" s="2" t="s">
        <v>22</v>
      </c>
      <c r="I534" s="2" t="s">
        <v>73</v>
      </c>
      <c r="J534" s="2" t="s">
        <v>24</v>
      </c>
      <c r="K534">
        <v>1647.47</v>
      </c>
      <c r="L534">
        <v>29524.720000000001</v>
      </c>
      <c r="M534">
        <v>1792.12</v>
      </c>
      <c r="N534" s="2" t="s">
        <v>149</v>
      </c>
      <c r="O534" s="2" t="s">
        <v>150</v>
      </c>
      <c r="P534" s="2" t="s">
        <v>1259</v>
      </c>
      <c r="Q534" s="2" t="s">
        <v>1260</v>
      </c>
      <c r="R534" s="2" t="s">
        <v>29</v>
      </c>
      <c r="S534" s="2" t="s">
        <v>30</v>
      </c>
    </row>
    <row r="535" spans="1:19">
      <c r="A535" s="1">
        <v>44044</v>
      </c>
      <c r="B535" s="1">
        <v>44044</v>
      </c>
      <c r="C535">
        <v>2020</v>
      </c>
      <c r="D535">
        <v>8</v>
      </c>
      <c r="E535" s="2" t="s">
        <v>153</v>
      </c>
      <c r="F535" s="2" t="s">
        <v>154</v>
      </c>
      <c r="G535" s="2" t="s">
        <v>21</v>
      </c>
      <c r="H535" s="2" t="s">
        <v>22</v>
      </c>
      <c r="I535" s="2" t="s">
        <v>73</v>
      </c>
      <c r="J535" s="2" t="s">
        <v>101</v>
      </c>
      <c r="K535">
        <v>3389.42</v>
      </c>
      <c r="L535">
        <v>54770.07</v>
      </c>
      <c r="M535">
        <v>1615.91</v>
      </c>
      <c r="N535" s="2" t="s">
        <v>155</v>
      </c>
      <c r="O535" s="2" t="s">
        <v>156</v>
      </c>
      <c r="P535" s="2" t="s">
        <v>1261</v>
      </c>
      <c r="Q535" s="2" t="s">
        <v>1262</v>
      </c>
      <c r="R535" s="2" t="s">
        <v>29</v>
      </c>
      <c r="S535" s="2" t="s">
        <v>30</v>
      </c>
    </row>
    <row r="536" spans="1:19">
      <c r="A536" s="1">
        <v>44044</v>
      </c>
      <c r="B536" s="1">
        <v>44044</v>
      </c>
      <c r="C536">
        <v>2020</v>
      </c>
      <c r="D536">
        <v>8</v>
      </c>
      <c r="E536" s="2" t="s">
        <v>159</v>
      </c>
      <c r="F536" s="2" t="s">
        <v>160</v>
      </c>
      <c r="G536" s="2" t="s">
        <v>21</v>
      </c>
      <c r="H536" s="2" t="s">
        <v>22</v>
      </c>
      <c r="I536" s="2" t="s">
        <v>66</v>
      </c>
      <c r="J536" s="2" t="s">
        <v>59</v>
      </c>
      <c r="K536">
        <v>857.28</v>
      </c>
      <c r="L536">
        <v>67146.350000000006</v>
      </c>
      <c r="M536">
        <v>7832.49</v>
      </c>
      <c r="N536" s="2" t="s">
        <v>161</v>
      </c>
      <c r="O536" s="2" t="s">
        <v>162</v>
      </c>
      <c r="P536" s="2" t="s">
        <v>1263</v>
      </c>
      <c r="Q536" s="2" t="s">
        <v>1264</v>
      </c>
      <c r="R536" s="2" t="s">
        <v>29</v>
      </c>
      <c r="S536" s="2" t="s">
        <v>30</v>
      </c>
    </row>
    <row r="537" spans="1:19">
      <c r="A537" s="1">
        <v>44044</v>
      </c>
      <c r="B537" s="1">
        <v>44044</v>
      </c>
      <c r="C537">
        <v>2020</v>
      </c>
      <c r="D537">
        <v>8</v>
      </c>
      <c r="E537" s="2" t="s">
        <v>165</v>
      </c>
      <c r="F537" s="2" t="s">
        <v>166</v>
      </c>
      <c r="G537" s="2" t="s">
        <v>21</v>
      </c>
      <c r="H537" s="2" t="s">
        <v>22</v>
      </c>
      <c r="I537" s="2" t="s">
        <v>23</v>
      </c>
      <c r="J537" s="2" t="s">
        <v>24</v>
      </c>
      <c r="K537">
        <v>0</v>
      </c>
      <c r="L537">
        <v>0</v>
      </c>
      <c r="N537" s="2" t="s">
        <v>167</v>
      </c>
      <c r="O537" s="2" t="s">
        <v>168</v>
      </c>
      <c r="P537" s="2" t="s">
        <v>639</v>
      </c>
      <c r="Q537" s="2" t="s">
        <v>639</v>
      </c>
      <c r="R537" s="2" t="s">
        <v>29</v>
      </c>
      <c r="S537" s="2" t="s">
        <v>30</v>
      </c>
    </row>
    <row r="538" spans="1:19">
      <c r="A538" s="1">
        <v>44044</v>
      </c>
      <c r="B538" s="1">
        <v>44044</v>
      </c>
      <c r="C538">
        <v>2020</v>
      </c>
      <c r="D538">
        <v>8</v>
      </c>
      <c r="E538" s="2" t="s">
        <v>171</v>
      </c>
      <c r="F538" s="2" t="s">
        <v>172</v>
      </c>
      <c r="G538" s="2" t="s">
        <v>21</v>
      </c>
      <c r="H538" s="2" t="s">
        <v>22</v>
      </c>
      <c r="I538" s="2" t="s">
        <v>66</v>
      </c>
      <c r="J538" s="2" t="s">
        <v>24</v>
      </c>
      <c r="N538" s="2" t="s">
        <v>173</v>
      </c>
      <c r="O538" s="2" t="s">
        <v>174</v>
      </c>
      <c r="P538" s="2" t="s">
        <v>175</v>
      </c>
      <c r="Q538" s="2" t="s">
        <v>175</v>
      </c>
      <c r="R538" s="2" t="s">
        <v>640</v>
      </c>
      <c r="S538" s="2" t="s">
        <v>641</v>
      </c>
    </row>
    <row r="539" spans="1:19">
      <c r="A539" s="1">
        <v>44044</v>
      </c>
      <c r="B539" s="1">
        <v>44044</v>
      </c>
      <c r="C539">
        <v>2020</v>
      </c>
      <c r="D539">
        <v>8</v>
      </c>
      <c r="E539" s="2" t="s">
        <v>177</v>
      </c>
      <c r="F539" s="2" t="s">
        <v>178</v>
      </c>
      <c r="G539" s="2" t="s">
        <v>21</v>
      </c>
      <c r="H539" s="2" t="s">
        <v>22</v>
      </c>
      <c r="I539" s="2" t="s">
        <v>23</v>
      </c>
      <c r="J539" s="2" t="s">
        <v>24</v>
      </c>
      <c r="K539">
        <v>2461.25</v>
      </c>
      <c r="L539">
        <v>235136.91</v>
      </c>
      <c r="M539">
        <v>9553.56</v>
      </c>
      <c r="N539" s="2" t="s">
        <v>179</v>
      </c>
      <c r="O539" s="2" t="s">
        <v>180</v>
      </c>
      <c r="P539" s="2" t="s">
        <v>1265</v>
      </c>
      <c r="Q539" s="2" t="s">
        <v>1266</v>
      </c>
      <c r="R539" s="2" t="s">
        <v>29</v>
      </c>
      <c r="S539" s="2" t="s">
        <v>30</v>
      </c>
    </row>
    <row r="540" spans="1:19">
      <c r="A540" s="1">
        <v>44044</v>
      </c>
      <c r="B540" s="1">
        <v>44044</v>
      </c>
      <c r="C540">
        <v>2020</v>
      </c>
      <c r="D540">
        <v>8</v>
      </c>
      <c r="E540" s="2" t="s">
        <v>183</v>
      </c>
      <c r="F540" s="2" t="s">
        <v>184</v>
      </c>
      <c r="G540" s="2" t="s">
        <v>185</v>
      </c>
      <c r="H540" s="2" t="s">
        <v>22</v>
      </c>
      <c r="I540" s="2" t="s">
        <v>186</v>
      </c>
      <c r="J540" s="2" t="s">
        <v>24</v>
      </c>
      <c r="K540">
        <v>2261.4499999999998</v>
      </c>
      <c r="L540">
        <v>1832837.37</v>
      </c>
      <c r="M540">
        <v>81047</v>
      </c>
      <c r="N540" s="2" t="s">
        <v>187</v>
      </c>
      <c r="O540" s="2" t="s">
        <v>188</v>
      </c>
      <c r="P540" s="2" t="s">
        <v>1267</v>
      </c>
      <c r="Q540" s="2" t="s">
        <v>1268</v>
      </c>
      <c r="R540" s="2" t="s">
        <v>29</v>
      </c>
      <c r="S540" s="2" t="s">
        <v>30</v>
      </c>
    </row>
    <row r="541" spans="1:19">
      <c r="A541" s="1">
        <v>44044</v>
      </c>
      <c r="B541" s="1">
        <v>44044</v>
      </c>
      <c r="C541">
        <v>2020</v>
      </c>
      <c r="D541">
        <v>8</v>
      </c>
      <c r="E541" s="2" t="s">
        <v>191</v>
      </c>
      <c r="F541" s="2" t="s">
        <v>192</v>
      </c>
      <c r="G541" s="2" t="s">
        <v>185</v>
      </c>
      <c r="H541" s="2" t="s">
        <v>22</v>
      </c>
      <c r="I541" s="2" t="s">
        <v>186</v>
      </c>
      <c r="J541" s="2" t="s">
        <v>24</v>
      </c>
      <c r="K541">
        <v>670.88</v>
      </c>
      <c r="L541">
        <v>3239825.45</v>
      </c>
      <c r="M541">
        <v>482921.75</v>
      </c>
      <c r="N541" s="2" t="s">
        <v>193</v>
      </c>
      <c r="O541" s="2" t="s">
        <v>194</v>
      </c>
      <c r="P541" s="2" t="s">
        <v>1269</v>
      </c>
      <c r="Q541" s="2" t="s">
        <v>1270</v>
      </c>
      <c r="R541" s="2" t="s">
        <v>29</v>
      </c>
      <c r="S541" s="2" t="s">
        <v>30</v>
      </c>
    </row>
    <row r="542" spans="1:19">
      <c r="A542" s="1">
        <v>44044</v>
      </c>
      <c r="B542" s="1">
        <v>44044</v>
      </c>
      <c r="C542">
        <v>2020</v>
      </c>
      <c r="D542">
        <v>8</v>
      </c>
      <c r="E542" s="2" t="s">
        <v>197</v>
      </c>
      <c r="F542" s="2" t="s">
        <v>198</v>
      </c>
      <c r="G542" s="2" t="s">
        <v>185</v>
      </c>
      <c r="H542" s="2" t="s">
        <v>22</v>
      </c>
      <c r="I542" s="2" t="s">
        <v>186</v>
      </c>
      <c r="J542" s="2" t="s">
        <v>59</v>
      </c>
      <c r="K542">
        <v>2932.34</v>
      </c>
      <c r="L542">
        <v>5072662.83</v>
      </c>
      <c r="M542">
        <v>172990.27</v>
      </c>
      <c r="N542" s="2" t="s">
        <v>199</v>
      </c>
      <c r="O542" s="2" t="s">
        <v>200</v>
      </c>
      <c r="P542" s="2" t="s">
        <v>1271</v>
      </c>
      <c r="Q542" s="2" t="s">
        <v>1272</v>
      </c>
      <c r="R542" s="2" t="s">
        <v>29</v>
      </c>
      <c r="S542" s="2" t="s">
        <v>30</v>
      </c>
    </row>
    <row r="543" spans="1:19">
      <c r="A543" s="1">
        <v>44044</v>
      </c>
      <c r="B543" s="1">
        <v>44044</v>
      </c>
      <c r="C543">
        <v>2020</v>
      </c>
      <c r="D543">
        <v>8</v>
      </c>
      <c r="E543" s="2" t="s">
        <v>203</v>
      </c>
      <c r="F543" s="2" t="s">
        <v>204</v>
      </c>
      <c r="G543" s="2" t="s">
        <v>39</v>
      </c>
      <c r="H543" s="2" t="s">
        <v>22</v>
      </c>
      <c r="I543" s="2" t="s">
        <v>40</v>
      </c>
      <c r="J543" s="2" t="s">
        <v>24</v>
      </c>
      <c r="K543">
        <v>814.3</v>
      </c>
      <c r="L543">
        <v>19512.849999999999</v>
      </c>
      <c r="M543">
        <v>2396.27</v>
      </c>
      <c r="N543" s="2" t="s">
        <v>205</v>
      </c>
      <c r="O543" s="2" t="s">
        <v>206</v>
      </c>
      <c r="P543" s="2" t="s">
        <v>1273</v>
      </c>
      <c r="Q543" s="2" t="s">
        <v>1274</v>
      </c>
      <c r="R543" s="2" t="s">
        <v>29</v>
      </c>
      <c r="S543" s="2" t="s">
        <v>30</v>
      </c>
    </row>
    <row r="544" spans="1:19">
      <c r="A544" s="1">
        <v>44044</v>
      </c>
      <c r="B544" s="1">
        <v>44044</v>
      </c>
      <c r="C544">
        <v>2020</v>
      </c>
      <c r="D544">
        <v>8</v>
      </c>
      <c r="E544" s="2" t="s">
        <v>209</v>
      </c>
      <c r="F544" s="2" t="s">
        <v>210</v>
      </c>
      <c r="G544" s="2" t="s">
        <v>39</v>
      </c>
      <c r="H544" s="2" t="s">
        <v>22</v>
      </c>
      <c r="I544" s="2" t="s">
        <v>40</v>
      </c>
      <c r="J544" s="2" t="s">
        <v>59</v>
      </c>
      <c r="K544">
        <v>814.3</v>
      </c>
      <c r="L544">
        <v>19512.849999999999</v>
      </c>
      <c r="M544">
        <v>2396.27</v>
      </c>
      <c r="N544" s="2" t="s">
        <v>211</v>
      </c>
      <c r="O544" s="2" t="s">
        <v>212</v>
      </c>
      <c r="P544" s="2" t="s">
        <v>1273</v>
      </c>
      <c r="Q544" s="2" t="s">
        <v>1274</v>
      </c>
      <c r="R544" s="2" t="s">
        <v>29</v>
      </c>
      <c r="S544" s="2" t="s">
        <v>30</v>
      </c>
    </row>
    <row r="545" spans="1:19">
      <c r="A545" s="1">
        <v>44044</v>
      </c>
      <c r="B545" s="1">
        <v>44044</v>
      </c>
      <c r="C545">
        <v>2020</v>
      </c>
      <c r="D545">
        <v>8</v>
      </c>
      <c r="E545" s="2" t="s">
        <v>213</v>
      </c>
      <c r="F545" s="2" t="s">
        <v>214</v>
      </c>
      <c r="G545" s="2" t="s">
        <v>185</v>
      </c>
      <c r="H545" s="2" t="s">
        <v>22</v>
      </c>
      <c r="I545" s="2" t="s">
        <v>215</v>
      </c>
      <c r="J545" s="2" t="s">
        <v>24</v>
      </c>
      <c r="K545">
        <v>18226.05</v>
      </c>
      <c r="L545">
        <v>538130.07999999996</v>
      </c>
      <c r="M545">
        <v>2952.53</v>
      </c>
      <c r="N545" s="2" t="s">
        <v>216</v>
      </c>
      <c r="O545" s="2" t="s">
        <v>217</v>
      </c>
      <c r="P545" s="2" t="s">
        <v>1275</v>
      </c>
      <c r="Q545" s="2" t="s">
        <v>1276</v>
      </c>
      <c r="R545" s="2" t="s">
        <v>29</v>
      </c>
      <c r="S545" s="2" t="s">
        <v>30</v>
      </c>
    </row>
    <row r="546" spans="1:19">
      <c r="A546" s="1">
        <v>44044</v>
      </c>
      <c r="B546" s="1">
        <v>44044</v>
      </c>
      <c r="C546">
        <v>2020</v>
      </c>
      <c r="D546">
        <v>8</v>
      </c>
      <c r="E546" s="2" t="s">
        <v>220</v>
      </c>
      <c r="F546" s="2" t="s">
        <v>221</v>
      </c>
      <c r="G546" s="2" t="s">
        <v>185</v>
      </c>
      <c r="H546" s="2" t="s">
        <v>22</v>
      </c>
      <c r="I546" s="2" t="s">
        <v>215</v>
      </c>
      <c r="J546" s="2" t="s">
        <v>24</v>
      </c>
      <c r="K546">
        <v>1736.72</v>
      </c>
      <c r="L546">
        <v>140147.98000000001</v>
      </c>
      <c r="M546">
        <v>8069.69</v>
      </c>
      <c r="N546" s="2" t="s">
        <v>222</v>
      </c>
      <c r="O546" s="2" t="s">
        <v>223</v>
      </c>
      <c r="P546" s="2" t="s">
        <v>1277</v>
      </c>
      <c r="Q546" s="2" t="s">
        <v>1278</v>
      </c>
      <c r="R546" s="2" t="s">
        <v>29</v>
      </c>
      <c r="S546" s="2" t="s">
        <v>30</v>
      </c>
    </row>
    <row r="547" spans="1:19">
      <c r="A547" s="1">
        <v>44044</v>
      </c>
      <c r="B547" s="1">
        <v>44044</v>
      </c>
      <c r="C547">
        <v>2020</v>
      </c>
      <c r="D547">
        <v>8</v>
      </c>
      <c r="E547" s="2" t="s">
        <v>226</v>
      </c>
      <c r="F547" s="2" t="s">
        <v>227</v>
      </c>
      <c r="G547" s="2" t="s">
        <v>185</v>
      </c>
      <c r="H547" s="2" t="s">
        <v>22</v>
      </c>
      <c r="I547" s="2" t="s">
        <v>215</v>
      </c>
      <c r="J547" s="2" t="s">
        <v>59</v>
      </c>
      <c r="K547">
        <v>19962.77</v>
      </c>
      <c r="L547">
        <v>678278.06</v>
      </c>
      <c r="M547">
        <v>3397.72</v>
      </c>
      <c r="N547" s="2" t="s">
        <v>228</v>
      </c>
      <c r="O547" s="2" t="s">
        <v>229</v>
      </c>
      <c r="P547" s="2" t="s">
        <v>1279</v>
      </c>
      <c r="Q547" s="2" t="s">
        <v>1280</v>
      </c>
      <c r="R547" s="2" t="s">
        <v>29</v>
      </c>
      <c r="S547" s="2" t="s">
        <v>30</v>
      </c>
    </row>
    <row r="548" spans="1:19">
      <c r="A548" s="1">
        <v>44044</v>
      </c>
      <c r="B548" s="1">
        <v>44044</v>
      </c>
      <c r="C548">
        <v>2020</v>
      </c>
      <c r="D548">
        <v>8</v>
      </c>
      <c r="E548" s="2" t="s">
        <v>232</v>
      </c>
      <c r="F548" s="2" t="s">
        <v>233</v>
      </c>
      <c r="G548" s="2" t="s">
        <v>21</v>
      </c>
      <c r="H548" s="2" t="s">
        <v>22</v>
      </c>
      <c r="I548" s="2" t="s">
        <v>23</v>
      </c>
      <c r="J548" s="2" t="s">
        <v>24</v>
      </c>
      <c r="K548">
        <v>1775.28</v>
      </c>
      <c r="L548">
        <v>84523.11</v>
      </c>
      <c r="M548">
        <v>4761.1099999999997</v>
      </c>
      <c r="N548" s="2" t="s">
        <v>234</v>
      </c>
      <c r="O548" s="2" t="s">
        <v>235</v>
      </c>
      <c r="P548" s="2" t="s">
        <v>1281</v>
      </c>
      <c r="Q548" s="2" t="s">
        <v>1282</v>
      </c>
      <c r="R548" s="2" t="s">
        <v>29</v>
      </c>
      <c r="S548" s="2" t="s">
        <v>30</v>
      </c>
    </row>
    <row r="549" spans="1:19">
      <c r="A549" s="1">
        <v>44044</v>
      </c>
      <c r="B549" s="1">
        <v>44044</v>
      </c>
      <c r="C549">
        <v>2020</v>
      </c>
      <c r="D549">
        <v>8</v>
      </c>
      <c r="E549" s="2" t="s">
        <v>238</v>
      </c>
      <c r="F549" s="2" t="s">
        <v>239</v>
      </c>
      <c r="G549" s="2" t="s">
        <v>21</v>
      </c>
      <c r="H549" s="2" t="s">
        <v>22</v>
      </c>
      <c r="I549" s="2" t="s">
        <v>66</v>
      </c>
      <c r="J549" s="2" t="s">
        <v>24</v>
      </c>
      <c r="K549">
        <v>791.81</v>
      </c>
      <c r="L549">
        <v>66830.179999999993</v>
      </c>
      <c r="M549">
        <v>8440.18</v>
      </c>
      <c r="N549" s="2" t="s">
        <v>240</v>
      </c>
      <c r="O549" s="2" t="s">
        <v>241</v>
      </c>
      <c r="P549" s="2" t="s">
        <v>1283</v>
      </c>
      <c r="Q549" s="2" t="s">
        <v>1284</v>
      </c>
      <c r="R549" s="2" t="s">
        <v>29</v>
      </c>
      <c r="S549" s="2" t="s">
        <v>30</v>
      </c>
    </row>
    <row r="550" spans="1:19">
      <c r="A550" s="1">
        <v>44044</v>
      </c>
      <c r="B550" s="1">
        <v>44044</v>
      </c>
      <c r="C550">
        <v>2020</v>
      </c>
      <c r="D550">
        <v>8</v>
      </c>
      <c r="E550" s="2" t="s">
        <v>244</v>
      </c>
      <c r="F550" s="2" t="s">
        <v>245</v>
      </c>
      <c r="G550" s="2" t="s">
        <v>21</v>
      </c>
      <c r="H550" s="2" t="s">
        <v>22</v>
      </c>
      <c r="I550" s="2" t="s">
        <v>23</v>
      </c>
      <c r="J550" s="2" t="s">
        <v>24</v>
      </c>
      <c r="K550">
        <v>2346.09</v>
      </c>
      <c r="L550">
        <v>1930552.38</v>
      </c>
      <c r="M550">
        <v>82288.08</v>
      </c>
      <c r="N550" s="2" t="s">
        <v>246</v>
      </c>
      <c r="O550" s="2" t="s">
        <v>247</v>
      </c>
      <c r="P550" s="2" t="s">
        <v>1285</v>
      </c>
      <c r="Q550" s="2" t="s">
        <v>1286</v>
      </c>
      <c r="R550" s="2" t="s">
        <v>29</v>
      </c>
      <c r="S550" s="2" t="s">
        <v>30</v>
      </c>
    </row>
    <row r="551" spans="1:19">
      <c r="A551" s="1">
        <v>44044</v>
      </c>
      <c r="B551" s="1">
        <v>44044</v>
      </c>
      <c r="C551">
        <v>2020</v>
      </c>
      <c r="D551">
        <v>8</v>
      </c>
      <c r="E551" s="2" t="s">
        <v>250</v>
      </c>
      <c r="F551" s="2" t="s">
        <v>251</v>
      </c>
      <c r="G551" s="2" t="s">
        <v>21</v>
      </c>
      <c r="H551" s="2" t="s">
        <v>22</v>
      </c>
      <c r="I551" s="2" t="s">
        <v>66</v>
      </c>
      <c r="J551" s="2" t="s">
        <v>24</v>
      </c>
      <c r="K551">
        <v>45.96</v>
      </c>
      <c r="L551">
        <v>63.14</v>
      </c>
      <c r="M551">
        <v>137.38</v>
      </c>
      <c r="N551" s="2" t="s">
        <v>252</v>
      </c>
      <c r="O551" s="2" t="s">
        <v>253</v>
      </c>
      <c r="P551" s="2" t="s">
        <v>1287</v>
      </c>
      <c r="Q551" s="2" t="s">
        <v>1288</v>
      </c>
      <c r="R551" s="2" t="s">
        <v>29</v>
      </c>
      <c r="S551" s="2" t="s">
        <v>30</v>
      </c>
    </row>
    <row r="552" spans="1:19">
      <c r="A552" s="1">
        <v>44044</v>
      </c>
      <c r="B552" s="1">
        <v>44044</v>
      </c>
      <c r="C552">
        <v>2020</v>
      </c>
      <c r="D552">
        <v>8</v>
      </c>
      <c r="E552" s="2" t="s">
        <v>256</v>
      </c>
      <c r="F552" s="2" t="s">
        <v>257</v>
      </c>
      <c r="G552" s="2" t="s">
        <v>21</v>
      </c>
      <c r="H552" s="2" t="s">
        <v>22</v>
      </c>
      <c r="I552" s="2" t="s">
        <v>258</v>
      </c>
      <c r="J552" s="2" t="s">
        <v>24</v>
      </c>
      <c r="K552">
        <v>519.73</v>
      </c>
      <c r="L552">
        <v>425251.61</v>
      </c>
      <c r="M552">
        <v>81821.64</v>
      </c>
      <c r="N552" s="2" t="s">
        <v>259</v>
      </c>
      <c r="O552" s="2" t="s">
        <v>260</v>
      </c>
      <c r="P552" s="2" t="s">
        <v>1289</v>
      </c>
      <c r="Q552" s="2" t="s">
        <v>1290</v>
      </c>
      <c r="R552" s="2" t="s">
        <v>29</v>
      </c>
      <c r="S552" s="2" t="s">
        <v>30</v>
      </c>
    </row>
    <row r="553" spans="1:19">
      <c r="A553" s="1">
        <v>44044</v>
      </c>
      <c r="B553" s="1">
        <v>44044</v>
      </c>
      <c r="C553">
        <v>2020</v>
      </c>
      <c r="D553">
        <v>8</v>
      </c>
      <c r="E553" s="2" t="s">
        <v>263</v>
      </c>
      <c r="F553" s="2" t="s">
        <v>264</v>
      </c>
      <c r="G553" s="2" t="s">
        <v>21</v>
      </c>
      <c r="H553" s="2" t="s">
        <v>22</v>
      </c>
      <c r="I553" s="2" t="s">
        <v>258</v>
      </c>
      <c r="J553" s="2" t="s">
        <v>24</v>
      </c>
      <c r="K553">
        <v>0.11</v>
      </c>
      <c r="L553">
        <v>210.01</v>
      </c>
      <c r="M553">
        <v>190918.18</v>
      </c>
      <c r="N553" s="2" t="s">
        <v>265</v>
      </c>
      <c r="O553" s="2" t="s">
        <v>266</v>
      </c>
      <c r="P553" s="2" t="s">
        <v>1291</v>
      </c>
      <c r="Q553" s="2" t="s">
        <v>1292</v>
      </c>
      <c r="R553" s="2" t="s">
        <v>29</v>
      </c>
      <c r="S553" s="2" t="s">
        <v>30</v>
      </c>
    </row>
    <row r="554" spans="1:19">
      <c r="A554" s="1">
        <v>44044</v>
      </c>
      <c r="B554" s="1">
        <v>44044</v>
      </c>
      <c r="C554">
        <v>2020</v>
      </c>
      <c r="D554">
        <v>8</v>
      </c>
      <c r="E554" s="2" t="s">
        <v>269</v>
      </c>
      <c r="F554" s="2" t="s">
        <v>270</v>
      </c>
      <c r="G554" s="2" t="s">
        <v>21</v>
      </c>
      <c r="H554" s="2" t="s">
        <v>22</v>
      </c>
      <c r="I554" s="2" t="s">
        <v>258</v>
      </c>
      <c r="J554" s="2" t="s">
        <v>59</v>
      </c>
      <c r="K554">
        <v>519.84</v>
      </c>
      <c r="L554">
        <v>425461.62</v>
      </c>
      <c r="M554">
        <v>81844.73</v>
      </c>
      <c r="N554" s="2" t="s">
        <v>271</v>
      </c>
      <c r="O554" s="2" t="s">
        <v>272</v>
      </c>
      <c r="P554" s="2" t="s">
        <v>1293</v>
      </c>
      <c r="Q554" s="2" t="s">
        <v>1294</v>
      </c>
      <c r="R554" s="2" t="s">
        <v>29</v>
      </c>
      <c r="S554" s="2" t="s">
        <v>30</v>
      </c>
    </row>
    <row r="555" spans="1:19">
      <c r="A555" s="1">
        <v>44044</v>
      </c>
      <c r="B555" s="1">
        <v>44044</v>
      </c>
      <c r="C555">
        <v>2020</v>
      </c>
      <c r="D555">
        <v>8</v>
      </c>
      <c r="E555" s="2" t="s">
        <v>275</v>
      </c>
      <c r="F555" s="2" t="s">
        <v>276</v>
      </c>
      <c r="G555" s="2" t="s">
        <v>39</v>
      </c>
      <c r="H555" s="2" t="s">
        <v>22</v>
      </c>
      <c r="I555" s="2" t="s">
        <v>40</v>
      </c>
      <c r="J555" s="2" t="s">
        <v>24</v>
      </c>
      <c r="K555">
        <v>27.89</v>
      </c>
      <c r="L555">
        <v>128.62</v>
      </c>
      <c r="M555">
        <v>461.17</v>
      </c>
      <c r="N555" s="2" t="s">
        <v>277</v>
      </c>
      <c r="O555" s="2" t="s">
        <v>278</v>
      </c>
      <c r="P555" s="2" t="s">
        <v>1295</v>
      </c>
      <c r="Q555" s="2" t="s">
        <v>1296</v>
      </c>
      <c r="R555" s="2" t="s">
        <v>29</v>
      </c>
      <c r="S555" s="2" t="s">
        <v>30</v>
      </c>
    </row>
    <row r="556" spans="1:19">
      <c r="A556" s="1">
        <v>44044</v>
      </c>
      <c r="B556" s="1">
        <v>44044</v>
      </c>
      <c r="C556">
        <v>2020</v>
      </c>
      <c r="D556">
        <v>8</v>
      </c>
      <c r="E556" s="2" t="s">
        <v>281</v>
      </c>
      <c r="F556" s="2" t="s">
        <v>282</v>
      </c>
      <c r="G556" s="2" t="s">
        <v>39</v>
      </c>
      <c r="H556" s="2" t="s">
        <v>22</v>
      </c>
      <c r="I556" s="2" t="s">
        <v>40</v>
      </c>
      <c r="J556" s="2" t="s">
        <v>24</v>
      </c>
      <c r="K556">
        <v>4.5999999999999996</v>
      </c>
      <c r="L556">
        <v>4.92</v>
      </c>
      <c r="M556">
        <v>106.96</v>
      </c>
      <c r="N556" s="2" t="s">
        <v>283</v>
      </c>
      <c r="O556" s="2" t="s">
        <v>284</v>
      </c>
      <c r="P556" s="2" t="s">
        <v>1297</v>
      </c>
      <c r="Q556" s="2" t="s">
        <v>1298</v>
      </c>
      <c r="R556" s="2" t="s">
        <v>29</v>
      </c>
      <c r="S556" s="2" t="s">
        <v>30</v>
      </c>
    </row>
    <row r="557" spans="1:19">
      <c r="A557" s="1">
        <v>44044</v>
      </c>
      <c r="B557" s="1">
        <v>44044</v>
      </c>
      <c r="C557">
        <v>2020</v>
      </c>
      <c r="D557">
        <v>8</v>
      </c>
      <c r="E557" s="2" t="s">
        <v>287</v>
      </c>
      <c r="F557" s="2" t="s">
        <v>288</v>
      </c>
      <c r="G557" s="2" t="s">
        <v>39</v>
      </c>
      <c r="H557" s="2" t="s">
        <v>22</v>
      </c>
      <c r="I557" s="2" t="s">
        <v>40</v>
      </c>
      <c r="J557" s="2" t="s">
        <v>59</v>
      </c>
      <c r="K557">
        <v>32.479999999999997</v>
      </c>
      <c r="L557">
        <v>133.54</v>
      </c>
      <c r="M557">
        <v>411.15</v>
      </c>
      <c r="N557" s="2" t="s">
        <v>289</v>
      </c>
      <c r="O557" s="2" t="s">
        <v>290</v>
      </c>
      <c r="P557" s="2" t="s">
        <v>1299</v>
      </c>
      <c r="Q557" s="2" t="s">
        <v>1300</v>
      </c>
      <c r="R557" s="2" t="s">
        <v>29</v>
      </c>
      <c r="S557" s="2" t="s">
        <v>30</v>
      </c>
    </row>
    <row r="558" spans="1:19">
      <c r="A558" s="1">
        <v>44044</v>
      </c>
      <c r="B558" s="1">
        <v>44044</v>
      </c>
      <c r="C558">
        <v>2020</v>
      </c>
      <c r="D558">
        <v>8</v>
      </c>
      <c r="E558" s="2" t="s">
        <v>293</v>
      </c>
      <c r="F558" s="2" t="s">
        <v>294</v>
      </c>
      <c r="G558" s="2" t="s">
        <v>21</v>
      </c>
      <c r="H558" s="2" t="s">
        <v>22</v>
      </c>
      <c r="I558" s="2" t="s">
        <v>295</v>
      </c>
      <c r="J558" s="2" t="s">
        <v>24</v>
      </c>
      <c r="K558">
        <v>906.39</v>
      </c>
      <c r="L558">
        <v>2335.3000000000002</v>
      </c>
      <c r="M558">
        <v>257.64999999999998</v>
      </c>
      <c r="N558" s="2" t="s">
        <v>296</v>
      </c>
      <c r="O558" s="2" t="s">
        <v>297</v>
      </c>
      <c r="P558" s="2" t="s">
        <v>1301</v>
      </c>
      <c r="Q558" s="2" t="s">
        <v>1302</v>
      </c>
      <c r="R558" s="2" t="s">
        <v>29</v>
      </c>
      <c r="S558" s="2" t="s">
        <v>30</v>
      </c>
    </row>
    <row r="559" spans="1:19">
      <c r="A559" s="1">
        <v>44044</v>
      </c>
      <c r="B559" s="1">
        <v>44044</v>
      </c>
      <c r="C559">
        <v>2020</v>
      </c>
      <c r="D559">
        <v>8</v>
      </c>
      <c r="E559" s="2" t="s">
        <v>300</v>
      </c>
      <c r="F559" s="2" t="s">
        <v>301</v>
      </c>
      <c r="G559" s="2" t="s">
        <v>21</v>
      </c>
      <c r="H559" s="2" t="s">
        <v>22</v>
      </c>
      <c r="I559" s="2" t="s">
        <v>295</v>
      </c>
      <c r="J559" s="2" t="s">
        <v>24</v>
      </c>
      <c r="K559">
        <v>29.2</v>
      </c>
      <c r="L559">
        <v>736.58</v>
      </c>
      <c r="M559">
        <v>2522.5300000000002</v>
      </c>
      <c r="N559" s="2" t="s">
        <v>302</v>
      </c>
      <c r="O559" s="2" t="s">
        <v>303</v>
      </c>
      <c r="P559" s="2" t="s">
        <v>1303</v>
      </c>
      <c r="Q559" s="2" t="s">
        <v>1304</v>
      </c>
      <c r="R559" s="2" t="s">
        <v>29</v>
      </c>
      <c r="S559" s="2" t="s">
        <v>30</v>
      </c>
    </row>
    <row r="560" spans="1:19">
      <c r="A560" s="1">
        <v>44044</v>
      </c>
      <c r="B560" s="1">
        <v>44044</v>
      </c>
      <c r="C560">
        <v>2020</v>
      </c>
      <c r="D560">
        <v>8</v>
      </c>
      <c r="E560" s="2" t="s">
        <v>306</v>
      </c>
      <c r="F560" s="2" t="s">
        <v>307</v>
      </c>
      <c r="G560" s="2" t="s">
        <v>21</v>
      </c>
      <c r="H560" s="2" t="s">
        <v>22</v>
      </c>
      <c r="I560" s="2" t="s">
        <v>295</v>
      </c>
      <c r="J560" s="2" t="s">
        <v>101</v>
      </c>
      <c r="K560">
        <v>935.59</v>
      </c>
      <c r="L560">
        <v>3071.87</v>
      </c>
      <c r="M560">
        <v>328.34</v>
      </c>
      <c r="N560" s="2" t="s">
        <v>308</v>
      </c>
      <c r="O560" s="2" t="s">
        <v>309</v>
      </c>
      <c r="P560" s="2" t="s">
        <v>1305</v>
      </c>
      <c r="Q560" s="2" t="s">
        <v>1306</v>
      </c>
      <c r="R560" s="2" t="s">
        <v>29</v>
      </c>
      <c r="S560" s="2" t="s">
        <v>30</v>
      </c>
    </row>
    <row r="561" spans="1:19">
      <c r="A561" s="1">
        <v>44044</v>
      </c>
      <c r="B561" s="1">
        <v>44044</v>
      </c>
      <c r="C561">
        <v>2020</v>
      </c>
      <c r="D561">
        <v>8</v>
      </c>
      <c r="E561" s="2" t="s">
        <v>312</v>
      </c>
      <c r="F561" s="2" t="s">
        <v>313</v>
      </c>
      <c r="G561" s="2" t="s">
        <v>21</v>
      </c>
      <c r="H561" s="2" t="s">
        <v>22</v>
      </c>
      <c r="I561" s="2" t="s">
        <v>295</v>
      </c>
      <c r="J561" s="2" t="s">
        <v>59</v>
      </c>
      <c r="K561">
        <v>4903.41</v>
      </c>
      <c r="L561">
        <v>16071.78</v>
      </c>
      <c r="M561">
        <v>327.77</v>
      </c>
      <c r="N561" s="2" t="s">
        <v>314</v>
      </c>
      <c r="O561" s="2" t="s">
        <v>315</v>
      </c>
      <c r="P561" s="2" t="s">
        <v>1307</v>
      </c>
      <c r="Q561" s="2" t="s">
        <v>1308</v>
      </c>
      <c r="R561" s="2" t="s">
        <v>29</v>
      </c>
      <c r="S561" s="2" t="s">
        <v>30</v>
      </c>
    </row>
    <row r="562" spans="1:19">
      <c r="A562" s="1">
        <v>44044</v>
      </c>
      <c r="B562" s="1">
        <v>44044</v>
      </c>
      <c r="C562">
        <v>2020</v>
      </c>
      <c r="D562">
        <v>8</v>
      </c>
      <c r="E562" s="2" t="s">
        <v>318</v>
      </c>
      <c r="F562" s="2" t="s">
        <v>319</v>
      </c>
      <c r="G562" s="2" t="s">
        <v>21</v>
      </c>
      <c r="H562" s="2" t="s">
        <v>22</v>
      </c>
      <c r="I562" s="2" t="s">
        <v>295</v>
      </c>
      <c r="J562" s="2" t="s">
        <v>24</v>
      </c>
      <c r="K562">
        <v>3967.82</v>
      </c>
      <c r="L562">
        <v>12999.91</v>
      </c>
      <c r="M562">
        <v>327.63</v>
      </c>
      <c r="N562" s="2" t="s">
        <v>320</v>
      </c>
      <c r="O562" s="2" t="s">
        <v>321</v>
      </c>
      <c r="P562" s="2" t="s">
        <v>1309</v>
      </c>
      <c r="Q562" s="2" t="s">
        <v>1310</v>
      </c>
      <c r="R562" s="2" t="s">
        <v>29</v>
      </c>
      <c r="S562" s="2" t="s">
        <v>30</v>
      </c>
    </row>
    <row r="563" spans="1:19">
      <c r="A563" s="1">
        <v>44044</v>
      </c>
      <c r="B563" s="1">
        <v>44044</v>
      </c>
      <c r="C563">
        <v>2020</v>
      </c>
      <c r="D563">
        <v>8</v>
      </c>
      <c r="E563" s="2" t="s">
        <v>324</v>
      </c>
      <c r="F563" s="2" t="s">
        <v>325</v>
      </c>
      <c r="G563" s="2" t="s">
        <v>21</v>
      </c>
      <c r="H563" s="2" t="s">
        <v>22</v>
      </c>
      <c r="I563" s="2" t="s">
        <v>23</v>
      </c>
      <c r="J563" s="2" t="s">
        <v>59</v>
      </c>
      <c r="K563">
        <v>23968.19</v>
      </c>
      <c r="L563">
        <v>2556879.38</v>
      </c>
      <c r="M563">
        <v>10667.8</v>
      </c>
      <c r="N563" s="2" t="s">
        <v>326</v>
      </c>
      <c r="O563" s="2" t="s">
        <v>327</v>
      </c>
      <c r="P563" s="2" t="s">
        <v>1311</v>
      </c>
      <c r="Q563" s="2" t="s">
        <v>1312</v>
      </c>
      <c r="R563" s="2" t="s">
        <v>29</v>
      </c>
      <c r="S563" s="2" t="s">
        <v>30</v>
      </c>
    </row>
    <row r="564" spans="1:19">
      <c r="A564" s="1">
        <v>44044</v>
      </c>
      <c r="B564" s="1">
        <v>44044</v>
      </c>
      <c r="C564">
        <v>2020</v>
      </c>
      <c r="D564">
        <v>8</v>
      </c>
      <c r="E564" s="2" t="s">
        <v>330</v>
      </c>
      <c r="F564" s="2" t="s">
        <v>331</v>
      </c>
      <c r="G564" s="2" t="s">
        <v>21</v>
      </c>
      <c r="H564" s="2" t="s">
        <v>332</v>
      </c>
      <c r="I564" s="2" t="s">
        <v>333</v>
      </c>
      <c r="J564" s="2" t="s">
        <v>24</v>
      </c>
      <c r="K564">
        <v>115.29</v>
      </c>
      <c r="L564">
        <v>6382551.7199999997</v>
      </c>
      <c r="M564">
        <v>5536084.4100000001</v>
      </c>
      <c r="N564" s="2" t="s">
        <v>334</v>
      </c>
      <c r="O564" s="2" t="s">
        <v>335</v>
      </c>
      <c r="P564" s="2" t="s">
        <v>1313</v>
      </c>
      <c r="Q564" s="2" t="s">
        <v>1314</v>
      </c>
      <c r="R564" s="2" t="s">
        <v>29</v>
      </c>
      <c r="S564" s="2" t="s">
        <v>30</v>
      </c>
    </row>
    <row r="565" spans="1:19">
      <c r="A565" s="1">
        <v>44044</v>
      </c>
      <c r="B565" s="1">
        <v>44044</v>
      </c>
      <c r="C565">
        <v>2020</v>
      </c>
      <c r="D565">
        <v>8</v>
      </c>
      <c r="E565" s="2" t="s">
        <v>338</v>
      </c>
      <c r="F565" s="2" t="s">
        <v>339</v>
      </c>
      <c r="G565" s="2" t="s">
        <v>21</v>
      </c>
      <c r="H565" s="2" t="s">
        <v>332</v>
      </c>
      <c r="I565" s="2" t="s">
        <v>333</v>
      </c>
      <c r="J565" s="2" t="s">
        <v>24</v>
      </c>
      <c r="K565">
        <v>1.49</v>
      </c>
      <c r="L565">
        <v>909827.97</v>
      </c>
      <c r="M565">
        <v>61062279.869999997</v>
      </c>
      <c r="N565" s="2" t="s">
        <v>340</v>
      </c>
      <c r="O565" s="2" t="s">
        <v>341</v>
      </c>
      <c r="P565" s="2" t="s">
        <v>1315</v>
      </c>
      <c r="Q565" s="2" t="s">
        <v>1316</v>
      </c>
      <c r="R565" s="2" t="s">
        <v>29</v>
      </c>
      <c r="S565" s="2" t="s">
        <v>30</v>
      </c>
    </row>
    <row r="566" spans="1:19">
      <c r="A566" s="1">
        <v>44044</v>
      </c>
      <c r="B566" s="1">
        <v>44044</v>
      </c>
      <c r="C566">
        <v>2020</v>
      </c>
      <c r="D566">
        <v>8</v>
      </c>
      <c r="E566" s="2" t="s">
        <v>344</v>
      </c>
      <c r="F566" s="2" t="s">
        <v>345</v>
      </c>
      <c r="G566" s="2" t="s">
        <v>21</v>
      </c>
      <c r="H566" s="2" t="s">
        <v>332</v>
      </c>
      <c r="I566" s="2" t="s">
        <v>333</v>
      </c>
      <c r="J566" s="2" t="s">
        <v>59</v>
      </c>
      <c r="K566">
        <v>116.77</v>
      </c>
      <c r="L566">
        <v>7292379.7000000002</v>
      </c>
      <c r="M566">
        <v>6245079.8200000003</v>
      </c>
      <c r="N566" s="2" t="s">
        <v>346</v>
      </c>
      <c r="O566" s="2" t="s">
        <v>347</v>
      </c>
      <c r="P566" s="2" t="s">
        <v>1317</v>
      </c>
      <c r="Q566" s="2" t="s">
        <v>1318</v>
      </c>
      <c r="R566" s="2" t="s">
        <v>29</v>
      </c>
      <c r="S566" s="2" t="s">
        <v>30</v>
      </c>
    </row>
    <row r="567" spans="1:19">
      <c r="A567" s="1">
        <v>44044</v>
      </c>
      <c r="B567" s="1">
        <v>44044</v>
      </c>
      <c r="C567">
        <v>2020</v>
      </c>
      <c r="D567">
        <v>8</v>
      </c>
      <c r="E567" s="2" t="s">
        <v>350</v>
      </c>
      <c r="F567" s="2" t="s">
        <v>351</v>
      </c>
      <c r="G567" s="2" t="s">
        <v>21</v>
      </c>
      <c r="H567" s="2" t="s">
        <v>22</v>
      </c>
      <c r="I567" s="2" t="s">
        <v>352</v>
      </c>
      <c r="J567" s="2" t="s">
        <v>353</v>
      </c>
      <c r="K567">
        <v>34660.18</v>
      </c>
      <c r="L567">
        <v>10037558.279999999</v>
      </c>
      <c r="M567">
        <v>28959.91</v>
      </c>
      <c r="N567" s="2" t="s">
        <v>354</v>
      </c>
      <c r="O567" s="2" t="s">
        <v>355</v>
      </c>
      <c r="P567" s="2" t="s">
        <v>1319</v>
      </c>
      <c r="Q567" s="2" t="s">
        <v>1320</v>
      </c>
      <c r="R567" s="2" t="s">
        <v>29</v>
      </c>
      <c r="S567" s="2" t="s">
        <v>30</v>
      </c>
    </row>
    <row r="568" spans="1:19">
      <c r="A568" s="1">
        <v>44044</v>
      </c>
      <c r="B568" s="1">
        <v>44044</v>
      </c>
      <c r="C568">
        <v>2020</v>
      </c>
      <c r="D568">
        <v>8</v>
      </c>
      <c r="E568" s="2" t="s">
        <v>358</v>
      </c>
      <c r="F568" s="2" t="s">
        <v>359</v>
      </c>
      <c r="G568" s="2" t="s">
        <v>21</v>
      </c>
      <c r="H568" s="2" t="s">
        <v>22</v>
      </c>
      <c r="I568" s="2" t="s">
        <v>352</v>
      </c>
      <c r="J568" s="2" t="s">
        <v>353</v>
      </c>
      <c r="K568">
        <v>35180.019999999997</v>
      </c>
      <c r="L568">
        <v>10463019.91</v>
      </c>
      <c r="M568">
        <v>29741.37</v>
      </c>
      <c r="N568" s="2" t="s">
        <v>360</v>
      </c>
      <c r="O568" s="2" t="s">
        <v>361</v>
      </c>
      <c r="P568" s="2" t="s">
        <v>1321</v>
      </c>
      <c r="Q568" s="2" t="s">
        <v>1322</v>
      </c>
      <c r="R568" s="2" t="s">
        <v>29</v>
      </c>
      <c r="S568" s="2" t="s">
        <v>30</v>
      </c>
    </row>
    <row r="569" spans="1:19">
      <c r="A569" s="1">
        <v>44044</v>
      </c>
      <c r="B569" s="1">
        <v>44044</v>
      </c>
      <c r="C569">
        <v>2020</v>
      </c>
      <c r="D569">
        <v>8</v>
      </c>
      <c r="E569" s="2" t="s">
        <v>364</v>
      </c>
      <c r="F569" s="2" t="s">
        <v>365</v>
      </c>
      <c r="G569" s="2" t="s">
        <v>21</v>
      </c>
      <c r="H569" s="2" t="s">
        <v>22</v>
      </c>
      <c r="I569" s="2" t="s">
        <v>352</v>
      </c>
      <c r="J569" s="2" t="s">
        <v>353</v>
      </c>
      <c r="K569">
        <v>35063.25</v>
      </c>
      <c r="L569">
        <v>3170640.21</v>
      </c>
      <c r="M569">
        <v>9042.6299999999992</v>
      </c>
      <c r="N569" s="2" t="s">
        <v>366</v>
      </c>
      <c r="O569" s="2" t="s">
        <v>367</v>
      </c>
      <c r="P569" s="2" t="s">
        <v>1323</v>
      </c>
      <c r="Q569" s="2" t="s">
        <v>1324</v>
      </c>
      <c r="R569" s="2" t="s">
        <v>29</v>
      </c>
      <c r="S569" s="2" t="s">
        <v>30</v>
      </c>
    </row>
    <row r="570" spans="1:19">
      <c r="A570" s="1">
        <v>44044</v>
      </c>
      <c r="B570" s="1">
        <v>44044</v>
      </c>
      <c r="C570">
        <v>2020</v>
      </c>
      <c r="D570">
        <v>8</v>
      </c>
      <c r="E570" s="2" t="s">
        <v>370</v>
      </c>
      <c r="F570" s="2" t="s">
        <v>371</v>
      </c>
      <c r="G570" s="2" t="s">
        <v>21</v>
      </c>
      <c r="H570" s="2" t="s">
        <v>22</v>
      </c>
      <c r="I570" s="2" t="s">
        <v>23</v>
      </c>
      <c r="J570" s="2" t="s">
        <v>24</v>
      </c>
      <c r="K570">
        <v>16188.28</v>
      </c>
      <c r="L570">
        <v>298307.61</v>
      </c>
      <c r="M570">
        <v>1842.74</v>
      </c>
      <c r="N570" s="2" t="s">
        <v>372</v>
      </c>
      <c r="O570" s="2" t="s">
        <v>373</v>
      </c>
      <c r="P570" s="2" t="s">
        <v>1325</v>
      </c>
      <c r="Q570" s="2" t="s">
        <v>1326</v>
      </c>
      <c r="R570" s="2" t="s">
        <v>29</v>
      </c>
      <c r="S570" s="2" t="s">
        <v>30</v>
      </c>
    </row>
    <row r="571" spans="1:19">
      <c r="A571" s="1">
        <v>44044</v>
      </c>
      <c r="B571" s="1">
        <v>44044</v>
      </c>
      <c r="C571">
        <v>2020</v>
      </c>
      <c r="D571">
        <v>8</v>
      </c>
      <c r="E571" s="2" t="s">
        <v>376</v>
      </c>
      <c r="F571" s="2" t="s">
        <v>377</v>
      </c>
      <c r="G571" s="2" t="s">
        <v>21</v>
      </c>
      <c r="H571" s="2" t="s">
        <v>22</v>
      </c>
      <c r="I571" s="2" t="s">
        <v>23</v>
      </c>
      <c r="J571" s="2" t="s">
        <v>378</v>
      </c>
      <c r="K571">
        <v>0.92</v>
      </c>
      <c r="L571">
        <v>15.09</v>
      </c>
      <c r="M571">
        <v>1640.22</v>
      </c>
      <c r="N571" s="2" t="s">
        <v>379</v>
      </c>
      <c r="O571" s="2" t="s">
        <v>380</v>
      </c>
      <c r="P571" s="2" t="s">
        <v>1327</v>
      </c>
      <c r="Q571" s="2" t="s">
        <v>1328</v>
      </c>
      <c r="R571" s="2" t="s">
        <v>29</v>
      </c>
      <c r="S571" s="2" t="s">
        <v>30</v>
      </c>
    </row>
    <row r="572" spans="1:19">
      <c r="A572" s="1">
        <v>44075</v>
      </c>
      <c r="B572" s="1">
        <v>44075</v>
      </c>
      <c r="C572">
        <v>2020</v>
      </c>
      <c r="D572">
        <v>9</v>
      </c>
      <c r="E572" s="2" t="s">
        <v>19</v>
      </c>
      <c r="F572" s="2" t="s">
        <v>20</v>
      </c>
      <c r="G572" s="2" t="s">
        <v>21</v>
      </c>
      <c r="H572" s="2" t="s">
        <v>22</v>
      </c>
      <c r="I572" s="2" t="s">
        <v>23</v>
      </c>
      <c r="J572" s="2" t="s">
        <v>24</v>
      </c>
      <c r="K572">
        <v>0.96</v>
      </c>
      <c r="L572">
        <v>50.86</v>
      </c>
      <c r="M572">
        <v>5297.92</v>
      </c>
      <c r="N572" s="2" t="s">
        <v>25</v>
      </c>
      <c r="O572" s="2" t="s">
        <v>26</v>
      </c>
      <c r="P572" s="2" t="s">
        <v>1244</v>
      </c>
      <c r="Q572" s="2" t="s">
        <v>1329</v>
      </c>
      <c r="R572" s="2" t="s">
        <v>29</v>
      </c>
      <c r="S572" s="2" t="s">
        <v>30</v>
      </c>
    </row>
    <row r="573" spans="1:19">
      <c r="A573" s="1">
        <v>44075</v>
      </c>
      <c r="B573" s="1">
        <v>44075</v>
      </c>
      <c r="C573">
        <v>2020</v>
      </c>
      <c r="D573">
        <v>9</v>
      </c>
      <c r="E573" s="2" t="s">
        <v>31</v>
      </c>
      <c r="F573" s="2" t="s">
        <v>32</v>
      </c>
      <c r="G573" s="2" t="s">
        <v>21</v>
      </c>
      <c r="H573" s="2" t="s">
        <v>22</v>
      </c>
      <c r="I573" s="2" t="s">
        <v>23</v>
      </c>
      <c r="J573" s="2" t="s">
        <v>24</v>
      </c>
      <c r="K573">
        <v>1059.8499999999999</v>
      </c>
      <c r="L573">
        <v>6242.9</v>
      </c>
      <c r="M573">
        <v>589.04</v>
      </c>
      <c r="N573" s="2" t="s">
        <v>33</v>
      </c>
      <c r="O573" s="2" t="s">
        <v>34</v>
      </c>
      <c r="P573" s="2" t="s">
        <v>1330</v>
      </c>
      <c r="Q573" s="2" t="s">
        <v>1331</v>
      </c>
      <c r="R573" s="2" t="s">
        <v>29</v>
      </c>
      <c r="S573" s="2" t="s">
        <v>30</v>
      </c>
    </row>
    <row r="574" spans="1:19">
      <c r="A574" s="1">
        <v>44075</v>
      </c>
      <c r="B574" s="1">
        <v>44075</v>
      </c>
      <c r="C574">
        <v>2020</v>
      </c>
      <c r="D574">
        <v>9</v>
      </c>
      <c r="E574" s="2" t="s">
        <v>37</v>
      </c>
      <c r="F574" s="2" t="s">
        <v>38</v>
      </c>
      <c r="G574" s="2" t="s">
        <v>39</v>
      </c>
      <c r="H574" s="2" t="s">
        <v>22</v>
      </c>
      <c r="I574" s="2" t="s">
        <v>40</v>
      </c>
      <c r="J574" s="2" t="s">
        <v>24</v>
      </c>
      <c r="K574">
        <v>4.3600000000000003</v>
      </c>
      <c r="L574">
        <v>216.85</v>
      </c>
      <c r="M574">
        <v>4973.62</v>
      </c>
      <c r="N574" s="2" t="s">
        <v>41</v>
      </c>
      <c r="O574" s="2" t="s">
        <v>42</v>
      </c>
      <c r="P574" s="2" t="s">
        <v>1332</v>
      </c>
      <c r="Q574" s="2" t="s">
        <v>1333</v>
      </c>
      <c r="R574" s="2" t="s">
        <v>29</v>
      </c>
      <c r="S574" s="2" t="s">
        <v>30</v>
      </c>
    </row>
    <row r="575" spans="1:19">
      <c r="A575" s="1">
        <v>44075</v>
      </c>
      <c r="B575" s="1">
        <v>44075</v>
      </c>
      <c r="C575">
        <v>2020</v>
      </c>
      <c r="D575">
        <v>9</v>
      </c>
      <c r="E575" s="2" t="s">
        <v>45</v>
      </c>
      <c r="F575" s="2" t="s">
        <v>46</v>
      </c>
      <c r="G575" s="2" t="s">
        <v>39</v>
      </c>
      <c r="H575" s="2" t="s">
        <v>22</v>
      </c>
      <c r="I575" s="2" t="s">
        <v>40</v>
      </c>
      <c r="J575" s="2" t="s">
        <v>24</v>
      </c>
      <c r="K575">
        <v>5038.6099999999997</v>
      </c>
      <c r="L575">
        <v>240204.75</v>
      </c>
      <c r="M575">
        <v>4767.28</v>
      </c>
      <c r="N575" s="2" t="s">
        <v>47</v>
      </c>
      <c r="O575" s="2" t="s">
        <v>48</v>
      </c>
      <c r="P575" s="2" t="s">
        <v>1334</v>
      </c>
      <c r="Q575" s="2" t="s">
        <v>1335</v>
      </c>
      <c r="R575" s="2" t="s">
        <v>29</v>
      </c>
      <c r="S575" s="2" t="s">
        <v>30</v>
      </c>
    </row>
    <row r="576" spans="1:19">
      <c r="A576" s="1">
        <v>44075</v>
      </c>
      <c r="B576" s="1">
        <v>44075</v>
      </c>
      <c r="C576">
        <v>2020</v>
      </c>
      <c r="D576">
        <v>9</v>
      </c>
      <c r="E576" s="2" t="s">
        <v>51</v>
      </c>
      <c r="F576" s="2" t="s">
        <v>52</v>
      </c>
      <c r="G576" s="2" t="s">
        <v>39</v>
      </c>
      <c r="H576" s="2" t="s">
        <v>22</v>
      </c>
      <c r="I576" s="2" t="s">
        <v>40</v>
      </c>
      <c r="J576" s="2" t="s">
        <v>24</v>
      </c>
      <c r="K576">
        <v>22.53</v>
      </c>
      <c r="L576">
        <v>800.88</v>
      </c>
      <c r="M576">
        <v>3554.73</v>
      </c>
      <c r="N576" s="2" t="s">
        <v>53</v>
      </c>
      <c r="O576" s="2" t="s">
        <v>54</v>
      </c>
      <c r="P576" s="2" t="s">
        <v>1336</v>
      </c>
      <c r="Q576" s="2" t="s">
        <v>1337</v>
      </c>
      <c r="R576" s="2" t="s">
        <v>29</v>
      </c>
      <c r="S576" s="2" t="s">
        <v>30</v>
      </c>
    </row>
    <row r="577" spans="1:19">
      <c r="A577" s="1">
        <v>44075</v>
      </c>
      <c r="B577" s="1">
        <v>44075</v>
      </c>
      <c r="C577">
        <v>2020</v>
      </c>
      <c r="D577">
        <v>9</v>
      </c>
      <c r="E577" s="2" t="s">
        <v>57</v>
      </c>
      <c r="F577" s="2" t="s">
        <v>58</v>
      </c>
      <c r="G577" s="2" t="s">
        <v>39</v>
      </c>
      <c r="H577" s="2" t="s">
        <v>22</v>
      </c>
      <c r="I577" s="2" t="s">
        <v>40</v>
      </c>
      <c r="J577" s="2" t="s">
        <v>59</v>
      </c>
      <c r="K577">
        <v>5065.5</v>
      </c>
      <c r="L577">
        <v>241222.48</v>
      </c>
      <c r="M577">
        <v>4762.07</v>
      </c>
      <c r="N577" s="2" t="s">
        <v>60</v>
      </c>
      <c r="O577" s="2" t="s">
        <v>61</v>
      </c>
      <c r="P577" s="2" t="s">
        <v>1338</v>
      </c>
      <c r="Q577" s="2" t="s">
        <v>1339</v>
      </c>
      <c r="R577" s="2" t="s">
        <v>29</v>
      </c>
      <c r="S577" s="2" t="s">
        <v>30</v>
      </c>
    </row>
    <row r="578" spans="1:19">
      <c r="A578" s="1">
        <v>44075</v>
      </c>
      <c r="B578" s="1">
        <v>44075</v>
      </c>
      <c r="C578">
        <v>2020</v>
      </c>
      <c r="D578">
        <v>9</v>
      </c>
      <c r="E578" s="2" t="s">
        <v>64</v>
      </c>
      <c r="F578" s="2" t="s">
        <v>65</v>
      </c>
      <c r="G578" s="2" t="s">
        <v>21</v>
      </c>
      <c r="H578" s="2" t="s">
        <v>22</v>
      </c>
      <c r="I578" s="2" t="s">
        <v>66</v>
      </c>
      <c r="J578" s="2" t="s">
        <v>24</v>
      </c>
      <c r="K578">
        <v>15.28</v>
      </c>
      <c r="L578">
        <v>204.87</v>
      </c>
      <c r="M578">
        <v>1340.77</v>
      </c>
      <c r="N578" s="2" t="s">
        <v>67</v>
      </c>
      <c r="O578" s="2" t="s">
        <v>68</v>
      </c>
      <c r="P578" s="2" t="s">
        <v>1340</v>
      </c>
      <c r="Q578" s="2" t="s">
        <v>1341</v>
      </c>
      <c r="R578" s="2" t="s">
        <v>29</v>
      </c>
      <c r="S578" s="2" t="s">
        <v>30</v>
      </c>
    </row>
    <row r="579" spans="1:19">
      <c r="A579" s="1">
        <v>44075</v>
      </c>
      <c r="B579" s="1">
        <v>44075</v>
      </c>
      <c r="C579">
        <v>2020</v>
      </c>
      <c r="D579">
        <v>9</v>
      </c>
      <c r="E579" s="2" t="s">
        <v>71</v>
      </c>
      <c r="F579" s="2" t="s">
        <v>72</v>
      </c>
      <c r="G579" s="2" t="s">
        <v>21</v>
      </c>
      <c r="H579" s="2" t="s">
        <v>22</v>
      </c>
      <c r="I579" s="2" t="s">
        <v>73</v>
      </c>
      <c r="J579" s="2" t="s">
        <v>59</v>
      </c>
      <c r="K579">
        <v>4994.5200000000004</v>
      </c>
      <c r="L579">
        <v>106500.1</v>
      </c>
      <c r="M579">
        <v>2132.34</v>
      </c>
      <c r="N579" s="2" t="s">
        <v>74</v>
      </c>
      <c r="O579" s="2" t="s">
        <v>75</v>
      </c>
      <c r="P579" s="2" t="s">
        <v>1342</v>
      </c>
      <c r="Q579" s="2" t="s">
        <v>1343</v>
      </c>
      <c r="R579" s="2" t="s">
        <v>29</v>
      </c>
      <c r="S579" s="2" t="s">
        <v>30</v>
      </c>
    </row>
    <row r="580" spans="1:19">
      <c r="A580" s="1">
        <v>44075</v>
      </c>
      <c r="B580" s="1">
        <v>44075</v>
      </c>
      <c r="C580">
        <v>2020</v>
      </c>
      <c r="D580">
        <v>9</v>
      </c>
      <c r="E580" s="2" t="s">
        <v>78</v>
      </c>
      <c r="F580" s="2" t="s">
        <v>79</v>
      </c>
      <c r="G580" s="2" t="s">
        <v>80</v>
      </c>
      <c r="H580" s="2" t="s">
        <v>81</v>
      </c>
      <c r="I580" s="2" t="s">
        <v>82</v>
      </c>
      <c r="J580" s="2" t="s">
        <v>24</v>
      </c>
      <c r="K580">
        <v>1.6</v>
      </c>
      <c r="L580">
        <v>4238876.55</v>
      </c>
      <c r="M580">
        <v>264929784.37</v>
      </c>
      <c r="N580" s="2" t="s">
        <v>83</v>
      </c>
      <c r="O580" s="2" t="s">
        <v>84</v>
      </c>
      <c r="P580" s="2" t="s">
        <v>1089</v>
      </c>
      <c r="Q580" s="2" t="s">
        <v>1344</v>
      </c>
      <c r="R580" s="2" t="s">
        <v>29</v>
      </c>
      <c r="S580" s="2" t="s">
        <v>30</v>
      </c>
    </row>
    <row r="581" spans="1:19">
      <c r="A581" s="1">
        <v>44075</v>
      </c>
      <c r="B581" s="1">
        <v>44075</v>
      </c>
      <c r="C581">
        <v>2020</v>
      </c>
      <c r="D581">
        <v>9</v>
      </c>
      <c r="E581" s="2" t="s">
        <v>87</v>
      </c>
      <c r="F581" s="2" t="s">
        <v>88</v>
      </c>
      <c r="G581" s="2" t="s">
        <v>80</v>
      </c>
      <c r="H581" s="2" t="s">
        <v>81</v>
      </c>
      <c r="I581" s="2" t="s">
        <v>82</v>
      </c>
      <c r="J581" s="2" t="s">
        <v>24</v>
      </c>
      <c r="K581">
        <v>0.61</v>
      </c>
      <c r="L581">
        <v>881022.7</v>
      </c>
      <c r="M581">
        <v>144429950.81999999</v>
      </c>
      <c r="N581" s="2" t="s">
        <v>89</v>
      </c>
      <c r="O581" s="2" t="s">
        <v>90</v>
      </c>
      <c r="P581" s="2" t="s">
        <v>401</v>
      </c>
      <c r="Q581" s="2" t="s">
        <v>1345</v>
      </c>
      <c r="R581" s="2" t="s">
        <v>29</v>
      </c>
      <c r="S581" s="2" t="s">
        <v>30</v>
      </c>
    </row>
    <row r="582" spans="1:19">
      <c r="A582" s="1">
        <v>44075</v>
      </c>
      <c r="B582" s="1">
        <v>44075</v>
      </c>
      <c r="C582">
        <v>2020</v>
      </c>
      <c r="D582">
        <v>9</v>
      </c>
      <c r="E582" s="2" t="s">
        <v>93</v>
      </c>
      <c r="F582" s="2" t="s">
        <v>94</v>
      </c>
      <c r="G582" s="2" t="s">
        <v>80</v>
      </c>
      <c r="H582" s="2" t="s">
        <v>81</v>
      </c>
      <c r="I582" s="2" t="s">
        <v>82</v>
      </c>
      <c r="J582" s="2" t="s">
        <v>24</v>
      </c>
      <c r="K582">
        <v>0.28999999999999998</v>
      </c>
      <c r="L582">
        <v>4115039.24</v>
      </c>
      <c r="M582">
        <v>1418979048.28</v>
      </c>
      <c r="N582" s="2" t="s">
        <v>95</v>
      </c>
      <c r="O582" s="2" t="s">
        <v>96</v>
      </c>
      <c r="P582" s="2" t="s">
        <v>1138</v>
      </c>
      <c r="Q582" s="2" t="s">
        <v>1346</v>
      </c>
      <c r="R582" s="2" t="s">
        <v>29</v>
      </c>
      <c r="S582" s="2" t="s">
        <v>30</v>
      </c>
    </row>
    <row r="583" spans="1:19">
      <c r="A583" s="1">
        <v>44075</v>
      </c>
      <c r="B583" s="1">
        <v>44075</v>
      </c>
      <c r="C583">
        <v>2020</v>
      </c>
      <c r="D583">
        <v>9</v>
      </c>
      <c r="E583" s="2" t="s">
        <v>99</v>
      </c>
      <c r="F583" s="2" t="s">
        <v>100</v>
      </c>
      <c r="G583" s="2" t="s">
        <v>80</v>
      </c>
      <c r="H583" s="2" t="s">
        <v>81</v>
      </c>
      <c r="I583" s="2" t="s">
        <v>82</v>
      </c>
      <c r="J583" s="2" t="s">
        <v>101</v>
      </c>
      <c r="K583">
        <v>1.08</v>
      </c>
      <c r="L583">
        <v>9021411.7899999991</v>
      </c>
      <c r="M583">
        <v>835315906.48000002</v>
      </c>
      <c r="N583" s="2" t="s">
        <v>102</v>
      </c>
      <c r="O583" s="2" t="s">
        <v>103</v>
      </c>
      <c r="P583" s="2" t="s">
        <v>1347</v>
      </c>
      <c r="Q583" s="2" t="s">
        <v>1348</v>
      </c>
      <c r="R583" s="2" t="s">
        <v>29</v>
      </c>
      <c r="S583" s="2" t="s">
        <v>30</v>
      </c>
    </row>
    <row r="584" spans="1:19">
      <c r="A584" s="1">
        <v>44075</v>
      </c>
      <c r="B584" s="1">
        <v>44075</v>
      </c>
      <c r="C584">
        <v>2020</v>
      </c>
      <c r="D584">
        <v>9</v>
      </c>
      <c r="E584" s="2" t="s">
        <v>106</v>
      </c>
      <c r="F584" s="2" t="s">
        <v>107</v>
      </c>
      <c r="G584" s="2" t="s">
        <v>80</v>
      </c>
      <c r="H584" s="2" t="s">
        <v>81</v>
      </c>
      <c r="I584" s="2" t="s">
        <v>82</v>
      </c>
      <c r="J584" s="2" t="s">
        <v>24</v>
      </c>
      <c r="K584">
        <v>0.19</v>
      </c>
      <c r="L584">
        <v>4025349.85</v>
      </c>
      <c r="M584">
        <v>2118605184.21</v>
      </c>
      <c r="N584" s="2" t="s">
        <v>108</v>
      </c>
      <c r="O584" s="2" t="s">
        <v>109</v>
      </c>
      <c r="P584" s="2" t="s">
        <v>97</v>
      </c>
      <c r="Q584" s="2" t="s">
        <v>1349</v>
      </c>
      <c r="R584" s="2" t="s">
        <v>29</v>
      </c>
      <c r="S584" s="2" t="s">
        <v>30</v>
      </c>
    </row>
    <row r="585" spans="1:19">
      <c r="A585" s="1">
        <v>44075</v>
      </c>
      <c r="B585" s="1">
        <v>44075</v>
      </c>
      <c r="C585">
        <v>2020</v>
      </c>
      <c r="D585">
        <v>9</v>
      </c>
      <c r="E585" s="2" t="s">
        <v>111</v>
      </c>
      <c r="F585" s="2" t="s">
        <v>112</v>
      </c>
      <c r="G585" s="2" t="s">
        <v>80</v>
      </c>
      <c r="H585" s="2" t="s">
        <v>81</v>
      </c>
      <c r="I585" s="2" t="s">
        <v>82</v>
      </c>
      <c r="J585" s="2" t="s">
        <v>24</v>
      </c>
      <c r="K585">
        <v>0.03</v>
      </c>
      <c r="L585">
        <v>137470</v>
      </c>
      <c r="M585">
        <v>458233333.32999998</v>
      </c>
      <c r="N585" s="2" t="s">
        <v>113</v>
      </c>
      <c r="O585" s="2" t="s">
        <v>114</v>
      </c>
      <c r="P585" s="2" t="s">
        <v>1247</v>
      </c>
      <c r="Q585" s="2" t="s">
        <v>1350</v>
      </c>
      <c r="R585" s="2" t="s">
        <v>29</v>
      </c>
      <c r="S585" s="2" t="s">
        <v>30</v>
      </c>
    </row>
    <row r="586" spans="1:19">
      <c r="A586" s="1">
        <v>44075</v>
      </c>
      <c r="B586" s="1">
        <v>44075</v>
      </c>
      <c r="C586">
        <v>2020</v>
      </c>
      <c r="D586">
        <v>9</v>
      </c>
      <c r="E586" s="2" t="s">
        <v>117</v>
      </c>
      <c r="F586" s="2" t="s">
        <v>118</v>
      </c>
      <c r="G586" s="2" t="s">
        <v>80</v>
      </c>
      <c r="H586" s="2" t="s">
        <v>81</v>
      </c>
      <c r="I586" s="2" t="s">
        <v>82</v>
      </c>
      <c r="J586" s="2" t="s">
        <v>59</v>
      </c>
      <c r="K586">
        <v>2.7</v>
      </c>
      <c r="L586">
        <v>13397758.34</v>
      </c>
      <c r="M586">
        <v>496213271.85000002</v>
      </c>
      <c r="N586" s="2" t="s">
        <v>119</v>
      </c>
      <c r="O586" s="2" t="s">
        <v>120</v>
      </c>
      <c r="P586" s="2" t="s">
        <v>1351</v>
      </c>
      <c r="Q586" s="2" t="s">
        <v>1352</v>
      </c>
      <c r="R586" s="2" t="s">
        <v>29</v>
      </c>
      <c r="S586" s="2" t="s">
        <v>30</v>
      </c>
    </row>
    <row r="587" spans="1:19">
      <c r="A587" s="1">
        <v>44075</v>
      </c>
      <c r="B587" s="1">
        <v>44075</v>
      </c>
      <c r="C587">
        <v>2020</v>
      </c>
      <c r="D587">
        <v>9</v>
      </c>
      <c r="E587" s="2" t="s">
        <v>123</v>
      </c>
      <c r="F587" s="2" t="s">
        <v>124</v>
      </c>
      <c r="G587" s="2" t="s">
        <v>21</v>
      </c>
      <c r="H587" s="2" t="s">
        <v>22</v>
      </c>
      <c r="I587" s="2" t="s">
        <v>73</v>
      </c>
      <c r="J587" s="2" t="s">
        <v>24</v>
      </c>
      <c r="K587">
        <v>773.33</v>
      </c>
      <c r="L587">
        <v>29148.15</v>
      </c>
      <c r="M587">
        <v>3769.17</v>
      </c>
      <c r="N587" s="2" t="s">
        <v>125</v>
      </c>
      <c r="O587" s="2" t="s">
        <v>126</v>
      </c>
      <c r="P587" s="2" t="s">
        <v>1353</v>
      </c>
      <c r="Q587" s="2" t="s">
        <v>1354</v>
      </c>
      <c r="R587" s="2" t="s">
        <v>29</v>
      </c>
      <c r="S587" s="2" t="s">
        <v>30</v>
      </c>
    </row>
    <row r="588" spans="1:19">
      <c r="A588" s="1">
        <v>44075</v>
      </c>
      <c r="B588" s="1">
        <v>44075</v>
      </c>
      <c r="C588">
        <v>2020</v>
      </c>
      <c r="D588">
        <v>9</v>
      </c>
      <c r="E588" s="2" t="s">
        <v>129</v>
      </c>
      <c r="F588" s="2" t="s">
        <v>130</v>
      </c>
      <c r="G588" s="2" t="s">
        <v>21</v>
      </c>
      <c r="H588" s="2" t="s">
        <v>22</v>
      </c>
      <c r="I588" s="2" t="s">
        <v>73</v>
      </c>
      <c r="J588" s="2" t="s">
        <v>24</v>
      </c>
      <c r="K588">
        <v>713.37</v>
      </c>
      <c r="L588">
        <v>21985.599999999999</v>
      </c>
      <c r="M588">
        <v>3081.94</v>
      </c>
      <c r="N588" s="2" t="s">
        <v>131</v>
      </c>
      <c r="O588" s="2" t="s">
        <v>132</v>
      </c>
      <c r="P588" s="2" t="s">
        <v>1355</v>
      </c>
      <c r="Q588" s="2" t="s">
        <v>1356</v>
      </c>
      <c r="R588" s="2" t="s">
        <v>29</v>
      </c>
      <c r="S588" s="2" t="s">
        <v>30</v>
      </c>
    </row>
    <row r="589" spans="1:19">
      <c r="A589" s="1">
        <v>44075</v>
      </c>
      <c r="B589" s="1">
        <v>44075</v>
      </c>
      <c r="C589">
        <v>2020</v>
      </c>
      <c r="D589">
        <v>9</v>
      </c>
      <c r="E589" s="2" t="s">
        <v>135</v>
      </c>
      <c r="F589" s="2" t="s">
        <v>136</v>
      </c>
      <c r="G589" s="2" t="s">
        <v>21</v>
      </c>
      <c r="H589" s="2" t="s">
        <v>22</v>
      </c>
      <c r="I589" s="2" t="s">
        <v>73</v>
      </c>
      <c r="J589" s="2" t="s">
        <v>101</v>
      </c>
      <c r="K589">
        <v>1486.71</v>
      </c>
      <c r="L589">
        <v>51133.75</v>
      </c>
      <c r="M589">
        <v>3439.39</v>
      </c>
      <c r="N589" s="2" t="s">
        <v>137</v>
      </c>
      <c r="O589" s="2" t="s">
        <v>138</v>
      </c>
      <c r="P589" s="2" t="s">
        <v>1357</v>
      </c>
      <c r="Q589" s="2" t="s">
        <v>1358</v>
      </c>
      <c r="R589" s="2" t="s">
        <v>29</v>
      </c>
      <c r="S589" s="2" t="s">
        <v>30</v>
      </c>
    </row>
    <row r="590" spans="1:19">
      <c r="A590" s="1">
        <v>44075</v>
      </c>
      <c r="B590" s="1">
        <v>44075</v>
      </c>
      <c r="C590">
        <v>2020</v>
      </c>
      <c r="D590">
        <v>9</v>
      </c>
      <c r="E590" s="2" t="s">
        <v>141</v>
      </c>
      <c r="F590" s="2" t="s">
        <v>142</v>
      </c>
      <c r="G590" s="2" t="s">
        <v>21</v>
      </c>
      <c r="H590" s="2" t="s">
        <v>22</v>
      </c>
      <c r="I590" s="2" t="s">
        <v>73</v>
      </c>
      <c r="J590" s="2" t="s">
        <v>24</v>
      </c>
      <c r="K590">
        <v>1748.98</v>
      </c>
      <c r="L590">
        <v>24944.46</v>
      </c>
      <c r="M590">
        <v>1426.23</v>
      </c>
      <c r="N590" s="2" t="s">
        <v>143</v>
      </c>
      <c r="O590" s="2" t="s">
        <v>144</v>
      </c>
      <c r="P590" s="2" t="s">
        <v>1359</v>
      </c>
      <c r="Q590" s="2" t="s">
        <v>1360</v>
      </c>
      <c r="R590" s="2" t="s">
        <v>29</v>
      </c>
      <c r="S590" s="2" t="s">
        <v>30</v>
      </c>
    </row>
    <row r="591" spans="1:19">
      <c r="A591" s="1">
        <v>44075</v>
      </c>
      <c r="B591" s="1">
        <v>44075</v>
      </c>
      <c r="C591">
        <v>2020</v>
      </c>
      <c r="D591">
        <v>9</v>
      </c>
      <c r="E591" s="2" t="s">
        <v>147</v>
      </c>
      <c r="F591" s="2" t="s">
        <v>148</v>
      </c>
      <c r="G591" s="2" t="s">
        <v>21</v>
      </c>
      <c r="H591" s="2" t="s">
        <v>22</v>
      </c>
      <c r="I591" s="2" t="s">
        <v>73</v>
      </c>
      <c r="J591" s="2" t="s">
        <v>24</v>
      </c>
      <c r="K591">
        <v>1758.83</v>
      </c>
      <c r="L591">
        <v>30421.89</v>
      </c>
      <c r="M591">
        <v>1729.67</v>
      </c>
      <c r="N591" s="2" t="s">
        <v>149</v>
      </c>
      <c r="O591" s="2" t="s">
        <v>150</v>
      </c>
      <c r="P591" s="2" t="s">
        <v>1361</v>
      </c>
      <c r="Q591" s="2" t="s">
        <v>1362</v>
      </c>
      <c r="R591" s="2" t="s">
        <v>29</v>
      </c>
      <c r="S591" s="2" t="s">
        <v>30</v>
      </c>
    </row>
    <row r="592" spans="1:19">
      <c r="A592" s="1">
        <v>44075</v>
      </c>
      <c r="B592" s="1">
        <v>44075</v>
      </c>
      <c r="C592">
        <v>2020</v>
      </c>
      <c r="D592">
        <v>9</v>
      </c>
      <c r="E592" s="2" t="s">
        <v>153</v>
      </c>
      <c r="F592" s="2" t="s">
        <v>154</v>
      </c>
      <c r="G592" s="2" t="s">
        <v>21</v>
      </c>
      <c r="H592" s="2" t="s">
        <v>22</v>
      </c>
      <c r="I592" s="2" t="s">
        <v>73</v>
      </c>
      <c r="J592" s="2" t="s">
        <v>101</v>
      </c>
      <c r="K592">
        <v>3507.81</v>
      </c>
      <c r="L592">
        <v>55366.35</v>
      </c>
      <c r="M592">
        <v>1578.37</v>
      </c>
      <c r="N592" s="2" t="s">
        <v>155</v>
      </c>
      <c r="O592" s="2" t="s">
        <v>156</v>
      </c>
      <c r="P592" s="2" t="s">
        <v>1363</v>
      </c>
      <c r="Q592" s="2" t="s">
        <v>1364</v>
      </c>
      <c r="R592" s="2" t="s">
        <v>29</v>
      </c>
      <c r="S592" s="2" t="s">
        <v>30</v>
      </c>
    </row>
    <row r="593" spans="1:19">
      <c r="A593" s="1">
        <v>44075</v>
      </c>
      <c r="B593" s="1">
        <v>44075</v>
      </c>
      <c r="C593">
        <v>2020</v>
      </c>
      <c r="D593">
        <v>9</v>
      </c>
      <c r="E593" s="2" t="s">
        <v>159</v>
      </c>
      <c r="F593" s="2" t="s">
        <v>160</v>
      </c>
      <c r="G593" s="2" t="s">
        <v>21</v>
      </c>
      <c r="H593" s="2" t="s">
        <v>22</v>
      </c>
      <c r="I593" s="2" t="s">
        <v>66</v>
      </c>
      <c r="J593" s="2" t="s">
        <v>59</v>
      </c>
      <c r="K593">
        <v>926.42</v>
      </c>
      <c r="L593">
        <v>78239.960000000006</v>
      </c>
      <c r="M593">
        <v>8445.41</v>
      </c>
      <c r="N593" s="2" t="s">
        <v>161</v>
      </c>
      <c r="O593" s="2" t="s">
        <v>162</v>
      </c>
      <c r="P593" s="2" t="s">
        <v>1365</v>
      </c>
      <c r="Q593" s="2" t="s">
        <v>1366</v>
      </c>
      <c r="R593" s="2" t="s">
        <v>29</v>
      </c>
      <c r="S593" s="2" t="s">
        <v>30</v>
      </c>
    </row>
    <row r="594" spans="1:19">
      <c r="A594" s="1">
        <v>44075</v>
      </c>
      <c r="B594" s="1">
        <v>44075</v>
      </c>
      <c r="C594">
        <v>2020</v>
      </c>
      <c r="D594">
        <v>9</v>
      </c>
      <c r="E594" s="2" t="s">
        <v>165</v>
      </c>
      <c r="F594" s="2" t="s">
        <v>166</v>
      </c>
      <c r="G594" s="2" t="s">
        <v>21</v>
      </c>
      <c r="H594" s="2" t="s">
        <v>22</v>
      </c>
      <c r="I594" s="2" t="s">
        <v>23</v>
      </c>
      <c r="J594" s="2" t="s">
        <v>24</v>
      </c>
      <c r="K594">
        <v>0</v>
      </c>
      <c r="L594">
        <v>0</v>
      </c>
      <c r="N594" s="2" t="s">
        <v>167</v>
      </c>
      <c r="O594" s="2" t="s">
        <v>168</v>
      </c>
      <c r="P594" s="2" t="s">
        <v>639</v>
      </c>
      <c r="Q594" s="2" t="s">
        <v>639</v>
      </c>
      <c r="R594" s="2" t="s">
        <v>29</v>
      </c>
      <c r="S594" s="2" t="s">
        <v>30</v>
      </c>
    </row>
    <row r="595" spans="1:19">
      <c r="A595" s="1">
        <v>44075</v>
      </c>
      <c r="B595" s="1">
        <v>44075</v>
      </c>
      <c r="C595">
        <v>2020</v>
      </c>
      <c r="D595">
        <v>9</v>
      </c>
      <c r="E595" s="2" t="s">
        <v>171</v>
      </c>
      <c r="F595" s="2" t="s">
        <v>172</v>
      </c>
      <c r="G595" s="2" t="s">
        <v>21</v>
      </c>
      <c r="H595" s="2" t="s">
        <v>22</v>
      </c>
      <c r="I595" s="2" t="s">
        <v>66</v>
      </c>
      <c r="J595" s="2" t="s">
        <v>24</v>
      </c>
      <c r="N595" s="2" t="s">
        <v>173</v>
      </c>
      <c r="O595" s="2" t="s">
        <v>174</v>
      </c>
      <c r="P595" s="2" t="s">
        <v>175</v>
      </c>
      <c r="Q595" s="2" t="s">
        <v>175</v>
      </c>
      <c r="R595" s="2" t="s">
        <v>640</v>
      </c>
      <c r="S595" s="2" t="s">
        <v>641</v>
      </c>
    </row>
    <row r="596" spans="1:19">
      <c r="A596" s="1">
        <v>44075</v>
      </c>
      <c r="B596" s="1">
        <v>44075</v>
      </c>
      <c r="C596">
        <v>2020</v>
      </c>
      <c r="D596">
        <v>9</v>
      </c>
      <c r="E596" s="2" t="s">
        <v>177</v>
      </c>
      <c r="F596" s="2" t="s">
        <v>178</v>
      </c>
      <c r="G596" s="2" t="s">
        <v>21</v>
      </c>
      <c r="H596" s="2" t="s">
        <v>22</v>
      </c>
      <c r="I596" s="2" t="s">
        <v>23</v>
      </c>
      <c r="J596" s="2" t="s">
        <v>24</v>
      </c>
      <c r="K596">
        <v>2796.08</v>
      </c>
      <c r="L596">
        <v>248661.75</v>
      </c>
      <c r="M596">
        <v>8893.23</v>
      </c>
      <c r="N596" s="2" t="s">
        <v>179</v>
      </c>
      <c r="O596" s="2" t="s">
        <v>180</v>
      </c>
      <c r="P596" s="2" t="s">
        <v>1367</v>
      </c>
      <c r="Q596" s="2" t="s">
        <v>1368</v>
      </c>
      <c r="R596" s="2" t="s">
        <v>29</v>
      </c>
      <c r="S596" s="2" t="s">
        <v>30</v>
      </c>
    </row>
    <row r="597" spans="1:19">
      <c r="A597" s="1">
        <v>44075</v>
      </c>
      <c r="B597" s="1">
        <v>44075</v>
      </c>
      <c r="C597">
        <v>2020</v>
      </c>
      <c r="D597">
        <v>9</v>
      </c>
      <c r="E597" s="2" t="s">
        <v>183</v>
      </c>
      <c r="F597" s="2" t="s">
        <v>184</v>
      </c>
      <c r="G597" s="2" t="s">
        <v>185</v>
      </c>
      <c r="H597" s="2" t="s">
        <v>22</v>
      </c>
      <c r="I597" s="2" t="s">
        <v>186</v>
      </c>
      <c r="J597" s="2" t="s">
        <v>24</v>
      </c>
      <c r="K597">
        <v>2395.5300000000002</v>
      </c>
      <c r="L597">
        <v>2141807.4700000002</v>
      </c>
      <c r="M597">
        <v>89408.5</v>
      </c>
      <c r="N597" s="2" t="s">
        <v>187</v>
      </c>
      <c r="O597" s="2" t="s">
        <v>188</v>
      </c>
      <c r="P597" s="2" t="s">
        <v>1369</v>
      </c>
      <c r="Q597" s="2" t="s">
        <v>1370</v>
      </c>
      <c r="R597" s="2" t="s">
        <v>29</v>
      </c>
      <c r="S597" s="2" t="s">
        <v>30</v>
      </c>
    </row>
    <row r="598" spans="1:19">
      <c r="A598" s="1">
        <v>44075</v>
      </c>
      <c r="B598" s="1">
        <v>44075</v>
      </c>
      <c r="C598">
        <v>2020</v>
      </c>
      <c r="D598">
        <v>9</v>
      </c>
      <c r="E598" s="2" t="s">
        <v>191</v>
      </c>
      <c r="F598" s="2" t="s">
        <v>192</v>
      </c>
      <c r="G598" s="2" t="s">
        <v>185</v>
      </c>
      <c r="H598" s="2" t="s">
        <v>22</v>
      </c>
      <c r="I598" s="2" t="s">
        <v>186</v>
      </c>
      <c r="J598" s="2" t="s">
        <v>24</v>
      </c>
      <c r="K598">
        <v>711.68</v>
      </c>
      <c r="L598">
        <v>3477659.5</v>
      </c>
      <c r="M598">
        <v>488654.94</v>
      </c>
      <c r="N598" s="2" t="s">
        <v>193</v>
      </c>
      <c r="O598" s="2" t="s">
        <v>194</v>
      </c>
      <c r="P598" s="2" t="s">
        <v>1371</v>
      </c>
      <c r="Q598" s="2" t="s">
        <v>1372</v>
      </c>
      <c r="R598" s="2" t="s">
        <v>29</v>
      </c>
      <c r="S598" s="2" t="s">
        <v>30</v>
      </c>
    </row>
    <row r="599" spans="1:19">
      <c r="A599" s="1">
        <v>44075</v>
      </c>
      <c r="B599" s="1">
        <v>44075</v>
      </c>
      <c r="C599">
        <v>2020</v>
      </c>
      <c r="D599">
        <v>9</v>
      </c>
      <c r="E599" s="2" t="s">
        <v>197</v>
      </c>
      <c r="F599" s="2" t="s">
        <v>198</v>
      </c>
      <c r="G599" s="2" t="s">
        <v>185</v>
      </c>
      <c r="H599" s="2" t="s">
        <v>22</v>
      </c>
      <c r="I599" s="2" t="s">
        <v>186</v>
      </c>
      <c r="J599" s="2" t="s">
        <v>59</v>
      </c>
      <c r="K599">
        <v>3107.21</v>
      </c>
      <c r="L599">
        <v>5619466.9699999997</v>
      </c>
      <c r="M599">
        <v>180852.5</v>
      </c>
      <c r="N599" s="2" t="s">
        <v>199</v>
      </c>
      <c r="O599" s="2" t="s">
        <v>200</v>
      </c>
      <c r="P599" s="2" t="s">
        <v>1373</v>
      </c>
      <c r="Q599" s="2" t="s">
        <v>1374</v>
      </c>
      <c r="R599" s="2" t="s">
        <v>29</v>
      </c>
      <c r="S599" s="2" t="s">
        <v>30</v>
      </c>
    </row>
    <row r="600" spans="1:19">
      <c r="A600" s="1">
        <v>44075</v>
      </c>
      <c r="B600" s="1">
        <v>44075</v>
      </c>
      <c r="C600">
        <v>2020</v>
      </c>
      <c r="D600">
        <v>9</v>
      </c>
      <c r="E600" s="2" t="s">
        <v>203</v>
      </c>
      <c r="F600" s="2" t="s">
        <v>204</v>
      </c>
      <c r="G600" s="2" t="s">
        <v>39</v>
      </c>
      <c r="H600" s="2" t="s">
        <v>22</v>
      </c>
      <c r="I600" s="2" t="s">
        <v>40</v>
      </c>
      <c r="J600" s="2" t="s">
        <v>24</v>
      </c>
      <c r="K600">
        <v>717.65</v>
      </c>
      <c r="L600">
        <v>17095.93</v>
      </c>
      <c r="M600">
        <v>2382.21</v>
      </c>
      <c r="N600" s="2" t="s">
        <v>205</v>
      </c>
      <c r="O600" s="2" t="s">
        <v>206</v>
      </c>
      <c r="P600" s="2" t="s">
        <v>1375</v>
      </c>
      <c r="Q600" s="2" t="s">
        <v>1376</v>
      </c>
      <c r="R600" s="2" t="s">
        <v>29</v>
      </c>
      <c r="S600" s="2" t="s">
        <v>30</v>
      </c>
    </row>
    <row r="601" spans="1:19">
      <c r="A601" s="1">
        <v>44075</v>
      </c>
      <c r="B601" s="1">
        <v>44075</v>
      </c>
      <c r="C601">
        <v>2020</v>
      </c>
      <c r="D601">
        <v>9</v>
      </c>
      <c r="E601" s="2" t="s">
        <v>209</v>
      </c>
      <c r="F601" s="2" t="s">
        <v>210</v>
      </c>
      <c r="G601" s="2" t="s">
        <v>39</v>
      </c>
      <c r="H601" s="2" t="s">
        <v>22</v>
      </c>
      <c r="I601" s="2" t="s">
        <v>40</v>
      </c>
      <c r="J601" s="2" t="s">
        <v>59</v>
      </c>
      <c r="K601">
        <v>717.65</v>
      </c>
      <c r="L601">
        <v>17095.93</v>
      </c>
      <c r="M601">
        <v>2382.21</v>
      </c>
      <c r="N601" s="2" t="s">
        <v>211</v>
      </c>
      <c r="O601" s="2" t="s">
        <v>212</v>
      </c>
      <c r="P601" s="2" t="s">
        <v>1375</v>
      </c>
      <c r="Q601" s="2" t="s">
        <v>1376</v>
      </c>
      <c r="R601" s="2" t="s">
        <v>29</v>
      </c>
      <c r="S601" s="2" t="s">
        <v>30</v>
      </c>
    </row>
    <row r="602" spans="1:19">
      <c r="A602" s="1">
        <v>44075</v>
      </c>
      <c r="B602" s="1">
        <v>44075</v>
      </c>
      <c r="C602">
        <v>2020</v>
      </c>
      <c r="D602">
        <v>9</v>
      </c>
      <c r="E602" s="2" t="s">
        <v>213</v>
      </c>
      <c r="F602" s="2" t="s">
        <v>214</v>
      </c>
      <c r="G602" s="2" t="s">
        <v>185</v>
      </c>
      <c r="H602" s="2" t="s">
        <v>22</v>
      </c>
      <c r="I602" s="2" t="s">
        <v>215</v>
      </c>
      <c r="J602" s="2" t="s">
        <v>24</v>
      </c>
      <c r="K602">
        <v>19086.93</v>
      </c>
      <c r="L602">
        <v>560528.78</v>
      </c>
      <c r="M602">
        <v>2936.72</v>
      </c>
      <c r="N602" s="2" t="s">
        <v>216</v>
      </c>
      <c r="O602" s="2" t="s">
        <v>217</v>
      </c>
      <c r="P602" s="2" t="s">
        <v>1377</v>
      </c>
      <c r="Q602" s="2" t="s">
        <v>1378</v>
      </c>
      <c r="R602" s="2" t="s">
        <v>29</v>
      </c>
      <c r="S602" s="2" t="s">
        <v>30</v>
      </c>
    </row>
    <row r="603" spans="1:19">
      <c r="A603" s="1">
        <v>44075</v>
      </c>
      <c r="B603" s="1">
        <v>44075</v>
      </c>
      <c r="C603">
        <v>2020</v>
      </c>
      <c r="D603">
        <v>9</v>
      </c>
      <c r="E603" s="2" t="s">
        <v>220</v>
      </c>
      <c r="F603" s="2" t="s">
        <v>221</v>
      </c>
      <c r="G603" s="2" t="s">
        <v>185</v>
      </c>
      <c r="H603" s="2" t="s">
        <v>22</v>
      </c>
      <c r="I603" s="2" t="s">
        <v>215</v>
      </c>
      <c r="J603" s="2" t="s">
        <v>24</v>
      </c>
      <c r="K603">
        <v>1907.83</v>
      </c>
      <c r="L603">
        <v>145416.23000000001</v>
      </c>
      <c r="M603">
        <v>7622.07</v>
      </c>
      <c r="N603" s="2" t="s">
        <v>222</v>
      </c>
      <c r="O603" s="2" t="s">
        <v>223</v>
      </c>
      <c r="P603" s="2" t="s">
        <v>1379</v>
      </c>
      <c r="Q603" s="2" t="s">
        <v>1380</v>
      </c>
      <c r="R603" s="2" t="s">
        <v>29</v>
      </c>
      <c r="S603" s="2" t="s">
        <v>30</v>
      </c>
    </row>
    <row r="604" spans="1:19">
      <c r="A604" s="1">
        <v>44075</v>
      </c>
      <c r="B604" s="1">
        <v>44075</v>
      </c>
      <c r="C604">
        <v>2020</v>
      </c>
      <c r="D604">
        <v>9</v>
      </c>
      <c r="E604" s="2" t="s">
        <v>226</v>
      </c>
      <c r="F604" s="2" t="s">
        <v>227</v>
      </c>
      <c r="G604" s="2" t="s">
        <v>185</v>
      </c>
      <c r="H604" s="2" t="s">
        <v>22</v>
      </c>
      <c r="I604" s="2" t="s">
        <v>215</v>
      </c>
      <c r="J604" s="2" t="s">
        <v>59</v>
      </c>
      <c r="K604">
        <v>20994.76</v>
      </c>
      <c r="L604">
        <v>705945.01</v>
      </c>
      <c r="M604">
        <v>3362.48</v>
      </c>
      <c r="N604" s="2" t="s">
        <v>228</v>
      </c>
      <c r="O604" s="2" t="s">
        <v>229</v>
      </c>
      <c r="P604" s="2" t="s">
        <v>1381</v>
      </c>
      <c r="Q604" s="2" t="s">
        <v>1382</v>
      </c>
      <c r="R604" s="2" t="s">
        <v>29</v>
      </c>
      <c r="S604" s="2" t="s">
        <v>30</v>
      </c>
    </row>
    <row r="605" spans="1:19">
      <c r="A605" s="1">
        <v>44075</v>
      </c>
      <c r="B605" s="1">
        <v>44075</v>
      </c>
      <c r="C605">
        <v>2020</v>
      </c>
      <c r="D605">
        <v>9</v>
      </c>
      <c r="E605" s="2" t="s">
        <v>232</v>
      </c>
      <c r="F605" s="2" t="s">
        <v>233</v>
      </c>
      <c r="G605" s="2" t="s">
        <v>21</v>
      </c>
      <c r="H605" s="2" t="s">
        <v>22</v>
      </c>
      <c r="I605" s="2" t="s">
        <v>23</v>
      </c>
      <c r="J605" s="2" t="s">
        <v>24</v>
      </c>
      <c r="K605">
        <v>1179.8900000000001</v>
      </c>
      <c r="L605">
        <v>68230.89</v>
      </c>
      <c r="M605">
        <v>5782.82</v>
      </c>
      <c r="N605" s="2" t="s">
        <v>234</v>
      </c>
      <c r="O605" s="2" t="s">
        <v>235</v>
      </c>
      <c r="P605" s="2" t="s">
        <v>1383</v>
      </c>
      <c r="Q605" s="2" t="s">
        <v>1384</v>
      </c>
      <c r="R605" s="2" t="s">
        <v>29</v>
      </c>
      <c r="S605" s="2" t="s">
        <v>30</v>
      </c>
    </row>
    <row r="606" spans="1:19">
      <c r="A606" s="1">
        <v>44075</v>
      </c>
      <c r="B606" s="1">
        <v>44075</v>
      </c>
      <c r="C606">
        <v>2020</v>
      </c>
      <c r="D606">
        <v>9</v>
      </c>
      <c r="E606" s="2" t="s">
        <v>238</v>
      </c>
      <c r="F606" s="2" t="s">
        <v>239</v>
      </c>
      <c r="G606" s="2" t="s">
        <v>21</v>
      </c>
      <c r="H606" s="2" t="s">
        <v>22</v>
      </c>
      <c r="I606" s="2" t="s">
        <v>66</v>
      </c>
      <c r="J606" s="2" t="s">
        <v>24</v>
      </c>
      <c r="K606">
        <v>857.43</v>
      </c>
      <c r="L606">
        <v>77958.47</v>
      </c>
      <c r="M606">
        <v>9092.11</v>
      </c>
      <c r="N606" s="2" t="s">
        <v>240</v>
      </c>
      <c r="O606" s="2" t="s">
        <v>241</v>
      </c>
      <c r="P606" s="2" t="s">
        <v>1385</v>
      </c>
      <c r="Q606" s="2" t="s">
        <v>1386</v>
      </c>
      <c r="R606" s="2" t="s">
        <v>29</v>
      </c>
      <c r="S606" s="2" t="s">
        <v>30</v>
      </c>
    </row>
    <row r="607" spans="1:19">
      <c r="A607" s="1">
        <v>44075</v>
      </c>
      <c r="B607" s="1">
        <v>44075</v>
      </c>
      <c r="C607">
        <v>2020</v>
      </c>
      <c r="D607">
        <v>9</v>
      </c>
      <c r="E607" s="2" t="s">
        <v>244</v>
      </c>
      <c r="F607" s="2" t="s">
        <v>245</v>
      </c>
      <c r="G607" s="2" t="s">
        <v>21</v>
      </c>
      <c r="H607" s="2" t="s">
        <v>22</v>
      </c>
      <c r="I607" s="2" t="s">
        <v>23</v>
      </c>
      <c r="J607" s="2" t="s">
        <v>24</v>
      </c>
      <c r="K607">
        <v>2468.27</v>
      </c>
      <c r="L607">
        <v>2165514.73</v>
      </c>
      <c r="M607">
        <v>87734.11</v>
      </c>
      <c r="N607" s="2" t="s">
        <v>246</v>
      </c>
      <c r="O607" s="2" t="s">
        <v>247</v>
      </c>
      <c r="P607" s="2" t="s">
        <v>1387</v>
      </c>
      <c r="Q607" s="2" t="s">
        <v>1388</v>
      </c>
      <c r="R607" s="2" t="s">
        <v>29</v>
      </c>
      <c r="S607" s="2" t="s">
        <v>30</v>
      </c>
    </row>
    <row r="608" spans="1:19">
      <c r="A608" s="1">
        <v>44075</v>
      </c>
      <c r="B608" s="1">
        <v>44075</v>
      </c>
      <c r="C608">
        <v>2020</v>
      </c>
      <c r="D608">
        <v>9</v>
      </c>
      <c r="E608" s="2" t="s">
        <v>250</v>
      </c>
      <c r="F608" s="2" t="s">
        <v>251</v>
      </c>
      <c r="G608" s="2" t="s">
        <v>21</v>
      </c>
      <c r="H608" s="2" t="s">
        <v>22</v>
      </c>
      <c r="I608" s="2" t="s">
        <v>66</v>
      </c>
      <c r="J608" s="2" t="s">
        <v>24</v>
      </c>
      <c r="K608">
        <v>53.71</v>
      </c>
      <c r="L608">
        <v>76.62</v>
      </c>
      <c r="M608">
        <v>142.65</v>
      </c>
      <c r="N608" s="2" t="s">
        <v>252</v>
      </c>
      <c r="O608" s="2" t="s">
        <v>253</v>
      </c>
      <c r="P608" s="2" t="s">
        <v>1389</v>
      </c>
      <c r="Q608" s="2" t="s">
        <v>1390</v>
      </c>
      <c r="R608" s="2" t="s">
        <v>29</v>
      </c>
      <c r="S608" s="2" t="s">
        <v>30</v>
      </c>
    </row>
    <row r="609" spans="1:19">
      <c r="A609" s="1">
        <v>44075</v>
      </c>
      <c r="B609" s="1">
        <v>44075</v>
      </c>
      <c r="C609">
        <v>2020</v>
      </c>
      <c r="D609">
        <v>9</v>
      </c>
      <c r="E609" s="2" t="s">
        <v>256</v>
      </c>
      <c r="F609" s="2" t="s">
        <v>257</v>
      </c>
      <c r="G609" s="2" t="s">
        <v>21</v>
      </c>
      <c r="H609" s="2" t="s">
        <v>22</v>
      </c>
      <c r="I609" s="2" t="s">
        <v>258</v>
      </c>
      <c r="J609" s="2" t="s">
        <v>24</v>
      </c>
      <c r="K609">
        <v>612.63</v>
      </c>
      <c r="L609">
        <v>485114.45</v>
      </c>
      <c r="M609">
        <v>79185.55</v>
      </c>
      <c r="N609" s="2" t="s">
        <v>259</v>
      </c>
      <c r="O609" s="2" t="s">
        <v>260</v>
      </c>
      <c r="P609" s="2" t="s">
        <v>1391</v>
      </c>
      <c r="Q609" s="2" t="s">
        <v>1392</v>
      </c>
      <c r="R609" s="2" t="s">
        <v>29</v>
      </c>
      <c r="S609" s="2" t="s">
        <v>30</v>
      </c>
    </row>
    <row r="610" spans="1:19">
      <c r="A610" s="1">
        <v>44075</v>
      </c>
      <c r="B610" s="1">
        <v>44075</v>
      </c>
      <c r="C610">
        <v>2020</v>
      </c>
      <c r="D610">
        <v>9</v>
      </c>
      <c r="E610" s="2" t="s">
        <v>263</v>
      </c>
      <c r="F610" s="2" t="s">
        <v>264</v>
      </c>
      <c r="G610" s="2" t="s">
        <v>21</v>
      </c>
      <c r="H610" s="2" t="s">
        <v>22</v>
      </c>
      <c r="I610" s="2" t="s">
        <v>258</v>
      </c>
      <c r="J610" s="2" t="s">
        <v>24</v>
      </c>
      <c r="K610">
        <v>0.08</v>
      </c>
      <c r="L610">
        <v>128.36000000000001</v>
      </c>
      <c r="M610">
        <v>160450</v>
      </c>
      <c r="N610" s="2" t="s">
        <v>265</v>
      </c>
      <c r="O610" s="2" t="s">
        <v>266</v>
      </c>
      <c r="P610" s="2" t="s">
        <v>1393</v>
      </c>
      <c r="Q610" s="2" t="s">
        <v>1394</v>
      </c>
      <c r="R610" s="2" t="s">
        <v>29</v>
      </c>
      <c r="S610" s="2" t="s">
        <v>30</v>
      </c>
    </row>
    <row r="611" spans="1:19">
      <c r="A611" s="1">
        <v>44075</v>
      </c>
      <c r="B611" s="1">
        <v>44075</v>
      </c>
      <c r="C611">
        <v>2020</v>
      </c>
      <c r="D611">
        <v>9</v>
      </c>
      <c r="E611" s="2" t="s">
        <v>269</v>
      </c>
      <c r="F611" s="2" t="s">
        <v>270</v>
      </c>
      <c r="G611" s="2" t="s">
        <v>21</v>
      </c>
      <c r="H611" s="2" t="s">
        <v>22</v>
      </c>
      <c r="I611" s="2" t="s">
        <v>258</v>
      </c>
      <c r="J611" s="2" t="s">
        <v>59</v>
      </c>
      <c r="K611">
        <v>612.71</v>
      </c>
      <c r="L611">
        <v>485242.81</v>
      </c>
      <c r="M611">
        <v>79196.160000000003</v>
      </c>
      <c r="N611" s="2" t="s">
        <v>271</v>
      </c>
      <c r="O611" s="2" t="s">
        <v>272</v>
      </c>
      <c r="P611" s="2" t="s">
        <v>1395</v>
      </c>
      <c r="Q611" s="2" t="s">
        <v>1396</v>
      </c>
      <c r="R611" s="2" t="s">
        <v>29</v>
      </c>
      <c r="S611" s="2" t="s">
        <v>30</v>
      </c>
    </row>
    <row r="612" spans="1:19">
      <c r="A612" s="1">
        <v>44075</v>
      </c>
      <c r="B612" s="1">
        <v>44075</v>
      </c>
      <c r="C612">
        <v>2020</v>
      </c>
      <c r="D612">
        <v>9</v>
      </c>
      <c r="E612" s="2" t="s">
        <v>275</v>
      </c>
      <c r="F612" s="2" t="s">
        <v>276</v>
      </c>
      <c r="G612" s="2" t="s">
        <v>39</v>
      </c>
      <c r="H612" s="2" t="s">
        <v>22</v>
      </c>
      <c r="I612" s="2" t="s">
        <v>40</v>
      </c>
      <c r="J612" s="2" t="s">
        <v>24</v>
      </c>
      <c r="K612">
        <v>29.39</v>
      </c>
      <c r="L612">
        <v>117.97</v>
      </c>
      <c r="M612">
        <v>401.4</v>
      </c>
      <c r="N612" s="2" t="s">
        <v>277</v>
      </c>
      <c r="O612" s="2" t="s">
        <v>278</v>
      </c>
      <c r="P612" s="2" t="s">
        <v>1397</v>
      </c>
      <c r="Q612" s="2" t="s">
        <v>1398</v>
      </c>
      <c r="R612" s="2" t="s">
        <v>29</v>
      </c>
      <c r="S612" s="2" t="s">
        <v>30</v>
      </c>
    </row>
    <row r="613" spans="1:19">
      <c r="A613" s="1">
        <v>44075</v>
      </c>
      <c r="B613" s="1">
        <v>44075</v>
      </c>
      <c r="C613">
        <v>2020</v>
      </c>
      <c r="D613">
        <v>9</v>
      </c>
      <c r="E613" s="2" t="s">
        <v>281</v>
      </c>
      <c r="F613" s="2" t="s">
        <v>282</v>
      </c>
      <c r="G613" s="2" t="s">
        <v>39</v>
      </c>
      <c r="H613" s="2" t="s">
        <v>22</v>
      </c>
      <c r="I613" s="2" t="s">
        <v>40</v>
      </c>
      <c r="J613" s="2" t="s">
        <v>24</v>
      </c>
      <c r="K613">
        <v>4.2300000000000004</v>
      </c>
      <c r="L613">
        <v>4.53</v>
      </c>
      <c r="M613">
        <v>107.09</v>
      </c>
      <c r="N613" s="2" t="s">
        <v>283</v>
      </c>
      <c r="O613" s="2" t="s">
        <v>284</v>
      </c>
      <c r="P613" s="2" t="s">
        <v>1399</v>
      </c>
      <c r="Q613" s="2" t="s">
        <v>1400</v>
      </c>
      <c r="R613" s="2" t="s">
        <v>29</v>
      </c>
      <c r="S613" s="2" t="s">
        <v>30</v>
      </c>
    </row>
    <row r="614" spans="1:19">
      <c r="A614" s="1">
        <v>44075</v>
      </c>
      <c r="B614" s="1">
        <v>44075</v>
      </c>
      <c r="C614">
        <v>2020</v>
      </c>
      <c r="D614">
        <v>9</v>
      </c>
      <c r="E614" s="2" t="s">
        <v>287</v>
      </c>
      <c r="F614" s="2" t="s">
        <v>288</v>
      </c>
      <c r="G614" s="2" t="s">
        <v>39</v>
      </c>
      <c r="H614" s="2" t="s">
        <v>22</v>
      </c>
      <c r="I614" s="2" t="s">
        <v>40</v>
      </c>
      <c r="J614" s="2" t="s">
        <v>59</v>
      </c>
      <c r="K614">
        <v>33.619999999999997</v>
      </c>
      <c r="L614">
        <v>122.51</v>
      </c>
      <c r="M614">
        <v>364.4</v>
      </c>
      <c r="N614" s="2" t="s">
        <v>289</v>
      </c>
      <c r="O614" s="2" t="s">
        <v>290</v>
      </c>
      <c r="P614" s="2" t="s">
        <v>1401</v>
      </c>
      <c r="Q614" s="2" t="s">
        <v>1402</v>
      </c>
      <c r="R614" s="2" t="s">
        <v>29</v>
      </c>
      <c r="S614" s="2" t="s">
        <v>30</v>
      </c>
    </row>
    <row r="615" spans="1:19">
      <c r="A615" s="1">
        <v>44075</v>
      </c>
      <c r="B615" s="1">
        <v>44075</v>
      </c>
      <c r="C615">
        <v>2020</v>
      </c>
      <c r="D615">
        <v>9</v>
      </c>
      <c r="E615" s="2" t="s">
        <v>293</v>
      </c>
      <c r="F615" s="2" t="s">
        <v>294</v>
      </c>
      <c r="G615" s="2" t="s">
        <v>21</v>
      </c>
      <c r="H615" s="2" t="s">
        <v>22</v>
      </c>
      <c r="I615" s="2" t="s">
        <v>295</v>
      </c>
      <c r="J615" s="2" t="s">
        <v>24</v>
      </c>
      <c r="K615">
        <v>976.87</v>
      </c>
      <c r="L615">
        <v>2514.58</v>
      </c>
      <c r="M615">
        <v>257.41000000000003</v>
      </c>
      <c r="N615" s="2" t="s">
        <v>296</v>
      </c>
      <c r="O615" s="2" t="s">
        <v>297</v>
      </c>
      <c r="P615" s="2" t="s">
        <v>1403</v>
      </c>
      <c r="Q615" s="2" t="s">
        <v>1404</v>
      </c>
      <c r="R615" s="2" t="s">
        <v>29</v>
      </c>
      <c r="S615" s="2" t="s">
        <v>30</v>
      </c>
    </row>
    <row r="616" spans="1:19">
      <c r="A616" s="1">
        <v>44075</v>
      </c>
      <c r="B616" s="1">
        <v>44075</v>
      </c>
      <c r="C616">
        <v>2020</v>
      </c>
      <c r="D616">
        <v>9</v>
      </c>
      <c r="E616" s="2" t="s">
        <v>300</v>
      </c>
      <c r="F616" s="2" t="s">
        <v>301</v>
      </c>
      <c r="G616" s="2" t="s">
        <v>21</v>
      </c>
      <c r="H616" s="2" t="s">
        <v>22</v>
      </c>
      <c r="I616" s="2" t="s">
        <v>295</v>
      </c>
      <c r="J616" s="2" t="s">
        <v>24</v>
      </c>
      <c r="K616">
        <v>32.5</v>
      </c>
      <c r="L616">
        <v>910.42</v>
      </c>
      <c r="M616">
        <v>2801.29</v>
      </c>
      <c r="N616" s="2" t="s">
        <v>302</v>
      </c>
      <c r="O616" s="2" t="s">
        <v>303</v>
      </c>
      <c r="P616" s="2" t="s">
        <v>1405</v>
      </c>
      <c r="Q616" s="2" t="s">
        <v>1406</v>
      </c>
      <c r="R616" s="2" t="s">
        <v>29</v>
      </c>
      <c r="S616" s="2" t="s">
        <v>30</v>
      </c>
    </row>
    <row r="617" spans="1:19">
      <c r="A617" s="1">
        <v>44075</v>
      </c>
      <c r="B617" s="1">
        <v>44075</v>
      </c>
      <c r="C617">
        <v>2020</v>
      </c>
      <c r="D617">
        <v>9</v>
      </c>
      <c r="E617" s="2" t="s">
        <v>306</v>
      </c>
      <c r="F617" s="2" t="s">
        <v>307</v>
      </c>
      <c r="G617" s="2" t="s">
        <v>21</v>
      </c>
      <c r="H617" s="2" t="s">
        <v>22</v>
      </c>
      <c r="I617" s="2" t="s">
        <v>295</v>
      </c>
      <c r="J617" s="2" t="s">
        <v>101</v>
      </c>
      <c r="K617">
        <v>1009.37</v>
      </c>
      <c r="L617">
        <v>3425</v>
      </c>
      <c r="M617">
        <v>339.32</v>
      </c>
      <c r="N617" s="2" t="s">
        <v>308</v>
      </c>
      <c r="O617" s="2" t="s">
        <v>309</v>
      </c>
      <c r="P617" s="2" t="s">
        <v>1407</v>
      </c>
      <c r="Q617" s="2" t="s">
        <v>1408</v>
      </c>
      <c r="R617" s="2" t="s">
        <v>29</v>
      </c>
      <c r="S617" s="2" t="s">
        <v>30</v>
      </c>
    </row>
    <row r="618" spans="1:19">
      <c r="A618" s="1">
        <v>44075</v>
      </c>
      <c r="B618" s="1">
        <v>44075</v>
      </c>
      <c r="C618">
        <v>2020</v>
      </c>
      <c r="D618">
        <v>9</v>
      </c>
      <c r="E618" s="2" t="s">
        <v>312</v>
      </c>
      <c r="F618" s="2" t="s">
        <v>313</v>
      </c>
      <c r="G618" s="2" t="s">
        <v>21</v>
      </c>
      <c r="H618" s="2" t="s">
        <v>22</v>
      </c>
      <c r="I618" s="2" t="s">
        <v>295</v>
      </c>
      <c r="J618" s="2" t="s">
        <v>59</v>
      </c>
      <c r="K618">
        <v>4625.96</v>
      </c>
      <c r="L618">
        <v>16683.310000000001</v>
      </c>
      <c r="M618">
        <v>360.65</v>
      </c>
      <c r="N618" s="2" t="s">
        <v>314</v>
      </c>
      <c r="O618" s="2" t="s">
        <v>315</v>
      </c>
      <c r="P618" s="2" t="s">
        <v>1409</v>
      </c>
      <c r="Q618" s="2" t="s">
        <v>1410</v>
      </c>
      <c r="R618" s="2" t="s">
        <v>29</v>
      </c>
      <c r="S618" s="2" t="s">
        <v>30</v>
      </c>
    </row>
    <row r="619" spans="1:19">
      <c r="A619" s="1">
        <v>44075</v>
      </c>
      <c r="B619" s="1">
        <v>44075</v>
      </c>
      <c r="C619">
        <v>2020</v>
      </c>
      <c r="D619">
        <v>9</v>
      </c>
      <c r="E619" s="2" t="s">
        <v>318</v>
      </c>
      <c r="F619" s="2" t="s">
        <v>319</v>
      </c>
      <c r="G619" s="2" t="s">
        <v>21</v>
      </c>
      <c r="H619" s="2" t="s">
        <v>22</v>
      </c>
      <c r="I619" s="2" t="s">
        <v>295</v>
      </c>
      <c r="J619" s="2" t="s">
        <v>24</v>
      </c>
      <c r="K619">
        <v>3616.58</v>
      </c>
      <c r="L619">
        <v>13258.31</v>
      </c>
      <c r="M619">
        <v>366.6</v>
      </c>
      <c r="N619" s="2" t="s">
        <v>320</v>
      </c>
      <c r="O619" s="2" t="s">
        <v>321</v>
      </c>
      <c r="P619" s="2" t="s">
        <v>1411</v>
      </c>
      <c r="Q619" s="2" t="s">
        <v>1412</v>
      </c>
      <c r="R619" s="2" t="s">
        <v>29</v>
      </c>
      <c r="S619" s="2" t="s">
        <v>30</v>
      </c>
    </row>
    <row r="620" spans="1:19">
      <c r="A620" s="1">
        <v>44075</v>
      </c>
      <c r="B620" s="1">
        <v>44075</v>
      </c>
      <c r="C620">
        <v>2020</v>
      </c>
      <c r="D620">
        <v>9</v>
      </c>
      <c r="E620" s="2" t="s">
        <v>324</v>
      </c>
      <c r="F620" s="2" t="s">
        <v>325</v>
      </c>
      <c r="G620" s="2" t="s">
        <v>21</v>
      </c>
      <c r="H620" s="2" t="s">
        <v>22</v>
      </c>
      <c r="I620" s="2" t="s">
        <v>23</v>
      </c>
      <c r="J620" s="2" t="s">
        <v>59</v>
      </c>
      <c r="K620">
        <v>25506.720000000001</v>
      </c>
      <c r="L620">
        <v>2817732.97</v>
      </c>
      <c r="M620">
        <v>11047.02</v>
      </c>
      <c r="N620" s="2" t="s">
        <v>326</v>
      </c>
      <c r="O620" s="2" t="s">
        <v>327</v>
      </c>
      <c r="P620" s="2" t="s">
        <v>1413</v>
      </c>
      <c r="Q620" s="2" t="s">
        <v>1414</v>
      </c>
      <c r="R620" s="2" t="s">
        <v>29</v>
      </c>
      <c r="S620" s="2" t="s">
        <v>30</v>
      </c>
    </row>
    <row r="621" spans="1:19">
      <c r="A621" s="1">
        <v>44075</v>
      </c>
      <c r="B621" s="1">
        <v>44075</v>
      </c>
      <c r="C621">
        <v>2020</v>
      </c>
      <c r="D621">
        <v>9</v>
      </c>
      <c r="E621" s="2" t="s">
        <v>330</v>
      </c>
      <c r="F621" s="2" t="s">
        <v>331</v>
      </c>
      <c r="G621" s="2" t="s">
        <v>21</v>
      </c>
      <c r="H621" s="2" t="s">
        <v>332</v>
      </c>
      <c r="I621" s="2" t="s">
        <v>333</v>
      </c>
      <c r="J621" s="2" t="s">
        <v>24</v>
      </c>
      <c r="K621">
        <v>128.49</v>
      </c>
      <c r="L621">
        <v>7993813.9100000001</v>
      </c>
      <c r="M621">
        <v>6221351.0099999998</v>
      </c>
      <c r="N621" s="2" t="s">
        <v>334</v>
      </c>
      <c r="O621" s="2" t="s">
        <v>335</v>
      </c>
      <c r="P621" s="2" t="s">
        <v>1415</v>
      </c>
      <c r="Q621" s="2" t="s">
        <v>1416</v>
      </c>
      <c r="R621" s="2" t="s">
        <v>29</v>
      </c>
      <c r="S621" s="2" t="s">
        <v>30</v>
      </c>
    </row>
    <row r="622" spans="1:19">
      <c r="A622" s="1">
        <v>44075</v>
      </c>
      <c r="B622" s="1">
        <v>44075</v>
      </c>
      <c r="C622">
        <v>2020</v>
      </c>
      <c r="D622">
        <v>9</v>
      </c>
      <c r="E622" s="2" t="s">
        <v>338</v>
      </c>
      <c r="F622" s="2" t="s">
        <v>339</v>
      </c>
      <c r="G622" s="2" t="s">
        <v>21</v>
      </c>
      <c r="H622" s="2" t="s">
        <v>332</v>
      </c>
      <c r="I622" s="2" t="s">
        <v>333</v>
      </c>
      <c r="J622" s="2" t="s">
        <v>24</v>
      </c>
      <c r="K622">
        <v>1.61</v>
      </c>
      <c r="L622">
        <v>1495251.83</v>
      </c>
      <c r="M622">
        <v>92872784.469999999</v>
      </c>
      <c r="N622" s="2" t="s">
        <v>340</v>
      </c>
      <c r="O622" s="2" t="s">
        <v>341</v>
      </c>
      <c r="P622" s="2" t="s">
        <v>1417</v>
      </c>
      <c r="Q622" s="2" t="s">
        <v>1418</v>
      </c>
      <c r="R622" s="2" t="s">
        <v>29</v>
      </c>
      <c r="S622" s="2" t="s">
        <v>30</v>
      </c>
    </row>
    <row r="623" spans="1:19">
      <c r="A623" s="1">
        <v>44075</v>
      </c>
      <c r="B623" s="1">
        <v>44075</v>
      </c>
      <c r="C623">
        <v>2020</v>
      </c>
      <c r="D623">
        <v>9</v>
      </c>
      <c r="E623" s="2" t="s">
        <v>344</v>
      </c>
      <c r="F623" s="2" t="s">
        <v>345</v>
      </c>
      <c r="G623" s="2" t="s">
        <v>21</v>
      </c>
      <c r="H623" s="2" t="s">
        <v>332</v>
      </c>
      <c r="I623" s="2" t="s">
        <v>333</v>
      </c>
      <c r="J623" s="2" t="s">
        <v>59</v>
      </c>
      <c r="K623">
        <v>130.11000000000001</v>
      </c>
      <c r="L623">
        <v>9489065.75</v>
      </c>
      <c r="M623">
        <v>7293110.25</v>
      </c>
      <c r="N623" s="2" t="s">
        <v>346</v>
      </c>
      <c r="O623" s="2" t="s">
        <v>347</v>
      </c>
      <c r="P623" s="2" t="s">
        <v>1419</v>
      </c>
      <c r="Q623" s="2" t="s">
        <v>1420</v>
      </c>
      <c r="R623" s="2" t="s">
        <v>29</v>
      </c>
      <c r="S623" s="2" t="s">
        <v>30</v>
      </c>
    </row>
    <row r="624" spans="1:19">
      <c r="A624" s="1">
        <v>44075</v>
      </c>
      <c r="B624" s="1">
        <v>44075</v>
      </c>
      <c r="C624">
        <v>2020</v>
      </c>
      <c r="D624">
        <v>9</v>
      </c>
      <c r="E624" s="2" t="s">
        <v>350</v>
      </c>
      <c r="F624" s="2" t="s">
        <v>351</v>
      </c>
      <c r="G624" s="2" t="s">
        <v>21</v>
      </c>
      <c r="H624" s="2" t="s">
        <v>22</v>
      </c>
      <c r="I624" s="2" t="s">
        <v>352</v>
      </c>
      <c r="J624" s="2" t="s">
        <v>353</v>
      </c>
      <c r="K624">
        <v>36183.72</v>
      </c>
      <c r="L624">
        <v>12508222.09</v>
      </c>
      <c r="M624">
        <v>34568.65</v>
      </c>
      <c r="N624" s="2" t="s">
        <v>354</v>
      </c>
      <c r="O624" s="2" t="s">
        <v>355</v>
      </c>
      <c r="P624" s="2" t="s">
        <v>1421</v>
      </c>
      <c r="Q624" s="2" t="s">
        <v>1422</v>
      </c>
      <c r="R624" s="2" t="s">
        <v>29</v>
      </c>
      <c r="S624" s="2" t="s">
        <v>30</v>
      </c>
    </row>
    <row r="625" spans="1:19">
      <c r="A625" s="1">
        <v>44075</v>
      </c>
      <c r="B625" s="1">
        <v>44075</v>
      </c>
      <c r="C625">
        <v>2020</v>
      </c>
      <c r="D625">
        <v>9</v>
      </c>
      <c r="E625" s="2" t="s">
        <v>358</v>
      </c>
      <c r="F625" s="2" t="s">
        <v>359</v>
      </c>
      <c r="G625" s="2" t="s">
        <v>21</v>
      </c>
      <c r="H625" s="2" t="s">
        <v>22</v>
      </c>
      <c r="I625" s="2" t="s">
        <v>352</v>
      </c>
      <c r="J625" s="2" t="s">
        <v>353</v>
      </c>
      <c r="K625">
        <v>36796.42</v>
      </c>
      <c r="L625">
        <v>12993464.9</v>
      </c>
      <c r="M625">
        <v>35311.760000000002</v>
      </c>
      <c r="N625" s="2" t="s">
        <v>360</v>
      </c>
      <c r="O625" s="2" t="s">
        <v>361</v>
      </c>
      <c r="P625" s="2" t="s">
        <v>1423</v>
      </c>
      <c r="Q625" s="2" t="s">
        <v>1424</v>
      </c>
      <c r="R625" s="2" t="s">
        <v>29</v>
      </c>
      <c r="S625" s="2" t="s">
        <v>30</v>
      </c>
    </row>
    <row r="626" spans="1:19">
      <c r="A626" s="1">
        <v>44075</v>
      </c>
      <c r="B626" s="1">
        <v>44075</v>
      </c>
      <c r="C626">
        <v>2020</v>
      </c>
      <c r="D626">
        <v>9</v>
      </c>
      <c r="E626" s="2" t="s">
        <v>364</v>
      </c>
      <c r="F626" s="2" t="s">
        <v>365</v>
      </c>
      <c r="G626" s="2" t="s">
        <v>21</v>
      </c>
      <c r="H626" s="2" t="s">
        <v>22</v>
      </c>
      <c r="I626" s="2" t="s">
        <v>352</v>
      </c>
      <c r="J626" s="2" t="s">
        <v>353</v>
      </c>
      <c r="K626">
        <v>36666.32</v>
      </c>
      <c r="L626">
        <v>3504399.15</v>
      </c>
      <c r="M626">
        <v>9557.5400000000009</v>
      </c>
      <c r="N626" s="2" t="s">
        <v>366</v>
      </c>
      <c r="O626" s="2" t="s">
        <v>367</v>
      </c>
      <c r="P626" s="2" t="s">
        <v>1425</v>
      </c>
      <c r="Q626" s="2" t="s">
        <v>1426</v>
      </c>
      <c r="R626" s="2" t="s">
        <v>29</v>
      </c>
      <c r="S626" s="2" t="s">
        <v>30</v>
      </c>
    </row>
    <row r="627" spans="1:19">
      <c r="A627" s="1">
        <v>44075</v>
      </c>
      <c r="B627" s="1">
        <v>44075</v>
      </c>
      <c r="C627">
        <v>2020</v>
      </c>
      <c r="D627">
        <v>9</v>
      </c>
      <c r="E627" s="2" t="s">
        <v>370</v>
      </c>
      <c r="F627" s="2" t="s">
        <v>371</v>
      </c>
      <c r="G627" s="2" t="s">
        <v>21</v>
      </c>
      <c r="H627" s="2" t="s">
        <v>22</v>
      </c>
      <c r="I627" s="2" t="s">
        <v>23</v>
      </c>
      <c r="J627" s="2" t="s">
        <v>24</v>
      </c>
      <c r="K627">
        <v>18001.669999999998</v>
      </c>
      <c r="L627">
        <v>329031.84000000003</v>
      </c>
      <c r="M627">
        <v>1827.79</v>
      </c>
      <c r="N627" s="2" t="s">
        <v>372</v>
      </c>
      <c r="O627" s="2" t="s">
        <v>373</v>
      </c>
      <c r="P627" s="2" t="s">
        <v>1427</v>
      </c>
      <c r="Q627" s="2" t="s">
        <v>1428</v>
      </c>
      <c r="R627" s="2" t="s">
        <v>29</v>
      </c>
      <c r="S627" s="2" t="s">
        <v>30</v>
      </c>
    </row>
    <row r="628" spans="1:19">
      <c r="A628" s="1">
        <v>44075</v>
      </c>
      <c r="B628" s="1">
        <v>44075</v>
      </c>
      <c r="C628">
        <v>2020</v>
      </c>
      <c r="D628">
        <v>9</v>
      </c>
      <c r="E628" s="2" t="s">
        <v>376</v>
      </c>
      <c r="F628" s="2" t="s">
        <v>377</v>
      </c>
      <c r="G628" s="2" t="s">
        <v>21</v>
      </c>
      <c r="H628" s="2" t="s">
        <v>22</v>
      </c>
      <c r="I628" s="2" t="s">
        <v>23</v>
      </c>
      <c r="J628" s="2" t="s">
        <v>378</v>
      </c>
      <c r="K628">
        <v>0.89</v>
      </c>
      <c r="L628">
        <v>14.27</v>
      </c>
      <c r="M628">
        <v>1603.37</v>
      </c>
      <c r="N628" s="2" t="s">
        <v>379</v>
      </c>
      <c r="O628" s="2" t="s">
        <v>380</v>
      </c>
      <c r="P628" s="2" t="s">
        <v>1016</v>
      </c>
      <c r="Q628" s="2" t="s">
        <v>1429</v>
      </c>
      <c r="R628" s="2" t="s">
        <v>29</v>
      </c>
      <c r="S628" s="2" t="s">
        <v>30</v>
      </c>
    </row>
    <row r="629" spans="1:19">
      <c r="A629" s="1">
        <v>44105</v>
      </c>
      <c r="B629" s="1">
        <v>44105</v>
      </c>
      <c r="C629">
        <v>2020</v>
      </c>
      <c r="D629">
        <v>10</v>
      </c>
      <c r="E629" s="2" t="s">
        <v>19</v>
      </c>
      <c r="F629" s="2" t="s">
        <v>20</v>
      </c>
      <c r="G629" s="2" t="s">
        <v>21</v>
      </c>
      <c r="H629" s="2" t="s">
        <v>22</v>
      </c>
      <c r="I629" s="2" t="s">
        <v>23</v>
      </c>
      <c r="J629" s="2" t="s">
        <v>24</v>
      </c>
      <c r="K629">
        <v>1.02</v>
      </c>
      <c r="L629">
        <v>57.01</v>
      </c>
      <c r="M629">
        <v>5589.22</v>
      </c>
      <c r="N629" s="2" t="s">
        <v>25</v>
      </c>
      <c r="O629" s="2" t="s">
        <v>26</v>
      </c>
      <c r="P629" s="2" t="s">
        <v>453</v>
      </c>
      <c r="Q629" s="2" t="s">
        <v>1430</v>
      </c>
      <c r="R629" s="2" t="s">
        <v>29</v>
      </c>
      <c r="S629" s="2" t="s">
        <v>30</v>
      </c>
    </row>
    <row r="630" spans="1:19">
      <c r="A630" s="1">
        <v>44105</v>
      </c>
      <c r="B630" s="1">
        <v>44105</v>
      </c>
      <c r="C630">
        <v>2020</v>
      </c>
      <c r="D630">
        <v>10</v>
      </c>
      <c r="E630" s="2" t="s">
        <v>31</v>
      </c>
      <c r="F630" s="2" t="s">
        <v>32</v>
      </c>
      <c r="G630" s="2" t="s">
        <v>21</v>
      </c>
      <c r="H630" s="2" t="s">
        <v>22</v>
      </c>
      <c r="I630" s="2" t="s">
        <v>23</v>
      </c>
      <c r="J630" s="2" t="s">
        <v>24</v>
      </c>
      <c r="K630">
        <v>961.85</v>
      </c>
      <c r="L630">
        <v>5530.64</v>
      </c>
      <c r="M630">
        <v>575</v>
      </c>
      <c r="N630" s="2" t="s">
        <v>33</v>
      </c>
      <c r="O630" s="2" t="s">
        <v>34</v>
      </c>
      <c r="P630" s="2" t="s">
        <v>1431</v>
      </c>
      <c r="Q630" s="2" t="s">
        <v>1432</v>
      </c>
      <c r="R630" s="2" t="s">
        <v>29</v>
      </c>
      <c r="S630" s="2" t="s">
        <v>30</v>
      </c>
    </row>
    <row r="631" spans="1:19">
      <c r="A631" s="1">
        <v>44105</v>
      </c>
      <c r="B631" s="1">
        <v>44105</v>
      </c>
      <c r="C631">
        <v>2020</v>
      </c>
      <c r="D631">
        <v>10</v>
      </c>
      <c r="E631" s="2" t="s">
        <v>37</v>
      </c>
      <c r="F631" s="2" t="s">
        <v>38</v>
      </c>
      <c r="G631" s="2" t="s">
        <v>39</v>
      </c>
      <c r="H631" s="2" t="s">
        <v>22</v>
      </c>
      <c r="I631" s="2" t="s">
        <v>40</v>
      </c>
      <c r="J631" s="2" t="s">
        <v>24</v>
      </c>
      <c r="K631">
        <v>4.8499999999999996</v>
      </c>
      <c r="L631">
        <v>240.43</v>
      </c>
      <c r="M631">
        <v>4957.32</v>
      </c>
      <c r="N631" s="2" t="s">
        <v>41</v>
      </c>
      <c r="O631" s="2" t="s">
        <v>42</v>
      </c>
      <c r="P631" s="2" t="s">
        <v>1433</v>
      </c>
      <c r="Q631" s="2" t="s">
        <v>1434</v>
      </c>
      <c r="R631" s="2" t="s">
        <v>29</v>
      </c>
      <c r="S631" s="2" t="s">
        <v>30</v>
      </c>
    </row>
    <row r="632" spans="1:19">
      <c r="A632" s="1">
        <v>44105</v>
      </c>
      <c r="B632" s="1">
        <v>44105</v>
      </c>
      <c r="C632">
        <v>2020</v>
      </c>
      <c r="D632">
        <v>10</v>
      </c>
      <c r="E632" s="2" t="s">
        <v>45</v>
      </c>
      <c r="F632" s="2" t="s">
        <v>46</v>
      </c>
      <c r="G632" s="2" t="s">
        <v>39</v>
      </c>
      <c r="H632" s="2" t="s">
        <v>22</v>
      </c>
      <c r="I632" s="2" t="s">
        <v>40</v>
      </c>
      <c r="J632" s="2" t="s">
        <v>24</v>
      </c>
      <c r="K632">
        <v>5626.5</v>
      </c>
      <c r="L632">
        <v>267747.21999999997</v>
      </c>
      <c r="M632">
        <v>4758.68</v>
      </c>
      <c r="N632" s="2" t="s">
        <v>47</v>
      </c>
      <c r="O632" s="2" t="s">
        <v>48</v>
      </c>
      <c r="P632" s="2" t="s">
        <v>1435</v>
      </c>
      <c r="Q632" s="2" t="s">
        <v>1436</v>
      </c>
      <c r="R632" s="2" t="s">
        <v>29</v>
      </c>
      <c r="S632" s="2" t="s">
        <v>30</v>
      </c>
    </row>
    <row r="633" spans="1:19">
      <c r="A633" s="1">
        <v>44105</v>
      </c>
      <c r="B633" s="1">
        <v>44105</v>
      </c>
      <c r="C633">
        <v>2020</v>
      </c>
      <c r="D633">
        <v>10</v>
      </c>
      <c r="E633" s="2" t="s">
        <v>51</v>
      </c>
      <c r="F633" s="2" t="s">
        <v>52</v>
      </c>
      <c r="G633" s="2" t="s">
        <v>39</v>
      </c>
      <c r="H633" s="2" t="s">
        <v>22</v>
      </c>
      <c r="I633" s="2" t="s">
        <v>40</v>
      </c>
      <c r="J633" s="2" t="s">
        <v>24</v>
      </c>
      <c r="K633">
        <v>25.04</v>
      </c>
      <c r="L633">
        <v>893.24</v>
      </c>
      <c r="M633">
        <v>3567.25</v>
      </c>
      <c r="N633" s="2" t="s">
        <v>53</v>
      </c>
      <c r="O633" s="2" t="s">
        <v>54</v>
      </c>
      <c r="P633" s="2" t="s">
        <v>1437</v>
      </c>
      <c r="Q633" s="2" t="s">
        <v>1438</v>
      </c>
      <c r="R633" s="2" t="s">
        <v>29</v>
      </c>
      <c r="S633" s="2" t="s">
        <v>30</v>
      </c>
    </row>
    <row r="634" spans="1:19">
      <c r="A634" s="1">
        <v>44105</v>
      </c>
      <c r="B634" s="1">
        <v>44105</v>
      </c>
      <c r="C634">
        <v>2020</v>
      </c>
      <c r="D634">
        <v>10</v>
      </c>
      <c r="E634" s="2" t="s">
        <v>57</v>
      </c>
      <c r="F634" s="2" t="s">
        <v>58</v>
      </c>
      <c r="G634" s="2" t="s">
        <v>39</v>
      </c>
      <c r="H634" s="2" t="s">
        <v>22</v>
      </c>
      <c r="I634" s="2" t="s">
        <v>40</v>
      </c>
      <c r="J634" s="2" t="s">
        <v>59</v>
      </c>
      <c r="K634">
        <v>5656.39</v>
      </c>
      <c r="L634">
        <v>268880.90000000002</v>
      </c>
      <c r="M634">
        <v>4753.58</v>
      </c>
      <c r="N634" s="2" t="s">
        <v>60</v>
      </c>
      <c r="O634" s="2" t="s">
        <v>61</v>
      </c>
      <c r="P634" s="2" t="s">
        <v>1439</v>
      </c>
      <c r="Q634" s="2" t="s">
        <v>1440</v>
      </c>
      <c r="R634" s="2" t="s">
        <v>29</v>
      </c>
      <c r="S634" s="2" t="s">
        <v>30</v>
      </c>
    </row>
    <row r="635" spans="1:19">
      <c r="A635" s="1">
        <v>44105</v>
      </c>
      <c r="B635" s="1">
        <v>44105</v>
      </c>
      <c r="C635">
        <v>2020</v>
      </c>
      <c r="D635">
        <v>10</v>
      </c>
      <c r="E635" s="2" t="s">
        <v>64</v>
      </c>
      <c r="F635" s="2" t="s">
        <v>65</v>
      </c>
      <c r="G635" s="2" t="s">
        <v>21</v>
      </c>
      <c r="H635" s="2" t="s">
        <v>22</v>
      </c>
      <c r="I635" s="2" t="s">
        <v>66</v>
      </c>
      <c r="J635" s="2" t="s">
        <v>24</v>
      </c>
      <c r="K635">
        <v>10.55</v>
      </c>
      <c r="L635">
        <v>191.57</v>
      </c>
      <c r="M635">
        <v>1815.83</v>
      </c>
      <c r="N635" s="2" t="s">
        <v>67</v>
      </c>
      <c r="O635" s="2" t="s">
        <v>68</v>
      </c>
      <c r="P635" s="2" t="s">
        <v>1441</v>
      </c>
      <c r="Q635" s="2" t="s">
        <v>1442</v>
      </c>
      <c r="R635" s="2" t="s">
        <v>29</v>
      </c>
      <c r="S635" s="2" t="s">
        <v>30</v>
      </c>
    </row>
    <row r="636" spans="1:19">
      <c r="A636" s="1">
        <v>44105</v>
      </c>
      <c r="B636" s="1">
        <v>44105</v>
      </c>
      <c r="C636">
        <v>2020</v>
      </c>
      <c r="D636">
        <v>10</v>
      </c>
      <c r="E636" s="2" t="s">
        <v>71</v>
      </c>
      <c r="F636" s="2" t="s">
        <v>72</v>
      </c>
      <c r="G636" s="2" t="s">
        <v>21</v>
      </c>
      <c r="H636" s="2" t="s">
        <v>22</v>
      </c>
      <c r="I636" s="2" t="s">
        <v>73</v>
      </c>
      <c r="J636" s="2" t="s">
        <v>59</v>
      </c>
      <c r="K636">
        <v>5650.7</v>
      </c>
      <c r="L636">
        <v>133792.5</v>
      </c>
      <c r="M636">
        <v>2367.7199999999998</v>
      </c>
      <c r="N636" s="2" t="s">
        <v>74</v>
      </c>
      <c r="O636" s="2" t="s">
        <v>75</v>
      </c>
      <c r="P636" s="2" t="s">
        <v>1443</v>
      </c>
      <c r="Q636" s="2" t="s">
        <v>1444</v>
      </c>
      <c r="R636" s="2" t="s">
        <v>29</v>
      </c>
      <c r="S636" s="2" t="s">
        <v>30</v>
      </c>
    </row>
    <row r="637" spans="1:19">
      <c r="A637" s="1">
        <v>44105</v>
      </c>
      <c r="B637" s="1">
        <v>44105</v>
      </c>
      <c r="C637">
        <v>2020</v>
      </c>
      <c r="D637">
        <v>10</v>
      </c>
      <c r="E637" s="2" t="s">
        <v>78</v>
      </c>
      <c r="F637" s="2" t="s">
        <v>79</v>
      </c>
      <c r="G637" s="2" t="s">
        <v>80</v>
      </c>
      <c r="H637" s="2" t="s">
        <v>81</v>
      </c>
      <c r="I637" s="2" t="s">
        <v>82</v>
      </c>
      <c r="J637" s="2" t="s">
        <v>24</v>
      </c>
      <c r="K637">
        <v>1.36</v>
      </c>
      <c r="L637">
        <v>3435633.18</v>
      </c>
      <c r="M637">
        <v>252620086.75999999</v>
      </c>
      <c r="N637" s="2" t="s">
        <v>83</v>
      </c>
      <c r="O637" s="2" t="s">
        <v>84</v>
      </c>
      <c r="P637" s="2" t="s">
        <v>1003</v>
      </c>
      <c r="Q637" s="2" t="s">
        <v>1445</v>
      </c>
      <c r="R637" s="2" t="s">
        <v>29</v>
      </c>
      <c r="S637" s="2" t="s">
        <v>30</v>
      </c>
    </row>
    <row r="638" spans="1:19">
      <c r="A638" s="1">
        <v>44105</v>
      </c>
      <c r="B638" s="1">
        <v>44105</v>
      </c>
      <c r="C638">
        <v>2020</v>
      </c>
      <c r="D638">
        <v>10</v>
      </c>
      <c r="E638" s="2" t="s">
        <v>87</v>
      </c>
      <c r="F638" s="2" t="s">
        <v>88</v>
      </c>
      <c r="G638" s="2" t="s">
        <v>80</v>
      </c>
      <c r="H638" s="2" t="s">
        <v>81</v>
      </c>
      <c r="I638" s="2" t="s">
        <v>82</v>
      </c>
      <c r="J638" s="2" t="s">
        <v>24</v>
      </c>
      <c r="K638">
        <v>0.61</v>
      </c>
      <c r="L638">
        <v>900488.12</v>
      </c>
      <c r="M638">
        <v>147621003.28</v>
      </c>
      <c r="N638" s="2" t="s">
        <v>89</v>
      </c>
      <c r="O638" s="2" t="s">
        <v>90</v>
      </c>
      <c r="P638" s="2" t="s">
        <v>401</v>
      </c>
      <c r="Q638" s="2" t="s">
        <v>1446</v>
      </c>
      <c r="R638" s="2" t="s">
        <v>29</v>
      </c>
      <c r="S638" s="2" t="s">
        <v>30</v>
      </c>
    </row>
    <row r="639" spans="1:19">
      <c r="A639" s="1">
        <v>44105</v>
      </c>
      <c r="B639" s="1">
        <v>44105</v>
      </c>
      <c r="C639">
        <v>2020</v>
      </c>
      <c r="D639">
        <v>10</v>
      </c>
      <c r="E639" s="2" t="s">
        <v>93</v>
      </c>
      <c r="F639" s="2" t="s">
        <v>94</v>
      </c>
      <c r="G639" s="2" t="s">
        <v>80</v>
      </c>
      <c r="H639" s="2" t="s">
        <v>81</v>
      </c>
      <c r="I639" s="2" t="s">
        <v>82</v>
      </c>
      <c r="J639" s="2" t="s">
        <v>24</v>
      </c>
      <c r="K639">
        <v>0.27</v>
      </c>
      <c r="L639">
        <v>4108317.16</v>
      </c>
      <c r="M639">
        <v>1521598948.1500001</v>
      </c>
      <c r="N639" s="2" t="s">
        <v>95</v>
      </c>
      <c r="O639" s="2" t="s">
        <v>96</v>
      </c>
      <c r="P639" s="2" t="s">
        <v>980</v>
      </c>
      <c r="Q639" s="2" t="s">
        <v>1447</v>
      </c>
      <c r="R639" s="2" t="s">
        <v>29</v>
      </c>
      <c r="S639" s="2" t="s">
        <v>30</v>
      </c>
    </row>
    <row r="640" spans="1:19">
      <c r="A640" s="1">
        <v>44105</v>
      </c>
      <c r="B640" s="1">
        <v>44105</v>
      </c>
      <c r="C640">
        <v>2020</v>
      </c>
      <c r="D640">
        <v>10</v>
      </c>
      <c r="E640" s="2" t="s">
        <v>99</v>
      </c>
      <c r="F640" s="2" t="s">
        <v>100</v>
      </c>
      <c r="G640" s="2" t="s">
        <v>80</v>
      </c>
      <c r="H640" s="2" t="s">
        <v>81</v>
      </c>
      <c r="I640" s="2" t="s">
        <v>82</v>
      </c>
      <c r="J640" s="2" t="s">
        <v>101</v>
      </c>
      <c r="K640">
        <v>1.06</v>
      </c>
      <c r="L640">
        <v>8849617.3300000001</v>
      </c>
      <c r="M640">
        <v>834869559.42999995</v>
      </c>
      <c r="N640" s="2" t="s">
        <v>102</v>
      </c>
      <c r="O640" s="2" t="s">
        <v>103</v>
      </c>
      <c r="P640" s="2" t="s">
        <v>1448</v>
      </c>
      <c r="Q640" s="2" t="s">
        <v>1449</v>
      </c>
      <c r="R640" s="2" t="s">
        <v>29</v>
      </c>
      <c r="S640" s="2" t="s">
        <v>30</v>
      </c>
    </row>
    <row r="641" spans="1:19">
      <c r="A641" s="1">
        <v>44105</v>
      </c>
      <c r="B641" s="1">
        <v>44105</v>
      </c>
      <c r="C641">
        <v>2020</v>
      </c>
      <c r="D641">
        <v>10</v>
      </c>
      <c r="E641" s="2" t="s">
        <v>106</v>
      </c>
      <c r="F641" s="2" t="s">
        <v>107</v>
      </c>
      <c r="G641" s="2" t="s">
        <v>80</v>
      </c>
      <c r="H641" s="2" t="s">
        <v>81</v>
      </c>
      <c r="I641" s="2" t="s">
        <v>82</v>
      </c>
      <c r="J641" s="2" t="s">
        <v>24</v>
      </c>
      <c r="K641">
        <v>0.18</v>
      </c>
      <c r="L641">
        <v>3840812.05</v>
      </c>
      <c r="M641">
        <v>2133784472.22</v>
      </c>
      <c r="N641" s="2" t="s">
        <v>108</v>
      </c>
      <c r="O641" s="2" t="s">
        <v>109</v>
      </c>
      <c r="P641" s="2" t="s">
        <v>935</v>
      </c>
      <c r="Q641" s="2" t="s">
        <v>1450</v>
      </c>
      <c r="R641" s="2" t="s">
        <v>29</v>
      </c>
      <c r="S641" s="2" t="s">
        <v>30</v>
      </c>
    </row>
    <row r="642" spans="1:19">
      <c r="A642" s="1">
        <v>44105</v>
      </c>
      <c r="B642" s="1">
        <v>44105</v>
      </c>
      <c r="C642">
        <v>2020</v>
      </c>
      <c r="D642">
        <v>10</v>
      </c>
      <c r="E642" s="2" t="s">
        <v>111</v>
      </c>
      <c r="F642" s="2" t="s">
        <v>112</v>
      </c>
      <c r="G642" s="2" t="s">
        <v>80</v>
      </c>
      <c r="H642" s="2" t="s">
        <v>81</v>
      </c>
      <c r="I642" s="2" t="s">
        <v>82</v>
      </c>
      <c r="J642" s="2" t="s">
        <v>24</v>
      </c>
      <c r="K642">
        <v>0.02</v>
      </c>
      <c r="L642">
        <v>131420</v>
      </c>
      <c r="M642">
        <v>657100000</v>
      </c>
      <c r="N642" s="2" t="s">
        <v>113</v>
      </c>
      <c r="O642" s="2" t="s">
        <v>114</v>
      </c>
      <c r="P642" s="2" t="s">
        <v>1039</v>
      </c>
      <c r="Q642" s="2" t="s">
        <v>1451</v>
      </c>
      <c r="R642" s="2" t="s">
        <v>29</v>
      </c>
      <c r="S642" s="2" t="s">
        <v>30</v>
      </c>
    </row>
    <row r="643" spans="1:19">
      <c r="A643" s="1">
        <v>44105</v>
      </c>
      <c r="B643" s="1">
        <v>44105</v>
      </c>
      <c r="C643">
        <v>2020</v>
      </c>
      <c r="D643">
        <v>10</v>
      </c>
      <c r="E643" s="2" t="s">
        <v>117</v>
      </c>
      <c r="F643" s="2" t="s">
        <v>118</v>
      </c>
      <c r="G643" s="2" t="s">
        <v>80</v>
      </c>
      <c r="H643" s="2" t="s">
        <v>81</v>
      </c>
      <c r="I643" s="2" t="s">
        <v>82</v>
      </c>
      <c r="J643" s="2" t="s">
        <v>59</v>
      </c>
      <c r="K643">
        <v>2.44</v>
      </c>
      <c r="L643">
        <v>12416670.51</v>
      </c>
      <c r="M643">
        <v>508879938.93000001</v>
      </c>
      <c r="N643" s="2" t="s">
        <v>119</v>
      </c>
      <c r="O643" s="2" t="s">
        <v>120</v>
      </c>
      <c r="P643" s="2" t="s">
        <v>1452</v>
      </c>
      <c r="Q643" s="2" t="s">
        <v>1453</v>
      </c>
      <c r="R643" s="2" t="s">
        <v>29</v>
      </c>
      <c r="S643" s="2" t="s">
        <v>30</v>
      </c>
    </row>
    <row r="644" spans="1:19">
      <c r="A644" s="1">
        <v>44105</v>
      </c>
      <c r="B644" s="1">
        <v>44105</v>
      </c>
      <c r="C644">
        <v>2020</v>
      </c>
      <c r="D644">
        <v>10</v>
      </c>
      <c r="E644" s="2" t="s">
        <v>123</v>
      </c>
      <c r="F644" s="2" t="s">
        <v>124</v>
      </c>
      <c r="G644" s="2" t="s">
        <v>21</v>
      </c>
      <c r="H644" s="2" t="s">
        <v>22</v>
      </c>
      <c r="I644" s="2" t="s">
        <v>73</v>
      </c>
      <c r="J644" s="2" t="s">
        <v>24</v>
      </c>
      <c r="K644">
        <v>899.7</v>
      </c>
      <c r="L644">
        <v>37696.01</v>
      </c>
      <c r="M644">
        <v>4189.84</v>
      </c>
      <c r="N644" s="2" t="s">
        <v>125</v>
      </c>
      <c r="O644" s="2" t="s">
        <v>126</v>
      </c>
      <c r="P644" s="2" t="s">
        <v>1454</v>
      </c>
      <c r="Q644" s="2" t="s">
        <v>1455</v>
      </c>
      <c r="R644" s="2" t="s">
        <v>29</v>
      </c>
      <c r="S644" s="2" t="s">
        <v>30</v>
      </c>
    </row>
    <row r="645" spans="1:19">
      <c r="A645" s="1">
        <v>44105</v>
      </c>
      <c r="B645" s="1">
        <v>44105</v>
      </c>
      <c r="C645">
        <v>2020</v>
      </c>
      <c r="D645">
        <v>10</v>
      </c>
      <c r="E645" s="2" t="s">
        <v>129</v>
      </c>
      <c r="F645" s="2" t="s">
        <v>130</v>
      </c>
      <c r="G645" s="2" t="s">
        <v>21</v>
      </c>
      <c r="H645" s="2" t="s">
        <v>22</v>
      </c>
      <c r="I645" s="2" t="s">
        <v>73</v>
      </c>
      <c r="J645" s="2" t="s">
        <v>24</v>
      </c>
      <c r="K645">
        <v>818.33</v>
      </c>
      <c r="L645">
        <v>26955.52</v>
      </c>
      <c r="M645">
        <v>3293.97</v>
      </c>
      <c r="N645" s="2" t="s">
        <v>131</v>
      </c>
      <c r="O645" s="2" t="s">
        <v>132</v>
      </c>
      <c r="P645" s="2" t="s">
        <v>1456</v>
      </c>
      <c r="Q645" s="2" t="s">
        <v>1457</v>
      </c>
      <c r="R645" s="2" t="s">
        <v>29</v>
      </c>
      <c r="S645" s="2" t="s">
        <v>30</v>
      </c>
    </row>
    <row r="646" spans="1:19">
      <c r="A646" s="1">
        <v>44105</v>
      </c>
      <c r="B646" s="1">
        <v>44105</v>
      </c>
      <c r="C646">
        <v>2020</v>
      </c>
      <c r="D646">
        <v>10</v>
      </c>
      <c r="E646" s="2" t="s">
        <v>135</v>
      </c>
      <c r="F646" s="2" t="s">
        <v>136</v>
      </c>
      <c r="G646" s="2" t="s">
        <v>21</v>
      </c>
      <c r="H646" s="2" t="s">
        <v>22</v>
      </c>
      <c r="I646" s="2" t="s">
        <v>73</v>
      </c>
      <c r="J646" s="2" t="s">
        <v>101</v>
      </c>
      <c r="K646">
        <v>1718.03</v>
      </c>
      <c r="L646">
        <v>64651.53</v>
      </c>
      <c r="M646">
        <v>3763.12</v>
      </c>
      <c r="N646" s="2" t="s">
        <v>137</v>
      </c>
      <c r="O646" s="2" t="s">
        <v>138</v>
      </c>
      <c r="P646" s="2" t="s">
        <v>1458</v>
      </c>
      <c r="Q646" s="2" t="s">
        <v>1459</v>
      </c>
      <c r="R646" s="2" t="s">
        <v>29</v>
      </c>
      <c r="S646" s="2" t="s">
        <v>30</v>
      </c>
    </row>
    <row r="647" spans="1:19">
      <c r="A647" s="1">
        <v>44105</v>
      </c>
      <c r="B647" s="1">
        <v>44105</v>
      </c>
      <c r="C647">
        <v>2020</v>
      </c>
      <c r="D647">
        <v>10</v>
      </c>
      <c r="E647" s="2" t="s">
        <v>141</v>
      </c>
      <c r="F647" s="2" t="s">
        <v>142</v>
      </c>
      <c r="G647" s="2" t="s">
        <v>21</v>
      </c>
      <c r="H647" s="2" t="s">
        <v>22</v>
      </c>
      <c r="I647" s="2" t="s">
        <v>73</v>
      </c>
      <c r="J647" s="2" t="s">
        <v>24</v>
      </c>
      <c r="K647">
        <v>1948.68</v>
      </c>
      <c r="L647">
        <v>32031.01</v>
      </c>
      <c r="M647">
        <v>1643.73</v>
      </c>
      <c r="N647" s="2" t="s">
        <v>143</v>
      </c>
      <c r="O647" s="2" t="s">
        <v>144</v>
      </c>
      <c r="P647" s="2" t="s">
        <v>1460</v>
      </c>
      <c r="Q647" s="2" t="s">
        <v>1461</v>
      </c>
      <c r="R647" s="2" t="s">
        <v>29</v>
      </c>
      <c r="S647" s="2" t="s">
        <v>30</v>
      </c>
    </row>
    <row r="648" spans="1:19">
      <c r="A648" s="1">
        <v>44105</v>
      </c>
      <c r="B648" s="1">
        <v>44105</v>
      </c>
      <c r="C648">
        <v>2020</v>
      </c>
      <c r="D648">
        <v>10</v>
      </c>
      <c r="E648" s="2" t="s">
        <v>147</v>
      </c>
      <c r="F648" s="2" t="s">
        <v>148</v>
      </c>
      <c r="G648" s="2" t="s">
        <v>21</v>
      </c>
      <c r="H648" s="2" t="s">
        <v>22</v>
      </c>
      <c r="I648" s="2" t="s">
        <v>73</v>
      </c>
      <c r="J648" s="2" t="s">
        <v>24</v>
      </c>
      <c r="K648">
        <v>1983.98</v>
      </c>
      <c r="L648">
        <v>37109.96</v>
      </c>
      <c r="M648">
        <v>1870.48</v>
      </c>
      <c r="N648" s="2" t="s">
        <v>149</v>
      </c>
      <c r="O648" s="2" t="s">
        <v>150</v>
      </c>
      <c r="P648" s="2" t="s">
        <v>1462</v>
      </c>
      <c r="Q648" s="2" t="s">
        <v>1463</v>
      </c>
      <c r="R648" s="2" t="s">
        <v>29</v>
      </c>
      <c r="S648" s="2" t="s">
        <v>30</v>
      </c>
    </row>
    <row r="649" spans="1:19">
      <c r="A649" s="1">
        <v>44105</v>
      </c>
      <c r="B649" s="1">
        <v>44105</v>
      </c>
      <c r="C649">
        <v>2020</v>
      </c>
      <c r="D649">
        <v>10</v>
      </c>
      <c r="E649" s="2" t="s">
        <v>153</v>
      </c>
      <c r="F649" s="2" t="s">
        <v>154</v>
      </c>
      <c r="G649" s="2" t="s">
        <v>21</v>
      </c>
      <c r="H649" s="2" t="s">
        <v>22</v>
      </c>
      <c r="I649" s="2" t="s">
        <v>73</v>
      </c>
      <c r="J649" s="2" t="s">
        <v>101</v>
      </c>
      <c r="K649">
        <v>3932.66</v>
      </c>
      <c r="L649">
        <v>69140.960000000006</v>
      </c>
      <c r="M649">
        <v>1758.12</v>
      </c>
      <c r="N649" s="2" t="s">
        <v>155</v>
      </c>
      <c r="O649" s="2" t="s">
        <v>156</v>
      </c>
      <c r="P649" s="2" t="s">
        <v>1464</v>
      </c>
      <c r="Q649" s="2" t="s">
        <v>1465</v>
      </c>
      <c r="R649" s="2" t="s">
        <v>29</v>
      </c>
      <c r="S649" s="2" t="s">
        <v>30</v>
      </c>
    </row>
    <row r="650" spans="1:19">
      <c r="A650" s="1">
        <v>44105</v>
      </c>
      <c r="B650" s="1">
        <v>44105</v>
      </c>
      <c r="C650">
        <v>2020</v>
      </c>
      <c r="D650">
        <v>10</v>
      </c>
      <c r="E650" s="2" t="s">
        <v>159</v>
      </c>
      <c r="F650" s="2" t="s">
        <v>160</v>
      </c>
      <c r="G650" s="2" t="s">
        <v>21</v>
      </c>
      <c r="H650" s="2" t="s">
        <v>22</v>
      </c>
      <c r="I650" s="2" t="s">
        <v>66</v>
      </c>
      <c r="J650" s="2" t="s">
        <v>59</v>
      </c>
      <c r="K650">
        <v>920.15</v>
      </c>
      <c r="L650">
        <v>79305.119999999995</v>
      </c>
      <c r="M650">
        <v>8618.7199999999993</v>
      </c>
      <c r="N650" s="2" t="s">
        <v>161</v>
      </c>
      <c r="O650" s="2" t="s">
        <v>162</v>
      </c>
      <c r="P650" s="2" t="s">
        <v>1466</v>
      </c>
      <c r="Q650" s="2" t="s">
        <v>1467</v>
      </c>
      <c r="R650" s="2" t="s">
        <v>29</v>
      </c>
      <c r="S650" s="2" t="s">
        <v>30</v>
      </c>
    </row>
    <row r="651" spans="1:19">
      <c r="A651" s="1">
        <v>44105</v>
      </c>
      <c r="B651" s="1">
        <v>44105</v>
      </c>
      <c r="C651">
        <v>2020</v>
      </c>
      <c r="D651">
        <v>10</v>
      </c>
      <c r="E651" s="2" t="s">
        <v>165</v>
      </c>
      <c r="F651" s="2" t="s">
        <v>166</v>
      </c>
      <c r="G651" s="2" t="s">
        <v>21</v>
      </c>
      <c r="H651" s="2" t="s">
        <v>22</v>
      </c>
      <c r="I651" s="2" t="s">
        <v>23</v>
      </c>
      <c r="J651" s="2" t="s">
        <v>24</v>
      </c>
      <c r="K651">
        <v>0</v>
      </c>
      <c r="L651">
        <v>0</v>
      </c>
      <c r="N651" s="2" t="s">
        <v>167</v>
      </c>
      <c r="O651" s="2" t="s">
        <v>168</v>
      </c>
      <c r="P651" s="2" t="s">
        <v>639</v>
      </c>
      <c r="Q651" s="2" t="s">
        <v>639</v>
      </c>
      <c r="R651" s="2" t="s">
        <v>29</v>
      </c>
      <c r="S651" s="2" t="s">
        <v>30</v>
      </c>
    </row>
    <row r="652" spans="1:19">
      <c r="A652" s="1">
        <v>44105</v>
      </c>
      <c r="B652" s="1">
        <v>44105</v>
      </c>
      <c r="C652">
        <v>2020</v>
      </c>
      <c r="D652">
        <v>10</v>
      </c>
      <c r="E652" s="2" t="s">
        <v>171</v>
      </c>
      <c r="F652" s="2" t="s">
        <v>172</v>
      </c>
      <c r="G652" s="2" t="s">
        <v>21</v>
      </c>
      <c r="H652" s="2" t="s">
        <v>22</v>
      </c>
      <c r="I652" s="2" t="s">
        <v>66</v>
      </c>
      <c r="J652" s="2" t="s">
        <v>24</v>
      </c>
      <c r="N652" s="2" t="s">
        <v>173</v>
      </c>
      <c r="O652" s="2" t="s">
        <v>174</v>
      </c>
      <c r="P652" s="2" t="s">
        <v>175</v>
      </c>
      <c r="Q652" s="2" t="s">
        <v>175</v>
      </c>
      <c r="R652" s="2" t="s">
        <v>640</v>
      </c>
      <c r="S652" s="2" t="s">
        <v>641</v>
      </c>
    </row>
    <row r="653" spans="1:19">
      <c r="A653" s="1">
        <v>44105</v>
      </c>
      <c r="B653" s="1">
        <v>44105</v>
      </c>
      <c r="C653">
        <v>2020</v>
      </c>
      <c r="D653">
        <v>10</v>
      </c>
      <c r="E653" s="2" t="s">
        <v>177</v>
      </c>
      <c r="F653" s="2" t="s">
        <v>178</v>
      </c>
      <c r="G653" s="2" t="s">
        <v>21</v>
      </c>
      <c r="H653" s="2" t="s">
        <v>22</v>
      </c>
      <c r="I653" s="2" t="s">
        <v>23</v>
      </c>
      <c r="J653" s="2" t="s">
        <v>24</v>
      </c>
      <c r="K653">
        <v>3189.72</v>
      </c>
      <c r="L653">
        <v>274644.73</v>
      </c>
      <c r="M653">
        <v>8610.31</v>
      </c>
      <c r="N653" s="2" t="s">
        <v>179</v>
      </c>
      <c r="O653" s="2" t="s">
        <v>180</v>
      </c>
      <c r="P653" s="2" t="s">
        <v>1468</v>
      </c>
      <c r="Q653" s="2" t="s">
        <v>1469</v>
      </c>
      <c r="R653" s="2" t="s">
        <v>29</v>
      </c>
      <c r="S653" s="2" t="s">
        <v>30</v>
      </c>
    </row>
    <row r="654" spans="1:19">
      <c r="A654" s="1">
        <v>44105</v>
      </c>
      <c r="B654" s="1">
        <v>44105</v>
      </c>
      <c r="C654">
        <v>2020</v>
      </c>
      <c r="D654">
        <v>10</v>
      </c>
      <c r="E654" s="2" t="s">
        <v>183</v>
      </c>
      <c r="F654" s="2" t="s">
        <v>184</v>
      </c>
      <c r="G654" s="2" t="s">
        <v>185</v>
      </c>
      <c r="H654" s="2" t="s">
        <v>22</v>
      </c>
      <c r="I654" s="2" t="s">
        <v>186</v>
      </c>
      <c r="J654" s="2" t="s">
        <v>24</v>
      </c>
      <c r="K654">
        <v>2557.52</v>
      </c>
      <c r="L654">
        <v>2104005.04</v>
      </c>
      <c r="M654">
        <v>82267.39</v>
      </c>
      <c r="N654" s="2" t="s">
        <v>187</v>
      </c>
      <c r="O654" s="2" t="s">
        <v>188</v>
      </c>
      <c r="P654" s="2" t="s">
        <v>1470</v>
      </c>
      <c r="Q654" s="2" t="s">
        <v>1471</v>
      </c>
      <c r="R654" s="2" t="s">
        <v>29</v>
      </c>
      <c r="S654" s="2" t="s">
        <v>30</v>
      </c>
    </row>
    <row r="655" spans="1:19">
      <c r="A655" s="1">
        <v>44105</v>
      </c>
      <c r="B655" s="1">
        <v>44105</v>
      </c>
      <c r="C655">
        <v>2020</v>
      </c>
      <c r="D655">
        <v>10</v>
      </c>
      <c r="E655" s="2" t="s">
        <v>191</v>
      </c>
      <c r="F655" s="2" t="s">
        <v>192</v>
      </c>
      <c r="G655" s="2" t="s">
        <v>185</v>
      </c>
      <c r="H655" s="2" t="s">
        <v>22</v>
      </c>
      <c r="I655" s="2" t="s">
        <v>186</v>
      </c>
      <c r="J655" s="2" t="s">
        <v>24</v>
      </c>
      <c r="K655">
        <v>731.93</v>
      </c>
      <c r="L655">
        <v>3398795.31</v>
      </c>
      <c r="M655">
        <v>464360.71</v>
      </c>
      <c r="N655" s="2" t="s">
        <v>193</v>
      </c>
      <c r="O655" s="2" t="s">
        <v>194</v>
      </c>
      <c r="P655" s="2" t="s">
        <v>1472</v>
      </c>
      <c r="Q655" s="2" t="s">
        <v>1473</v>
      </c>
      <c r="R655" s="2" t="s">
        <v>29</v>
      </c>
      <c r="S655" s="2" t="s">
        <v>30</v>
      </c>
    </row>
    <row r="656" spans="1:19">
      <c r="A656" s="1">
        <v>44105</v>
      </c>
      <c r="B656" s="1">
        <v>44105</v>
      </c>
      <c r="C656">
        <v>2020</v>
      </c>
      <c r="D656">
        <v>10</v>
      </c>
      <c r="E656" s="2" t="s">
        <v>197</v>
      </c>
      <c r="F656" s="2" t="s">
        <v>198</v>
      </c>
      <c r="G656" s="2" t="s">
        <v>185</v>
      </c>
      <c r="H656" s="2" t="s">
        <v>22</v>
      </c>
      <c r="I656" s="2" t="s">
        <v>186</v>
      </c>
      <c r="J656" s="2" t="s">
        <v>59</v>
      </c>
      <c r="K656">
        <v>3289.46</v>
      </c>
      <c r="L656">
        <v>5502800.3499999996</v>
      </c>
      <c r="M656">
        <v>167285.82999999999</v>
      </c>
      <c r="N656" s="2" t="s">
        <v>199</v>
      </c>
      <c r="O656" s="2" t="s">
        <v>200</v>
      </c>
      <c r="P656" s="2" t="s">
        <v>1474</v>
      </c>
      <c r="Q656" s="2" t="s">
        <v>1475</v>
      </c>
      <c r="R656" s="2" t="s">
        <v>29</v>
      </c>
      <c r="S656" s="2" t="s">
        <v>30</v>
      </c>
    </row>
    <row r="657" spans="1:19">
      <c r="A657" s="1">
        <v>44105</v>
      </c>
      <c r="B657" s="1">
        <v>44105</v>
      </c>
      <c r="C657">
        <v>2020</v>
      </c>
      <c r="D657">
        <v>10</v>
      </c>
      <c r="E657" s="2" t="s">
        <v>203</v>
      </c>
      <c r="F657" s="2" t="s">
        <v>204</v>
      </c>
      <c r="G657" s="2" t="s">
        <v>39</v>
      </c>
      <c r="H657" s="2" t="s">
        <v>22</v>
      </c>
      <c r="I657" s="2" t="s">
        <v>40</v>
      </c>
      <c r="J657" s="2" t="s">
        <v>24</v>
      </c>
      <c r="K657">
        <v>720.69</v>
      </c>
      <c r="L657">
        <v>18354.48</v>
      </c>
      <c r="M657">
        <v>2546.79</v>
      </c>
      <c r="N657" s="2" t="s">
        <v>205</v>
      </c>
      <c r="O657" s="2" t="s">
        <v>206</v>
      </c>
      <c r="P657" s="2" t="s">
        <v>1476</v>
      </c>
      <c r="Q657" s="2" t="s">
        <v>1477</v>
      </c>
      <c r="R657" s="2" t="s">
        <v>29</v>
      </c>
      <c r="S657" s="2" t="s">
        <v>30</v>
      </c>
    </row>
    <row r="658" spans="1:19">
      <c r="A658" s="1">
        <v>44105</v>
      </c>
      <c r="B658" s="1">
        <v>44105</v>
      </c>
      <c r="C658">
        <v>2020</v>
      </c>
      <c r="D658">
        <v>10</v>
      </c>
      <c r="E658" s="2" t="s">
        <v>209</v>
      </c>
      <c r="F658" s="2" t="s">
        <v>210</v>
      </c>
      <c r="G658" s="2" t="s">
        <v>39</v>
      </c>
      <c r="H658" s="2" t="s">
        <v>22</v>
      </c>
      <c r="I658" s="2" t="s">
        <v>40</v>
      </c>
      <c r="J658" s="2" t="s">
        <v>59</v>
      </c>
      <c r="K658">
        <v>720.69</v>
      </c>
      <c r="L658">
        <v>18354.48</v>
      </c>
      <c r="M658">
        <v>2546.79</v>
      </c>
      <c r="N658" s="2" t="s">
        <v>211</v>
      </c>
      <c r="O658" s="2" t="s">
        <v>212</v>
      </c>
      <c r="P658" s="2" t="s">
        <v>1476</v>
      </c>
      <c r="Q658" s="2" t="s">
        <v>1477</v>
      </c>
      <c r="R658" s="2" t="s">
        <v>29</v>
      </c>
      <c r="S658" s="2" t="s">
        <v>30</v>
      </c>
    </row>
    <row r="659" spans="1:19">
      <c r="A659" s="1">
        <v>44105</v>
      </c>
      <c r="B659" s="1">
        <v>44105</v>
      </c>
      <c r="C659">
        <v>2020</v>
      </c>
      <c r="D659">
        <v>10</v>
      </c>
      <c r="E659" s="2" t="s">
        <v>213</v>
      </c>
      <c r="F659" s="2" t="s">
        <v>214</v>
      </c>
      <c r="G659" s="2" t="s">
        <v>185</v>
      </c>
      <c r="H659" s="2" t="s">
        <v>22</v>
      </c>
      <c r="I659" s="2" t="s">
        <v>215</v>
      </c>
      <c r="J659" s="2" t="s">
        <v>24</v>
      </c>
      <c r="K659">
        <v>20698.41</v>
      </c>
      <c r="L659">
        <v>639485.82999999996</v>
      </c>
      <c r="M659">
        <v>3089.54</v>
      </c>
      <c r="N659" s="2" t="s">
        <v>216</v>
      </c>
      <c r="O659" s="2" t="s">
        <v>217</v>
      </c>
      <c r="P659" s="2" t="s">
        <v>1478</v>
      </c>
      <c r="Q659" s="2" t="s">
        <v>1479</v>
      </c>
      <c r="R659" s="2" t="s">
        <v>29</v>
      </c>
      <c r="S659" s="2" t="s">
        <v>30</v>
      </c>
    </row>
    <row r="660" spans="1:19">
      <c r="A660" s="1">
        <v>44105</v>
      </c>
      <c r="B660" s="1">
        <v>44105</v>
      </c>
      <c r="C660">
        <v>2020</v>
      </c>
      <c r="D660">
        <v>10</v>
      </c>
      <c r="E660" s="2" t="s">
        <v>220</v>
      </c>
      <c r="F660" s="2" t="s">
        <v>221</v>
      </c>
      <c r="G660" s="2" t="s">
        <v>185</v>
      </c>
      <c r="H660" s="2" t="s">
        <v>22</v>
      </c>
      <c r="I660" s="2" t="s">
        <v>215</v>
      </c>
      <c r="J660" s="2" t="s">
        <v>24</v>
      </c>
      <c r="K660">
        <v>2103.09</v>
      </c>
      <c r="L660">
        <v>158841.12</v>
      </c>
      <c r="M660">
        <v>7552.75</v>
      </c>
      <c r="N660" s="2" t="s">
        <v>222</v>
      </c>
      <c r="O660" s="2" t="s">
        <v>223</v>
      </c>
      <c r="P660" s="2" t="s">
        <v>1480</v>
      </c>
      <c r="Q660" s="2" t="s">
        <v>1481</v>
      </c>
      <c r="R660" s="2" t="s">
        <v>29</v>
      </c>
      <c r="S660" s="2" t="s">
        <v>30</v>
      </c>
    </row>
    <row r="661" spans="1:19">
      <c r="A661" s="1">
        <v>44105</v>
      </c>
      <c r="B661" s="1">
        <v>44105</v>
      </c>
      <c r="C661">
        <v>2020</v>
      </c>
      <c r="D661">
        <v>10</v>
      </c>
      <c r="E661" s="2" t="s">
        <v>226</v>
      </c>
      <c r="F661" s="2" t="s">
        <v>227</v>
      </c>
      <c r="G661" s="2" t="s">
        <v>185</v>
      </c>
      <c r="H661" s="2" t="s">
        <v>22</v>
      </c>
      <c r="I661" s="2" t="s">
        <v>215</v>
      </c>
      <c r="J661" s="2" t="s">
        <v>59</v>
      </c>
      <c r="K661">
        <v>22801.51</v>
      </c>
      <c r="L661">
        <v>798326.95</v>
      </c>
      <c r="M661">
        <v>3501.2</v>
      </c>
      <c r="N661" s="2" t="s">
        <v>228</v>
      </c>
      <c r="O661" s="2" t="s">
        <v>229</v>
      </c>
      <c r="P661" s="2" t="s">
        <v>1482</v>
      </c>
      <c r="Q661" s="2" t="s">
        <v>1483</v>
      </c>
      <c r="R661" s="2" t="s">
        <v>29</v>
      </c>
      <c r="S661" s="2" t="s">
        <v>30</v>
      </c>
    </row>
    <row r="662" spans="1:19">
      <c r="A662" s="1">
        <v>44105</v>
      </c>
      <c r="B662" s="1">
        <v>44105</v>
      </c>
      <c r="C662">
        <v>2020</v>
      </c>
      <c r="D662">
        <v>10</v>
      </c>
      <c r="E662" s="2" t="s">
        <v>232</v>
      </c>
      <c r="F662" s="2" t="s">
        <v>233</v>
      </c>
      <c r="G662" s="2" t="s">
        <v>21</v>
      </c>
      <c r="H662" s="2" t="s">
        <v>22</v>
      </c>
      <c r="I662" s="2" t="s">
        <v>23</v>
      </c>
      <c r="J662" s="2" t="s">
        <v>24</v>
      </c>
      <c r="K662">
        <v>1015.89</v>
      </c>
      <c r="L662">
        <v>91438.35</v>
      </c>
      <c r="M662">
        <v>9000.81</v>
      </c>
      <c r="N662" s="2" t="s">
        <v>234</v>
      </c>
      <c r="O662" s="2" t="s">
        <v>235</v>
      </c>
      <c r="P662" s="2" t="s">
        <v>1484</v>
      </c>
      <c r="Q662" s="2" t="s">
        <v>1485</v>
      </c>
      <c r="R662" s="2" t="s">
        <v>29</v>
      </c>
      <c r="S662" s="2" t="s">
        <v>30</v>
      </c>
    </row>
    <row r="663" spans="1:19">
      <c r="A663" s="1">
        <v>44105</v>
      </c>
      <c r="B663" s="1">
        <v>44105</v>
      </c>
      <c r="C663">
        <v>2020</v>
      </c>
      <c r="D663">
        <v>10</v>
      </c>
      <c r="E663" s="2" t="s">
        <v>238</v>
      </c>
      <c r="F663" s="2" t="s">
        <v>239</v>
      </c>
      <c r="G663" s="2" t="s">
        <v>21</v>
      </c>
      <c r="H663" s="2" t="s">
        <v>22</v>
      </c>
      <c r="I663" s="2" t="s">
        <v>66</v>
      </c>
      <c r="J663" s="2" t="s">
        <v>24</v>
      </c>
      <c r="K663">
        <v>848.34</v>
      </c>
      <c r="L663">
        <v>79022.44</v>
      </c>
      <c r="M663">
        <v>9314.9500000000007</v>
      </c>
      <c r="N663" s="2" t="s">
        <v>240</v>
      </c>
      <c r="O663" s="2" t="s">
        <v>241</v>
      </c>
      <c r="P663" s="2" t="s">
        <v>1486</v>
      </c>
      <c r="Q663" s="2" t="s">
        <v>1487</v>
      </c>
      <c r="R663" s="2" t="s">
        <v>29</v>
      </c>
      <c r="S663" s="2" t="s">
        <v>30</v>
      </c>
    </row>
    <row r="664" spans="1:19">
      <c r="A664" s="1">
        <v>44105</v>
      </c>
      <c r="B664" s="1">
        <v>44105</v>
      </c>
      <c r="C664">
        <v>2020</v>
      </c>
      <c r="D664">
        <v>10</v>
      </c>
      <c r="E664" s="2" t="s">
        <v>244</v>
      </c>
      <c r="F664" s="2" t="s">
        <v>245</v>
      </c>
      <c r="G664" s="2" t="s">
        <v>21</v>
      </c>
      <c r="H664" s="2" t="s">
        <v>22</v>
      </c>
      <c r="I664" s="2" t="s">
        <v>23</v>
      </c>
      <c r="J664" s="2" t="s">
        <v>24</v>
      </c>
      <c r="K664">
        <v>2761.65</v>
      </c>
      <c r="L664">
        <v>2235388.65</v>
      </c>
      <c r="M664">
        <v>80943.95</v>
      </c>
      <c r="N664" s="2" t="s">
        <v>246</v>
      </c>
      <c r="O664" s="2" t="s">
        <v>247</v>
      </c>
      <c r="P664" s="2" t="s">
        <v>1488</v>
      </c>
      <c r="Q664" s="2" t="s">
        <v>1489</v>
      </c>
      <c r="R664" s="2" t="s">
        <v>29</v>
      </c>
      <c r="S664" s="2" t="s">
        <v>30</v>
      </c>
    </row>
    <row r="665" spans="1:19">
      <c r="A665" s="1">
        <v>44105</v>
      </c>
      <c r="B665" s="1">
        <v>44105</v>
      </c>
      <c r="C665">
        <v>2020</v>
      </c>
      <c r="D665">
        <v>10</v>
      </c>
      <c r="E665" s="2" t="s">
        <v>250</v>
      </c>
      <c r="F665" s="2" t="s">
        <v>251</v>
      </c>
      <c r="G665" s="2" t="s">
        <v>21</v>
      </c>
      <c r="H665" s="2" t="s">
        <v>22</v>
      </c>
      <c r="I665" s="2" t="s">
        <v>66</v>
      </c>
      <c r="J665" s="2" t="s">
        <v>24</v>
      </c>
      <c r="K665">
        <v>61.26</v>
      </c>
      <c r="L665">
        <v>91.11</v>
      </c>
      <c r="M665">
        <v>148.72999999999999</v>
      </c>
      <c r="N665" s="2" t="s">
        <v>252</v>
      </c>
      <c r="O665" s="2" t="s">
        <v>253</v>
      </c>
      <c r="P665" s="2" t="s">
        <v>1490</v>
      </c>
      <c r="Q665" s="2" t="s">
        <v>1491</v>
      </c>
      <c r="R665" s="2" t="s">
        <v>29</v>
      </c>
      <c r="S665" s="2" t="s">
        <v>30</v>
      </c>
    </row>
    <row r="666" spans="1:19">
      <c r="A666" s="1">
        <v>44105</v>
      </c>
      <c r="B666" s="1">
        <v>44105</v>
      </c>
      <c r="C666">
        <v>2020</v>
      </c>
      <c r="D666">
        <v>10</v>
      </c>
      <c r="E666" s="2" t="s">
        <v>256</v>
      </c>
      <c r="F666" s="2" t="s">
        <v>257</v>
      </c>
      <c r="G666" s="2" t="s">
        <v>21</v>
      </c>
      <c r="H666" s="2" t="s">
        <v>22</v>
      </c>
      <c r="I666" s="2" t="s">
        <v>258</v>
      </c>
      <c r="J666" s="2" t="s">
        <v>24</v>
      </c>
      <c r="K666">
        <v>643.08000000000004</v>
      </c>
      <c r="L666">
        <v>524090.34</v>
      </c>
      <c r="M666">
        <v>81496.91</v>
      </c>
      <c r="N666" s="2" t="s">
        <v>259</v>
      </c>
      <c r="O666" s="2" t="s">
        <v>260</v>
      </c>
      <c r="P666" s="2" t="s">
        <v>1492</v>
      </c>
      <c r="Q666" s="2" t="s">
        <v>1493</v>
      </c>
      <c r="R666" s="2" t="s">
        <v>29</v>
      </c>
      <c r="S666" s="2" t="s">
        <v>30</v>
      </c>
    </row>
    <row r="667" spans="1:19">
      <c r="A667" s="1">
        <v>44105</v>
      </c>
      <c r="B667" s="1">
        <v>44105</v>
      </c>
      <c r="C667">
        <v>2020</v>
      </c>
      <c r="D667">
        <v>10</v>
      </c>
      <c r="E667" s="2" t="s">
        <v>263</v>
      </c>
      <c r="F667" s="2" t="s">
        <v>264</v>
      </c>
      <c r="G667" s="2" t="s">
        <v>21</v>
      </c>
      <c r="H667" s="2" t="s">
        <v>22</v>
      </c>
      <c r="I667" s="2" t="s">
        <v>258</v>
      </c>
      <c r="J667" s="2" t="s">
        <v>24</v>
      </c>
      <c r="K667">
        <v>0</v>
      </c>
      <c r="L667">
        <v>0</v>
      </c>
      <c r="N667" s="2" t="s">
        <v>265</v>
      </c>
      <c r="O667" s="2" t="s">
        <v>266</v>
      </c>
      <c r="P667" s="2" t="s">
        <v>639</v>
      </c>
      <c r="Q667" s="2" t="s">
        <v>639</v>
      </c>
      <c r="R667" s="2" t="s">
        <v>29</v>
      </c>
      <c r="S667" s="2" t="s">
        <v>30</v>
      </c>
    </row>
    <row r="668" spans="1:19">
      <c r="A668" s="1">
        <v>44105</v>
      </c>
      <c r="B668" s="1">
        <v>44105</v>
      </c>
      <c r="C668">
        <v>2020</v>
      </c>
      <c r="D668">
        <v>10</v>
      </c>
      <c r="E668" s="2" t="s">
        <v>269</v>
      </c>
      <c r="F668" s="2" t="s">
        <v>270</v>
      </c>
      <c r="G668" s="2" t="s">
        <v>21</v>
      </c>
      <c r="H668" s="2" t="s">
        <v>22</v>
      </c>
      <c r="I668" s="2" t="s">
        <v>258</v>
      </c>
      <c r="J668" s="2" t="s">
        <v>59</v>
      </c>
      <c r="K668">
        <v>643.08000000000004</v>
      </c>
      <c r="L668">
        <v>524090.34</v>
      </c>
      <c r="M668">
        <v>81496.91</v>
      </c>
      <c r="N668" s="2" t="s">
        <v>271</v>
      </c>
      <c r="O668" s="2" t="s">
        <v>272</v>
      </c>
      <c r="P668" s="2" t="s">
        <v>1492</v>
      </c>
      <c r="Q668" s="2" t="s">
        <v>1493</v>
      </c>
      <c r="R668" s="2" t="s">
        <v>29</v>
      </c>
      <c r="S668" s="2" t="s">
        <v>30</v>
      </c>
    </row>
    <row r="669" spans="1:19">
      <c r="A669" s="1">
        <v>44105</v>
      </c>
      <c r="B669" s="1">
        <v>44105</v>
      </c>
      <c r="C669">
        <v>2020</v>
      </c>
      <c r="D669">
        <v>10</v>
      </c>
      <c r="E669" s="2" t="s">
        <v>275</v>
      </c>
      <c r="F669" s="2" t="s">
        <v>276</v>
      </c>
      <c r="G669" s="2" t="s">
        <v>39</v>
      </c>
      <c r="H669" s="2" t="s">
        <v>22</v>
      </c>
      <c r="I669" s="2" t="s">
        <v>40</v>
      </c>
      <c r="J669" s="2" t="s">
        <v>24</v>
      </c>
      <c r="K669">
        <v>29.24</v>
      </c>
      <c r="L669">
        <v>128.62</v>
      </c>
      <c r="M669">
        <v>439.88</v>
      </c>
      <c r="N669" s="2" t="s">
        <v>277</v>
      </c>
      <c r="O669" s="2" t="s">
        <v>278</v>
      </c>
      <c r="P669" s="2" t="s">
        <v>1494</v>
      </c>
      <c r="Q669" s="2" t="s">
        <v>1296</v>
      </c>
      <c r="R669" s="2" t="s">
        <v>29</v>
      </c>
      <c r="S669" s="2" t="s">
        <v>30</v>
      </c>
    </row>
    <row r="670" spans="1:19">
      <c r="A670" s="1">
        <v>44105</v>
      </c>
      <c r="B670" s="1">
        <v>44105</v>
      </c>
      <c r="C670">
        <v>2020</v>
      </c>
      <c r="D670">
        <v>10</v>
      </c>
      <c r="E670" s="2" t="s">
        <v>281</v>
      </c>
      <c r="F670" s="2" t="s">
        <v>282</v>
      </c>
      <c r="G670" s="2" t="s">
        <v>39</v>
      </c>
      <c r="H670" s="2" t="s">
        <v>22</v>
      </c>
      <c r="I670" s="2" t="s">
        <v>40</v>
      </c>
      <c r="J670" s="2" t="s">
        <v>24</v>
      </c>
      <c r="K670">
        <v>4.87</v>
      </c>
      <c r="L670">
        <v>5.0999999999999996</v>
      </c>
      <c r="M670">
        <v>104.72</v>
      </c>
      <c r="N670" s="2" t="s">
        <v>283</v>
      </c>
      <c r="O670" s="2" t="s">
        <v>284</v>
      </c>
      <c r="P670" s="2" t="s">
        <v>1495</v>
      </c>
      <c r="Q670" s="2" t="s">
        <v>1496</v>
      </c>
      <c r="R670" s="2" t="s">
        <v>29</v>
      </c>
      <c r="S670" s="2" t="s">
        <v>30</v>
      </c>
    </row>
    <row r="671" spans="1:19">
      <c r="A671" s="1">
        <v>44105</v>
      </c>
      <c r="B671" s="1">
        <v>44105</v>
      </c>
      <c r="C671">
        <v>2020</v>
      </c>
      <c r="D671">
        <v>10</v>
      </c>
      <c r="E671" s="2" t="s">
        <v>287</v>
      </c>
      <c r="F671" s="2" t="s">
        <v>288</v>
      </c>
      <c r="G671" s="2" t="s">
        <v>39</v>
      </c>
      <c r="H671" s="2" t="s">
        <v>22</v>
      </c>
      <c r="I671" s="2" t="s">
        <v>40</v>
      </c>
      <c r="J671" s="2" t="s">
        <v>59</v>
      </c>
      <c r="K671">
        <v>34.11</v>
      </c>
      <c r="L671">
        <v>133.72999999999999</v>
      </c>
      <c r="M671">
        <v>392.06</v>
      </c>
      <c r="N671" s="2" t="s">
        <v>289</v>
      </c>
      <c r="O671" s="2" t="s">
        <v>290</v>
      </c>
      <c r="P671" s="2" t="s">
        <v>1497</v>
      </c>
      <c r="Q671" s="2" t="s">
        <v>1498</v>
      </c>
      <c r="R671" s="2" t="s">
        <v>29</v>
      </c>
      <c r="S671" s="2" t="s">
        <v>30</v>
      </c>
    </row>
    <row r="672" spans="1:19">
      <c r="A672" s="1">
        <v>44105</v>
      </c>
      <c r="B672" s="1">
        <v>44105</v>
      </c>
      <c r="C672">
        <v>2020</v>
      </c>
      <c r="D672">
        <v>10</v>
      </c>
      <c r="E672" s="2" t="s">
        <v>293</v>
      </c>
      <c r="F672" s="2" t="s">
        <v>294</v>
      </c>
      <c r="G672" s="2" t="s">
        <v>21</v>
      </c>
      <c r="H672" s="2" t="s">
        <v>22</v>
      </c>
      <c r="I672" s="2" t="s">
        <v>295</v>
      </c>
      <c r="J672" s="2" t="s">
        <v>24</v>
      </c>
      <c r="K672">
        <v>914.52</v>
      </c>
      <c r="L672">
        <v>3038.85</v>
      </c>
      <c r="M672">
        <v>332.29</v>
      </c>
      <c r="N672" s="2" t="s">
        <v>296</v>
      </c>
      <c r="O672" s="2" t="s">
        <v>297</v>
      </c>
      <c r="P672" s="2" t="s">
        <v>1499</v>
      </c>
      <c r="Q672" s="2" t="s">
        <v>1500</v>
      </c>
      <c r="R672" s="2" t="s">
        <v>29</v>
      </c>
      <c r="S672" s="2" t="s">
        <v>30</v>
      </c>
    </row>
    <row r="673" spans="1:19">
      <c r="A673" s="1">
        <v>44105</v>
      </c>
      <c r="B673" s="1">
        <v>44105</v>
      </c>
      <c r="C673">
        <v>2020</v>
      </c>
      <c r="D673">
        <v>10</v>
      </c>
      <c r="E673" s="2" t="s">
        <v>300</v>
      </c>
      <c r="F673" s="2" t="s">
        <v>301</v>
      </c>
      <c r="G673" s="2" t="s">
        <v>21</v>
      </c>
      <c r="H673" s="2" t="s">
        <v>22</v>
      </c>
      <c r="I673" s="2" t="s">
        <v>295</v>
      </c>
      <c r="J673" s="2" t="s">
        <v>24</v>
      </c>
      <c r="K673">
        <v>37.119999999999997</v>
      </c>
      <c r="L673">
        <v>1045.18</v>
      </c>
      <c r="M673">
        <v>2815.68</v>
      </c>
      <c r="N673" s="2" t="s">
        <v>302</v>
      </c>
      <c r="O673" s="2" t="s">
        <v>303</v>
      </c>
      <c r="P673" s="2" t="s">
        <v>1501</v>
      </c>
      <c r="Q673" s="2" t="s">
        <v>1502</v>
      </c>
      <c r="R673" s="2" t="s">
        <v>29</v>
      </c>
      <c r="S673" s="2" t="s">
        <v>30</v>
      </c>
    </row>
    <row r="674" spans="1:19">
      <c r="A674" s="1">
        <v>44105</v>
      </c>
      <c r="B674" s="1">
        <v>44105</v>
      </c>
      <c r="C674">
        <v>2020</v>
      </c>
      <c r="D674">
        <v>10</v>
      </c>
      <c r="E674" s="2" t="s">
        <v>306</v>
      </c>
      <c r="F674" s="2" t="s">
        <v>307</v>
      </c>
      <c r="G674" s="2" t="s">
        <v>21</v>
      </c>
      <c r="H674" s="2" t="s">
        <v>22</v>
      </c>
      <c r="I674" s="2" t="s">
        <v>295</v>
      </c>
      <c r="J674" s="2" t="s">
        <v>101</v>
      </c>
      <c r="K674">
        <v>951.64</v>
      </c>
      <c r="L674">
        <v>4084.03</v>
      </c>
      <c r="M674">
        <v>429.16</v>
      </c>
      <c r="N674" s="2" t="s">
        <v>308</v>
      </c>
      <c r="O674" s="2" t="s">
        <v>309</v>
      </c>
      <c r="P674" s="2" t="s">
        <v>1503</v>
      </c>
      <c r="Q674" s="2" t="s">
        <v>1504</v>
      </c>
      <c r="R674" s="2" t="s">
        <v>29</v>
      </c>
      <c r="S674" s="2" t="s">
        <v>30</v>
      </c>
    </row>
    <row r="675" spans="1:19">
      <c r="A675" s="1">
        <v>44105</v>
      </c>
      <c r="B675" s="1">
        <v>44105</v>
      </c>
      <c r="C675">
        <v>2020</v>
      </c>
      <c r="D675">
        <v>10</v>
      </c>
      <c r="E675" s="2" t="s">
        <v>312</v>
      </c>
      <c r="F675" s="2" t="s">
        <v>313</v>
      </c>
      <c r="G675" s="2" t="s">
        <v>21</v>
      </c>
      <c r="H675" s="2" t="s">
        <v>22</v>
      </c>
      <c r="I675" s="2" t="s">
        <v>295</v>
      </c>
      <c r="J675" s="2" t="s">
        <v>59</v>
      </c>
      <c r="K675">
        <v>4591.5200000000004</v>
      </c>
      <c r="L675">
        <v>17910.7</v>
      </c>
      <c r="M675">
        <v>390.08</v>
      </c>
      <c r="N675" s="2" t="s">
        <v>314</v>
      </c>
      <c r="O675" s="2" t="s">
        <v>315</v>
      </c>
      <c r="P675" s="2" t="s">
        <v>1505</v>
      </c>
      <c r="Q675" s="2" t="s">
        <v>1506</v>
      </c>
      <c r="R675" s="2" t="s">
        <v>29</v>
      </c>
      <c r="S675" s="2" t="s">
        <v>30</v>
      </c>
    </row>
    <row r="676" spans="1:19">
      <c r="A676" s="1">
        <v>44105</v>
      </c>
      <c r="B676" s="1">
        <v>44105</v>
      </c>
      <c r="C676">
        <v>2020</v>
      </c>
      <c r="D676">
        <v>10</v>
      </c>
      <c r="E676" s="2" t="s">
        <v>318</v>
      </c>
      <c r="F676" s="2" t="s">
        <v>319</v>
      </c>
      <c r="G676" s="2" t="s">
        <v>21</v>
      </c>
      <c r="H676" s="2" t="s">
        <v>22</v>
      </c>
      <c r="I676" s="2" t="s">
        <v>295</v>
      </c>
      <c r="J676" s="2" t="s">
        <v>24</v>
      </c>
      <c r="K676">
        <v>3639.88</v>
      </c>
      <c r="L676">
        <v>13826.67</v>
      </c>
      <c r="M676">
        <v>379.87</v>
      </c>
      <c r="N676" s="2" t="s">
        <v>320</v>
      </c>
      <c r="O676" s="2" t="s">
        <v>321</v>
      </c>
      <c r="P676" s="2" t="s">
        <v>1507</v>
      </c>
      <c r="Q676" s="2" t="s">
        <v>1508</v>
      </c>
      <c r="R676" s="2" t="s">
        <v>29</v>
      </c>
      <c r="S676" s="2" t="s">
        <v>30</v>
      </c>
    </row>
    <row r="677" spans="1:19">
      <c r="A677" s="1">
        <v>44105</v>
      </c>
      <c r="B677" s="1">
        <v>44105</v>
      </c>
      <c r="C677">
        <v>2020</v>
      </c>
      <c r="D677">
        <v>10</v>
      </c>
      <c r="E677" s="2" t="s">
        <v>324</v>
      </c>
      <c r="F677" s="2" t="s">
        <v>325</v>
      </c>
      <c r="G677" s="2" t="s">
        <v>21</v>
      </c>
      <c r="H677" s="2" t="s">
        <v>22</v>
      </c>
      <c r="I677" s="2" t="s">
        <v>23</v>
      </c>
      <c r="J677" s="2" t="s">
        <v>59</v>
      </c>
      <c r="K677">
        <v>28646.32</v>
      </c>
      <c r="L677">
        <v>2993166.11</v>
      </c>
      <c r="M677">
        <v>10448.69</v>
      </c>
      <c r="N677" s="2" t="s">
        <v>326</v>
      </c>
      <c r="O677" s="2" t="s">
        <v>327</v>
      </c>
      <c r="P677" s="2" t="s">
        <v>1509</v>
      </c>
      <c r="Q677" s="2" t="s">
        <v>1510</v>
      </c>
      <c r="R677" s="2" t="s">
        <v>29</v>
      </c>
      <c r="S677" s="2" t="s">
        <v>30</v>
      </c>
    </row>
    <row r="678" spans="1:19">
      <c r="A678" s="1">
        <v>44105</v>
      </c>
      <c r="B678" s="1">
        <v>44105</v>
      </c>
      <c r="C678">
        <v>2020</v>
      </c>
      <c r="D678">
        <v>10</v>
      </c>
      <c r="E678" s="2" t="s">
        <v>330</v>
      </c>
      <c r="F678" s="2" t="s">
        <v>331</v>
      </c>
      <c r="G678" s="2" t="s">
        <v>21</v>
      </c>
      <c r="H678" s="2" t="s">
        <v>332</v>
      </c>
      <c r="I678" s="2" t="s">
        <v>333</v>
      </c>
      <c r="J678" s="2" t="s">
        <v>24</v>
      </c>
      <c r="K678">
        <v>136.54</v>
      </c>
      <c r="L678">
        <v>7226105.1399999997</v>
      </c>
      <c r="M678">
        <v>5292299.0599999996</v>
      </c>
      <c r="N678" s="2" t="s">
        <v>334</v>
      </c>
      <c r="O678" s="2" t="s">
        <v>335</v>
      </c>
      <c r="P678" s="2" t="s">
        <v>1511</v>
      </c>
      <c r="Q678" s="2" t="s">
        <v>1512</v>
      </c>
      <c r="R678" s="2" t="s">
        <v>29</v>
      </c>
      <c r="S678" s="2" t="s">
        <v>30</v>
      </c>
    </row>
    <row r="679" spans="1:19">
      <c r="A679" s="1">
        <v>44105</v>
      </c>
      <c r="B679" s="1">
        <v>44105</v>
      </c>
      <c r="C679">
        <v>2020</v>
      </c>
      <c r="D679">
        <v>10</v>
      </c>
      <c r="E679" s="2" t="s">
        <v>338</v>
      </c>
      <c r="F679" s="2" t="s">
        <v>339</v>
      </c>
      <c r="G679" s="2" t="s">
        <v>21</v>
      </c>
      <c r="H679" s="2" t="s">
        <v>332</v>
      </c>
      <c r="I679" s="2" t="s">
        <v>333</v>
      </c>
      <c r="J679" s="2" t="s">
        <v>24</v>
      </c>
      <c r="K679">
        <v>1.68</v>
      </c>
      <c r="L679">
        <v>1269940.56</v>
      </c>
      <c r="M679">
        <v>75591700</v>
      </c>
      <c r="N679" s="2" t="s">
        <v>340</v>
      </c>
      <c r="O679" s="2" t="s">
        <v>341</v>
      </c>
      <c r="P679" s="2" t="s">
        <v>1513</v>
      </c>
      <c r="Q679" s="2" t="s">
        <v>1514</v>
      </c>
      <c r="R679" s="2" t="s">
        <v>29</v>
      </c>
      <c r="S679" s="2" t="s">
        <v>30</v>
      </c>
    </row>
    <row r="680" spans="1:19">
      <c r="A680" s="1">
        <v>44105</v>
      </c>
      <c r="B680" s="1">
        <v>44105</v>
      </c>
      <c r="C680">
        <v>2020</v>
      </c>
      <c r="D680">
        <v>10</v>
      </c>
      <c r="E680" s="2" t="s">
        <v>344</v>
      </c>
      <c r="F680" s="2" t="s">
        <v>345</v>
      </c>
      <c r="G680" s="2" t="s">
        <v>21</v>
      </c>
      <c r="H680" s="2" t="s">
        <v>332</v>
      </c>
      <c r="I680" s="2" t="s">
        <v>333</v>
      </c>
      <c r="J680" s="2" t="s">
        <v>59</v>
      </c>
      <c r="K680">
        <v>138.22</v>
      </c>
      <c r="L680">
        <v>8496045.6999999993</v>
      </c>
      <c r="M680">
        <v>6146755.6799999997</v>
      </c>
      <c r="N680" s="2" t="s">
        <v>346</v>
      </c>
      <c r="O680" s="2" t="s">
        <v>347</v>
      </c>
      <c r="P680" s="2" t="s">
        <v>1515</v>
      </c>
      <c r="Q680" s="2" t="s">
        <v>1516</v>
      </c>
      <c r="R680" s="2" t="s">
        <v>29</v>
      </c>
      <c r="S680" s="2" t="s">
        <v>30</v>
      </c>
    </row>
    <row r="681" spans="1:19">
      <c r="A681" s="1">
        <v>44105</v>
      </c>
      <c r="B681" s="1">
        <v>44105</v>
      </c>
      <c r="C681">
        <v>2020</v>
      </c>
      <c r="D681">
        <v>10</v>
      </c>
      <c r="E681" s="2" t="s">
        <v>350</v>
      </c>
      <c r="F681" s="2" t="s">
        <v>351</v>
      </c>
      <c r="G681" s="2" t="s">
        <v>21</v>
      </c>
      <c r="H681" s="2" t="s">
        <v>22</v>
      </c>
      <c r="I681" s="2" t="s">
        <v>352</v>
      </c>
      <c r="J681" s="2" t="s">
        <v>353</v>
      </c>
      <c r="K681">
        <v>39946.9</v>
      </c>
      <c r="L681">
        <v>11720220.130000001</v>
      </c>
      <c r="M681">
        <v>29339.5</v>
      </c>
      <c r="N681" s="2" t="s">
        <v>354</v>
      </c>
      <c r="O681" s="2" t="s">
        <v>355</v>
      </c>
      <c r="P681" s="2" t="s">
        <v>1517</v>
      </c>
      <c r="Q681" s="2" t="s">
        <v>1518</v>
      </c>
      <c r="R681" s="2" t="s">
        <v>29</v>
      </c>
      <c r="S681" s="2" t="s">
        <v>30</v>
      </c>
    </row>
    <row r="682" spans="1:19">
      <c r="A682" s="1">
        <v>44105</v>
      </c>
      <c r="B682" s="1">
        <v>44105</v>
      </c>
      <c r="C682">
        <v>2020</v>
      </c>
      <c r="D682">
        <v>10</v>
      </c>
      <c r="E682" s="2" t="s">
        <v>358</v>
      </c>
      <c r="F682" s="2" t="s">
        <v>359</v>
      </c>
      <c r="G682" s="2" t="s">
        <v>21</v>
      </c>
      <c r="H682" s="2" t="s">
        <v>22</v>
      </c>
      <c r="I682" s="2" t="s">
        <v>352</v>
      </c>
      <c r="J682" s="2" t="s">
        <v>353</v>
      </c>
      <c r="K682">
        <v>40589.980000000003</v>
      </c>
      <c r="L682">
        <v>12244310.470000001</v>
      </c>
      <c r="M682">
        <v>30165.85</v>
      </c>
      <c r="N682" s="2" t="s">
        <v>360</v>
      </c>
      <c r="O682" s="2" t="s">
        <v>361</v>
      </c>
      <c r="P682" s="2" t="s">
        <v>1519</v>
      </c>
      <c r="Q682" s="2" t="s">
        <v>1520</v>
      </c>
      <c r="R682" s="2" t="s">
        <v>29</v>
      </c>
      <c r="S682" s="2" t="s">
        <v>30</v>
      </c>
    </row>
    <row r="683" spans="1:19">
      <c r="A683" s="1">
        <v>44105</v>
      </c>
      <c r="B683" s="1">
        <v>44105</v>
      </c>
      <c r="C683">
        <v>2020</v>
      </c>
      <c r="D683">
        <v>10</v>
      </c>
      <c r="E683" s="2" t="s">
        <v>364</v>
      </c>
      <c r="F683" s="2" t="s">
        <v>365</v>
      </c>
      <c r="G683" s="2" t="s">
        <v>21</v>
      </c>
      <c r="H683" s="2" t="s">
        <v>22</v>
      </c>
      <c r="I683" s="2" t="s">
        <v>352</v>
      </c>
      <c r="J683" s="2" t="s">
        <v>353</v>
      </c>
      <c r="K683">
        <v>40451.769999999997</v>
      </c>
      <c r="L683">
        <v>3748264.77</v>
      </c>
      <c r="M683">
        <v>9266.01</v>
      </c>
      <c r="N683" s="2" t="s">
        <v>366</v>
      </c>
      <c r="O683" s="2" t="s">
        <v>367</v>
      </c>
      <c r="P683" s="2" t="s">
        <v>1521</v>
      </c>
      <c r="Q683" s="2" t="s">
        <v>1522</v>
      </c>
      <c r="R683" s="2" t="s">
        <v>29</v>
      </c>
      <c r="S683" s="2" t="s">
        <v>30</v>
      </c>
    </row>
    <row r="684" spans="1:19">
      <c r="A684" s="1">
        <v>44105</v>
      </c>
      <c r="B684" s="1">
        <v>44105</v>
      </c>
      <c r="C684">
        <v>2020</v>
      </c>
      <c r="D684">
        <v>10</v>
      </c>
      <c r="E684" s="2" t="s">
        <v>370</v>
      </c>
      <c r="F684" s="2" t="s">
        <v>371</v>
      </c>
      <c r="G684" s="2" t="s">
        <v>21</v>
      </c>
      <c r="H684" s="2" t="s">
        <v>22</v>
      </c>
      <c r="I684" s="2" t="s">
        <v>23</v>
      </c>
      <c r="J684" s="2" t="s">
        <v>24</v>
      </c>
      <c r="K684">
        <v>20716.189999999999</v>
      </c>
      <c r="L684">
        <v>386106.74</v>
      </c>
      <c r="M684">
        <v>1863.79</v>
      </c>
      <c r="N684" s="2" t="s">
        <v>372</v>
      </c>
      <c r="O684" s="2" t="s">
        <v>373</v>
      </c>
      <c r="P684" s="2" t="s">
        <v>1523</v>
      </c>
      <c r="Q684" s="2" t="s">
        <v>1524</v>
      </c>
      <c r="R684" s="2" t="s">
        <v>29</v>
      </c>
      <c r="S684" s="2" t="s">
        <v>30</v>
      </c>
    </row>
    <row r="685" spans="1:19">
      <c r="A685" s="1">
        <v>44105</v>
      </c>
      <c r="B685" s="1">
        <v>44105</v>
      </c>
      <c r="C685">
        <v>2020</v>
      </c>
      <c r="D685">
        <v>10</v>
      </c>
      <c r="E685" s="2" t="s">
        <v>376</v>
      </c>
      <c r="F685" s="2" t="s">
        <v>377</v>
      </c>
      <c r="G685" s="2" t="s">
        <v>21</v>
      </c>
      <c r="H685" s="2" t="s">
        <v>22</v>
      </c>
      <c r="I685" s="2" t="s">
        <v>23</v>
      </c>
      <c r="J685" s="2" t="s">
        <v>378</v>
      </c>
      <c r="K685">
        <v>0.97</v>
      </c>
      <c r="L685">
        <v>16</v>
      </c>
      <c r="M685">
        <v>1649.48</v>
      </c>
      <c r="N685" s="2" t="s">
        <v>379</v>
      </c>
      <c r="O685" s="2" t="s">
        <v>380</v>
      </c>
      <c r="P685" s="2" t="s">
        <v>1525</v>
      </c>
      <c r="Q685" s="2" t="s">
        <v>1526</v>
      </c>
      <c r="R685" s="2" t="s">
        <v>29</v>
      </c>
      <c r="S685" s="2" t="s">
        <v>30</v>
      </c>
    </row>
    <row r="686" spans="1:19">
      <c r="A686" s="1">
        <v>44136</v>
      </c>
      <c r="B686" s="1">
        <v>44136</v>
      </c>
      <c r="C686">
        <v>2020</v>
      </c>
      <c r="D686">
        <v>11</v>
      </c>
      <c r="E686" s="2" t="s">
        <v>19</v>
      </c>
      <c r="F686" s="2" t="s">
        <v>20</v>
      </c>
      <c r="G686" s="2" t="s">
        <v>21</v>
      </c>
      <c r="H686" s="2" t="s">
        <v>22</v>
      </c>
      <c r="I686" s="2" t="s">
        <v>23</v>
      </c>
      <c r="J686" s="2" t="s">
        <v>24</v>
      </c>
      <c r="K686">
        <v>0.93</v>
      </c>
      <c r="L686">
        <v>54.18</v>
      </c>
      <c r="M686">
        <v>5825.81</v>
      </c>
      <c r="N686" s="2" t="s">
        <v>25</v>
      </c>
      <c r="O686" s="2" t="s">
        <v>26</v>
      </c>
      <c r="P686" s="2" t="s">
        <v>1527</v>
      </c>
      <c r="Q686" s="2" t="s">
        <v>1528</v>
      </c>
      <c r="R686" s="2" t="s">
        <v>29</v>
      </c>
      <c r="S686" s="2" t="s">
        <v>30</v>
      </c>
    </row>
    <row r="687" spans="1:19">
      <c r="A687" s="1">
        <v>44136</v>
      </c>
      <c r="B687" s="1">
        <v>44136</v>
      </c>
      <c r="C687">
        <v>2020</v>
      </c>
      <c r="D687">
        <v>11</v>
      </c>
      <c r="E687" s="2" t="s">
        <v>31</v>
      </c>
      <c r="F687" s="2" t="s">
        <v>32</v>
      </c>
      <c r="G687" s="2" t="s">
        <v>21</v>
      </c>
      <c r="H687" s="2" t="s">
        <v>22</v>
      </c>
      <c r="I687" s="2" t="s">
        <v>23</v>
      </c>
      <c r="J687" s="2" t="s">
        <v>24</v>
      </c>
      <c r="K687">
        <v>927.29</v>
      </c>
      <c r="L687">
        <v>4400.1099999999997</v>
      </c>
      <c r="M687">
        <v>474.51</v>
      </c>
      <c r="N687" s="2" t="s">
        <v>33</v>
      </c>
      <c r="O687" s="2" t="s">
        <v>34</v>
      </c>
      <c r="P687" s="2" t="s">
        <v>1529</v>
      </c>
      <c r="Q687" s="2" t="s">
        <v>1530</v>
      </c>
      <c r="R687" s="2" t="s">
        <v>29</v>
      </c>
      <c r="S687" s="2" t="s">
        <v>30</v>
      </c>
    </row>
    <row r="688" spans="1:19">
      <c r="A688" s="1">
        <v>44136</v>
      </c>
      <c r="B688" s="1">
        <v>44136</v>
      </c>
      <c r="C688">
        <v>2020</v>
      </c>
      <c r="D688">
        <v>11</v>
      </c>
      <c r="E688" s="2" t="s">
        <v>37</v>
      </c>
      <c r="F688" s="2" t="s">
        <v>38</v>
      </c>
      <c r="G688" s="2" t="s">
        <v>39</v>
      </c>
      <c r="H688" s="2" t="s">
        <v>22</v>
      </c>
      <c r="I688" s="2" t="s">
        <v>40</v>
      </c>
      <c r="J688" s="2" t="s">
        <v>24</v>
      </c>
      <c r="K688">
        <v>4.6399999999999997</v>
      </c>
      <c r="L688">
        <v>231.28</v>
      </c>
      <c r="M688">
        <v>4984.4799999999996</v>
      </c>
      <c r="N688" s="2" t="s">
        <v>41</v>
      </c>
      <c r="O688" s="2" t="s">
        <v>42</v>
      </c>
      <c r="P688" s="2" t="s">
        <v>1531</v>
      </c>
      <c r="Q688" s="2" t="s">
        <v>1532</v>
      </c>
      <c r="R688" s="2" t="s">
        <v>29</v>
      </c>
      <c r="S688" s="2" t="s">
        <v>30</v>
      </c>
    </row>
    <row r="689" spans="1:19">
      <c r="A689" s="1">
        <v>44136</v>
      </c>
      <c r="B689" s="1">
        <v>44136</v>
      </c>
      <c r="C689">
        <v>2020</v>
      </c>
      <c r="D689">
        <v>11</v>
      </c>
      <c r="E689" s="2" t="s">
        <v>45</v>
      </c>
      <c r="F689" s="2" t="s">
        <v>46</v>
      </c>
      <c r="G689" s="2" t="s">
        <v>39</v>
      </c>
      <c r="H689" s="2" t="s">
        <v>22</v>
      </c>
      <c r="I689" s="2" t="s">
        <v>40</v>
      </c>
      <c r="J689" s="2" t="s">
        <v>24</v>
      </c>
      <c r="K689">
        <v>5853.66</v>
      </c>
      <c r="L689">
        <v>276796.55</v>
      </c>
      <c r="M689">
        <v>4728.6099999999997</v>
      </c>
      <c r="N689" s="2" t="s">
        <v>47</v>
      </c>
      <c r="O689" s="2" t="s">
        <v>48</v>
      </c>
      <c r="P689" s="2" t="s">
        <v>1533</v>
      </c>
      <c r="Q689" s="2" t="s">
        <v>1534</v>
      </c>
      <c r="R689" s="2" t="s">
        <v>29</v>
      </c>
      <c r="S689" s="2" t="s">
        <v>30</v>
      </c>
    </row>
    <row r="690" spans="1:19">
      <c r="A690" s="1">
        <v>44136</v>
      </c>
      <c r="B690" s="1">
        <v>44136</v>
      </c>
      <c r="C690">
        <v>2020</v>
      </c>
      <c r="D690">
        <v>11</v>
      </c>
      <c r="E690" s="2" t="s">
        <v>51</v>
      </c>
      <c r="F690" s="2" t="s">
        <v>52</v>
      </c>
      <c r="G690" s="2" t="s">
        <v>39</v>
      </c>
      <c r="H690" s="2" t="s">
        <v>22</v>
      </c>
      <c r="I690" s="2" t="s">
        <v>40</v>
      </c>
      <c r="J690" s="2" t="s">
        <v>24</v>
      </c>
      <c r="K690">
        <v>25.63</v>
      </c>
      <c r="L690">
        <v>912.32</v>
      </c>
      <c r="M690">
        <v>3559.58</v>
      </c>
      <c r="N690" s="2" t="s">
        <v>53</v>
      </c>
      <c r="O690" s="2" t="s">
        <v>54</v>
      </c>
      <c r="P690" s="2" t="s">
        <v>1535</v>
      </c>
      <c r="Q690" s="2" t="s">
        <v>1536</v>
      </c>
      <c r="R690" s="2" t="s">
        <v>29</v>
      </c>
      <c r="S690" s="2" t="s">
        <v>30</v>
      </c>
    </row>
    <row r="691" spans="1:19">
      <c r="A691" s="1">
        <v>44136</v>
      </c>
      <c r="B691" s="1">
        <v>44136</v>
      </c>
      <c r="C691">
        <v>2020</v>
      </c>
      <c r="D691">
        <v>11</v>
      </c>
      <c r="E691" s="2" t="s">
        <v>57</v>
      </c>
      <c r="F691" s="2" t="s">
        <v>58</v>
      </c>
      <c r="G691" s="2" t="s">
        <v>39</v>
      </c>
      <c r="H691" s="2" t="s">
        <v>22</v>
      </c>
      <c r="I691" s="2" t="s">
        <v>40</v>
      </c>
      <c r="J691" s="2" t="s">
        <v>59</v>
      </c>
      <c r="K691">
        <v>5883.93</v>
      </c>
      <c r="L691">
        <v>277940.15000000002</v>
      </c>
      <c r="M691">
        <v>4723.72</v>
      </c>
      <c r="N691" s="2" t="s">
        <v>60</v>
      </c>
      <c r="O691" s="2" t="s">
        <v>61</v>
      </c>
      <c r="P691" s="2" t="s">
        <v>1537</v>
      </c>
      <c r="Q691" s="2" t="s">
        <v>1538</v>
      </c>
      <c r="R691" s="2" t="s">
        <v>29</v>
      </c>
      <c r="S691" s="2" t="s">
        <v>30</v>
      </c>
    </row>
    <row r="692" spans="1:19">
      <c r="A692" s="1">
        <v>44136</v>
      </c>
      <c r="B692" s="1">
        <v>44136</v>
      </c>
      <c r="C692">
        <v>2020</v>
      </c>
      <c r="D692">
        <v>11</v>
      </c>
      <c r="E692" s="2" t="s">
        <v>64</v>
      </c>
      <c r="F692" s="2" t="s">
        <v>65</v>
      </c>
      <c r="G692" s="2" t="s">
        <v>21</v>
      </c>
      <c r="H692" s="2" t="s">
        <v>22</v>
      </c>
      <c r="I692" s="2" t="s">
        <v>66</v>
      </c>
      <c r="J692" s="2" t="s">
        <v>24</v>
      </c>
      <c r="K692">
        <v>9.39</v>
      </c>
      <c r="L692">
        <v>180.5</v>
      </c>
      <c r="M692">
        <v>1922.26</v>
      </c>
      <c r="N692" s="2" t="s">
        <v>67</v>
      </c>
      <c r="O692" s="2" t="s">
        <v>68</v>
      </c>
      <c r="P692" s="2" t="s">
        <v>1539</v>
      </c>
      <c r="Q692" s="2" t="s">
        <v>1540</v>
      </c>
      <c r="R692" s="2" t="s">
        <v>29</v>
      </c>
      <c r="S692" s="2" t="s">
        <v>30</v>
      </c>
    </row>
    <row r="693" spans="1:19">
      <c r="A693" s="1">
        <v>44136</v>
      </c>
      <c r="B693" s="1">
        <v>44136</v>
      </c>
      <c r="C693">
        <v>2020</v>
      </c>
      <c r="D693">
        <v>11</v>
      </c>
      <c r="E693" s="2" t="s">
        <v>71</v>
      </c>
      <c r="F693" s="2" t="s">
        <v>72</v>
      </c>
      <c r="G693" s="2" t="s">
        <v>21</v>
      </c>
      <c r="H693" s="2" t="s">
        <v>22</v>
      </c>
      <c r="I693" s="2" t="s">
        <v>73</v>
      </c>
      <c r="J693" s="2" t="s">
        <v>59</v>
      </c>
      <c r="K693">
        <v>5428.32</v>
      </c>
      <c r="L693">
        <v>130238.55</v>
      </c>
      <c r="M693">
        <v>2399.2399999999998</v>
      </c>
      <c r="N693" s="2" t="s">
        <v>74</v>
      </c>
      <c r="O693" s="2" t="s">
        <v>75</v>
      </c>
      <c r="P693" s="2" t="s">
        <v>1541</v>
      </c>
      <c r="Q693" s="2" t="s">
        <v>1542</v>
      </c>
      <c r="R693" s="2" t="s">
        <v>29</v>
      </c>
      <c r="S693" s="2" t="s">
        <v>30</v>
      </c>
    </row>
    <row r="694" spans="1:19">
      <c r="A694" s="1">
        <v>44136</v>
      </c>
      <c r="B694" s="1">
        <v>44136</v>
      </c>
      <c r="C694">
        <v>2020</v>
      </c>
      <c r="D694">
        <v>11</v>
      </c>
      <c r="E694" s="2" t="s">
        <v>78</v>
      </c>
      <c r="F694" s="2" t="s">
        <v>79</v>
      </c>
      <c r="G694" s="2" t="s">
        <v>80</v>
      </c>
      <c r="H694" s="2" t="s">
        <v>81</v>
      </c>
      <c r="I694" s="2" t="s">
        <v>82</v>
      </c>
      <c r="J694" s="2" t="s">
        <v>24</v>
      </c>
      <c r="K694">
        <v>1.64</v>
      </c>
      <c r="L694">
        <v>3625848.87</v>
      </c>
      <c r="M694">
        <v>221088345.72999999</v>
      </c>
      <c r="N694" s="2" t="s">
        <v>83</v>
      </c>
      <c r="O694" s="2" t="s">
        <v>84</v>
      </c>
      <c r="P694" s="2" t="s">
        <v>1543</v>
      </c>
      <c r="Q694" s="2" t="s">
        <v>1544</v>
      </c>
      <c r="R694" s="2" t="s">
        <v>29</v>
      </c>
      <c r="S694" s="2" t="s">
        <v>30</v>
      </c>
    </row>
    <row r="695" spans="1:19">
      <c r="A695" s="1">
        <v>44136</v>
      </c>
      <c r="B695" s="1">
        <v>44136</v>
      </c>
      <c r="C695">
        <v>2020</v>
      </c>
      <c r="D695">
        <v>11</v>
      </c>
      <c r="E695" s="2" t="s">
        <v>87</v>
      </c>
      <c r="F695" s="2" t="s">
        <v>88</v>
      </c>
      <c r="G695" s="2" t="s">
        <v>80</v>
      </c>
      <c r="H695" s="2" t="s">
        <v>81</v>
      </c>
      <c r="I695" s="2" t="s">
        <v>82</v>
      </c>
      <c r="J695" s="2" t="s">
        <v>24</v>
      </c>
      <c r="K695">
        <v>0.48</v>
      </c>
      <c r="L695">
        <v>727022.94</v>
      </c>
      <c r="M695">
        <v>151463112.5</v>
      </c>
      <c r="N695" s="2" t="s">
        <v>89</v>
      </c>
      <c r="O695" s="2" t="s">
        <v>90</v>
      </c>
      <c r="P695" s="2" t="s">
        <v>1545</v>
      </c>
      <c r="Q695" s="2" t="s">
        <v>1546</v>
      </c>
      <c r="R695" s="2" t="s">
        <v>29</v>
      </c>
      <c r="S695" s="2" t="s">
        <v>30</v>
      </c>
    </row>
    <row r="696" spans="1:19">
      <c r="A696" s="1">
        <v>44136</v>
      </c>
      <c r="B696" s="1">
        <v>44136</v>
      </c>
      <c r="C696">
        <v>2020</v>
      </c>
      <c r="D696">
        <v>11</v>
      </c>
      <c r="E696" s="2" t="s">
        <v>93</v>
      </c>
      <c r="F696" s="2" t="s">
        <v>94</v>
      </c>
      <c r="G696" s="2" t="s">
        <v>80</v>
      </c>
      <c r="H696" s="2" t="s">
        <v>81</v>
      </c>
      <c r="I696" s="2" t="s">
        <v>82</v>
      </c>
      <c r="J696" s="2" t="s">
        <v>24</v>
      </c>
      <c r="K696">
        <v>0.12</v>
      </c>
      <c r="L696">
        <v>1762646.66</v>
      </c>
      <c r="M696">
        <v>1468872216.6700001</v>
      </c>
      <c r="N696" s="2" t="s">
        <v>95</v>
      </c>
      <c r="O696" s="2" t="s">
        <v>96</v>
      </c>
      <c r="P696" s="2" t="s">
        <v>1547</v>
      </c>
      <c r="Q696" s="2" t="s">
        <v>1548</v>
      </c>
      <c r="R696" s="2" t="s">
        <v>29</v>
      </c>
      <c r="S696" s="2" t="s">
        <v>30</v>
      </c>
    </row>
    <row r="697" spans="1:19">
      <c r="A697" s="1">
        <v>44136</v>
      </c>
      <c r="B697" s="1">
        <v>44136</v>
      </c>
      <c r="C697">
        <v>2020</v>
      </c>
      <c r="D697">
        <v>11</v>
      </c>
      <c r="E697" s="2" t="s">
        <v>99</v>
      </c>
      <c r="F697" s="2" t="s">
        <v>100</v>
      </c>
      <c r="G697" s="2" t="s">
        <v>80</v>
      </c>
      <c r="H697" s="2" t="s">
        <v>81</v>
      </c>
      <c r="I697" s="2" t="s">
        <v>82</v>
      </c>
      <c r="J697" s="2" t="s">
        <v>101</v>
      </c>
      <c r="K697">
        <v>0.79</v>
      </c>
      <c r="L697">
        <v>6942677.7999999998</v>
      </c>
      <c r="M697">
        <v>878819974.67999995</v>
      </c>
      <c r="N697" s="2" t="s">
        <v>102</v>
      </c>
      <c r="O697" s="2" t="s">
        <v>103</v>
      </c>
      <c r="P697" s="2" t="s">
        <v>1549</v>
      </c>
      <c r="Q697" s="2" t="s">
        <v>1550</v>
      </c>
      <c r="R697" s="2" t="s">
        <v>29</v>
      </c>
      <c r="S697" s="2" t="s">
        <v>30</v>
      </c>
    </row>
    <row r="698" spans="1:19">
      <c r="A698" s="1">
        <v>44136</v>
      </c>
      <c r="B698" s="1">
        <v>44136</v>
      </c>
      <c r="C698">
        <v>2020</v>
      </c>
      <c r="D698">
        <v>11</v>
      </c>
      <c r="E698" s="2" t="s">
        <v>106</v>
      </c>
      <c r="F698" s="2" t="s">
        <v>107</v>
      </c>
      <c r="G698" s="2" t="s">
        <v>80</v>
      </c>
      <c r="H698" s="2" t="s">
        <v>81</v>
      </c>
      <c r="I698" s="2" t="s">
        <v>82</v>
      </c>
      <c r="J698" s="2" t="s">
        <v>24</v>
      </c>
      <c r="K698">
        <v>0.19</v>
      </c>
      <c r="L698">
        <v>4453008.2</v>
      </c>
      <c r="M698">
        <v>2343688526.3200002</v>
      </c>
      <c r="N698" s="2" t="s">
        <v>108</v>
      </c>
      <c r="O698" s="2" t="s">
        <v>109</v>
      </c>
      <c r="P698" s="2" t="s">
        <v>97</v>
      </c>
      <c r="Q698" s="2" t="s">
        <v>1551</v>
      </c>
      <c r="R698" s="2" t="s">
        <v>29</v>
      </c>
      <c r="S698" s="2" t="s">
        <v>30</v>
      </c>
    </row>
    <row r="699" spans="1:19">
      <c r="A699" s="1">
        <v>44136</v>
      </c>
      <c r="B699" s="1">
        <v>44136</v>
      </c>
      <c r="C699">
        <v>2020</v>
      </c>
      <c r="D699">
        <v>11</v>
      </c>
      <c r="E699" s="2" t="s">
        <v>111</v>
      </c>
      <c r="F699" s="2" t="s">
        <v>112</v>
      </c>
      <c r="G699" s="2" t="s">
        <v>80</v>
      </c>
      <c r="H699" s="2" t="s">
        <v>81</v>
      </c>
      <c r="I699" s="2" t="s">
        <v>82</v>
      </c>
      <c r="J699" s="2" t="s">
        <v>24</v>
      </c>
      <c r="K699">
        <v>0.02</v>
      </c>
      <c r="L699">
        <v>123665</v>
      </c>
      <c r="M699">
        <v>618325000</v>
      </c>
      <c r="N699" s="2" t="s">
        <v>113</v>
      </c>
      <c r="O699" s="2" t="s">
        <v>114</v>
      </c>
      <c r="P699" s="2" t="s">
        <v>1039</v>
      </c>
      <c r="Q699" s="2" t="s">
        <v>1552</v>
      </c>
      <c r="R699" s="2" t="s">
        <v>29</v>
      </c>
      <c r="S699" s="2" t="s">
        <v>30</v>
      </c>
    </row>
    <row r="700" spans="1:19">
      <c r="A700" s="1">
        <v>44136</v>
      </c>
      <c r="B700" s="1">
        <v>44136</v>
      </c>
      <c r="C700">
        <v>2020</v>
      </c>
      <c r="D700">
        <v>11</v>
      </c>
      <c r="E700" s="2" t="s">
        <v>117</v>
      </c>
      <c r="F700" s="2" t="s">
        <v>118</v>
      </c>
      <c r="G700" s="2" t="s">
        <v>80</v>
      </c>
      <c r="H700" s="2" t="s">
        <v>81</v>
      </c>
      <c r="I700" s="2" t="s">
        <v>82</v>
      </c>
      <c r="J700" s="2" t="s">
        <v>59</v>
      </c>
      <c r="K700">
        <v>2.4500000000000002</v>
      </c>
      <c r="L700">
        <v>10692191.67</v>
      </c>
      <c r="M700">
        <v>436415986.52999997</v>
      </c>
      <c r="N700" s="2" t="s">
        <v>119</v>
      </c>
      <c r="O700" s="2" t="s">
        <v>120</v>
      </c>
      <c r="P700" s="2" t="s">
        <v>1553</v>
      </c>
      <c r="Q700" s="2" t="s">
        <v>1554</v>
      </c>
      <c r="R700" s="2" t="s">
        <v>29</v>
      </c>
      <c r="S700" s="2" t="s">
        <v>30</v>
      </c>
    </row>
    <row r="701" spans="1:19">
      <c r="A701" s="1">
        <v>44136</v>
      </c>
      <c r="B701" s="1">
        <v>44136</v>
      </c>
      <c r="C701">
        <v>2020</v>
      </c>
      <c r="D701">
        <v>11</v>
      </c>
      <c r="E701" s="2" t="s">
        <v>123</v>
      </c>
      <c r="F701" s="2" t="s">
        <v>124</v>
      </c>
      <c r="G701" s="2" t="s">
        <v>21</v>
      </c>
      <c r="H701" s="2" t="s">
        <v>22</v>
      </c>
      <c r="I701" s="2" t="s">
        <v>73</v>
      </c>
      <c r="J701" s="2" t="s">
        <v>24</v>
      </c>
      <c r="K701">
        <v>787.76</v>
      </c>
      <c r="L701">
        <v>31855.02</v>
      </c>
      <c r="M701">
        <v>4043.75</v>
      </c>
      <c r="N701" s="2" t="s">
        <v>125</v>
      </c>
      <c r="O701" s="2" t="s">
        <v>126</v>
      </c>
      <c r="P701" s="2" t="s">
        <v>1555</v>
      </c>
      <c r="Q701" s="2" t="s">
        <v>1556</v>
      </c>
      <c r="R701" s="2" t="s">
        <v>29</v>
      </c>
      <c r="S701" s="2" t="s">
        <v>30</v>
      </c>
    </row>
    <row r="702" spans="1:19">
      <c r="A702" s="1">
        <v>44136</v>
      </c>
      <c r="B702" s="1">
        <v>44136</v>
      </c>
      <c r="C702">
        <v>2020</v>
      </c>
      <c r="D702">
        <v>11</v>
      </c>
      <c r="E702" s="2" t="s">
        <v>129</v>
      </c>
      <c r="F702" s="2" t="s">
        <v>130</v>
      </c>
      <c r="G702" s="2" t="s">
        <v>21</v>
      </c>
      <c r="H702" s="2" t="s">
        <v>22</v>
      </c>
      <c r="I702" s="2" t="s">
        <v>73</v>
      </c>
      <c r="J702" s="2" t="s">
        <v>24</v>
      </c>
      <c r="K702">
        <v>874.82</v>
      </c>
      <c r="L702">
        <v>30494.74</v>
      </c>
      <c r="M702">
        <v>3485.83</v>
      </c>
      <c r="N702" s="2" t="s">
        <v>131</v>
      </c>
      <c r="O702" s="2" t="s">
        <v>132</v>
      </c>
      <c r="P702" s="2" t="s">
        <v>1557</v>
      </c>
      <c r="Q702" s="2" t="s">
        <v>1558</v>
      </c>
      <c r="R702" s="2" t="s">
        <v>29</v>
      </c>
      <c r="S702" s="2" t="s">
        <v>30</v>
      </c>
    </row>
    <row r="703" spans="1:19">
      <c r="A703" s="1">
        <v>44136</v>
      </c>
      <c r="B703" s="1">
        <v>44136</v>
      </c>
      <c r="C703">
        <v>2020</v>
      </c>
      <c r="D703">
        <v>11</v>
      </c>
      <c r="E703" s="2" t="s">
        <v>135</v>
      </c>
      <c r="F703" s="2" t="s">
        <v>136</v>
      </c>
      <c r="G703" s="2" t="s">
        <v>21</v>
      </c>
      <c r="H703" s="2" t="s">
        <v>22</v>
      </c>
      <c r="I703" s="2" t="s">
        <v>73</v>
      </c>
      <c r="J703" s="2" t="s">
        <v>101</v>
      </c>
      <c r="K703">
        <v>1662.58</v>
      </c>
      <c r="L703">
        <v>62349.760000000002</v>
      </c>
      <c r="M703">
        <v>3750.18</v>
      </c>
      <c r="N703" s="2" t="s">
        <v>137</v>
      </c>
      <c r="O703" s="2" t="s">
        <v>138</v>
      </c>
      <c r="P703" s="2" t="s">
        <v>1559</v>
      </c>
      <c r="Q703" s="2" t="s">
        <v>1560</v>
      </c>
      <c r="R703" s="2" t="s">
        <v>29</v>
      </c>
      <c r="S703" s="2" t="s">
        <v>30</v>
      </c>
    </row>
    <row r="704" spans="1:19">
      <c r="A704" s="1">
        <v>44136</v>
      </c>
      <c r="B704" s="1">
        <v>44136</v>
      </c>
      <c r="C704">
        <v>2020</v>
      </c>
      <c r="D704">
        <v>11</v>
      </c>
      <c r="E704" s="2" t="s">
        <v>141</v>
      </c>
      <c r="F704" s="2" t="s">
        <v>142</v>
      </c>
      <c r="G704" s="2" t="s">
        <v>21</v>
      </c>
      <c r="H704" s="2" t="s">
        <v>22</v>
      </c>
      <c r="I704" s="2" t="s">
        <v>73</v>
      </c>
      <c r="J704" s="2" t="s">
        <v>24</v>
      </c>
      <c r="K704">
        <v>1653.18</v>
      </c>
      <c r="L704">
        <v>25599.99</v>
      </c>
      <c r="M704">
        <v>1548.53</v>
      </c>
      <c r="N704" s="2" t="s">
        <v>143</v>
      </c>
      <c r="O704" s="2" t="s">
        <v>144</v>
      </c>
      <c r="P704" s="2" t="s">
        <v>1561</v>
      </c>
      <c r="Q704" s="2" t="s">
        <v>1562</v>
      </c>
      <c r="R704" s="2" t="s">
        <v>29</v>
      </c>
      <c r="S704" s="2" t="s">
        <v>30</v>
      </c>
    </row>
    <row r="705" spans="1:19">
      <c r="A705" s="1">
        <v>44136</v>
      </c>
      <c r="B705" s="1">
        <v>44136</v>
      </c>
      <c r="C705">
        <v>2020</v>
      </c>
      <c r="D705">
        <v>11</v>
      </c>
      <c r="E705" s="2" t="s">
        <v>147</v>
      </c>
      <c r="F705" s="2" t="s">
        <v>148</v>
      </c>
      <c r="G705" s="2" t="s">
        <v>21</v>
      </c>
      <c r="H705" s="2" t="s">
        <v>22</v>
      </c>
      <c r="I705" s="2" t="s">
        <v>73</v>
      </c>
      <c r="J705" s="2" t="s">
        <v>24</v>
      </c>
      <c r="K705">
        <v>2112.56</v>
      </c>
      <c r="L705">
        <v>42288.800000000003</v>
      </c>
      <c r="M705">
        <v>2001.78</v>
      </c>
      <c r="N705" s="2" t="s">
        <v>149</v>
      </c>
      <c r="O705" s="2" t="s">
        <v>150</v>
      </c>
      <c r="P705" s="2" t="s">
        <v>1563</v>
      </c>
      <c r="Q705" s="2" t="s">
        <v>1564</v>
      </c>
      <c r="R705" s="2" t="s">
        <v>29</v>
      </c>
      <c r="S705" s="2" t="s">
        <v>30</v>
      </c>
    </row>
    <row r="706" spans="1:19">
      <c r="A706" s="1">
        <v>44136</v>
      </c>
      <c r="B706" s="1">
        <v>44136</v>
      </c>
      <c r="C706">
        <v>2020</v>
      </c>
      <c r="D706">
        <v>11</v>
      </c>
      <c r="E706" s="2" t="s">
        <v>153</v>
      </c>
      <c r="F706" s="2" t="s">
        <v>154</v>
      </c>
      <c r="G706" s="2" t="s">
        <v>21</v>
      </c>
      <c r="H706" s="2" t="s">
        <v>22</v>
      </c>
      <c r="I706" s="2" t="s">
        <v>73</v>
      </c>
      <c r="J706" s="2" t="s">
        <v>101</v>
      </c>
      <c r="K706">
        <v>3765.75</v>
      </c>
      <c r="L706">
        <v>67888.789999999994</v>
      </c>
      <c r="M706">
        <v>1802.8</v>
      </c>
      <c r="N706" s="2" t="s">
        <v>155</v>
      </c>
      <c r="O706" s="2" t="s">
        <v>156</v>
      </c>
      <c r="P706" s="2" t="s">
        <v>1565</v>
      </c>
      <c r="Q706" s="2" t="s">
        <v>1566</v>
      </c>
      <c r="R706" s="2" t="s">
        <v>29</v>
      </c>
      <c r="S706" s="2" t="s">
        <v>30</v>
      </c>
    </row>
    <row r="707" spans="1:19">
      <c r="A707" s="1">
        <v>44136</v>
      </c>
      <c r="B707" s="1">
        <v>44136</v>
      </c>
      <c r="C707">
        <v>2020</v>
      </c>
      <c r="D707">
        <v>11</v>
      </c>
      <c r="E707" s="2" t="s">
        <v>159</v>
      </c>
      <c r="F707" s="2" t="s">
        <v>160</v>
      </c>
      <c r="G707" s="2" t="s">
        <v>21</v>
      </c>
      <c r="H707" s="2" t="s">
        <v>22</v>
      </c>
      <c r="I707" s="2" t="s">
        <v>66</v>
      </c>
      <c r="J707" s="2" t="s">
        <v>59</v>
      </c>
      <c r="K707">
        <v>944.24</v>
      </c>
      <c r="L707">
        <v>78708.759999999995</v>
      </c>
      <c r="M707">
        <v>8335.67</v>
      </c>
      <c r="N707" s="2" t="s">
        <v>161</v>
      </c>
      <c r="O707" s="2" t="s">
        <v>162</v>
      </c>
      <c r="P707" s="2" t="s">
        <v>1567</v>
      </c>
      <c r="Q707" s="2" t="s">
        <v>1568</v>
      </c>
      <c r="R707" s="2" t="s">
        <v>29</v>
      </c>
      <c r="S707" s="2" t="s">
        <v>30</v>
      </c>
    </row>
    <row r="708" spans="1:19">
      <c r="A708" s="1">
        <v>44136</v>
      </c>
      <c r="B708" s="1">
        <v>44136</v>
      </c>
      <c r="C708">
        <v>2020</v>
      </c>
      <c r="D708">
        <v>11</v>
      </c>
      <c r="E708" s="2" t="s">
        <v>165</v>
      </c>
      <c r="F708" s="2" t="s">
        <v>166</v>
      </c>
      <c r="G708" s="2" t="s">
        <v>21</v>
      </c>
      <c r="H708" s="2" t="s">
        <v>22</v>
      </c>
      <c r="I708" s="2" t="s">
        <v>23</v>
      </c>
      <c r="J708" s="2" t="s">
        <v>24</v>
      </c>
      <c r="K708">
        <v>0</v>
      </c>
      <c r="L708">
        <v>0</v>
      </c>
      <c r="N708" s="2" t="s">
        <v>167</v>
      </c>
      <c r="O708" s="2" t="s">
        <v>168</v>
      </c>
      <c r="P708" s="2" t="s">
        <v>639</v>
      </c>
      <c r="Q708" s="2" t="s">
        <v>639</v>
      </c>
      <c r="R708" s="2" t="s">
        <v>29</v>
      </c>
      <c r="S708" s="2" t="s">
        <v>30</v>
      </c>
    </row>
    <row r="709" spans="1:19">
      <c r="A709" s="1">
        <v>44136</v>
      </c>
      <c r="B709" s="1">
        <v>44136</v>
      </c>
      <c r="C709">
        <v>2020</v>
      </c>
      <c r="D709">
        <v>11</v>
      </c>
      <c r="E709" s="2" t="s">
        <v>171</v>
      </c>
      <c r="F709" s="2" t="s">
        <v>172</v>
      </c>
      <c r="G709" s="2" t="s">
        <v>21</v>
      </c>
      <c r="H709" s="2" t="s">
        <v>22</v>
      </c>
      <c r="I709" s="2" t="s">
        <v>66</v>
      </c>
      <c r="J709" s="2" t="s">
        <v>24</v>
      </c>
      <c r="N709" s="2" t="s">
        <v>173</v>
      </c>
      <c r="O709" s="2" t="s">
        <v>174</v>
      </c>
      <c r="P709" s="2" t="s">
        <v>175</v>
      </c>
      <c r="Q709" s="2" t="s">
        <v>175</v>
      </c>
      <c r="R709" s="2" t="s">
        <v>640</v>
      </c>
      <c r="S709" s="2" t="s">
        <v>641</v>
      </c>
    </row>
    <row r="710" spans="1:19">
      <c r="A710" s="1">
        <v>44136</v>
      </c>
      <c r="B710" s="1">
        <v>44136</v>
      </c>
      <c r="C710">
        <v>2020</v>
      </c>
      <c r="D710">
        <v>11</v>
      </c>
      <c r="E710" s="2" t="s">
        <v>177</v>
      </c>
      <c r="F710" s="2" t="s">
        <v>178</v>
      </c>
      <c r="G710" s="2" t="s">
        <v>21</v>
      </c>
      <c r="H710" s="2" t="s">
        <v>22</v>
      </c>
      <c r="I710" s="2" t="s">
        <v>23</v>
      </c>
      <c r="J710" s="2" t="s">
        <v>24</v>
      </c>
      <c r="K710">
        <v>3391.14</v>
      </c>
      <c r="L710">
        <v>276458.90999999997</v>
      </c>
      <c r="M710">
        <v>8152.39</v>
      </c>
      <c r="N710" s="2" t="s">
        <v>179</v>
      </c>
      <c r="O710" s="2" t="s">
        <v>180</v>
      </c>
      <c r="P710" s="2" t="s">
        <v>1569</v>
      </c>
      <c r="Q710" s="2" t="s">
        <v>1570</v>
      </c>
      <c r="R710" s="2" t="s">
        <v>29</v>
      </c>
      <c r="S710" s="2" t="s">
        <v>30</v>
      </c>
    </row>
    <row r="711" spans="1:19">
      <c r="A711" s="1">
        <v>44136</v>
      </c>
      <c r="B711" s="1">
        <v>44136</v>
      </c>
      <c r="C711">
        <v>2020</v>
      </c>
      <c r="D711">
        <v>11</v>
      </c>
      <c r="E711" s="2" t="s">
        <v>183</v>
      </c>
      <c r="F711" s="2" t="s">
        <v>184</v>
      </c>
      <c r="G711" s="2" t="s">
        <v>185</v>
      </c>
      <c r="H711" s="2" t="s">
        <v>22</v>
      </c>
      <c r="I711" s="2" t="s">
        <v>186</v>
      </c>
      <c r="J711" s="2" t="s">
        <v>24</v>
      </c>
      <c r="K711">
        <v>2411.29</v>
      </c>
      <c r="L711">
        <v>2090471.32</v>
      </c>
      <c r="M711">
        <v>86695.14</v>
      </c>
      <c r="N711" s="2" t="s">
        <v>187</v>
      </c>
      <c r="O711" s="2" t="s">
        <v>188</v>
      </c>
      <c r="P711" s="2" t="s">
        <v>1571</v>
      </c>
      <c r="Q711" s="2" t="s">
        <v>1572</v>
      </c>
      <c r="R711" s="2" t="s">
        <v>29</v>
      </c>
      <c r="S711" s="2" t="s">
        <v>30</v>
      </c>
    </row>
    <row r="712" spans="1:19">
      <c r="A712" s="1">
        <v>44136</v>
      </c>
      <c r="B712" s="1">
        <v>44136</v>
      </c>
      <c r="C712">
        <v>2020</v>
      </c>
      <c r="D712">
        <v>11</v>
      </c>
      <c r="E712" s="2" t="s">
        <v>191</v>
      </c>
      <c r="F712" s="2" t="s">
        <v>192</v>
      </c>
      <c r="G712" s="2" t="s">
        <v>185</v>
      </c>
      <c r="H712" s="2" t="s">
        <v>22</v>
      </c>
      <c r="I712" s="2" t="s">
        <v>186</v>
      </c>
      <c r="J712" s="2" t="s">
        <v>24</v>
      </c>
      <c r="K712">
        <v>707.08</v>
      </c>
      <c r="L712">
        <v>3543435.61</v>
      </c>
      <c r="M712">
        <v>501136.45</v>
      </c>
      <c r="N712" s="2" t="s">
        <v>193</v>
      </c>
      <c r="O712" s="2" t="s">
        <v>194</v>
      </c>
      <c r="P712" s="2" t="s">
        <v>1573</v>
      </c>
      <c r="Q712" s="2" t="s">
        <v>1574</v>
      </c>
      <c r="R712" s="2" t="s">
        <v>29</v>
      </c>
      <c r="S712" s="2" t="s">
        <v>30</v>
      </c>
    </row>
    <row r="713" spans="1:19">
      <c r="A713" s="1">
        <v>44136</v>
      </c>
      <c r="B713" s="1">
        <v>44136</v>
      </c>
      <c r="C713">
        <v>2020</v>
      </c>
      <c r="D713">
        <v>11</v>
      </c>
      <c r="E713" s="2" t="s">
        <v>197</v>
      </c>
      <c r="F713" s="2" t="s">
        <v>198</v>
      </c>
      <c r="G713" s="2" t="s">
        <v>185</v>
      </c>
      <c r="H713" s="2" t="s">
        <v>22</v>
      </c>
      <c r="I713" s="2" t="s">
        <v>186</v>
      </c>
      <c r="J713" s="2" t="s">
        <v>59</v>
      </c>
      <c r="K713">
        <v>3118.37</v>
      </c>
      <c r="L713">
        <v>5633906.9299999997</v>
      </c>
      <c r="M713">
        <v>180668.33</v>
      </c>
      <c r="N713" s="2" t="s">
        <v>199</v>
      </c>
      <c r="O713" s="2" t="s">
        <v>200</v>
      </c>
      <c r="P713" s="2" t="s">
        <v>1575</v>
      </c>
      <c r="Q713" s="2" t="s">
        <v>1576</v>
      </c>
      <c r="R713" s="2" t="s">
        <v>29</v>
      </c>
      <c r="S713" s="2" t="s">
        <v>30</v>
      </c>
    </row>
    <row r="714" spans="1:19">
      <c r="A714" s="1">
        <v>44136</v>
      </c>
      <c r="B714" s="1">
        <v>44136</v>
      </c>
      <c r="C714">
        <v>2020</v>
      </c>
      <c r="D714">
        <v>11</v>
      </c>
      <c r="E714" s="2" t="s">
        <v>203</v>
      </c>
      <c r="F714" s="2" t="s">
        <v>204</v>
      </c>
      <c r="G714" s="2" t="s">
        <v>39</v>
      </c>
      <c r="H714" s="2" t="s">
        <v>22</v>
      </c>
      <c r="I714" s="2" t="s">
        <v>40</v>
      </c>
      <c r="J714" s="2" t="s">
        <v>24</v>
      </c>
      <c r="K714">
        <v>684.78</v>
      </c>
      <c r="L714">
        <v>18820.41</v>
      </c>
      <c r="M714">
        <v>2748.39</v>
      </c>
      <c r="N714" s="2" t="s">
        <v>205</v>
      </c>
      <c r="O714" s="2" t="s">
        <v>206</v>
      </c>
      <c r="P714" s="2" t="s">
        <v>1577</v>
      </c>
      <c r="Q714" s="2" t="s">
        <v>1578</v>
      </c>
      <c r="R714" s="2" t="s">
        <v>29</v>
      </c>
      <c r="S714" s="2" t="s">
        <v>30</v>
      </c>
    </row>
    <row r="715" spans="1:19">
      <c r="A715" s="1">
        <v>44136</v>
      </c>
      <c r="B715" s="1">
        <v>44136</v>
      </c>
      <c r="C715">
        <v>2020</v>
      </c>
      <c r="D715">
        <v>11</v>
      </c>
      <c r="E715" s="2" t="s">
        <v>209</v>
      </c>
      <c r="F715" s="2" t="s">
        <v>210</v>
      </c>
      <c r="G715" s="2" t="s">
        <v>39</v>
      </c>
      <c r="H715" s="2" t="s">
        <v>22</v>
      </c>
      <c r="I715" s="2" t="s">
        <v>40</v>
      </c>
      <c r="J715" s="2" t="s">
        <v>59</v>
      </c>
      <c r="K715">
        <v>684.78</v>
      </c>
      <c r="L715">
        <v>18820.41</v>
      </c>
      <c r="M715">
        <v>2748.39</v>
      </c>
      <c r="N715" s="2" t="s">
        <v>211</v>
      </c>
      <c r="O715" s="2" t="s">
        <v>212</v>
      </c>
      <c r="P715" s="2" t="s">
        <v>1577</v>
      </c>
      <c r="Q715" s="2" t="s">
        <v>1578</v>
      </c>
      <c r="R715" s="2" t="s">
        <v>29</v>
      </c>
      <c r="S715" s="2" t="s">
        <v>30</v>
      </c>
    </row>
    <row r="716" spans="1:19">
      <c r="A716" s="1">
        <v>44136</v>
      </c>
      <c r="B716" s="1">
        <v>44136</v>
      </c>
      <c r="C716">
        <v>2020</v>
      </c>
      <c r="D716">
        <v>11</v>
      </c>
      <c r="E716" s="2" t="s">
        <v>213</v>
      </c>
      <c r="F716" s="2" t="s">
        <v>214</v>
      </c>
      <c r="G716" s="2" t="s">
        <v>185</v>
      </c>
      <c r="H716" s="2" t="s">
        <v>22</v>
      </c>
      <c r="I716" s="2" t="s">
        <v>215</v>
      </c>
      <c r="J716" s="2" t="s">
        <v>24</v>
      </c>
      <c r="K716">
        <v>22096.79</v>
      </c>
      <c r="L716">
        <v>656945.34</v>
      </c>
      <c r="M716">
        <v>2973.04</v>
      </c>
      <c r="N716" s="2" t="s">
        <v>216</v>
      </c>
      <c r="O716" s="2" t="s">
        <v>217</v>
      </c>
      <c r="P716" s="2" t="s">
        <v>1579</v>
      </c>
      <c r="Q716" s="2" t="s">
        <v>1580</v>
      </c>
      <c r="R716" s="2" t="s">
        <v>29</v>
      </c>
      <c r="S716" s="2" t="s">
        <v>30</v>
      </c>
    </row>
    <row r="717" spans="1:19">
      <c r="A717" s="1">
        <v>44136</v>
      </c>
      <c r="B717" s="1">
        <v>44136</v>
      </c>
      <c r="C717">
        <v>2020</v>
      </c>
      <c r="D717">
        <v>11</v>
      </c>
      <c r="E717" s="2" t="s">
        <v>220</v>
      </c>
      <c r="F717" s="2" t="s">
        <v>221</v>
      </c>
      <c r="G717" s="2" t="s">
        <v>185</v>
      </c>
      <c r="H717" s="2" t="s">
        <v>22</v>
      </c>
      <c r="I717" s="2" t="s">
        <v>215</v>
      </c>
      <c r="J717" s="2" t="s">
        <v>24</v>
      </c>
      <c r="K717">
        <v>2191.98</v>
      </c>
      <c r="L717">
        <v>165155.01999999999</v>
      </c>
      <c r="M717">
        <v>7534.51</v>
      </c>
      <c r="N717" s="2" t="s">
        <v>222</v>
      </c>
      <c r="O717" s="2" t="s">
        <v>223</v>
      </c>
      <c r="P717" s="2" t="s">
        <v>1581</v>
      </c>
      <c r="Q717" s="2" t="s">
        <v>1582</v>
      </c>
      <c r="R717" s="2" t="s">
        <v>29</v>
      </c>
      <c r="S717" s="2" t="s">
        <v>30</v>
      </c>
    </row>
    <row r="718" spans="1:19">
      <c r="A718" s="1">
        <v>44136</v>
      </c>
      <c r="B718" s="1">
        <v>44136</v>
      </c>
      <c r="C718">
        <v>2020</v>
      </c>
      <c r="D718">
        <v>11</v>
      </c>
      <c r="E718" s="2" t="s">
        <v>226</v>
      </c>
      <c r="F718" s="2" t="s">
        <v>227</v>
      </c>
      <c r="G718" s="2" t="s">
        <v>185</v>
      </c>
      <c r="H718" s="2" t="s">
        <v>22</v>
      </c>
      <c r="I718" s="2" t="s">
        <v>215</v>
      </c>
      <c r="J718" s="2" t="s">
        <v>59</v>
      </c>
      <c r="K718">
        <v>24288.77</v>
      </c>
      <c r="L718">
        <v>822100.36</v>
      </c>
      <c r="M718">
        <v>3384.69</v>
      </c>
      <c r="N718" s="2" t="s">
        <v>228</v>
      </c>
      <c r="O718" s="2" t="s">
        <v>229</v>
      </c>
      <c r="P718" s="2" t="s">
        <v>1583</v>
      </c>
      <c r="Q718" s="2" t="s">
        <v>1584</v>
      </c>
      <c r="R718" s="2" t="s">
        <v>29</v>
      </c>
      <c r="S718" s="2" t="s">
        <v>30</v>
      </c>
    </row>
    <row r="719" spans="1:19">
      <c r="A719" s="1">
        <v>44136</v>
      </c>
      <c r="B719" s="1">
        <v>44136</v>
      </c>
      <c r="C719">
        <v>2020</v>
      </c>
      <c r="D719">
        <v>11</v>
      </c>
      <c r="E719" s="2" t="s">
        <v>232</v>
      </c>
      <c r="F719" s="2" t="s">
        <v>233</v>
      </c>
      <c r="G719" s="2" t="s">
        <v>21</v>
      </c>
      <c r="H719" s="2" t="s">
        <v>22</v>
      </c>
      <c r="I719" s="2" t="s">
        <v>23</v>
      </c>
      <c r="J719" s="2" t="s">
        <v>24</v>
      </c>
      <c r="K719">
        <v>1114.3900000000001</v>
      </c>
      <c r="L719">
        <v>96126.82</v>
      </c>
      <c r="M719">
        <v>8625.9599999999991</v>
      </c>
      <c r="N719" s="2" t="s">
        <v>234</v>
      </c>
      <c r="O719" s="2" t="s">
        <v>235</v>
      </c>
      <c r="P719" s="2" t="s">
        <v>1585</v>
      </c>
      <c r="Q719" s="2" t="s">
        <v>1586</v>
      </c>
      <c r="R719" s="2" t="s">
        <v>29</v>
      </c>
      <c r="S719" s="2" t="s">
        <v>30</v>
      </c>
    </row>
    <row r="720" spans="1:19">
      <c r="A720" s="1">
        <v>44136</v>
      </c>
      <c r="B720" s="1">
        <v>44136</v>
      </c>
      <c r="C720">
        <v>2020</v>
      </c>
      <c r="D720">
        <v>11</v>
      </c>
      <c r="E720" s="2" t="s">
        <v>238</v>
      </c>
      <c r="F720" s="2" t="s">
        <v>239</v>
      </c>
      <c r="G720" s="2" t="s">
        <v>21</v>
      </c>
      <c r="H720" s="2" t="s">
        <v>22</v>
      </c>
      <c r="I720" s="2" t="s">
        <v>66</v>
      </c>
      <c r="J720" s="2" t="s">
        <v>24</v>
      </c>
      <c r="K720">
        <v>869.63</v>
      </c>
      <c r="L720">
        <v>78432.58</v>
      </c>
      <c r="M720">
        <v>9019.07</v>
      </c>
      <c r="N720" s="2" t="s">
        <v>240</v>
      </c>
      <c r="O720" s="2" t="s">
        <v>241</v>
      </c>
      <c r="P720" s="2" t="s">
        <v>1587</v>
      </c>
      <c r="Q720" s="2" t="s">
        <v>1588</v>
      </c>
      <c r="R720" s="2" t="s">
        <v>29</v>
      </c>
      <c r="S720" s="2" t="s">
        <v>30</v>
      </c>
    </row>
    <row r="721" spans="1:19">
      <c r="A721" s="1">
        <v>44136</v>
      </c>
      <c r="B721" s="1">
        <v>44136</v>
      </c>
      <c r="C721">
        <v>2020</v>
      </c>
      <c r="D721">
        <v>11</v>
      </c>
      <c r="E721" s="2" t="s">
        <v>244</v>
      </c>
      <c r="F721" s="2" t="s">
        <v>245</v>
      </c>
      <c r="G721" s="2" t="s">
        <v>21</v>
      </c>
      <c r="H721" s="2" t="s">
        <v>22</v>
      </c>
      <c r="I721" s="2" t="s">
        <v>23</v>
      </c>
      <c r="J721" s="2" t="s">
        <v>24</v>
      </c>
      <c r="K721">
        <v>2734.1</v>
      </c>
      <c r="L721">
        <v>2218252.4900000002</v>
      </c>
      <c r="M721">
        <v>81132.820000000007</v>
      </c>
      <c r="N721" s="2" t="s">
        <v>246</v>
      </c>
      <c r="O721" s="2" t="s">
        <v>247</v>
      </c>
      <c r="P721" s="2" t="s">
        <v>1589</v>
      </c>
      <c r="Q721" s="2" t="s">
        <v>1590</v>
      </c>
      <c r="R721" s="2" t="s">
        <v>29</v>
      </c>
      <c r="S721" s="2" t="s">
        <v>30</v>
      </c>
    </row>
    <row r="722" spans="1:19">
      <c r="A722" s="1">
        <v>44136</v>
      </c>
      <c r="B722" s="1">
        <v>44136</v>
      </c>
      <c r="C722">
        <v>2020</v>
      </c>
      <c r="D722">
        <v>11</v>
      </c>
      <c r="E722" s="2" t="s">
        <v>250</v>
      </c>
      <c r="F722" s="2" t="s">
        <v>251</v>
      </c>
      <c r="G722" s="2" t="s">
        <v>21</v>
      </c>
      <c r="H722" s="2" t="s">
        <v>22</v>
      </c>
      <c r="I722" s="2" t="s">
        <v>66</v>
      </c>
      <c r="J722" s="2" t="s">
        <v>24</v>
      </c>
      <c r="K722">
        <v>65.22</v>
      </c>
      <c r="L722">
        <v>95.68</v>
      </c>
      <c r="M722">
        <v>146.69999999999999</v>
      </c>
      <c r="N722" s="2" t="s">
        <v>252</v>
      </c>
      <c r="O722" s="2" t="s">
        <v>253</v>
      </c>
      <c r="P722" s="2" t="s">
        <v>1591</v>
      </c>
      <c r="Q722" s="2" t="s">
        <v>1592</v>
      </c>
      <c r="R722" s="2" t="s">
        <v>29</v>
      </c>
      <c r="S722" s="2" t="s">
        <v>30</v>
      </c>
    </row>
    <row r="723" spans="1:19">
      <c r="A723" s="1">
        <v>44136</v>
      </c>
      <c r="B723" s="1">
        <v>44136</v>
      </c>
      <c r="C723">
        <v>2020</v>
      </c>
      <c r="D723">
        <v>11</v>
      </c>
      <c r="E723" s="2" t="s">
        <v>256</v>
      </c>
      <c r="F723" s="2" t="s">
        <v>257</v>
      </c>
      <c r="G723" s="2" t="s">
        <v>21</v>
      </c>
      <c r="H723" s="2" t="s">
        <v>22</v>
      </c>
      <c r="I723" s="2" t="s">
        <v>258</v>
      </c>
      <c r="J723" s="2" t="s">
        <v>24</v>
      </c>
      <c r="K723">
        <v>596.35</v>
      </c>
      <c r="L723">
        <v>494300.42</v>
      </c>
      <c r="M723">
        <v>82887.64</v>
      </c>
      <c r="N723" s="2" t="s">
        <v>259</v>
      </c>
      <c r="O723" s="2" t="s">
        <v>260</v>
      </c>
      <c r="P723" s="2" t="s">
        <v>1593</v>
      </c>
      <c r="Q723" s="2" t="s">
        <v>1594</v>
      </c>
      <c r="R723" s="2" t="s">
        <v>29</v>
      </c>
      <c r="S723" s="2" t="s">
        <v>30</v>
      </c>
    </row>
    <row r="724" spans="1:19">
      <c r="A724" s="1">
        <v>44136</v>
      </c>
      <c r="B724" s="1">
        <v>44136</v>
      </c>
      <c r="C724">
        <v>2020</v>
      </c>
      <c r="D724">
        <v>11</v>
      </c>
      <c r="E724" s="2" t="s">
        <v>263</v>
      </c>
      <c r="F724" s="2" t="s">
        <v>264</v>
      </c>
      <c r="G724" s="2" t="s">
        <v>21</v>
      </c>
      <c r="H724" s="2" t="s">
        <v>22</v>
      </c>
      <c r="I724" s="2" t="s">
        <v>258</v>
      </c>
      <c r="J724" s="2" t="s">
        <v>24</v>
      </c>
      <c r="K724">
        <v>0</v>
      </c>
      <c r="L724">
        <v>0</v>
      </c>
      <c r="N724" s="2" t="s">
        <v>265</v>
      </c>
      <c r="O724" s="2" t="s">
        <v>266</v>
      </c>
      <c r="P724" s="2" t="s">
        <v>639</v>
      </c>
      <c r="Q724" s="2" t="s">
        <v>639</v>
      </c>
      <c r="R724" s="2" t="s">
        <v>29</v>
      </c>
      <c r="S724" s="2" t="s">
        <v>30</v>
      </c>
    </row>
    <row r="725" spans="1:19">
      <c r="A725" s="1">
        <v>44136</v>
      </c>
      <c r="B725" s="1">
        <v>44136</v>
      </c>
      <c r="C725">
        <v>2020</v>
      </c>
      <c r="D725">
        <v>11</v>
      </c>
      <c r="E725" s="2" t="s">
        <v>269</v>
      </c>
      <c r="F725" s="2" t="s">
        <v>270</v>
      </c>
      <c r="G725" s="2" t="s">
        <v>21</v>
      </c>
      <c r="H725" s="2" t="s">
        <v>22</v>
      </c>
      <c r="I725" s="2" t="s">
        <v>258</v>
      </c>
      <c r="J725" s="2" t="s">
        <v>59</v>
      </c>
      <c r="K725">
        <v>596.35</v>
      </c>
      <c r="L725">
        <v>494300.42</v>
      </c>
      <c r="M725">
        <v>82887.64</v>
      </c>
      <c r="N725" s="2" t="s">
        <v>271</v>
      </c>
      <c r="O725" s="2" t="s">
        <v>272</v>
      </c>
      <c r="P725" s="2" t="s">
        <v>1593</v>
      </c>
      <c r="Q725" s="2" t="s">
        <v>1594</v>
      </c>
      <c r="R725" s="2" t="s">
        <v>29</v>
      </c>
      <c r="S725" s="2" t="s">
        <v>30</v>
      </c>
    </row>
    <row r="726" spans="1:19">
      <c r="A726" s="1">
        <v>44136</v>
      </c>
      <c r="B726" s="1">
        <v>44136</v>
      </c>
      <c r="C726">
        <v>2020</v>
      </c>
      <c r="D726">
        <v>11</v>
      </c>
      <c r="E726" s="2" t="s">
        <v>275</v>
      </c>
      <c r="F726" s="2" t="s">
        <v>276</v>
      </c>
      <c r="G726" s="2" t="s">
        <v>39</v>
      </c>
      <c r="H726" s="2" t="s">
        <v>22</v>
      </c>
      <c r="I726" s="2" t="s">
        <v>40</v>
      </c>
      <c r="J726" s="2" t="s">
        <v>24</v>
      </c>
      <c r="K726">
        <v>32.33</v>
      </c>
      <c r="L726">
        <v>136.66</v>
      </c>
      <c r="M726">
        <v>422.7</v>
      </c>
      <c r="N726" s="2" t="s">
        <v>277</v>
      </c>
      <c r="O726" s="2" t="s">
        <v>278</v>
      </c>
      <c r="P726" s="2" t="s">
        <v>1595</v>
      </c>
      <c r="Q726" s="2" t="s">
        <v>1596</v>
      </c>
      <c r="R726" s="2" t="s">
        <v>29</v>
      </c>
      <c r="S726" s="2" t="s">
        <v>30</v>
      </c>
    </row>
    <row r="727" spans="1:19">
      <c r="A727" s="1">
        <v>44136</v>
      </c>
      <c r="B727" s="1">
        <v>44136</v>
      </c>
      <c r="C727">
        <v>2020</v>
      </c>
      <c r="D727">
        <v>11</v>
      </c>
      <c r="E727" s="2" t="s">
        <v>281</v>
      </c>
      <c r="F727" s="2" t="s">
        <v>282</v>
      </c>
      <c r="G727" s="2" t="s">
        <v>39</v>
      </c>
      <c r="H727" s="2" t="s">
        <v>22</v>
      </c>
      <c r="I727" s="2" t="s">
        <v>40</v>
      </c>
      <c r="J727" s="2" t="s">
        <v>24</v>
      </c>
      <c r="K727">
        <v>5.58</v>
      </c>
      <c r="L727">
        <v>5.99</v>
      </c>
      <c r="M727">
        <v>107.35</v>
      </c>
      <c r="N727" s="2" t="s">
        <v>283</v>
      </c>
      <c r="O727" s="2" t="s">
        <v>284</v>
      </c>
      <c r="P727" s="2" t="s">
        <v>1597</v>
      </c>
      <c r="Q727" s="2" t="s">
        <v>1598</v>
      </c>
      <c r="R727" s="2" t="s">
        <v>29</v>
      </c>
      <c r="S727" s="2" t="s">
        <v>30</v>
      </c>
    </row>
    <row r="728" spans="1:19">
      <c r="A728" s="1">
        <v>44136</v>
      </c>
      <c r="B728" s="1">
        <v>44136</v>
      </c>
      <c r="C728">
        <v>2020</v>
      </c>
      <c r="D728">
        <v>11</v>
      </c>
      <c r="E728" s="2" t="s">
        <v>287</v>
      </c>
      <c r="F728" s="2" t="s">
        <v>288</v>
      </c>
      <c r="G728" s="2" t="s">
        <v>39</v>
      </c>
      <c r="H728" s="2" t="s">
        <v>22</v>
      </c>
      <c r="I728" s="2" t="s">
        <v>40</v>
      </c>
      <c r="J728" s="2" t="s">
        <v>59</v>
      </c>
      <c r="K728">
        <v>37.909999999999997</v>
      </c>
      <c r="L728">
        <v>142.65</v>
      </c>
      <c r="M728">
        <v>376.29</v>
      </c>
      <c r="N728" s="2" t="s">
        <v>289</v>
      </c>
      <c r="O728" s="2" t="s">
        <v>290</v>
      </c>
      <c r="P728" s="2" t="s">
        <v>1599</v>
      </c>
      <c r="Q728" s="2" t="s">
        <v>1600</v>
      </c>
      <c r="R728" s="2" t="s">
        <v>29</v>
      </c>
      <c r="S728" s="2" t="s">
        <v>30</v>
      </c>
    </row>
    <row r="729" spans="1:19">
      <c r="A729" s="1">
        <v>44136</v>
      </c>
      <c r="B729" s="1">
        <v>44136</v>
      </c>
      <c r="C729">
        <v>2020</v>
      </c>
      <c r="D729">
        <v>11</v>
      </c>
      <c r="E729" s="2" t="s">
        <v>293</v>
      </c>
      <c r="F729" s="2" t="s">
        <v>294</v>
      </c>
      <c r="G729" s="2" t="s">
        <v>21</v>
      </c>
      <c r="H729" s="2" t="s">
        <v>22</v>
      </c>
      <c r="I729" s="2" t="s">
        <v>295</v>
      </c>
      <c r="J729" s="2" t="s">
        <v>24</v>
      </c>
      <c r="K729">
        <v>733.57</v>
      </c>
      <c r="L729">
        <v>2876.63</v>
      </c>
      <c r="M729">
        <v>392.14</v>
      </c>
      <c r="N729" s="2" t="s">
        <v>296</v>
      </c>
      <c r="O729" s="2" t="s">
        <v>297</v>
      </c>
      <c r="P729" s="2" t="s">
        <v>1601</v>
      </c>
      <c r="Q729" s="2" t="s">
        <v>1602</v>
      </c>
      <c r="R729" s="2" t="s">
        <v>29</v>
      </c>
      <c r="S729" s="2" t="s">
        <v>30</v>
      </c>
    </row>
    <row r="730" spans="1:19">
      <c r="A730" s="1">
        <v>44136</v>
      </c>
      <c r="B730" s="1">
        <v>44136</v>
      </c>
      <c r="C730">
        <v>2020</v>
      </c>
      <c r="D730">
        <v>11</v>
      </c>
      <c r="E730" s="2" t="s">
        <v>300</v>
      </c>
      <c r="F730" s="2" t="s">
        <v>301</v>
      </c>
      <c r="G730" s="2" t="s">
        <v>21</v>
      </c>
      <c r="H730" s="2" t="s">
        <v>22</v>
      </c>
      <c r="I730" s="2" t="s">
        <v>295</v>
      </c>
      <c r="J730" s="2" t="s">
        <v>24</v>
      </c>
      <c r="K730">
        <v>39.700000000000003</v>
      </c>
      <c r="L730">
        <v>1114.03</v>
      </c>
      <c r="M730">
        <v>2806.12</v>
      </c>
      <c r="N730" s="2" t="s">
        <v>302</v>
      </c>
      <c r="O730" s="2" t="s">
        <v>303</v>
      </c>
      <c r="P730" s="2" t="s">
        <v>1603</v>
      </c>
      <c r="Q730" s="2" t="s">
        <v>1604</v>
      </c>
      <c r="R730" s="2" t="s">
        <v>29</v>
      </c>
      <c r="S730" s="2" t="s">
        <v>30</v>
      </c>
    </row>
    <row r="731" spans="1:19">
      <c r="A731" s="1">
        <v>44136</v>
      </c>
      <c r="B731" s="1">
        <v>44136</v>
      </c>
      <c r="C731">
        <v>2020</v>
      </c>
      <c r="D731">
        <v>11</v>
      </c>
      <c r="E731" s="2" t="s">
        <v>306</v>
      </c>
      <c r="F731" s="2" t="s">
        <v>307</v>
      </c>
      <c r="G731" s="2" t="s">
        <v>21</v>
      </c>
      <c r="H731" s="2" t="s">
        <v>22</v>
      </c>
      <c r="I731" s="2" t="s">
        <v>295</v>
      </c>
      <c r="J731" s="2" t="s">
        <v>101</v>
      </c>
      <c r="K731">
        <v>773.27</v>
      </c>
      <c r="L731">
        <v>3990.66</v>
      </c>
      <c r="M731">
        <v>516.08000000000004</v>
      </c>
      <c r="N731" s="2" t="s">
        <v>308</v>
      </c>
      <c r="O731" s="2" t="s">
        <v>309</v>
      </c>
      <c r="P731" s="2" t="s">
        <v>1605</v>
      </c>
      <c r="Q731" s="2" t="s">
        <v>1606</v>
      </c>
      <c r="R731" s="2" t="s">
        <v>29</v>
      </c>
      <c r="S731" s="2" t="s">
        <v>30</v>
      </c>
    </row>
    <row r="732" spans="1:19">
      <c r="A732" s="1">
        <v>44136</v>
      </c>
      <c r="B732" s="1">
        <v>44136</v>
      </c>
      <c r="C732">
        <v>2020</v>
      </c>
      <c r="D732">
        <v>11</v>
      </c>
      <c r="E732" s="2" t="s">
        <v>312</v>
      </c>
      <c r="F732" s="2" t="s">
        <v>313</v>
      </c>
      <c r="G732" s="2" t="s">
        <v>21</v>
      </c>
      <c r="H732" s="2" t="s">
        <v>22</v>
      </c>
      <c r="I732" s="2" t="s">
        <v>295</v>
      </c>
      <c r="J732" s="2" t="s">
        <v>59</v>
      </c>
      <c r="K732">
        <v>4194.1000000000004</v>
      </c>
      <c r="L732">
        <v>16811.099999999999</v>
      </c>
      <c r="M732">
        <v>400.83</v>
      </c>
      <c r="N732" s="2" t="s">
        <v>314</v>
      </c>
      <c r="O732" s="2" t="s">
        <v>315</v>
      </c>
      <c r="P732" s="2" t="s">
        <v>1607</v>
      </c>
      <c r="Q732" s="2" t="s">
        <v>1608</v>
      </c>
      <c r="R732" s="2" t="s">
        <v>29</v>
      </c>
      <c r="S732" s="2" t="s">
        <v>30</v>
      </c>
    </row>
    <row r="733" spans="1:19">
      <c r="A733" s="1">
        <v>44136</v>
      </c>
      <c r="B733" s="1">
        <v>44136</v>
      </c>
      <c r="C733">
        <v>2020</v>
      </c>
      <c r="D733">
        <v>11</v>
      </c>
      <c r="E733" s="2" t="s">
        <v>318</v>
      </c>
      <c r="F733" s="2" t="s">
        <v>319</v>
      </c>
      <c r="G733" s="2" t="s">
        <v>21</v>
      </c>
      <c r="H733" s="2" t="s">
        <v>22</v>
      </c>
      <c r="I733" s="2" t="s">
        <v>295</v>
      </c>
      <c r="J733" s="2" t="s">
        <v>24</v>
      </c>
      <c r="K733">
        <v>3420.83</v>
      </c>
      <c r="L733">
        <v>12820.43</v>
      </c>
      <c r="M733">
        <v>374.78</v>
      </c>
      <c r="N733" s="2" t="s">
        <v>320</v>
      </c>
      <c r="O733" s="2" t="s">
        <v>321</v>
      </c>
      <c r="P733" s="2" t="s">
        <v>1609</v>
      </c>
      <c r="Q733" s="2" t="s">
        <v>1610</v>
      </c>
      <c r="R733" s="2" t="s">
        <v>29</v>
      </c>
      <c r="S733" s="2" t="s">
        <v>30</v>
      </c>
    </row>
    <row r="734" spans="1:19">
      <c r="A734" s="1">
        <v>44136</v>
      </c>
      <c r="B734" s="1">
        <v>44136</v>
      </c>
      <c r="C734">
        <v>2020</v>
      </c>
      <c r="D734">
        <v>11</v>
      </c>
      <c r="E734" s="2" t="s">
        <v>324</v>
      </c>
      <c r="F734" s="2" t="s">
        <v>325</v>
      </c>
      <c r="G734" s="2" t="s">
        <v>21</v>
      </c>
      <c r="H734" s="2" t="s">
        <v>22</v>
      </c>
      <c r="I734" s="2" t="s">
        <v>23</v>
      </c>
      <c r="J734" s="2" t="s">
        <v>59</v>
      </c>
      <c r="K734">
        <v>30270.13</v>
      </c>
      <c r="L734">
        <v>2986291.7</v>
      </c>
      <c r="M734">
        <v>9865.4699999999993</v>
      </c>
      <c r="N734" s="2" t="s">
        <v>326</v>
      </c>
      <c r="O734" s="2" t="s">
        <v>327</v>
      </c>
      <c r="P734" s="2" t="s">
        <v>1611</v>
      </c>
      <c r="Q734" s="2" t="s">
        <v>1612</v>
      </c>
      <c r="R734" s="2" t="s">
        <v>29</v>
      </c>
      <c r="S734" s="2" t="s">
        <v>30</v>
      </c>
    </row>
    <row r="735" spans="1:19">
      <c r="A735" s="1">
        <v>44136</v>
      </c>
      <c r="B735" s="1">
        <v>44136</v>
      </c>
      <c r="C735">
        <v>2020</v>
      </c>
      <c r="D735">
        <v>11</v>
      </c>
      <c r="E735" s="2" t="s">
        <v>330</v>
      </c>
      <c r="F735" s="2" t="s">
        <v>331</v>
      </c>
      <c r="G735" s="2" t="s">
        <v>21</v>
      </c>
      <c r="H735" s="2" t="s">
        <v>332</v>
      </c>
      <c r="I735" s="2" t="s">
        <v>333</v>
      </c>
      <c r="J735" s="2" t="s">
        <v>24</v>
      </c>
      <c r="K735">
        <v>136.13</v>
      </c>
      <c r="L735">
        <v>6802206.4100000001</v>
      </c>
      <c r="M735">
        <v>4996845.96</v>
      </c>
      <c r="N735" s="2" t="s">
        <v>334</v>
      </c>
      <c r="O735" s="2" t="s">
        <v>335</v>
      </c>
      <c r="P735" s="2" t="s">
        <v>1613</v>
      </c>
      <c r="Q735" s="2" t="s">
        <v>1614</v>
      </c>
      <c r="R735" s="2" t="s">
        <v>29</v>
      </c>
      <c r="S735" s="2" t="s">
        <v>30</v>
      </c>
    </row>
    <row r="736" spans="1:19">
      <c r="A736" s="1">
        <v>44136</v>
      </c>
      <c r="B736" s="1">
        <v>44136</v>
      </c>
      <c r="C736">
        <v>2020</v>
      </c>
      <c r="D736">
        <v>11</v>
      </c>
      <c r="E736" s="2" t="s">
        <v>338</v>
      </c>
      <c r="F736" s="2" t="s">
        <v>339</v>
      </c>
      <c r="G736" s="2" t="s">
        <v>21</v>
      </c>
      <c r="H736" s="2" t="s">
        <v>332</v>
      </c>
      <c r="I736" s="2" t="s">
        <v>333</v>
      </c>
      <c r="J736" s="2" t="s">
        <v>24</v>
      </c>
      <c r="K736">
        <v>1.67</v>
      </c>
      <c r="L736">
        <v>1185449.04</v>
      </c>
      <c r="M736">
        <v>70984972.459999993</v>
      </c>
      <c r="N736" s="2" t="s">
        <v>340</v>
      </c>
      <c r="O736" s="2" t="s">
        <v>341</v>
      </c>
      <c r="P736" s="2" t="s">
        <v>1615</v>
      </c>
      <c r="Q736" s="2" t="s">
        <v>1616</v>
      </c>
      <c r="R736" s="2" t="s">
        <v>29</v>
      </c>
      <c r="S736" s="2" t="s">
        <v>30</v>
      </c>
    </row>
    <row r="737" spans="1:19">
      <c r="A737" s="1">
        <v>44136</v>
      </c>
      <c r="B737" s="1">
        <v>44136</v>
      </c>
      <c r="C737">
        <v>2020</v>
      </c>
      <c r="D737">
        <v>11</v>
      </c>
      <c r="E737" s="2" t="s">
        <v>344</v>
      </c>
      <c r="F737" s="2" t="s">
        <v>345</v>
      </c>
      <c r="G737" s="2" t="s">
        <v>21</v>
      </c>
      <c r="H737" s="2" t="s">
        <v>332</v>
      </c>
      <c r="I737" s="2" t="s">
        <v>333</v>
      </c>
      <c r="J737" s="2" t="s">
        <v>59</v>
      </c>
      <c r="K737">
        <v>137.80000000000001</v>
      </c>
      <c r="L737">
        <v>7987655.4500000002</v>
      </c>
      <c r="M737">
        <v>5796556.9299999997</v>
      </c>
      <c r="N737" s="2" t="s">
        <v>346</v>
      </c>
      <c r="O737" s="2" t="s">
        <v>347</v>
      </c>
      <c r="P737" s="2" t="s">
        <v>1617</v>
      </c>
      <c r="Q737" s="2" t="s">
        <v>1618</v>
      </c>
      <c r="R737" s="2" t="s">
        <v>29</v>
      </c>
      <c r="S737" s="2" t="s">
        <v>30</v>
      </c>
    </row>
    <row r="738" spans="1:19">
      <c r="A738" s="1">
        <v>44136</v>
      </c>
      <c r="B738" s="1">
        <v>44136</v>
      </c>
      <c r="C738">
        <v>2020</v>
      </c>
      <c r="D738">
        <v>11</v>
      </c>
      <c r="E738" s="2" t="s">
        <v>350</v>
      </c>
      <c r="F738" s="2" t="s">
        <v>351</v>
      </c>
      <c r="G738" s="2" t="s">
        <v>21</v>
      </c>
      <c r="H738" s="2" t="s">
        <v>22</v>
      </c>
      <c r="I738" s="2" t="s">
        <v>352</v>
      </c>
      <c r="J738" s="2" t="s">
        <v>353</v>
      </c>
      <c r="K738">
        <v>40974.58</v>
      </c>
      <c r="L738">
        <v>11199705.560000001</v>
      </c>
      <c r="M738">
        <v>27333.3</v>
      </c>
      <c r="N738" s="2" t="s">
        <v>354</v>
      </c>
      <c r="O738" s="2" t="s">
        <v>355</v>
      </c>
      <c r="P738" s="2" t="s">
        <v>1619</v>
      </c>
      <c r="Q738" s="2" t="s">
        <v>1620</v>
      </c>
      <c r="R738" s="2" t="s">
        <v>29</v>
      </c>
      <c r="S738" s="2" t="s">
        <v>30</v>
      </c>
    </row>
    <row r="739" spans="1:19">
      <c r="A739" s="1">
        <v>44136</v>
      </c>
      <c r="B739" s="1">
        <v>44136</v>
      </c>
      <c r="C739">
        <v>2020</v>
      </c>
      <c r="D739">
        <v>11</v>
      </c>
      <c r="E739" s="2" t="s">
        <v>358</v>
      </c>
      <c r="F739" s="2" t="s">
        <v>359</v>
      </c>
      <c r="G739" s="2" t="s">
        <v>21</v>
      </c>
      <c r="H739" s="2" t="s">
        <v>22</v>
      </c>
      <c r="I739" s="2" t="s">
        <v>352</v>
      </c>
      <c r="J739" s="2" t="s">
        <v>353</v>
      </c>
      <c r="K739">
        <v>41570.93</v>
      </c>
      <c r="L739">
        <v>11694005.970000001</v>
      </c>
      <c r="M739">
        <v>28130.25</v>
      </c>
      <c r="N739" s="2" t="s">
        <v>360</v>
      </c>
      <c r="O739" s="2" t="s">
        <v>361</v>
      </c>
      <c r="P739" s="2" t="s">
        <v>1621</v>
      </c>
      <c r="Q739" s="2" t="s">
        <v>1622</v>
      </c>
      <c r="R739" s="2" t="s">
        <v>29</v>
      </c>
      <c r="S739" s="2" t="s">
        <v>30</v>
      </c>
    </row>
    <row r="740" spans="1:19">
      <c r="A740" s="1">
        <v>44136</v>
      </c>
      <c r="B740" s="1">
        <v>44136</v>
      </c>
      <c r="C740">
        <v>2020</v>
      </c>
      <c r="D740">
        <v>11</v>
      </c>
      <c r="E740" s="2" t="s">
        <v>364</v>
      </c>
      <c r="F740" s="2" t="s">
        <v>365</v>
      </c>
      <c r="G740" s="2" t="s">
        <v>21</v>
      </c>
      <c r="H740" s="2" t="s">
        <v>22</v>
      </c>
      <c r="I740" s="2" t="s">
        <v>352</v>
      </c>
      <c r="J740" s="2" t="s">
        <v>353</v>
      </c>
      <c r="K740">
        <v>41433.129999999997</v>
      </c>
      <c r="L740">
        <v>3706350.52</v>
      </c>
      <c r="M740">
        <v>8945.3799999999992</v>
      </c>
      <c r="N740" s="2" t="s">
        <v>366</v>
      </c>
      <c r="O740" s="2" t="s">
        <v>367</v>
      </c>
      <c r="P740" s="2" t="s">
        <v>1623</v>
      </c>
      <c r="Q740" s="2" t="s">
        <v>1624</v>
      </c>
      <c r="R740" s="2" t="s">
        <v>29</v>
      </c>
      <c r="S740" s="2" t="s">
        <v>30</v>
      </c>
    </row>
    <row r="741" spans="1:19">
      <c r="A741" s="1">
        <v>44136</v>
      </c>
      <c r="B741" s="1">
        <v>44136</v>
      </c>
      <c r="C741">
        <v>2020</v>
      </c>
      <c r="D741">
        <v>11</v>
      </c>
      <c r="E741" s="2" t="s">
        <v>370</v>
      </c>
      <c r="F741" s="2" t="s">
        <v>371</v>
      </c>
      <c r="G741" s="2" t="s">
        <v>21</v>
      </c>
      <c r="H741" s="2" t="s">
        <v>22</v>
      </c>
      <c r="I741" s="2" t="s">
        <v>23</v>
      </c>
      <c r="J741" s="2" t="s">
        <v>24</v>
      </c>
      <c r="K741">
        <v>22102.28</v>
      </c>
      <c r="L741">
        <v>390999.19</v>
      </c>
      <c r="M741">
        <v>1769.04</v>
      </c>
      <c r="N741" s="2" t="s">
        <v>372</v>
      </c>
      <c r="O741" s="2" t="s">
        <v>373</v>
      </c>
      <c r="P741" s="2" t="s">
        <v>1625</v>
      </c>
      <c r="Q741" s="2" t="s">
        <v>1626</v>
      </c>
      <c r="R741" s="2" t="s">
        <v>29</v>
      </c>
      <c r="S741" s="2" t="s">
        <v>30</v>
      </c>
    </row>
    <row r="742" spans="1:19">
      <c r="A742" s="1">
        <v>44136</v>
      </c>
      <c r="B742" s="1">
        <v>44136</v>
      </c>
      <c r="C742">
        <v>2020</v>
      </c>
      <c r="D742">
        <v>11</v>
      </c>
      <c r="E742" s="2" t="s">
        <v>376</v>
      </c>
      <c r="F742" s="2" t="s">
        <v>377</v>
      </c>
      <c r="G742" s="2" t="s">
        <v>21</v>
      </c>
      <c r="H742" s="2" t="s">
        <v>22</v>
      </c>
      <c r="I742" s="2" t="s">
        <v>23</v>
      </c>
      <c r="J742" s="2" t="s">
        <v>378</v>
      </c>
      <c r="K742">
        <v>0.91</v>
      </c>
      <c r="L742">
        <v>15.25</v>
      </c>
      <c r="M742">
        <v>1675.82</v>
      </c>
      <c r="N742" s="2" t="s">
        <v>379</v>
      </c>
      <c r="O742" s="2" t="s">
        <v>380</v>
      </c>
      <c r="P742" s="2" t="s">
        <v>1223</v>
      </c>
      <c r="Q742" s="2" t="s">
        <v>1627</v>
      </c>
      <c r="R742" s="2" t="s">
        <v>29</v>
      </c>
      <c r="S742" s="2" t="s">
        <v>30</v>
      </c>
    </row>
    <row r="743" spans="1:19">
      <c r="A743" s="1">
        <v>44166</v>
      </c>
      <c r="B743" s="1">
        <v>44166</v>
      </c>
      <c r="C743">
        <v>2020</v>
      </c>
      <c r="D743">
        <v>12</v>
      </c>
      <c r="E743" s="2" t="s">
        <v>19</v>
      </c>
      <c r="F743" s="2" t="s">
        <v>20</v>
      </c>
      <c r="G743" s="2" t="s">
        <v>21</v>
      </c>
      <c r="H743" s="2" t="s">
        <v>22</v>
      </c>
      <c r="I743" s="2" t="s">
        <v>23</v>
      </c>
      <c r="J743" s="2" t="s">
        <v>24</v>
      </c>
      <c r="K743">
        <v>1.03</v>
      </c>
      <c r="L743">
        <v>61.11</v>
      </c>
      <c r="M743">
        <v>5933.01</v>
      </c>
      <c r="N743" s="2" t="s">
        <v>25</v>
      </c>
      <c r="O743" s="2" t="s">
        <v>26</v>
      </c>
      <c r="P743" s="2" t="s">
        <v>1628</v>
      </c>
      <c r="Q743" s="2" t="s">
        <v>1629</v>
      </c>
      <c r="R743" s="2" t="s">
        <v>29</v>
      </c>
      <c r="S743" s="2" t="s">
        <v>30</v>
      </c>
    </row>
    <row r="744" spans="1:19">
      <c r="A744" s="1">
        <v>44166</v>
      </c>
      <c r="B744" s="1">
        <v>44166</v>
      </c>
      <c r="C744">
        <v>2020</v>
      </c>
      <c r="D744">
        <v>12</v>
      </c>
      <c r="E744" s="2" t="s">
        <v>31</v>
      </c>
      <c r="F744" s="2" t="s">
        <v>32</v>
      </c>
      <c r="G744" s="2" t="s">
        <v>21</v>
      </c>
      <c r="H744" s="2" t="s">
        <v>22</v>
      </c>
      <c r="I744" s="2" t="s">
        <v>23</v>
      </c>
      <c r="J744" s="2" t="s">
        <v>24</v>
      </c>
      <c r="K744">
        <v>1018.9</v>
      </c>
      <c r="L744">
        <v>8179.5</v>
      </c>
      <c r="M744">
        <v>802.78</v>
      </c>
      <c r="N744" s="2" t="s">
        <v>33</v>
      </c>
      <c r="O744" s="2" t="s">
        <v>34</v>
      </c>
      <c r="P744" s="2" t="s">
        <v>1630</v>
      </c>
      <c r="Q744" s="2" t="s">
        <v>1631</v>
      </c>
      <c r="R744" s="2" t="s">
        <v>29</v>
      </c>
      <c r="S744" s="2" t="s">
        <v>30</v>
      </c>
    </row>
    <row r="745" spans="1:19">
      <c r="A745" s="1">
        <v>44166</v>
      </c>
      <c r="B745" s="1">
        <v>44166</v>
      </c>
      <c r="C745">
        <v>2020</v>
      </c>
      <c r="D745">
        <v>12</v>
      </c>
      <c r="E745" s="2" t="s">
        <v>37</v>
      </c>
      <c r="F745" s="2" t="s">
        <v>38</v>
      </c>
      <c r="G745" s="2" t="s">
        <v>39</v>
      </c>
      <c r="H745" s="2" t="s">
        <v>22</v>
      </c>
      <c r="I745" s="2" t="s">
        <v>40</v>
      </c>
      <c r="J745" s="2" t="s">
        <v>24</v>
      </c>
      <c r="K745">
        <v>5.01</v>
      </c>
      <c r="L745">
        <v>246.31</v>
      </c>
      <c r="M745">
        <v>4916.37</v>
      </c>
      <c r="N745" s="2" t="s">
        <v>41</v>
      </c>
      <c r="O745" s="2" t="s">
        <v>42</v>
      </c>
      <c r="P745" s="2" t="s">
        <v>1632</v>
      </c>
      <c r="Q745" s="2" t="s">
        <v>1633</v>
      </c>
      <c r="R745" s="2" t="s">
        <v>29</v>
      </c>
      <c r="S745" s="2" t="s">
        <v>30</v>
      </c>
    </row>
    <row r="746" spans="1:19">
      <c r="A746" s="1">
        <v>44166</v>
      </c>
      <c r="B746" s="1">
        <v>44166</v>
      </c>
      <c r="C746">
        <v>2020</v>
      </c>
      <c r="D746">
        <v>12</v>
      </c>
      <c r="E746" s="2" t="s">
        <v>45</v>
      </c>
      <c r="F746" s="2" t="s">
        <v>46</v>
      </c>
      <c r="G746" s="2" t="s">
        <v>39</v>
      </c>
      <c r="H746" s="2" t="s">
        <v>22</v>
      </c>
      <c r="I746" s="2" t="s">
        <v>40</v>
      </c>
      <c r="J746" s="2" t="s">
        <v>24</v>
      </c>
      <c r="K746">
        <v>5646.77</v>
      </c>
      <c r="L746">
        <v>265569.02</v>
      </c>
      <c r="M746">
        <v>4703.03</v>
      </c>
      <c r="N746" s="2" t="s">
        <v>47</v>
      </c>
      <c r="O746" s="2" t="s">
        <v>48</v>
      </c>
      <c r="P746" s="2" t="s">
        <v>1634</v>
      </c>
      <c r="Q746" s="2" t="s">
        <v>1635</v>
      </c>
      <c r="R746" s="2" t="s">
        <v>29</v>
      </c>
      <c r="S746" s="2" t="s">
        <v>30</v>
      </c>
    </row>
    <row r="747" spans="1:19">
      <c r="A747" s="1">
        <v>44166</v>
      </c>
      <c r="B747" s="1">
        <v>44166</v>
      </c>
      <c r="C747">
        <v>2020</v>
      </c>
      <c r="D747">
        <v>12</v>
      </c>
      <c r="E747" s="2" t="s">
        <v>51</v>
      </c>
      <c r="F747" s="2" t="s">
        <v>52</v>
      </c>
      <c r="G747" s="2" t="s">
        <v>39</v>
      </c>
      <c r="H747" s="2" t="s">
        <v>22</v>
      </c>
      <c r="I747" s="2" t="s">
        <v>40</v>
      </c>
      <c r="J747" s="2" t="s">
        <v>24</v>
      </c>
      <c r="K747">
        <v>24.51</v>
      </c>
      <c r="L747">
        <v>893.37</v>
      </c>
      <c r="M747">
        <v>3644.92</v>
      </c>
      <c r="N747" s="2" t="s">
        <v>53</v>
      </c>
      <c r="O747" s="2" t="s">
        <v>54</v>
      </c>
      <c r="P747" s="2" t="s">
        <v>1636</v>
      </c>
      <c r="Q747" s="2" t="s">
        <v>1637</v>
      </c>
      <c r="R747" s="2" t="s">
        <v>29</v>
      </c>
      <c r="S747" s="2" t="s">
        <v>30</v>
      </c>
    </row>
    <row r="748" spans="1:19">
      <c r="A748" s="1">
        <v>44166</v>
      </c>
      <c r="B748" s="1">
        <v>44166</v>
      </c>
      <c r="C748">
        <v>2020</v>
      </c>
      <c r="D748">
        <v>12</v>
      </c>
      <c r="E748" s="2" t="s">
        <v>57</v>
      </c>
      <c r="F748" s="2" t="s">
        <v>58</v>
      </c>
      <c r="G748" s="2" t="s">
        <v>39</v>
      </c>
      <c r="H748" s="2" t="s">
        <v>22</v>
      </c>
      <c r="I748" s="2" t="s">
        <v>40</v>
      </c>
      <c r="J748" s="2" t="s">
        <v>59</v>
      </c>
      <c r="K748">
        <v>5676.29</v>
      </c>
      <c r="L748">
        <v>266708.7</v>
      </c>
      <c r="M748">
        <v>4698.6400000000003</v>
      </c>
      <c r="N748" s="2" t="s">
        <v>60</v>
      </c>
      <c r="O748" s="2" t="s">
        <v>61</v>
      </c>
      <c r="P748" s="2" t="s">
        <v>1638</v>
      </c>
      <c r="Q748" s="2" t="s">
        <v>1639</v>
      </c>
      <c r="R748" s="2" t="s">
        <v>29</v>
      </c>
      <c r="S748" s="2" t="s">
        <v>30</v>
      </c>
    </row>
    <row r="749" spans="1:19">
      <c r="A749" s="1">
        <v>44166</v>
      </c>
      <c r="B749" s="1">
        <v>44166</v>
      </c>
      <c r="C749">
        <v>2020</v>
      </c>
      <c r="D749">
        <v>12</v>
      </c>
      <c r="E749" s="2" t="s">
        <v>64</v>
      </c>
      <c r="F749" s="2" t="s">
        <v>65</v>
      </c>
      <c r="G749" s="2" t="s">
        <v>21</v>
      </c>
      <c r="H749" s="2" t="s">
        <v>22</v>
      </c>
      <c r="I749" s="2" t="s">
        <v>66</v>
      </c>
      <c r="J749" s="2" t="s">
        <v>24</v>
      </c>
      <c r="K749">
        <v>8.9</v>
      </c>
      <c r="L749">
        <v>187.3</v>
      </c>
      <c r="M749">
        <v>2104.4899999999998</v>
      </c>
      <c r="N749" s="2" t="s">
        <v>67</v>
      </c>
      <c r="O749" s="2" t="s">
        <v>68</v>
      </c>
      <c r="P749" s="2" t="s">
        <v>1640</v>
      </c>
      <c r="Q749" s="2" t="s">
        <v>1641</v>
      </c>
      <c r="R749" s="2" t="s">
        <v>29</v>
      </c>
      <c r="S749" s="2" t="s">
        <v>30</v>
      </c>
    </row>
    <row r="750" spans="1:19">
      <c r="A750" s="1">
        <v>44166</v>
      </c>
      <c r="B750" s="1">
        <v>44166</v>
      </c>
      <c r="C750">
        <v>2020</v>
      </c>
      <c r="D750">
        <v>12</v>
      </c>
      <c r="E750" s="2" t="s">
        <v>71</v>
      </c>
      <c r="F750" s="2" t="s">
        <v>72</v>
      </c>
      <c r="G750" s="2" t="s">
        <v>21</v>
      </c>
      <c r="H750" s="2" t="s">
        <v>22</v>
      </c>
      <c r="I750" s="2" t="s">
        <v>73</v>
      </c>
      <c r="J750" s="2" t="s">
        <v>59</v>
      </c>
      <c r="K750">
        <v>5502.88</v>
      </c>
      <c r="L750">
        <v>128664.84</v>
      </c>
      <c r="M750">
        <v>2338.14</v>
      </c>
      <c r="N750" s="2" t="s">
        <v>74</v>
      </c>
      <c r="O750" s="2" t="s">
        <v>75</v>
      </c>
      <c r="P750" s="2" t="s">
        <v>1642</v>
      </c>
      <c r="Q750" s="2" t="s">
        <v>1643</v>
      </c>
      <c r="R750" s="2" t="s">
        <v>29</v>
      </c>
      <c r="S750" s="2" t="s">
        <v>30</v>
      </c>
    </row>
    <row r="751" spans="1:19">
      <c r="A751" s="1">
        <v>44166</v>
      </c>
      <c r="B751" s="1">
        <v>44166</v>
      </c>
      <c r="C751">
        <v>2020</v>
      </c>
      <c r="D751">
        <v>12</v>
      </c>
      <c r="E751" s="2" t="s">
        <v>78</v>
      </c>
      <c r="F751" s="2" t="s">
        <v>79</v>
      </c>
      <c r="G751" s="2" t="s">
        <v>80</v>
      </c>
      <c r="H751" s="2" t="s">
        <v>81</v>
      </c>
      <c r="I751" s="2" t="s">
        <v>82</v>
      </c>
      <c r="J751" s="2" t="s">
        <v>24</v>
      </c>
      <c r="K751">
        <v>1.58</v>
      </c>
      <c r="L751">
        <v>4651381.74</v>
      </c>
      <c r="M751">
        <v>294391249.37</v>
      </c>
      <c r="N751" s="2" t="s">
        <v>83</v>
      </c>
      <c r="O751" s="2" t="s">
        <v>84</v>
      </c>
      <c r="P751" s="2" t="s">
        <v>1644</v>
      </c>
      <c r="Q751" s="2" t="s">
        <v>1645</v>
      </c>
      <c r="R751" s="2" t="s">
        <v>29</v>
      </c>
      <c r="S751" s="2" t="s">
        <v>30</v>
      </c>
    </row>
    <row r="752" spans="1:19">
      <c r="A752" s="1">
        <v>44166</v>
      </c>
      <c r="B752" s="1">
        <v>44166</v>
      </c>
      <c r="C752">
        <v>2020</v>
      </c>
      <c r="D752">
        <v>12</v>
      </c>
      <c r="E752" s="2" t="s">
        <v>87</v>
      </c>
      <c r="F752" s="2" t="s">
        <v>88</v>
      </c>
      <c r="G752" s="2" t="s">
        <v>80</v>
      </c>
      <c r="H752" s="2" t="s">
        <v>81</v>
      </c>
      <c r="I752" s="2" t="s">
        <v>82</v>
      </c>
      <c r="J752" s="2" t="s">
        <v>24</v>
      </c>
      <c r="K752">
        <v>0.51</v>
      </c>
      <c r="L752">
        <v>772886.14</v>
      </c>
      <c r="M752">
        <v>151546301.96000001</v>
      </c>
      <c r="N752" s="2" t="s">
        <v>89</v>
      </c>
      <c r="O752" s="2" t="s">
        <v>90</v>
      </c>
      <c r="P752" s="2" t="s">
        <v>1646</v>
      </c>
      <c r="Q752" s="2" t="s">
        <v>1647</v>
      </c>
      <c r="R752" s="2" t="s">
        <v>29</v>
      </c>
      <c r="S752" s="2" t="s">
        <v>30</v>
      </c>
    </row>
    <row r="753" spans="1:19">
      <c r="A753" s="1">
        <v>44166</v>
      </c>
      <c r="B753" s="1">
        <v>44166</v>
      </c>
      <c r="C753">
        <v>2020</v>
      </c>
      <c r="D753">
        <v>12</v>
      </c>
      <c r="E753" s="2" t="s">
        <v>93</v>
      </c>
      <c r="F753" s="2" t="s">
        <v>94</v>
      </c>
      <c r="G753" s="2" t="s">
        <v>80</v>
      </c>
      <c r="H753" s="2" t="s">
        <v>81</v>
      </c>
      <c r="I753" s="2" t="s">
        <v>82</v>
      </c>
      <c r="J753" s="2" t="s">
        <v>24</v>
      </c>
      <c r="K753">
        <v>0.25</v>
      </c>
      <c r="L753">
        <v>4089803.62</v>
      </c>
      <c r="M753">
        <v>1635921448</v>
      </c>
      <c r="N753" s="2" t="s">
        <v>95</v>
      </c>
      <c r="O753" s="2" t="s">
        <v>96</v>
      </c>
      <c r="P753" s="2" t="s">
        <v>876</v>
      </c>
      <c r="Q753" s="2" t="s">
        <v>1648</v>
      </c>
      <c r="R753" s="2" t="s">
        <v>29</v>
      </c>
      <c r="S753" s="2" t="s">
        <v>30</v>
      </c>
    </row>
    <row r="754" spans="1:19">
      <c r="A754" s="1">
        <v>44166</v>
      </c>
      <c r="B754" s="1">
        <v>44166</v>
      </c>
      <c r="C754">
        <v>2020</v>
      </c>
      <c r="D754">
        <v>12</v>
      </c>
      <c r="E754" s="2" t="s">
        <v>99</v>
      </c>
      <c r="F754" s="2" t="s">
        <v>100</v>
      </c>
      <c r="G754" s="2" t="s">
        <v>80</v>
      </c>
      <c r="H754" s="2" t="s">
        <v>81</v>
      </c>
      <c r="I754" s="2" t="s">
        <v>82</v>
      </c>
      <c r="J754" s="2" t="s">
        <v>101</v>
      </c>
      <c r="K754">
        <v>1</v>
      </c>
      <c r="L754">
        <v>10816865.66</v>
      </c>
      <c r="M754">
        <v>1081686566</v>
      </c>
      <c r="N754" s="2" t="s">
        <v>102</v>
      </c>
      <c r="O754" s="2" t="s">
        <v>103</v>
      </c>
      <c r="P754" s="2" t="s">
        <v>899</v>
      </c>
      <c r="Q754" s="2" t="s">
        <v>1649</v>
      </c>
      <c r="R754" s="2" t="s">
        <v>29</v>
      </c>
      <c r="S754" s="2" t="s">
        <v>30</v>
      </c>
    </row>
    <row r="755" spans="1:19">
      <c r="A755" s="1">
        <v>44166</v>
      </c>
      <c r="B755" s="1">
        <v>44166</v>
      </c>
      <c r="C755">
        <v>2020</v>
      </c>
      <c r="D755">
        <v>12</v>
      </c>
      <c r="E755" s="2" t="s">
        <v>106</v>
      </c>
      <c r="F755" s="2" t="s">
        <v>107</v>
      </c>
      <c r="G755" s="2" t="s">
        <v>80</v>
      </c>
      <c r="H755" s="2" t="s">
        <v>81</v>
      </c>
      <c r="I755" s="2" t="s">
        <v>82</v>
      </c>
      <c r="J755" s="2" t="s">
        <v>24</v>
      </c>
      <c r="K755">
        <v>0.24</v>
      </c>
      <c r="L755">
        <v>5954175.9000000004</v>
      </c>
      <c r="M755">
        <v>2480906625</v>
      </c>
      <c r="N755" s="2" t="s">
        <v>108</v>
      </c>
      <c r="O755" s="2" t="s">
        <v>109</v>
      </c>
      <c r="P755" s="2" t="s">
        <v>1650</v>
      </c>
      <c r="Q755" s="2" t="s">
        <v>1651</v>
      </c>
      <c r="R755" s="2" t="s">
        <v>29</v>
      </c>
      <c r="S755" s="2" t="s">
        <v>30</v>
      </c>
    </row>
    <row r="756" spans="1:19">
      <c r="A756" s="1">
        <v>44166</v>
      </c>
      <c r="B756" s="1">
        <v>44166</v>
      </c>
      <c r="C756">
        <v>2020</v>
      </c>
      <c r="D756">
        <v>12</v>
      </c>
      <c r="E756" s="2" t="s">
        <v>111</v>
      </c>
      <c r="F756" s="2" t="s">
        <v>112</v>
      </c>
      <c r="G756" s="2" t="s">
        <v>80</v>
      </c>
      <c r="H756" s="2" t="s">
        <v>81</v>
      </c>
      <c r="I756" s="2" t="s">
        <v>82</v>
      </c>
      <c r="J756" s="2" t="s">
        <v>24</v>
      </c>
      <c r="K756">
        <v>0.04</v>
      </c>
      <c r="L756">
        <v>288785</v>
      </c>
      <c r="M756">
        <v>721962500</v>
      </c>
      <c r="N756" s="2" t="s">
        <v>113</v>
      </c>
      <c r="O756" s="2" t="s">
        <v>114</v>
      </c>
      <c r="P756" s="2" t="s">
        <v>115</v>
      </c>
      <c r="Q756" s="2" t="s">
        <v>1652</v>
      </c>
      <c r="R756" s="2" t="s">
        <v>29</v>
      </c>
      <c r="S756" s="2" t="s">
        <v>30</v>
      </c>
    </row>
    <row r="757" spans="1:19">
      <c r="A757" s="1">
        <v>44166</v>
      </c>
      <c r="B757" s="1">
        <v>44166</v>
      </c>
      <c r="C757">
        <v>2020</v>
      </c>
      <c r="D757">
        <v>12</v>
      </c>
      <c r="E757" s="2" t="s">
        <v>117</v>
      </c>
      <c r="F757" s="2" t="s">
        <v>118</v>
      </c>
      <c r="G757" s="2" t="s">
        <v>80</v>
      </c>
      <c r="H757" s="2" t="s">
        <v>81</v>
      </c>
      <c r="I757" s="2" t="s">
        <v>82</v>
      </c>
      <c r="J757" s="2" t="s">
        <v>59</v>
      </c>
      <c r="K757">
        <v>2.62</v>
      </c>
      <c r="L757">
        <v>15757032.4</v>
      </c>
      <c r="M757">
        <v>601413450.38</v>
      </c>
      <c r="N757" s="2" t="s">
        <v>119</v>
      </c>
      <c r="O757" s="2" t="s">
        <v>120</v>
      </c>
      <c r="P757" s="2" t="s">
        <v>1653</v>
      </c>
      <c r="Q757" s="2" t="s">
        <v>1654</v>
      </c>
      <c r="R757" s="2" t="s">
        <v>29</v>
      </c>
      <c r="S757" s="2" t="s">
        <v>30</v>
      </c>
    </row>
    <row r="758" spans="1:19">
      <c r="A758" s="1">
        <v>44166</v>
      </c>
      <c r="B758" s="1">
        <v>44166</v>
      </c>
      <c r="C758">
        <v>2020</v>
      </c>
      <c r="D758">
        <v>12</v>
      </c>
      <c r="E758" s="2" t="s">
        <v>123</v>
      </c>
      <c r="F758" s="2" t="s">
        <v>124</v>
      </c>
      <c r="G758" s="2" t="s">
        <v>21</v>
      </c>
      <c r="H758" s="2" t="s">
        <v>22</v>
      </c>
      <c r="I758" s="2" t="s">
        <v>73</v>
      </c>
      <c r="J758" s="2" t="s">
        <v>24</v>
      </c>
      <c r="K758">
        <v>823.59</v>
      </c>
      <c r="L758">
        <v>34525.769999999997</v>
      </c>
      <c r="M758">
        <v>4192.1099999999997</v>
      </c>
      <c r="N758" s="2" t="s">
        <v>125</v>
      </c>
      <c r="O758" s="2" t="s">
        <v>126</v>
      </c>
      <c r="P758" s="2" t="s">
        <v>1655</v>
      </c>
      <c r="Q758" s="2" t="s">
        <v>1656</v>
      </c>
      <c r="R758" s="2" t="s">
        <v>29</v>
      </c>
      <c r="S758" s="2" t="s">
        <v>30</v>
      </c>
    </row>
    <row r="759" spans="1:19">
      <c r="A759" s="1">
        <v>44166</v>
      </c>
      <c r="B759" s="1">
        <v>44166</v>
      </c>
      <c r="C759">
        <v>2020</v>
      </c>
      <c r="D759">
        <v>12</v>
      </c>
      <c r="E759" s="2" t="s">
        <v>129</v>
      </c>
      <c r="F759" s="2" t="s">
        <v>130</v>
      </c>
      <c r="G759" s="2" t="s">
        <v>21</v>
      </c>
      <c r="H759" s="2" t="s">
        <v>22</v>
      </c>
      <c r="I759" s="2" t="s">
        <v>73</v>
      </c>
      <c r="J759" s="2" t="s">
        <v>24</v>
      </c>
      <c r="K759">
        <v>914.2</v>
      </c>
      <c r="L759">
        <v>28960.75</v>
      </c>
      <c r="M759">
        <v>3167.88</v>
      </c>
      <c r="N759" s="2" t="s">
        <v>131</v>
      </c>
      <c r="O759" s="2" t="s">
        <v>132</v>
      </c>
      <c r="P759" s="2" t="s">
        <v>1657</v>
      </c>
      <c r="Q759" s="2" t="s">
        <v>1658</v>
      </c>
      <c r="R759" s="2" t="s">
        <v>29</v>
      </c>
      <c r="S759" s="2" t="s">
        <v>30</v>
      </c>
    </row>
    <row r="760" spans="1:19">
      <c r="A760" s="1">
        <v>44166</v>
      </c>
      <c r="B760" s="1">
        <v>44166</v>
      </c>
      <c r="C760">
        <v>2020</v>
      </c>
      <c r="D760">
        <v>12</v>
      </c>
      <c r="E760" s="2" t="s">
        <v>135</v>
      </c>
      <c r="F760" s="2" t="s">
        <v>136</v>
      </c>
      <c r="G760" s="2" t="s">
        <v>21</v>
      </c>
      <c r="H760" s="2" t="s">
        <v>22</v>
      </c>
      <c r="I760" s="2" t="s">
        <v>73</v>
      </c>
      <c r="J760" s="2" t="s">
        <v>101</v>
      </c>
      <c r="K760">
        <v>1737.79</v>
      </c>
      <c r="L760">
        <v>63486.52</v>
      </c>
      <c r="M760">
        <v>3653.29</v>
      </c>
      <c r="N760" s="2" t="s">
        <v>137</v>
      </c>
      <c r="O760" s="2" t="s">
        <v>138</v>
      </c>
      <c r="P760" s="2" t="s">
        <v>1659</v>
      </c>
      <c r="Q760" s="2" t="s">
        <v>1660</v>
      </c>
      <c r="R760" s="2" t="s">
        <v>29</v>
      </c>
      <c r="S760" s="2" t="s">
        <v>30</v>
      </c>
    </row>
    <row r="761" spans="1:19">
      <c r="A761" s="1">
        <v>44166</v>
      </c>
      <c r="B761" s="1">
        <v>44166</v>
      </c>
      <c r="C761">
        <v>2020</v>
      </c>
      <c r="D761">
        <v>12</v>
      </c>
      <c r="E761" s="2" t="s">
        <v>141</v>
      </c>
      <c r="F761" s="2" t="s">
        <v>142</v>
      </c>
      <c r="G761" s="2" t="s">
        <v>21</v>
      </c>
      <c r="H761" s="2" t="s">
        <v>22</v>
      </c>
      <c r="I761" s="2" t="s">
        <v>73</v>
      </c>
      <c r="J761" s="2" t="s">
        <v>24</v>
      </c>
      <c r="K761">
        <v>1599.59</v>
      </c>
      <c r="L761">
        <v>25741.5</v>
      </c>
      <c r="M761">
        <v>1609.26</v>
      </c>
      <c r="N761" s="2" t="s">
        <v>143</v>
      </c>
      <c r="O761" s="2" t="s">
        <v>144</v>
      </c>
      <c r="P761" s="2" t="s">
        <v>1661</v>
      </c>
      <c r="Q761" s="2" t="s">
        <v>1662</v>
      </c>
      <c r="R761" s="2" t="s">
        <v>29</v>
      </c>
      <c r="S761" s="2" t="s">
        <v>30</v>
      </c>
    </row>
    <row r="762" spans="1:19">
      <c r="A762" s="1">
        <v>44166</v>
      </c>
      <c r="B762" s="1">
        <v>44166</v>
      </c>
      <c r="C762">
        <v>2020</v>
      </c>
      <c r="D762">
        <v>12</v>
      </c>
      <c r="E762" s="2" t="s">
        <v>147</v>
      </c>
      <c r="F762" s="2" t="s">
        <v>148</v>
      </c>
      <c r="G762" s="2" t="s">
        <v>21</v>
      </c>
      <c r="H762" s="2" t="s">
        <v>22</v>
      </c>
      <c r="I762" s="2" t="s">
        <v>73</v>
      </c>
      <c r="J762" s="2" t="s">
        <v>24</v>
      </c>
      <c r="K762">
        <v>2165.5</v>
      </c>
      <c r="L762">
        <v>39436.82</v>
      </c>
      <c r="M762">
        <v>1821.14</v>
      </c>
      <c r="N762" s="2" t="s">
        <v>149</v>
      </c>
      <c r="O762" s="2" t="s">
        <v>150</v>
      </c>
      <c r="P762" s="2" t="s">
        <v>1663</v>
      </c>
      <c r="Q762" s="2" t="s">
        <v>1664</v>
      </c>
      <c r="R762" s="2" t="s">
        <v>29</v>
      </c>
      <c r="S762" s="2" t="s">
        <v>30</v>
      </c>
    </row>
    <row r="763" spans="1:19">
      <c r="A763" s="1">
        <v>44166</v>
      </c>
      <c r="B763" s="1">
        <v>44166</v>
      </c>
      <c r="C763">
        <v>2020</v>
      </c>
      <c r="D763">
        <v>12</v>
      </c>
      <c r="E763" s="2" t="s">
        <v>153</v>
      </c>
      <c r="F763" s="2" t="s">
        <v>154</v>
      </c>
      <c r="G763" s="2" t="s">
        <v>21</v>
      </c>
      <c r="H763" s="2" t="s">
        <v>22</v>
      </c>
      <c r="I763" s="2" t="s">
        <v>73</v>
      </c>
      <c r="J763" s="2" t="s">
        <v>101</v>
      </c>
      <c r="K763">
        <v>3765.09</v>
      </c>
      <c r="L763">
        <v>65178.32</v>
      </c>
      <c r="M763">
        <v>1731.12</v>
      </c>
      <c r="N763" s="2" t="s">
        <v>155</v>
      </c>
      <c r="O763" s="2" t="s">
        <v>156</v>
      </c>
      <c r="P763" s="2" t="s">
        <v>1665</v>
      </c>
      <c r="Q763" s="2" t="s">
        <v>1666</v>
      </c>
      <c r="R763" s="2" t="s">
        <v>29</v>
      </c>
      <c r="S763" s="2" t="s">
        <v>30</v>
      </c>
    </row>
    <row r="764" spans="1:19">
      <c r="A764" s="1">
        <v>44166</v>
      </c>
      <c r="B764" s="1">
        <v>44166</v>
      </c>
      <c r="C764">
        <v>2020</v>
      </c>
      <c r="D764">
        <v>12</v>
      </c>
      <c r="E764" s="2" t="s">
        <v>159</v>
      </c>
      <c r="F764" s="2" t="s">
        <v>160</v>
      </c>
      <c r="G764" s="2" t="s">
        <v>21</v>
      </c>
      <c r="H764" s="2" t="s">
        <v>22</v>
      </c>
      <c r="I764" s="2" t="s">
        <v>66</v>
      </c>
      <c r="J764" s="2" t="s">
        <v>59</v>
      </c>
      <c r="K764">
        <v>922.53</v>
      </c>
      <c r="L764">
        <v>81871.009999999995</v>
      </c>
      <c r="M764">
        <v>8874.6200000000008</v>
      </c>
      <c r="N764" s="2" t="s">
        <v>161</v>
      </c>
      <c r="O764" s="2" t="s">
        <v>162</v>
      </c>
      <c r="P764" s="2" t="s">
        <v>1667</v>
      </c>
      <c r="Q764" s="2" t="s">
        <v>1668</v>
      </c>
      <c r="R764" s="2" t="s">
        <v>29</v>
      </c>
      <c r="S764" s="2" t="s">
        <v>30</v>
      </c>
    </row>
    <row r="765" spans="1:19">
      <c r="A765" s="1">
        <v>44166</v>
      </c>
      <c r="B765" s="1">
        <v>44166</v>
      </c>
      <c r="C765">
        <v>2020</v>
      </c>
      <c r="D765">
        <v>12</v>
      </c>
      <c r="E765" s="2" t="s">
        <v>165</v>
      </c>
      <c r="F765" s="2" t="s">
        <v>166</v>
      </c>
      <c r="G765" s="2" t="s">
        <v>21</v>
      </c>
      <c r="H765" s="2" t="s">
        <v>22</v>
      </c>
      <c r="I765" s="2" t="s">
        <v>23</v>
      </c>
      <c r="J765" s="2" t="s">
        <v>24</v>
      </c>
      <c r="K765">
        <v>0</v>
      </c>
      <c r="L765">
        <v>0</v>
      </c>
      <c r="N765" s="2" t="s">
        <v>167</v>
      </c>
      <c r="O765" s="2" t="s">
        <v>168</v>
      </c>
      <c r="P765" s="2" t="s">
        <v>639</v>
      </c>
      <c r="Q765" s="2" t="s">
        <v>639</v>
      </c>
      <c r="R765" s="2" t="s">
        <v>29</v>
      </c>
      <c r="S765" s="2" t="s">
        <v>30</v>
      </c>
    </row>
    <row r="766" spans="1:19">
      <c r="A766" s="1">
        <v>44166</v>
      </c>
      <c r="B766" s="1">
        <v>44166</v>
      </c>
      <c r="C766">
        <v>2020</v>
      </c>
      <c r="D766">
        <v>12</v>
      </c>
      <c r="E766" s="2" t="s">
        <v>171</v>
      </c>
      <c r="F766" s="2" t="s">
        <v>172</v>
      </c>
      <c r="G766" s="2" t="s">
        <v>21</v>
      </c>
      <c r="H766" s="2" t="s">
        <v>22</v>
      </c>
      <c r="I766" s="2" t="s">
        <v>66</v>
      </c>
      <c r="J766" s="2" t="s">
        <v>24</v>
      </c>
      <c r="N766" s="2" t="s">
        <v>173</v>
      </c>
      <c r="O766" s="2" t="s">
        <v>174</v>
      </c>
      <c r="P766" s="2" t="s">
        <v>175</v>
      </c>
      <c r="Q766" s="2" t="s">
        <v>175</v>
      </c>
      <c r="R766" s="2" t="s">
        <v>640</v>
      </c>
      <c r="S766" s="2" t="s">
        <v>641</v>
      </c>
    </row>
    <row r="767" spans="1:19">
      <c r="A767" s="1">
        <v>44166</v>
      </c>
      <c r="B767" s="1">
        <v>44166</v>
      </c>
      <c r="C767">
        <v>2020</v>
      </c>
      <c r="D767">
        <v>12</v>
      </c>
      <c r="E767" s="2" t="s">
        <v>177</v>
      </c>
      <c r="F767" s="2" t="s">
        <v>178</v>
      </c>
      <c r="G767" s="2" t="s">
        <v>21</v>
      </c>
      <c r="H767" s="2" t="s">
        <v>22</v>
      </c>
      <c r="I767" s="2" t="s">
        <v>23</v>
      </c>
      <c r="J767" s="2" t="s">
        <v>24</v>
      </c>
      <c r="K767">
        <v>3556.93</v>
      </c>
      <c r="L767">
        <v>292324.71000000002</v>
      </c>
      <c r="M767">
        <v>8218.4599999999991</v>
      </c>
      <c r="N767" s="2" t="s">
        <v>179</v>
      </c>
      <c r="O767" s="2" t="s">
        <v>180</v>
      </c>
      <c r="P767" s="2" t="s">
        <v>1669</v>
      </c>
      <c r="Q767" s="2" t="s">
        <v>1670</v>
      </c>
      <c r="R767" s="2" t="s">
        <v>29</v>
      </c>
      <c r="S767" s="2" t="s">
        <v>30</v>
      </c>
    </row>
    <row r="768" spans="1:19">
      <c r="A768" s="1">
        <v>44166</v>
      </c>
      <c r="B768" s="1">
        <v>44166</v>
      </c>
      <c r="C768">
        <v>2020</v>
      </c>
      <c r="D768">
        <v>12</v>
      </c>
      <c r="E768" s="2" t="s">
        <v>183</v>
      </c>
      <c r="F768" s="2" t="s">
        <v>184</v>
      </c>
      <c r="G768" s="2" t="s">
        <v>185</v>
      </c>
      <c r="H768" s="2" t="s">
        <v>22</v>
      </c>
      <c r="I768" s="2" t="s">
        <v>186</v>
      </c>
      <c r="J768" s="2" t="s">
        <v>24</v>
      </c>
      <c r="K768">
        <v>2709.13</v>
      </c>
      <c r="L768">
        <v>2536385.23</v>
      </c>
      <c r="M768">
        <v>93623.61</v>
      </c>
      <c r="N768" s="2" t="s">
        <v>187</v>
      </c>
      <c r="O768" s="2" t="s">
        <v>188</v>
      </c>
      <c r="P768" s="2" t="s">
        <v>1671</v>
      </c>
      <c r="Q768" s="2" t="s">
        <v>1672</v>
      </c>
      <c r="R768" s="2" t="s">
        <v>29</v>
      </c>
      <c r="S768" s="2" t="s">
        <v>30</v>
      </c>
    </row>
    <row r="769" spans="1:19">
      <c r="A769" s="1">
        <v>44166</v>
      </c>
      <c r="B769" s="1">
        <v>44166</v>
      </c>
      <c r="C769">
        <v>2020</v>
      </c>
      <c r="D769">
        <v>12</v>
      </c>
      <c r="E769" s="2" t="s">
        <v>191</v>
      </c>
      <c r="F769" s="2" t="s">
        <v>192</v>
      </c>
      <c r="G769" s="2" t="s">
        <v>185</v>
      </c>
      <c r="H769" s="2" t="s">
        <v>22</v>
      </c>
      <c r="I769" s="2" t="s">
        <v>186</v>
      </c>
      <c r="J769" s="2" t="s">
        <v>24</v>
      </c>
      <c r="K769">
        <v>799.18</v>
      </c>
      <c r="L769">
        <v>4135189.4</v>
      </c>
      <c r="M769">
        <v>517429.04</v>
      </c>
      <c r="N769" s="2" t="s">
        <v>193</v>
      </c>
      <c r="O769" s="2" t="s">
        <v>194</v>
      </c>
      <c r="P769" s="2" t="s">
        <v>1673</v>
      </c>
      <c r="Q769" s="2" t="s">
        <v>1674</v>
      </c>
      <c r="R769" s="2" t="s">
        <v>29</v>
      </c>
      <c r="S769" s="2" t="s">
        <v>30</v>
      </c>
    </row>
    <row r="770" spans="1:19">
      <c r="A770" s="1">
        <v>44166</v>
      </c>
      <c r="B770" s="1">
        <v>44166</v>
      </c>
      <c r="C770">
        <v>2020</v>
      </c>
      <c r="D770">
        <v>12</v>
      </c>
      <c r="E770" s="2" t="s">
        <v>197</v>
      </c>
      <c r="F770" s="2" t="s">
        <v>198</v>
      </c>
      <c r="G770" s="2" t="s">
        <v>185</v>
      </c>
      <c r="H770" s="2" t="s">
        <v>22</v>
      </c>
      <c r="I770" s="2" t="s">
        <v>186</v>
      </c>
      <c r="J770" s="2" t="s">
        <v>59</v>
      </c>
      <c r="K770">
        <v>3508.31</v>
      </c>
      <c r="L770">
        <v>6671574.6299999999</v>
      </c>
      <c r="M770">
        <v>190164.91</v>
      </c>
      <c r="N770" s="2" t="s">
        <v>199</v>
      </c>
      <c r="O770" s="2" t="s">
        <v>200</v>
      </c>
      <c r="P770" s="2" t="s">
        <v>1675</v>
      </c>
      <c r="Q770" s="2" t="s">
        <v>1676</v>
      </c>
      <c r="R770" s="2" t="s">
        <v>29</v>
      </c>
      <c r="S770" s="2" t="s">
        <v>30</v>
      </c>
    </row>
    <row r="771" spans="1:19">
      <c r="A771" s="1">
        <v>44166</v>
      </c>
      <c r="B771" s="1">
        <v>44166</v>
      </c>
      <c r="C771">
        <v>2020</v>
      </c>
      <c r="D771">
        <v>12</v>
      </c>
      <c r="E771" s="2" t="s">
        <v>203</v>
      </c>
      <c r="F771" s="2" t="s">
        <v>204</v>
      </c>
      <c r="G771" s="2" t="s">
        <v>39</v>
      </c>
      <c r="H771" s="2" t="s">
        <v>22</v>
      </c>
      <c r="I771" s="2" t="s">
        <v>40</v>
      </c>
      <c r="J771" s="2" t="s">
        <v>24</v>
      </c>
      <c r="K771">
        <v>715.03</v>
      </c>
      <c r="L771">
        <v>19670.8</v>
      </c>
      <c r="M771">
        <v>2751.05</v>
      </c>
      <c r="N771" s="2" t="s">
        <v>205</v>
      </c>
      <c r="O771" s="2" t="s">
        <v>206</v>
      </c>
      <c r="P771" s="2" t="s">
        <v>1677</v>
      </c>
      <c r="Q771" s="2" t="s">
        <v>1678</v>
      </c>
      <c r="R771" s="2" t="s">
        <v>29</v>
      </c>
      <c r="S771" s="2" t="s">
        <v>30</v>
      </c>
    </row>
    <row r="772" spans="1:19">
      <c r="A772" s="1">
        <v>44166</v>
      </c>
      <c r="B772" s="1">
        <v>44166</v>
      </c>
      <c r="C772">
        <v>2020</v>
      </c>
      <c r="D772">
        <v>12</v>
      </c>
      <c r="E772" s="2" t="s">
        <v>209</v>
      </c>
      <c r="F772" s="2" t="s">
        <v>210</v>
      </c>
      <c r="G772" s="2" t="s">
        <v>39</v>
      </c>
      <c r="H772" s="2" t="s">
        <v>22</v>
      </c>
      <c r="I772" s="2" t="s">
        <v>40</v>
      </c>
      <c r="J772" s="2" t="s">
        <v>59</v>
      </c>
      <c r="K772">
        <v>715.03</v>
      </c>
      <c r="L772">
        <v>19670.8</v>
      </c>
      <c r="M772">
        <v>2751.05</v>
      </c>
      <c r="N772" s="2" t="s">
        <v>211</v>
      </c>
      <c r="O772" s="2" t="s">
        <v>212</v>
      </c>
      <c r="P772" s="2" t="s">
        <v>1677</v>
      </c>
      <c r="Q772" s="2" t="s">
        <v>1678</v>
      </c>
      <c r="R772" s="2" t="s">
        <v>29</v>
      </c>
      <c r="S772" s="2" t="s">
        <v>30</v>
      </c>
    </row>
    <row r="773" spans="1:19">
      <c r="A773" s="1">
        <v>44166</v>
      </c>
      <c r="B773" s="1">
        <v>44166</v>
      </c>
      <c r="C773">
        <v>2020</v>
      </c>
      <c r="D773">
        <v>12</v>
      </c>
      <c r="E773" s="2" t="s">
        <v>213</v>
      </c>
      <c r="F773" s="2" t="s">
        <v>214</v>
      </c>
      <c r="G773" s="2" t="s">
        <v>185</v>
      </c>
      <c r="H773" s="2" t="s">
        <v>22</v>
      </c>
      <c r="I773" s="2" t="s">
        <v>215</v>
      </c>
      <c r="J773" s="2" t="s">
        <v>24</v>
      </c>
      <c r="K773">
        <v>23113.62</v>
      </c>
      <c r="L773">
        <v>727052.14</v>
      </c>
      <c r="M773">
        <v>3145.56</v>
      </c>
      <c r="N773" s="2" t="s">
        <v>216</v>
      </c>
      <c r="O773" s="2" t="s">
        <v>217</v>
      </c>
      <c r="P773" s="2" t="s">
        <v>1679</v>
      </c>
      <c r="Q773" s="2" t="s">
        <v>1680</v>
      </c>
      <c r="R773" s="2" t="s">
        <v>29</v>
      </c>
      <c r="S773" s="2" t="s">
        <v>30</v>
      </c>
    </row>
    <row r="774" spans="1:19">
      <c r="A774" s="1">
        <v>44166</v>
      </c>
      <c r="B774" s="1">
        <v>44166</v>
      </c>
      <c r="C774">
        <v>2020</v>
      </c>
      <c r="D774">
        <v>12</v>
      </c>
      <c r="E774" s="2" t="s">
        <v>220</v>
      </c>
      <c r="F774" s="2" t="s">
        <v>221</v>
      </c>
      <c r="G774" s="2" t="s">
        <v>185</v>
      </c>
      <c r="H774" s="2" t="s">
        <v>22</v>
      </c>
      <c r="I774" s="2" t="s">
        <v>215</v>
      </c>
      <c r="J774" s="2" t="s">
        <v>24</v>
      </c>
      <c r="K774">
        <v>2183.0300000000002</v>
      </c>
      <c r="L774">
        <v>174602.97</v>
      </c>
      <c r="M774">
        <v>7998.19</v>
      </c>
      <c r="N774" s="2" t="s">
        <v>222</v>
      </c>
      <c r="O774" s="2" t="s">
        <v>223</v>
      </c>
      <c r="P774" s="2" t="s">
        <v>1681</v>
      </c>
      <c r="Q774" s="2" t="s">
        <v>1682</v>
      </c>
      <c r="R774" s="2" t="s">
        <v>29</v>
      </c>
      <c r="S774" s="2" t="s">
        <v>30</v>
      </c>
    </row>
    <row r="775" spans="1:19">
      <c r="A775" s="1">
        <v>44166</v>
      </c>
      <c r="B775" s="1">
        <v>44166</v>
      </c>
      <c r="C775">
        <v>2020</v>
      </c>
      <c r="D775">
        <v>12</v>
      </c>
      <c r="E775" s="2" t="s">
        <v>226</v>
      </c>
      <c r="F775" s="2" t="s">
        <v>227</v>
      </c>
      <c r="G775" s="2" t="s">
        <v>185</v>
      </c>
      <c r="H775" s="2" t="s">
        <v>22</v>
      </c>
      <c r="I775" s="2" t="s">
        <v>215</v>
      </c>
      <c r="J775" s="2" t="s">
        <v>59</v>
      </c>
      <c r="K775">
        <v>25296.639999999999</v>
      </c>
      <c r="L775">
        <v>901655.11</v>
      </c>
      <c r="M775">
        <v>3564.33</v>
      </c>
      <c r="N775" s="2" t="s">
        <v>228</v>
      </c>
      <c r="O775" s="2" t="s">
        <v>229</v>
      </c>
      <c r="P775" s="2" t="s">
        <v>1683</v>
      </c>
      <c r="Q775" s="2" t="s">
        <v>1684</v>
      </c>
      <c r="R775" s="2" t="s">
        <v>29</v>
      </c>
      <c r="S775" s="2" t="s">
        <v>30</v>
      </c>
    </row>
    <row r="776" spans="1:19">
      <c r="A776" s="1">
        <v>44166</v>
      </c>
      <c r="B776" s="1">
        <v>44166</v>
      </c>
      <c r="C776">
        <v>2020</v>
      </c>
      <c r="D776">
        <v>12</v>
      </c>
      <c r="E776" s="2" t="s">
        <v>232</v>
      </c>
      <c r="F776" s="2" t="s">
        <v>233</v>
      </c>
      <c r="G776" s="2" t="s">
        <v>21</v>
      </c>
      <c r="H776" s="2" t="s">
        <v>22</v>
      </c>
      <c r="I776" s="2" t="s">
        <v>23</v>
      </c>
      <c r="J776" s="2" t="s">
        <v>24</v>
      </c>
      <c r="K776">
        <v>1741.2</v>
      </c>
      <c r="L776">
        <v>118309.31</v>
      </c>
      <c r="M776">
        <v>6794.7</v>
      </c>
      <c r="N776" s="2" t="s">
        <v>234</v>
      </c>
      <c r="O776" s="2" t="s">
        <v>235</v>
      </c>
      <c r="P776" s="2" t="s">
        <v>1685</v>
      </c>
      <c r="Q776" s="2" t="s">
        <v>1686</v>
      </c>
      <c r="R776" s="2" t="s">
        <v>29</v>
      </c>
      <c r="S776" s="2" t="s">
        <v>30</v>
      </c>
    </row>
    <row r="777" spans="1:19">
      <c r="A777" s="1">
        <v>44166</v>
      </c>
      <c r="B777" s="1">
        <v>44166</v>
      </c>
      <c r="C777">
        <v>2020</v>
      </c>
      <c r="D777">
        <v>12</v>
      </c>
      <c r="E777" s="2" t="s">
        <v>238</v>
      </c>
      <c r="F777" s="2" t="s">
        <v>239</v>
      </c>
      <c r="G777" s="2" t="s">
        <v>21</v>
      </c>
      <c r="H777" s="2" t="s">
        <v>22</v>
      </c>
      <c r="I777" s="2" t="s">
        <v>66</v>
      </c>
      <c r="J777" s="2" t="s">
        <v>24</v>
      </c>
      <c r="K777">
        <v>840.43</v>
      </c>
      <c r="L777">
        <v>81576.070000000007</v>
      </c>
      <c r="M777">
        <v>9706.4699999999993</v>
      </c>
      <c r="N777" s="2" t="s">
        <v>240</v>
      </c>
      <c r="O777" s="2" t="s">
        <v>241</v>
      </c>
      <c r="P777" s="2" t="s">
        <v>1687</v>
      </c>
      <c r="Q777" s="2" t="s">
        <v>1688</v>
      </c>
      <c r="R777" s="2" t="s">
        <v>29</v>
      </c>
      <c r="S777" s="2" t="s">
        <v>30</v>
      </c>
    </row>
    <row r="778" spans="1:19">
      <c r="A778" s="1">
        <v>44166</v>
      </c>
      <c r="B778" s="1">
        <v>44166</v>
      </c>
      <c r="C778">
        <v>2020</v>
      </c>
      <c r="D778">
        <v>12</v>
      </c>
      <c r="E778" s="2" t="s">
        <v>244</v>
      </c>
      <c r="F778" s="2" t="s">
        <v>245</v>
      </c>
      <c r="G778" s="2" t="s">
        <v>21</v>
      </c>
      <c r="H778" s="2" t="s">
        <v>22</v>
      </c>
      <c r="I778" s="2" t="s">
        <v>23</v>
      </c>
      <c r="J778" s="2" t="s">
        <v>24</v>
      </c>
      <c r="K778">
        <v>3076.15</v>
      </c>
      <c r="L778">
        <v>2558304.17</v>
      </c>
      <c r="M778">
        <v>83165.78</v>
      </c>
      <c r="N778" s="2" t="s">
        <v>246</v>
      </c>
      <c r="O778" s="2" t="s">
        <v>247</v>
      </c>
      <c r="P778" s="2" t="s">
        <v>1689</v>
      </c>
      <c r="Q778" s="2" t="s">
        <v>1690</v>
      </c>
      <c r="R778" s="2" t="s">
        <v>29</v>
      </c>
      <c r="S778" s="2" t="s">
        <v>30</v>
      </c>
    </row>
    <row r="779" spans="1:19">
      <c r="A779" s="1">
        <v>44166</v>
      </c>
      <c r="B779" s="1">
        <v>44166</v>
      </c>
      <c r="C779">
        <v>2020</v>
      </c>
      <c r="D779">
        <v>12</v>
      </c>
      <c r="E779" s="2" t="s">
        <v>250</v>
      </c>
      <c r="F779" s="2" t="s">
        <v>251</v>
      </c>
      <c r="G779" s="2" t="s">
        <v>21</v>
      </c>
      <c r="H779" s="2" t="s">
        <v>22</v>
      </c>
      <c r="I779" s="2" t="s">
        <v>66</v>
      </c>
      <c r="J779" s="2" t="s">
        <v>24</v>
      </c>
      <c r="K779">
        <v>73.209999999999994</v>
      </c>
      <c r="L779">
        <v>107.63</v>
      </c>
      <c r="M779">
        <v>147.02000000000001</v>
      </c>
      <c r="N779" s="2" t="s">
        <v>252</v>
      </c>
      <c r="O779" s="2" t="s">
        <v>253</v>
      </c>
      <c r="P779" s="2" t="s">
        <v>1691</v>
      </c>
      <c r="Q779" s="2" t="s">
        <v>1692</v>
      </c>
      <c r="R779" s="2" t="s">
        <v>29</v>
      </c>
      <c r="S779" s="2" t="s">
        <v>30</v>
      </c>
    </row>
    <row r="780" spans="1:19">
      <c r="A780" s="1">
        <v>44166</v>
      </c>
      <c r="B780" s="1">
        <v>44166</v>
      </c>
      <c r="C780">
        <v>2020</v>
      </c>
      <c r="D780">
        <v>12</v>
      </c>
      <c r="E780" s="2" t="s">
        <v>256</v>
      </c>
      <c r="F780" s="2" t="s">
        <v>257</v>
      </c>
      <c r="G780" s="2" t="s">
        <v>21</v>
      </c>
      <c r="H780" s="2" t="s">
        <v>22</v>
      </c>
      <c r="I780" s="2" t="s">
        <v>258</v>
      </c>
      <c r="J780" s="2" t="s">
        <v>24</v>
      </c>
      <c r="K780">
        <v>719.4</v>
      </c>
      <c r="L780">
        <v>618015.31999999995</v>
      </c>
      <c r="M780">
        <v>85907.05</v>
      </c>
      <c r="N780" s="2" t="s">
        <v>259</v>
      </c>
      <c r="O780" s="2" t="s">
        <v>260</v>
      </c>
      <c r="P780" s="2" t="s">
        <v>1693</v>
      </c>
      <c r="Q780" s="2" t="s">
        <v>1694</v>
      </c>
      <c r="R780" s="2" t="s">
        <v>29</v>
      </c>
      <c r="S780" s="2" t="s">
        <v>30</v>
      </c>
    </row>
    <row r="781" spans="1:19">
      <c r="A781" s="1">
        <v>44166</v>
      </c>
      <c r="B781" s="1">
        <v>44166</v>
      </c>
      <c r="C781">
        <v>2020</v>
      </c>
      <c r="D781">
        <v>12</v>
      </c>
      <c r="E781" s="2" t="s">
        <v>263</v>
      </c>
      <c r="F781" s="2" t="s">
        <v>264</v>
      </c>
      <c r="G781" s="2" t="s">
        <v>21</v>
      </c>
      <c r="H781" s="2" t="s">
        <v>22</v>
      </c>
      <c r="I781" s="2" t="s">
        <v>258</v>
      </c>
      <c r="J781" s="2" t="s">
        <v>24</v>
      </c>
      <c r="K781">
        <v>0</v>
      </c>
      <c r="L781">
        <v>0</v>
      </c>
      <c r="N781" s="2" t="s">
        <v>265</v>
      </c>
      <c r="O781" s="2" t="s">
        <v>266</v>
      </c>
      <c r="P781" s="2" t="s">
        <v>639</v>
      </c>
      <c r="Q781" s="2" t="s">
        <v>639</v>
      </c>
      <c r="R781" s="2" t="s">
        <v>29</v>
      </c>
      <c r="S781" s="2" t="s">
        <v>30</v>
      </c>
    </row>
    <row r="782" spans="1:19">
      <c r="A782" s="1">
        <v>44166</v>
      </c>
      <c r="B782" s="1">
        <v>44166</v>
      </c>
      <c r="C782">
        <v>2020</v>
      </c>
      <c r="D782">
        <v>12</v>
      </c>
      <c r="E782" s="2" t="s">
        <v>269</v>
      </c>
      <c r="F782" s="2" t="s">
        <v>270</v>
      </c>
      <c r="G782" s="2" t="s">
        <v>21</v>
      </c>
      <c r="H782" s="2" t="s">
        <v>22</v>
      </c>
      <c r="I782" s="2" t="s">
        <v>258</v>
      </c>
      <c r="J782" s="2" t="s">
        <v>59</v>
      </c>
      <c r="K782">
        <v>719.4</v>
      </c>
      <c r="L782">
        <v>618015.31999999995</v>
      </c>
      <c r="M782">
        <v>85907.05</v>
      </c>
      <c r="N782" s="2" t="s">
        <v>271</v>
      </c>
      <c r="O782" s="2" t="s">
        <v>272</v>
      </c>
      <c r="P782" s="2" t="s">
        <v>1693</v>
      </c>
      <c r="Q782" s="2" t="s">
        <v>1694</v>
      </c>
      <c r="R782" s="2" t="s">
        <v>29</v>
      </c>
      <c r="S782" s="2" t="s">
        <v>30</v>
      </c>
    </row>
    <row r="783" spans="1:19">
      <c r="A783" s="1">
        <v>44166</v>
      </c>
      <c r="B783" s="1">
        <v>44166</v>
      </c>
      <c r="C783">
        <v>2020</v>
      </c>
      <c r="D783">
        <v>12</v>
      </c>
      <c r="E783" s="2" t="s">
        <v>275</v>
      </c>
      <c r="F783" s="2" t="s">
        <v>276</v>
      </c>
      <c r="G783" s="2" t="s">
        <v>39</v>
      </c>
      <c r="H783" s="2" t="s">
        <v>22</v>
      </c>
      <c r="I783" s="2" t="s">
        <v>40</v>
      </c>
      <c r="J783" s="2" t="s">
        <v>24</v>
      </c>
      <c r="K783">
        <v>34.53</v>
      </c>
      <c r="L783">
        <v>142.44999999999999</v>
      </c>
      <c r="M783">
        <v>412.54</v>
      </c>
      <c r="N783" s="2" t="s">
        <v>277</v>
      </c>
      <c r="O783" s="2" t="s">
        <v>278</v>
      </c>
      <c r="P783" s="2" t="s">
        <v>1695</v>
      </c>
      <c r="Q783" s="2" t="s">
        <v>1696</v>
      </c>
      <c r="R783" s="2" t="s">
        <v>29</v>
      </c>
      <c r="S783" s="2" t="s">
        <v>30</v>
      </c>
    </row>
    <row r="784" spans="1:19">
      <c r="A784" s="1">
        <v>44166</v>
      </c>
      <c r="B784" s="1">
        <v>44166</v>
      </c>
      <c r="C784">
        <v>2020</v>
      </c>
      <c r="D784">
        <v>12</v>
      </c>
      <c r="E784" s="2" t="s">
        <v>281</v>
      </c>
      <c r="F784" s="2" t="s">
        <v>282</v>
      </c>
      <c r="G784" s="2" t="s">
        <v>39</v>
      </c>
      <c r="H784" s="2" t="s">
        <v>22</v>
      </c>
      <c r="I784" s="2" t="s">
        <v>40</v>
      </c>
      <c r="J784" s="2" t="s">
        <v>24</v>
      </c>
      <c r="K784">
        <v>5.37</v>
      </c>
      <c r="L784">
        <v>6.18</v>
      </c>
      <c r="M784">
        <v>115.08</v>
      </c>
      <c r="N784" s="2" t="s">
        <v>283</v>
      </c>
      <c r="O784" s="2" t="s">
        <v>284</v>
      </c>
      <c r="P784" s="2" t="s">
        <v>1697</v>
      </c>
      <c r="Q784" s="2" t="s">
        <v>1698</v>
      </c>
      <c r="R784" s="2" t="s">
        <v>29</v>
      </c>
      <c r="S784" s="2" t="s">
        <v>30</v>
      </c>
    </row>
    <row r="785" spans="1:19">
      <c r="A785" s="1">
        <v>44166</v>
      </c>
      <c r="B785" s="1">
        <v>44166</v>
      </c>
      <c r="C785">
        <v>2020</v>
      </c>
      <c r="D785">
        <v>12</v>
      </c>
      <c r="E785" s="2" t="s">
        <v>287</v>
      </c>
      <c r="F785" s="2" t="s">
        <v>288</v>
      </c>
      <c r="G785" s="2" t="s">
        <v>39</v>
      </c>
      <c r="H785" s="2" t="s">
        <v>22</v>
      </c>
      <c r="I785" s="2" t="s">
        <v>40</v>
      </c>
      <c r="J785" s="2" t="s">
        <v>59</v>
      </c>
      <c r="K785">
        <v>39.89</v>
      </c>
      <c r="L785">
        <v>148.63</v>
      </c>
      <c r="M785">
        <v>372.6</v>
      </c>
      <c r="N785" s="2" t="s">
        <v>289</v>
      </c>
      <c r="O785" s="2" t="s">
        <v>290</v>
      </c>
      <c r="P785" s="2" t="s">
        <v>1699</v>
      </c>
      <c r="Q785" s="2" t="s">
        <v>1700</v>
      </c>
      <c r="R785" s="2" t="s">
        <v>29</v>
      </c>
      <c r="S785" s="2" t="s">
        <v>30</v>
      </c>
    </row>
    <row r="786" spans="1:19">
      <c r="A786" s="1">
        <v>44166</v>
      </c>
      <c r="B786" s="1">
        <v>44166</v>
      </c>
      <c r="C786">
        <v>2020</v>
      </c>
      <c r="D786">
        <v>12</v>
      </c>
      <c r="E786" s="2" t="s">
        <v>293</v>
      </c>
      <c r="F786" s="2" t="s">
        <v>294</v>
      </c>
      <c r="G786" s="2" t="s">
        <v>21</v>
      </c>
      <c r="H786" s="2" t="s">
        <v>22</v>
      </c>
      <c r="I786" s="2" t="s">
        <v>295</v>
      </c>
      <c r="J786" s="2" t="s">
        <v>24</v>
      </c>
      <c r="K786">
        <v>770.81</v>
      </c>
      <c r="L786">
        <v>3547.27</v>
      </c>
      <c r="M786">
        <v>460.2</v>
      </c>
      <c r="N786" s="2" t="s">
        <v>296</v>
      </c>
      <c r="O786" s="2" t="s">
        <v>297</v>
      </c>
      <c r="P786" s="2" t="s">
        <v>1701</v>
      </c>
      <c r="Q786" s="2" t="s">
        <v>1702</v>
      </c>
      <c r="R786" s="2" t="s">
        <v>29</v>
      </c>
      <c r="S786" s="2" t="s">
        <v>30</v>
      </c>
    </row>
    <row r="787" spans="1:19">
      <c r="A787" s="1">
        <v>44166</v>
      </c>
      <c r="B787" s="1">
        <v>44166</v>
      </c>
      <c r="C787">
        <v>2020</v>
      </c>
      <c r="D787">
        <v>12</v>
      </c>
      <c r="E787" s="2" t="s">
        <v>300</v>
      </c>
      <c r="F787" s="2" t="s">
        <v>301</v>
      </c>
      <c r="G787" s="2" t="s">
        <v>21</v>
      </c>
      <c r="H787" s="2" t="s">
        <v>22</v>
      </c>
      <c r="I787" s="2" t="s">
        <v>295</v>
      </c>
      <c r="J787" s="2" t="s">
        <v>24</v>
      </c>
      <c r="K787">
        <v>45.26</v>
      </c>
      <c r="L787">
        <v>1250.3399999999999</v>
      </c>
      <c r="M787">
        <v>2762.57</v>
      </c>
      <c r="N787" s="2" t="s">
        <v>302</v>
      </c>
      <c r="O787" s="2" t="s">
        <v>303</v>
      </c>
      <c r="P787" s="2" t="s">
        <v>1703</v>
      </c>
      <c r="Q787" s="2" t="s">
        <v>1704</v>
      </c>
      <c r="R787" s="2" t="s">
        <v>29</v>
      </c>
      <c r="S787" s="2" t="s">
        <v>30</v>
      </c>
    </row>
    <row r="788" spans="1:19">
      <c r="A788" s="1">
        <v>44166</v>
      </c>
      <c r="B788" s="1">
        <v>44166</v>
      </c>
      <c r="C788">
        <v>2020</v>
      </c>
      <c r="D788">
        <v>12</v>
      </c>
      <c r="E788" s="2" t="s">
        <v>306</v>
      </c>
      <c r="F788" s="2" t="s">
        <v>307</v>
      </c>
      <c r="G788" s="2" t="s">
        <v>21</v>
      </c>
      <c r="H788" s="2" t="s">
        <v>22</v>
      </c>
      <c r="I788" s="2" t="s">
        <v>295</v>
      </c>
      <c r="J788" s="2" t="s">
        <v>101</v>
      </c>
      <c r="K788">
        <v>816.08</v>
      </c>
      <c r="L788">
        <v>4797.6099999999997</v>
      </c>
      <c r="M788">
        <v>587.88</v>
      </c>
      <c r="N788" s="2" t="s">
        <v>308</v>
      </c>
      <c r="O788" s="2" t="s">
        <v>309</v>
      </c>
      <c r="P788" s="2" t="s">
        <v>1705</v>
      </c>
      <c r="Q788" s="2" t="s">
        <v>1706</v>
      </c>
      <c r="R788" s="2" t="s">
        <v>29</v>
      </c>
      <c r="S788" s="2" t="s">
        <v>30</v>
      </c>
    </row>
    <row r="789" spans="1:19">
      <c r="A789" s="1">
        <v>44166</v>
      </c>
      <c r="B789" s="1">
        <v>44166</v>
      </c>
      <c r="C789">
        <v>2020</v>
      </c>
      <c r="D789">
        <v>12</v>
      </c>
      <c r="E789" s="2" t="s">
        <v>312</v>
      </c>
      <c r="F789" s="2" t="s">
        <v>313</v>
      </c>
      <c r="G789" s="2" t="s">
        <v>21</v>
      </c>
      <c r="H789" s="2" t="s">
        <v>22</v>
      </c>
      <c r="I789" s="2" t="s">
        <v>295</v>
      </c>
      <c r="J789" s="2" t="s">
        <v>59</v>
      </c>
      <c r="K789">
        <v>4337.5600000000004</v>
      </c>
      <c r="L789">
        <v>18189.97</v>
      </c>
      <c r="M789">
        <v>419.36</v>
      </c>
      <c r="N789" s="2" t="s">
        <v>314</v>
      </c>
      <c r="O789" s="2" t="s">
        <v>315</v>
      </c>
      <c r="P789" s="2" t="s">
        <v>1707</v>
      </c>
      <c r="Q789" s="2" t="s">
        <v>1708</v>
      </c>
      <c r="R789" s="2" t="s">
        <v>29</v>
      </c>
      <c r="S789" s="2" t="s">
        <v>30</v>
      </c>
    </row>
    <row r="790" spans="1:19">
      <c r="A790" s="1">
        <v>44166</v>
      </c>
      <c r="B790" s="1">
        <v>44166</v>
      </c>
      <c r="C790">
        <v>2020</v>
      </c>
      <c r="D790">
        <v>12</v>
      </c>
      <c r="E790" s="2" t="s">
        <v>318</v>
      </c>
      <c r="F790" s="2" t="s">
        <v>319</v>
      </c>
      <c r="G790" s="2" t="s">
        <v>21</v>
      </c>
      <c r="H790" s="2" t="s">
        <v>22</v>
      </c>
      <c r="I790" s="2" t="s">
        <v>295</v>
      </c>
      <c r="J790" s="2" t="s">
        <v>24</v>
      </c>
      <c r="K790">
        <v>3521.48</v>
      </c>
      <c r="L790">
        <v>13392.36</v>
      </c>
      <c r="M790">
        <v>380.3</v>
      </c>
      <c r="N790" s="2" t="s">
        <v>320</v>
      </c>
      <c r="O790" s="2" t="s">
        <v>321</v>
      </c>
      <c r="P790" s="2" t="s">
        <v>1709</v>
      </c>
      <c r="Q790" s="2" t="s">
        <v>1710</v>
      </c>
      <c r="R790" s="2" t="s">
        <v>29</v>
      </c>
      <c r="S790" s="2" t="s">
        <v>30</v>
      </c>
    </row>
    <row r="791" spans="1:19">
      <c r="A791" s="1">
        <v>44166</v>
      </c>
      <c r="B791" s="1">
        <v>44166</v>
      </c>
      <c r="C791">
        <v>2020</v>
      </c>
      <c r="D791">
        <v>12</v>
      </c>
      <c r="E791" s="2" t="s">
        <v>324</v>
      </c>
      <c r="F791" s="2" t="s">
        <v>325</v>
      </c>
      <c r="G791" s="2" t="s">
        <v>21</v>
      </c>
      <c r="H791" s="2" t="s">
        <v>22</v>
      </c>
      <c r="I791" s="2" t="s">
        <v>23</v>
      </c>
      <c r="J791" s="2" t="s">
        <v>59</v>
      </c>
      <c r="K791">
        <v>31735.79</v>
      </c>
      <c r="L791">
        <v>3393355.02</v>
      </c>
      <c r="M791">
        <v>10692.52</v>
      </c>
      <c r="N791" s="2" t="s">
        <v>326</v>
      </c>
      <c r="O791" s="2" t="s">
        <v>327</v>
      </c>
      <c r="P791" s="2" t="s">
        <v>1711</v>
      </c>
      <c r="Q791" s="2" t="s">
        <v>1712</v>
      </c>
      <c r="R791" s="2" t="s">
        <v>29</v>
      </c>
      <c r="S791" s="2" t="s">
        <v>30</v>
      </c>
    </row>
    <row r="792" spans="1:19">
      <c r="A792" s="1">
        <v>44166</v>
      </c>
      <c r="B792" s="1">
        <v>44166</v>
      </c>
      <c r="C792">
        <v>2020</v>
      </c>
      <c r="D792">
        <v>12</v>
      </c>
      <c r="E792" s="2" t="s">
        <v>330</v>
      </c>
      <c r="F792" s="2" t="s">
        <v>331</v>
      </c>
      <c r="G792" s="2" t="s">
        <v>21</v>
      </c>
      <c r="H792" s="2" t="s">
        <v>332</v>
      </c>
      <c r="I792" s="2" t="s">
        <v>333</v>
      </c>
      <c r="J792" s="2" t="s">
        <v>24</v>
      </c>
      <c r="K792">
        <v>161.72</v>
      </c>
      <c r="L792">
        <v>9058135.9199999999</v>
      </c>
      <c r="M792">
        <v>5601122.8799999999</v>
      </c>
      <c r="N792" s="2" t="s">
        <v>334</v>
      </c>
      <c r="O792" s="2" t="s">
        <v>335</v>
      </c>
      <c r="P792" s="2" t="s">
        <v>1713</v>
      </c>
      <c r="Q792" s="2" t="s">
        <v>1714</v>
      </c>
      <c r="R792" s="2" t="s">
        <v>29</v>
      </c>
      <c r="S792" s="2" t="s">
        <v>30</v>
      </c>
    </row>
    <row r="793" spans="1:19">
      <c r="A793" s="1">
        <v>44166</v>
      </c>
      <c r="B793" s="1">
        <v>44166</v>
      </c>
      <c r="C793">
        <v>2020</v>
      </c>
      <c r="D793">
        <v>12</v>
      </c>
      <c r="E793" s="2" t="s">
        <v>338</v>
      </c>
      <c r="F793" s="2" t="s">
        <v>339</v>
      </c>
      <c r="G793" s="2" t="s">
        <v>21</v>
      </c>
      <c r="H793" s="2" t="s">
        <v>332</v>
      </c>
      <c r="I793" s="2" t="s">
        <v>333</v>
      </c>
      <c r="J793" s="2" t="s">
        <v>24</v>
      </c>
      <c r="K793">
        <v>1.75</v>
      </c>
      <c r="L793">
        <v>1600984.42</v>
      </c>
      <c r="M793">
        <v>91484824</v>
      </c>
      <c r="N793" s="2" t="s">
        <v>340</v>
      </c>
      <c r="O793" s="2" t="s">
        <v>341</v>
      </c>
      <c r="P793" s="2" t="s">
        <v>399</v>
      </c>
      <c r="Q793" s="2" t="s">
        <v>1715</v>
      </c>
      <c r="R793" s="2" t="s">
        <v>29</v>
      </c>
      <c r="S793" s="2" t="s">
        <v>30</v>
      </c>
    </row>
    <row r="794" spans="1:19">
      <c r="A794" s="1">
        <v>44166</v>
      </c>
      <c r="B794" s="1">
        <v>44166</v>
      </c>
      <c r="C794">
        <v>2020</v>
      </c>
      <c r="D794">
        <v>12</v>
      </c>
      <c r="E794" s="2" t="s">
        <v>344</v>
      </c>
      <c r="F794" s="2" t="s">
        <v>345</v>
      </c>
      <c r="G794" s="2" t="s">
        <v>21</v>
      </c>
      <c r="H794" s="2" t="s">
        <v>332</v>
      </c>
      <c r="I794" s="2" t="s">
        <v>333</v>
      </c>
      <c r="J794" s="2" t="s">
        <v>59</v>
      </c>
      <c r="K794">
        <v>163.47999999999999</v>
      </c>
      <c r="L794">
        <v>10659120.34</v>
      </c>
      <c r="M794">
        <v>6520137.2300000004</v>
      </c>
      <c r="N794" s="2" t="s">
        <v>346</v>
      </c>
      <c r="O794" s="2" t="s">
        <v>347</v>
      </c>
      <c r="P794" s="2" t="s">
        <v>1716</v>
      </c>
      <c r="Q794" s="2" t="s">
        <v>1717</v>
      </c>
      <c r="R794" s="2" t="s">
        <v>29</v>
      </c>
      <c r="S794" s="2" t="s">
        <v>30</v>
      </c>
    </row>
    <row r="795" spans="1:19">
      <c r="A795" s="1">
        <v>44166</v>
      </c>
      <c r="B795" s="1">
        <v>44166</v>
      </c>
      <c r="C795">
        <v>2020</v>
      </c>
      <c r="D795">
        <v>12</v>
      </c>
      <c r="E795" s="2" t="s">
        <v>350</v>
      </c>
      <c r="F795" s="2" t="s">
        <v>351</v>
      </c>
      <c r="G795" s="2" t="s">
        <v>21</v>
      </c>
      <c r="H795" s="2" t="s">
        <v>22</v>
      </c>
      <c r="I795" s="2" t="s">
        <v>352</v>
      </c>
      <c r="J795" s="2" t="s">
        <v>353</v>
      </c>
      <c r="K795">
        <v>42662.25</v>
      </c>
      <c r="L795">
        <v>14281201.17</v>
      </c>
      <c r="M795">
        <v>33475.03</v>
      </c>
      <c r="N795" s="2" t="s">
        <v>354</v>
      </c>
      <c r="O795" s="2" t="s">
        <v>355</v>
      </c>
      <c r="P795" s="2" t="s">
        <v>1718</v>
      </c>
      <c r="Q795" s="2" t="s">
        <v>1719</v>
      </c>
      <c r="R795" s="2" t="s">
        <v>29</v>
      </c>
      <c r="S795" s="2" t="s">
        <v>30</v>
      </c>
    </row>
    <row r="796" spans="1:19">
      <c r="A796" s="1">
        <v>44166</v>
      </c>
      <c r="B796" s="1">
        <v>44166</v>
      </c>
      <c r="C796">
        <v>2020</v>
      </c>
      <c r="D796">
        <v>12</v>
      </c>
      <c r="E796" s="2" t="s">
        <v>358</v>
      </c>
      <c r="F796" s="2" t="s">
        <v>359</v>
      </c>
      <c r="G796" s="2" t="s">
        <v>21</v>
      </c>
      <c r="H796" s="2" t="s">
        <v>22</v>
      </c>
      <c r="I796" s="2" t="s">
        <v>352</v>
      </c>
      <c r="J796" s="2" t="s">
        <v>353</v>
      </c>
      <c r="K796">
        <v>43381.65</v>
      </c>
      <c r="L796">
        <v>14899216.49</v>
      </c>
      <c r="M796">
        <v>34344.51</v>
      </c>
      <c r="N796" s="2" t="s">
        <v>360</v>
      </c>
      <c r="O796" s="2" t="s">
        <v>361</v>
      </c>
      <c r="P796" s="2" t="s">
        <v>1720</v>
      </c>
      <c r="Q796" s="2" t="s">
        <v>1721</v>
      </c>
      <c r="R796" s="2" t="s">
        <v>29</v>
      </c>
      <c r="S796" s="2" t="s">
        <v>30</v>
      </c>
    </row>
    <row r="797" spans="1:19">
      <c r="A797" s="1">
        <v>44166</v>
      </c>
      <c r="B797" s="1">
        <v>44166</v>
      </c>
      <c r="C797">
        <v>2020</v>
      </c>
      <c r="D797">
        <v>12</v>
      </c>
      <c r="E797" s="2" t="s">
        <v>364</v>
      </c>
      <c r="F797" s="2" t="s">
        <v>365</v>
      </c>
      <c r="G797" s="2" t="s">
        <v>21</v>
      </c>
      <c r="H797" s="2" t="s">
        <v>22</v>
      </c>
      <c r="I797" s="2" t="s">
        <v>352</v>
      </c>
      <c r="J797" s="2" t="s">
        <v>353</v>
      </c>
      <c r="K797">
        <v>43218.17</v>
      </c>
      <c r="L797">
        <v>4240096.1500000004</v>
      </c>
      <c r="M797">
        <v>9810.91</v>
      </c>
      <c r="N797" s="2" t="s">
        <v>366</v>
      </c>
      <c r="O797" s="2" t="s">
        <v>367</v>
      </c>
      <c r="P797" s="2" t="s">
        <v>1722</v>
      </c>
      <c r="Q797" s="2" t="s">
        <v>1723</v>
      </c>
      <c r="R797" s="2" t="s">
        <v>29</v>
      </c>
      <c r="S797" s="2" t="s">
        <v>30</v>
      </c>
    </row>
    <row r="798" spans="1:19">
      <c r="A798" s="1">
        <v>44166</v>
      </c>
      <c r="B798" s="1">
        <v>44166</v>
      </c>
      <c r="C798">
        <v>2020</v>
      </c>
      <c r="D798">
        <v>12</v>
      </c>
      <c r="E798" s="2" t="s">
        <v>370</v>
      </c>
      <c r="F798" s="2" t="s">
        <v>371</v>
      </c>
      <c r="G798" s="2" t="s">
        <v>21</v>
      </c>
      <c r="H798" s="2" t="s">
        <v>22</v>
      </c>
      <c r="I798" s="2" t="s">
        <v>23</v>
      </c>
      <c r="J798" s="2" t="s">
        <v>24</v>
      </c>
      <c r="K798">
        <v>22341.58</v>
      </c>
      <c r="L798">
        <v>416176.22</v>
      </c>
      <c r="M798">
        <v>1862.79</v>
      </c>
      <c r="N798" s="2" t="s">
        <v>372</v>
      </c>
      <c r="O798" s="2" t="s">
        <v>373</v>
      </c>
      <c r="P798" s="2" t="s">
        <v>1724</v>
      </c>
      <c r="Q798" s="2" t="s">
        <v>1725</v>
      </c>
      <c r="R798" s="2" t="s">
        <v>29</v>
      </c>
      <c r="S798" s="2" t="s">
        <v>30</v>
      </c>
    </row>
    <row r="799" spans="1:19">
      <c r="A799" s="1">
        <v>44166</v>
      </c>
      <c r="B799" s="1">
        <v>44166</v>
      </c>
      <c r="C799">
        <v>2020</v>
      </c>
      <c r="D799">
        <v>12</v>
      </c>
      <c r="E799" s="2" t="s">
        <v>376</v>
      </c>
      <c r="F799" s="2" t="s">
        <v>377</v>
      </c>
      <c r="G799" s="2" t="s">
        <v>21</v>
      </c>
      <c r="H799" s="2" t="s">
        <v>22</v>
      </c>
      <c r="I799" s="2" t="s">
        <v>23</v>
      </c>
      <c r="J799" s="2" t="s">
        <v>378</v>
      </c>
      <c r="K799">
        <v>0.88</v>
      </c>
      <c r="L799">
        <v>14.1</v>
      </c>
      <c r="M799">
        <v>1602.27</v>
      </c>
      <c r="N799" s="2" t="s">
        <v>379</v>
      </c>
      <c r="O799" s="2" t="s">
        <v>380</v>
      </c>
      <c r="P799" s="2" t="s">
        <v>1726</v>
      </c>
      <c r="Q799" s="2" t="s">
        <v>1727</v>
      </c>
      <c r="R799" s="2" t="s">
        <v>29</v>
      </c>
      <c r="S799" s="2" t="s">
        <v>30</v>
      </c>
    </row>
    <row r="800" spans="1:19">
      <c r="A800" s="1">
        <v>44197</v>
      </c>
      <c r="B800" s="1">
        <v>44197</v>
      </c>
      <c r="C800">
        <v>2021</v>
      </c>
      <c r="D800">
        <v>1</v>
      </c>
      <c r="E800" s="2" t="s">
        <v>19</v>
      </c>
      <c r="F800" s="2" t="s">
        <v>20</v>
      </c>
      <c r="G800" s="2" t="s">
        <v>21</v>
      </c>
      <c r="H800" s="2" t="s">
        <v>22</v>
      </c>
      <c r="I800" s="2" t="s">
        <v>23</v>
      </c>
      <c r="J800" s="2" t="s">
        <v>24</v>
      </c>
      <c r="K800">
        <v>1.0900000000000001</v>
      </c>
      <c r="L800">
        <v>64.69</v>
      </c>
      <c r="M800">
        <v>5934.86</v>
      </c>
      <c r="N800" s="2" t="s">
        <v>25</v>
      </c>
      <c r="O800" s="2" t="s">
        <v>26</v>
      </c>
      <c r="P800" s="2" t="s">
        <v>512</v>
      </c>
      <c r="Q800" s="2" t="s">
        <v>1728</v>
      </c>
      <c r="R800" s="2" t="s">
        <v>29</v>
      </c>
      <c r="S800" s="2" t="s">
        <v>30</v>
      </c>
    </row>
    <row r="801" spans="1:19">
      <c r="A801" s="1">
        <v>44197</v>
      </c>
      <c r="B801" s="1">
        <v>44197</v>
      </c>
      <c r="C801">
        <v>2021</v>
      </c>
      <c r="D801">
        <v>1</v>
      </c>
      <c r="E801" s="2" t="s">
        <v>31</v>
      </c>
      <c r="F801" s="2" t="s">
        <v>32</v>
      </c>
      <c r="G801" s="2" t="s">
        <v>21</v>
      </c>
      <c r="H801" s="2" t="s">
        <v>22</v>
      </c>
      <c r="I801" s="2" t="s">
        <v>23</v>
      </c>
      <c r="J801" s="2" t="s">
        <v>24</v>
      </c>
      <c r="K801">
        <v>1224.28</v>
      </c>
      <c r="L801">
        <v>8500.23</v>
      </c>
      <c r="M801">
        <v>694.3</v>
      </c>
      <c r="N801" s="2" t="s">
        <v>33</v>
      </c>
      <c r="O801" s="2" t="s">
        <v>34</v>
      </c>
      <c r="P801" s="2" t="s">
        <v>1729</v>
      </c>
      <c r="Q801" s="2" t="s">
        <v>1730</v>
      </c>
      <c r="R801" s="2" t="s">
        <v>29</v>
      </c>
      <c r="S801" s="2" t="s">
        <v>30</v>
      </c>
    </row>
    <row r="802" spans="1:19">
      <c r="A802" s="1">
        <v>44197</v>
      </c>
      <c r="B802" s="1">
        <v>44197</v>
      </c>
      <c r="C802">
        <v>2021</v>
      </c>
      <c r="D802">
        <v>1</v>
      </c>
      <c r="E802" s="2" t="s">
        <v>37</v>
      </c>
      <c r="F802" s="2" t="s">
        <v>38</v>
      </c>
      <c r="G802" s="2" t="s">
        <v>39</v>
      </c>
      <c r="H802" s="2" t="s">
        <v>22</v>
      </c>
      <c r="I802" s="2" t="s">
        <v>40</v>
      </c>
      <c r="J802" s="2" t="s">
        <v>24</v>
      </c>
      <c r="K802">
        <v>5.04</v>
      </c>
      <c r="L802">
        <v>251.05</v>
      </c>
      <c r="M802">
        <v>4981.1499999999996</v>
      </c>
      <c r="N802" s="2" t="s">
        <v>41</v>
      </c>
      <c r="O802" s="2" t="s">
        <v>42</v>
      </c>
      <c r="P802" s="2" t="s">
        <v>1731</v>
      </c>
      <c r="Q802" s="2" t="s">
        <v>1732</v>
      </c>
      <c r="R802" s="2" t="s">
        <v>29</v>
      </c>
      <c r="S802" s="2" t="s">
        <v>30</v>
      </c>
    </row>
    <row r="803" spans="1:19">
      <c r="A803" s="1">
        <v>44197</v>
      </c>
      <c r="B803" s="1">
        <v>44197</v>
      </c>
      <c r="C803">
        <v>2021</v>
      </c>
      <c r="D803">
        <v>1</v>
      </c>
      <c r="E803" s="2" t="s">
        <v>45</v>
      </c>
      <c r="F803" s="2" t="s">
        <v>46</v>
      </c>
      <c r="G803" s="2" t="s">
        <v>39</v>
      </c>
      <c r="H803" s="2" t="s">
        <v>22</v>
      </c>
      <c r="I803" s="2" t="s">
        <v>40</v>
      </c>
      <c r="J803" s="2" t="s">
        <v>24</v>
      </c>
      <c r="K803">
        <v>5700.5</v>
      </c>
      <c r="L803">
        <v>266315.15999999997</v>
      </c>
      <c r="M803">
        <v>4671.79</v>
      </c>
      <c r="N803" s="2" t="s">
        <v>47</v>
      </c>
      <c r="O803" s="2" t="s">
        <v>48</v>
      </c>
      <c r="P803" s="2" t="s">
        <v>1733</v>
      </c>
      <c r="Q803" s="2" t="s">
        <v>1734</v>
      </c>
      <c r="R803" s="2" t="s">
        <v>29</v>
      </c>
      <c r="S803" s="2" t="s">
        <v>30</v>
      </c>
    </row>
    <row r="804" spans="1:19">
      <c r="A804" s="1">
        <v>44197</v>
      </c>
      <c r="B804" s="1">
        <v>44197</v>
      </c>
      <c r="C804">
        <v>2021</v>
      </c>
      <c r="D804">
        <v>1</v>
      </c>
      <c r="E804" s="2" t="s">
        <v>51</v>
      </c>
      <c r="F804" s="2" t="s">
        <v>52</v>
      </c>
      <c r="G804" s="2" t="s">
        <v>39</v>
      </c>
      <c r="H804" s="2" t="s">
        <v>22</v>
      </c>
      <c r="I804" s="2" t="s">
        <v>40</v>
      </c>
      <c r="J804" s="2" t="s">
        <v>24</v>
      </c>
      <c r="K804">
        <v>24.43</v>
      </c>
      <c r="L804">
        <v>933.88</v>
      </c>
      <c r="M804">
        <v>3822.68</v>
      </c>
      <c r="N804" s="2" t="s">
        <v>53</v>
      </c>
      <c r="O804" s="2" t="s">
        <v>54</v>
      </c>
      <c r="P804" s="2" t="s">
        <v>1735</v>
      </c>
      <c r="Q804" s="2" t="s">
        <v>1736</v>
      </c>
      <c r="R804" s="2" t="s">
        <v>29</v>
      </c>
      <c r="S804" s="2" t="s">
        <v>30</v>
      </c>
    </row>
    <row r="805" spans="1:19">
      <c r="A805" s="1">
        <v>44197</v>
      </c>
      <c r="B805" s="1">
        <v>44197</v>
      </c>
      <c r="C805">
        <v>2021</v>
      </c>
      <c r="D805">
        <v>1</v>
      </c>
      <c r="E805" s="2" t="s">
        <v>57</v>
      </c>
      <c r="F805" s="2" t="s">
        <v>58</v>
      </c>
      <c r="G805" s="2" t="s">
        <v>39</v>
      </c>
      <c r="H805" s="2" t="s">
        <v>22</v>
      </c>
      <c r="I805" s="2" t="s">
        <v>40</v>
      </c>
      <c r="J805" s="2" t="s">
        <v>59</v>
      </c>
      <c r="K805">
        <v>5729.97</v>
      </c>
      <c r="L805">
        <v>267500.09999999998</v>
      </c>
      <c r="M805">
        <v>4668.4399999999996</v>
      </c>
      <c r="N805" s="2" t="s">
        <v>60</v>
      </c>
      <c r="O805" s="2" t="s">
        <v>61</v>
      </c>
      <c r="P805" s="2" t="s">
        <v>1737</v>
      </c>
      <c r="Q805" s="2" t="s">
        <v>1738</v>
      </c>
      <c r="R805" s="2" t="s">
        <v>29</v>
      </c>
      <c r="S805" s="2" t="s">
        <v>30</v>
      </c>
    </row>
    <row r="806" spans="1:19">
      <c r="A806" s="1">
        <v>44197</v>
      </c>
      <c r="B806" s="1">
        <v>44197</v>
      </c>
      <c r="C806">
        <v>2021</v>
      </c>
      <c r="D806">
        <v>1</v>
      </c>
      <c r="E806" s="2" t="s">
        <v>64</v>
      </c>
      <c r="F806" s="2" t="s">
        <v>65</v>
      </c>
      <c r="G806" s="2" t="s">
        <v>21</v>
      </c>
      <c r="H806" s="2" t="s">
        <v>22</v>
      </c>
      <c r="I806" s="2" t="s">
        <v>66</v>
      </c>
      <c r="J806" s="2" t="s">
        <v>24</v>
      </c>
      <c r="K806">
        <v>10.29</v>
      </c>
      <c r="L806">
        <v>214.05</v>
      </c>
      <c r="M806">
        <v>2080.17</v>
      </c>
      <c r="N806" s="2" t="s">
        <v>67</v>
      </c>
      <c r="O806" s="2" t="s">
        <v>68</v>
      </c>
      <c r="P806" s="2" t="s">
        <v>1739</v>
      </c>
      <c r="Q806" s="2" t="s">
        <v>1740</v>
      </c>
      <c r="R806" s="2" t="s">
        <v>29</v>
      </c>
      <c r="S806" s="2" t="s">
        <v>30</v>
      </c>
    </row>
    <row r="807" spans="1:19">
      <c r="A807" s="1">
        <v>44197</v>
      </c>
      <c r="B807" s="1">
        <v>44197</v>
      </c>
      <c r="C807">
        <v>2021</v>
      </c>
      <c r="D807">
        <v>1</v>
      </c>
      <c r="E807" s="2" t="s">
        <v>71</v>
      </c>
      <c r="F807" s="2" t="s">
        <v>72</v>
      </c>
      <c r="G807" s="2" t="s">
        <v>21</v>
      </c>
      <c r="H807" s="2" t="s">
        <v>22</v>
      </c>
      <c r="I807" s="2" t="s">
        <v>73</v>
      </c>
      <c r="J807" s="2" t="s">
        <v>59</v>
      </c>
      <c r="K807">
        <v>5443.74</v>
      </c>
      <c r="L807">
        <v>127894.22</v>
      </c>
      <c r="M807">
        <v>2349.38</v>
      </c>
      <c r="N807" s="2" t="s">
        <v>74</v>
      </c>
      <c r="O807" s="2" t="s">
        <v>75</v>
      </c>
      <c r="P807" s="2" t="s">
        <v>1741</v>
      </c>
      <c r="Q807" s="2" t="s">
        <v>1742</v>
      </c>
      <c r="R807" s="2" t="s">
        <v>29</v>
      </c>
      <c r="S807" s="2" t="s">
        <v>30</v>
      </c>
    </row>
    <row r="808" spans="1:19">
      <c r="A808" s="1">
        <v>44197</v>
      </c>
      <c r="B808" s="1">
        <v>44197</v>
      </c>
      <c r="C808">
        <v>2021</v>
      </c>
      <c r="D808">
        <v>1</v>
      </c>
      <c r="E808" s="2" t="s">
        <v>78</v>
      </c>
      <c r="F808" s="2" t="s">
        <v>79</v>
      </c>
      <c r="G808" s="2" t="s">
        <v>80</v>
      </c>
      <c r="H808" s="2" t="s">
        <v>81</v>
      </c>
      <c r="I808" s="2" t="s">
        <v>82</v>
      </c>
      <c r="J808" s="2" t="s">
        <v>24</v>
      </c>
      <c r="K808">
        <v>1.35</v>
      </c>
      <c r="L808">
        <v>4576569.82</v>
      </c>
      <c r="M808">
        <v>339005171.85000002</v>
      </c>
      <c r="N808" s="2" t="s">
        <v>83</v>
      </c>
      <c r="O808" s="2" t="s">
        <v>84</v>
      </c>
      <c r="P808" s="2" t="s">
        <v>1743</v>
      </c>
      <c r="Q808" s="2" t="s">
        <v>1744</v>
      </c>
      <c r="R808" s="2" t="s">
        <v>29</v>
      </c>
      <c r="S808" s="2" t="s">
        <v>30</v>
      </c>
    </row>
    <row r="809" spans="1:19">
      <c r="A809" s="1">
        <v>44197</v>
      </c>
      <c r="B809" s="1">
        <v>44197</v>
      </c>
      <c r="C809">
        <v>2021</v>
      </c>
      <c r="D809">
        <v>1</v>
      </c>
      <c r="E809" s="2" t="s">
        <v>87</v>
      </c>
      <c r="F809" s="2" t="s">
        <v>88</v>
      </c>
      <c r="G809" s="2" t="s">
        <v>80</v>
      </c>
      <c r="H809" s="2" t="s">
        <v>81</v>
      </c>
      <c r="I809" s="2" t="s">
        <v>82</v>
      </c>
      <c r="J809" s="2" t="s">
        <v>24</v>
      </c>
      <c r="K809">
        <v>0.48</v>
      </c>
      <c r="L809">
        <v>657842.69999999995</v>
      </c>
      <c r="M809">
        <v>137050562.5</v>
      </c>
      <c r="N809" s="2" t="s">
        <v>89</v>
      </c>
      <c r="O809" s="2" t="s">
        <v>90</v>
      </c>
      <c r="P809" s="2" t="s">
        <v>1545</v>
      </c>
      <c r="Q809" s="2" t="s">
        <v>1745</v>
      </c>
      <c r="R809" s="2" t="s">
        <v>29</v>
      </c>
      <c r="S809" s="2" t="s">
        <v>30</v>
      </c>
    </row>
    <row r="810" spans="1:19">
      <c r="A810" s="1">
        <v>44197</v>
      </c>
      <c r="B810" s="1">
        <v>44197</v>
      </c>
      <c r="C810">
        <v>2021</v>
      </c>
      <c r="D810">
        <v>1</v>
      </c>
      <c r="E810" s="2" t="s">
        <v>93</v>
      </c>
      <c r="F810" s="2" t="s">
        <v>94</v>
      </c>
      <c r="G810" s="2" t="s">
        <v>80</v>
      </c>
      <c r="H810" s="2" t="s">
        <v>81</v>
      </c>
      <c r="I810" s="2" t="s">
        <v>82</v>
      </c>
      <c r="J810" s="2" t="s">
        <v>24</v>
      </c>
      <c r="K810">
        <v>0.22</v>
      </c>
      <c r="L810">
        <v>3848935.12</v>
      </c>
      <c r="M810">
        <v>1749515963.6400001</v>
      </c>
      <c r="N810" s="2" t="s">
        <v>95</v>
      </c>
      <c r="O810" s="2" t="s">
        <v>96</v>
      </c>
      <c r="P810" s="2" t="s">
        <v>514</v>
      </c>
      <c r="Q810" s="2" t="s">
        <v>1746</v>
      </c>
      <c r="R810" s="2" t="s">
        <v>29</v>
      </c>
      <c r="S810" s="2" t="s">
        <v>30</v>
      </c>
    </row>
    <row r="811" spans="1:19">
      <c r="A811" s="1">
        <v>44197</v>
      </c>
      <c r="B811" s="1">
        <v>44197</v>
      </c>
      <c r="C811">
        <v>2021</v>
      </c>
      <c r="D811">
        <v>1</v>
      </c>
      <c r="E811" s="2" t="s">
        <v>99</v>
      </c>
      <c r="F811" s="2" t="s">
        <v>100</v>
      </c>
      <c r="G811" s="2" t="s">
        <v>80</v>
      </c>
      <c r="H811" s="2" t="s">
        <v>81</v>
      </c>
      <c r="I811" s="2" t="s">
        <v>82</v>
      </c>
      <c r="J811" s="2" t="s">
        <v>101</v>
      </c>
      <c r="K811">
        <v>0.93</v>
      </c>
      <c r="L811">
        <v>10875914.77</v>
      </c>
      <c r="M811">
        <v>1169453201.0799999</v>
      </c>
      <c r="N811" s="2" t="s">
        <v>102</v>
      </c>
      <c r="O811" s="2" t="s">
        <v>103</v>
      </c>
      <c r="P811" s="2" t="s">
        <v>1527</v>
      </c>
      <c r="Q811" s="2" t="s">
        <v>1747</v>
      </c>
      <c r="R811" s="2" t="s">
        <v>29</v>
      </c>
      <c r="S811" s="2" t="s">
        <v>30</v>
      </c>
    </row>
    <row r="812" spans="1:19">
      <c r="A812" s="1">
        <v>44197</v>
      </c>
      <c r="B812" s="1">
        <v>44197</v>
      </c>
      <c r="C812">
        <v>2021</v>
      </c>
      <c r="D812">
        <v>1</v>
      </c>
      <c r="E812" s="2" t="s">
        <v>106</v>
      </c>
      <c r="F812" s="2" t="s">
        <v>107</v>
      </c>
      <c r="G812" s="2" t="s">
        <v>80</v>
      </c>
      <c r="H812" s="2" t="s">
        <v>81</v>
      </c>
      <c r="I812" s="2" t="s">
        <v>82</v>
      </c>
      <c r="J812" s="2" t="s">
        <v>24</v>
      </c>
      <c r="K812">
        <v>0.24</v>
      </c>
      <c r="L812">
        <v>6369136.9500000002</v>
      </c>
      <c r="M812">
        <v>2653807062.5</v>
      </c>
      <c r="N812" s="2" t="s">
        <v>108</v>
      </c>
      <c r="O812" s="2" t="s">
        <v>109</v>
      </c>
      <c r="P812" s="2" t="s">
        <v>1650</v>
      </c>
      <c r="Q812" s="2" t="s">
        <v>1748</v>
      </c>
      <c r="R812" s="2" t="s">
        <v>29</v>
      </c>
      <c r="S812" s="2" t="s">
        <v>30</v>
      </c>
    </row>
    <row r="813" spans="1:19">
      <c r="A813" s="1">
        <v>44197</v>
      </c>
      <c r="B813" s="1">
        <v>44197</v>
      </c>
      <c r="C813">
        <v>2021</v>
      </c>
      <c r="D813">
        <v>1</v>
      </c>
      <c r="E813" s="2" t="s">
        <v>111</v>
      </c>
      <c r="F813" s="2" t="s">
        <v>112</v>
      </c>
      <c r="G813" s="2" t="s">
        <v>80</v>
      </c>
      <c r="H813" s="2" t="s">
        <v>81</v>
      </c>
      <c r="I813" s="2" t="s">
        <v>82</v>
      </c>
      <c r="J813" s="2" t="s">
        <v>24</v>
      </c>
      <c r="K813">
        <v>0.04</v>
      </c>
      <c r="L813">
        <v>271015</v>
      </c>
      <c r="M813">
        <v>677537500</v>
      </c>
      <c r="N813" s="2" t="s">
        <v>113</v>
      </c>
      <c r="O813" s="2" t="s">
        <v>114</v>
      </c>
      <c r="P813" s="2" t="s">
        <v>115</v>
      </c>
      <c r="Q813" s="2" t="s">
        <v>1749</v>
      </c>
      <c r="R813" s="2" t="s">
        <v>29</v>
      </c>
      <c r="S813" s="2" t="s">
        <v>30</v>
      </c>
    </row>
    <row r="814" spans="1:19">
      <c r="A814" s="1">
        <v>44197</v>
      </c>
      <c r="B814" s="1">
        <v>44197</v>
      </c>
      <c r="C814">
        <v>2021</v>
      </c>
      <c r="D814">
        <v>1</v>
      </c>
      <c r="E814" s="2" t="s">
        <v>117</v>
      </c>
      <c r="F814" s="2" t="s">
        <v>118</v>
      </c>
      <c r="G814" s="2" t="s">
        <v>80</v>
      </c>
      <c r="H814" s="2" t="s">
        <v>81</v>
      </c>
      <c r="I814" s="2" t="s">
        <v>82</v>
      </c>
      <c r="J814" s="2" t="s">
        <v>59</v>
      </c>
      <c r="K814">
        <v>2.3199999999999998</v>
      </c>
      <c r="L814">
        <v>15723499.59</v>
      </c>
      <c r="M814">
        <v>677737051.28999996</v>
      </c>
      <c r="N814" s="2" t="s">
        <v>119</v>
      </c>
      <c r="O814" s="2" t="s">
        <v>120</v>
      </c>
      <c r="P814" s="2" t="s">
        <v>1750</v>
      </c>
      <c r="Q814" s="2" t="s">
        <v>1751</v>
      </c>
      <c r="R814" s="2" t="s">
        <v>29</v>
      </c>
      <c r="S814" s="2" t="s">
        <v>30</v>
      </c>
    </row>
    <row r="815" spans="1:19">
      <c r="A815" s="1">
        <v>44197</v>
      </c>
      <c r="B815" s="1">
        <v>44197</v>
      </c>
      <c r="C815">
        <v>2021</v>
      </c>
      <c r="D815">
        <v>1</v>
      </c>
      <c r="E815" s="2" t="s">
        <v>123</v>
      </c>
      <c r="F815" s="2" t="s">
        <v>124</v>
      </c>
      <c r="G815" s="2" t="s">
        <v>21</v>
      </c>
      <c r="H815" s="2" t="s">
        <v>22</v>
      </c>
      <c r="I815" s="2" t="s">
        <v>73</v>
      </c>
      <c r="J815" s="2" t="s">
        <v>24</v>
      </c>
      <c r="K815">
        <v>818.11</v>
      </c>
      <c r="L815">
        <v>35327.99</v>
      </c>
      <c r="M815">
        <v>4318.24</v>
      </c>
      <c r="N815" s="2" t="s">
        <v>125</v>
      </c>
      <c r="O815" s="2" t="s">
        <v>126</v>
      </c>
      <c r="P815" s="2" t="s">
        <v>1752</v>
      </c>
      <c r="Q815" s="2" t="s">
        <v>1753</v>
      </c>
      <c r="R815" s="2" t="s">
        <v>29</v>
      </c>
      <c r="S815" s="2" t="s">
        <v>30</v>
      </c>
    </row>
    <row r="816" spans="1:19">
      <c r="A816" s="1">
        <v>44197</v>
      </c>
      <c r="B816" s="1">
        <v>44197</v>
      </c>
      <c r="C816">
        <v>2021</v>
      </c>
      <c r="D816">
        <v>1</v>
      </c>
      <c r="E816" s="2" t="s">
        <v>129</v>
      </c>
      <c r="F816" s="2" t="s">
        <v>130</v>
      </c>
      <c r="G816" s="2" t="s">
        <v>21</v>
      </c>
      <c r="H816" s="2" t="s">
        <v>22</v>
      </c>
      <c r="I816" s="2" t="s">
        <v>73</v>
      </c>
      <c r="J816" s="2" t="s">
        <v>24</v>
      </c>
      <c r="K816">
        <v>926.09</v>
      </c>
      <c r="L816">
        <v>29409.1</v>
      </c>
      <c r="M816">
        <v>3175.62</v>
      </c>
      <c r="N816" s="2" t="s">
        <v>131</v>
      </c>
      <c r="O816" s="2" t="s">
        <v>132</v>
      </c>
      <c r="P816" s="2" t="s">
        <v>1754</v>
      </c>
      <c r="Q816" s="2" t="s">
        <v>1755</v>
      </c>
      <c r="R816" s="2" t="s">
        <v>29</v>
      </c>
      <c r="S816" s="2" t="s">
        <v>30</v>
      </c>
    </row>
    <row r="817" spans="1:19">
      <c r="A817" s="1">
        <v>44197</v>
      </c>
      <c r="B817" s="1">
        <v>44197</v>
      </c>
      <c r="C817">
        <v>2021</v>
      </c>
      <c r="D817">
        <v>1</v>
      </c>
      <c r="E817" s="2" t="s">
        <v>135</v>
      </c>
      <c r="F817" s="2" t="s">
        <v>136</v>
      </c>
      <c r="G817" s="2" t="s">
        <v>21</v>
      </c>
      <c r="H817" s="2" t="s">
        <v>22</v>
      </c>
      <c r="I817" s="2" t="s">
        <v>73</v>
      </c>
      <c r="J817" s="2" t="s">
        <v>101</v>
      </c>
      <c r="K817">
        <v>1744.2</v>
      </c>
      <c r="L817">
        <v>64737.09</v>
      </c>
      <c r="M817">
        <v>3711.56</v>
      </c>
      <c r="N817" s="2" t="s">
        <v>137</v>
      </c>
      <c r="O817" s="2" t="s">
        <v>138</v>
      </c>
      <c r="P817" s="2" t="s">
        <v>1756</v>
      </c>
      <c r="Q817" s="2" t="s">
        <v>1757</v>
      </c>
      <c r="R817" s="2" t="s">
        <v>29</v>
      </c>
      <c r="S817" s="2" t="s">
        <v>30</v>
      </c>
    </row>
    <row r="818" spans="1:19">
      <c r="A818" s="1">
        <v>44197</v>
      </c>
      <c r="B818" s="1">
        <v>44197</v>
      </c>
      <c r="C818">
        <v>2021</v>
      </c>
      <c r="D818">
        <v>1</v>
      </c>
      <c r="E818" s="2" t="s">
        <v>141</v>
      </c>
      <c r="F818" s="2" t="s">
        <v>142</v>
      </c>
      <c r="G818" s="2" t="s">
        <v>21</v>
      </c>
      <c r="H818" s="2" t="s">
        <v>22</v>
      </c>
      <c r="I818" s="2" t="s">
        <v>73</v>
      </c>
      <c r="J818" s="2" t="s">
        <v>24</v>
      </c>
      <c r="K818">
        <v>1567.18</v>
      </c>
      <c r="L818">
        <v>23968.54</v>
      </c>
      <c r="M818">
        <v>1529.41</v>
      </c>
      <c r="N818" s="2" t="s">
        <v>143</v>
      </c>
      <c r="O818" s="2" t="s">
        <v>144</v>
      </c>
      <c r="P818" s="2" t="s">
        <v>1758</v>
      </c>
      <c r="Q818" s="2" t="s">
        <v>1759</v>
      </c>
      <c r="R818" s="2" t="s">
        <v>29</v>
      </c>
      <c r="S818" s="2" t="s">
        <v>30</v>
      </c>
    </row>
    <row r="819" spans="1:19">
      <c r="A819" s="1">
        <v>44197</v>
      </c>
      <c r="B819" s="1">
        <v>44197</v>
      </c>
      <c r="C819">
        <v>2021</v>
      </c>
      <c r="D819">
        <v>1</v>
      </c>
      <c r="E819" s="2" t="s">
        <v>147</v>
      </c>
      <c r="F819" s="2" t="s">
        <v>148</v>
      </c>
      <c r="G819" s="2" t="s">
        <v>21</v>
      </c>
      <c r="H819" s="2" t="s">
        <v>22</v>
      </c>
      <c r="I819" s="2" t="s">
        <v>73</v>
      </c>
      <c r="J819" s="2" t="s">
        <v>24</v>
      </c>
      <c r="K819">
        <v>2132.37</v>
      </c>
      <c r="L819">
        <v>39188.589999999997</v>
      </c>
      <c r="M819">
        <v>1837.8</v>
      </c>
      <c r="N819" s="2" t="s">
        <v>149</v>
      </c>
      <c r="O819" s="2" t="s">
        <v>150</v>
      </c>
      <c r="P819" s="2" t="s">
        <v>1760</v>
      </c>
      <c r="Q819" s="2" t="s">
        <v>1761</v>
      </c>
      <c r="R819" s="2" t="s">
        <v>29</v>
      </c>
      <c r="S819" s="2" t="s">
        <v>30</v>
      </c>
    </row>
    <row r="820" spans="1:19">
      <c r="A820" s="1">
        <v>44197</v>
      </c>
      <c r="B820" s="1">
        <v>44197</v>
      </c>
      <c r="C820">
        <v>2021</v>
      </c>
      <c r="D820">
        <v>1</v>
      </c>
      <c r="E820" s="2" t="s">
        <v>153</v>
      </c>
      <c r="F820" s="2" t="s">
        <v>154</v>
      </c>
      <c r="G820" s="2" t="s">
        <v>21</v>
      </c>
      <c r="H820" s="2" t="s">
        <v>22</v>
      </c>
      <c r="I820" s="2" t="s">
        <v>73</v>
      </c>
      <c r="J820" s="2" t="s">
        <v>101</v>
      </c>
      <c r="K820">
        <v>3699.54</v>
      </c>
      <c r="L820">
        <v>63157.13</v>
      </c>
      <c r="M820">
        <v>1707.16</v>
      </c>
      <c r="N820" s="2" t="s">
        <v>155</v>
      </c>
      <c r="O820" s="2" t="s">
        <v>156</v>
      </c>
      <c r="P820" s="2" t="s">
        <v>1762</v>
      </c>
      <c r="Q820" s="2" t="s">
        <v>1763</v>
      </c>
      <c r="R820" s="2" t="s">
        <v>29</v>
      </c>
      <c r="S820" s="2" t="s">
        <v>30</v>
      </c>
    </row>
    <row r="821" spans="1:19">
      <c r="A821" s="1">
        <v>44197</v>
      </c>
      <c r="B821" s="1">
        <v>44197</v>
      </c>
      <c r="C821">
        <v>2021</v>
      </c>
      <c r="D821">
        <v>1</v>
      </c>
      <c r="E821" s="2" t="s">
        <v>159</v>
      </c>
      <c r="F821" s="2" t="s">
        <v>160</v>
      </c>
      <c r="G821" s="2" t="s">
        <v>21</v>
      </c>
      <c r="H821" s="2" t="s">
        <v>22</v>
      </c>
      <c r="I821" s="2" t="s">
        <v>66</v>
      </c>
      <c r="J821" s="2" t="s">
        <v>59</v>
      </c>
      <c r="K821">
        <v>928.08</v>
      </c>
      <c r="L821">
        <v>79371.77</v>
      </c>
      <c r="M821">
        <v>8552.26</v>
      </c>
      <c r="N821" s="2" t="s">
        <v>161</v>
      </c>
      <c r="O821" s="2" t="s">
        <v>162</v>
      </c>
      <c r="P821" s="2" t="s">
        <v>1764</v>
      </c>
      <c r="Q821" s="2" t="s">
        <v>1765</v>
      </c>
      <c r="R821" s="2" t="s">
        <v>29</v>
      </c>
      <c r="S821" s="2" t="s">
        <v>30</v>
      </c>
    </row>
    <row r="822" spans="1:19">
      <c r="A822" s="1">
        <v>44197</v>
      </c>
      <c r="B822" s="1">
        <v>44197</v>
      </c>
      <c r="C822">
        <v>2021</v>
      </c>
      <c r="D822">
        <v>1</v>
      </c>
      <c r="E822" s="2" t="s">
        <v>165</v>
      </c>
      <c r="F822" s="2" t="s">
        <v>166</v>
      </c>
      <c r="G822" s="2" t="s">
        <v>21</v>
      </c>
      <c r="H822" s="2" t="s">
        <v>22</v>
      </c>
      <c r="I822" s="2" t="s">
        <v>23</v>
      </c>
      <c r="J822" s="2" t="s">
        <v>24</v>
      </c>
      <c r="K822">
        <v>0</v>
      </c>
      <c r="L822">
        <v>0</v>
      </c>
      <c r="N822" s="2" t="s">
        <v>167</v>
      </c>
      <c r="O822" s="2" t="s">
        <v>168</v>
      </c>
      <c r="P822" s="2" t="s">
        <v>639</v>
      </c>
      <c r="Q822" s="2" t="s">
        <v>639</v>
      </c>
      <c r="R822" s="2" t="s">
        <v>29</v>
      </c>
      <c r="S822" s="2" t="s">
        <v>30</v>
      </c>
    </row>
    <row r="823" spans="1:19">
      <c r="A823" s="1">
        <v>44197</v>
      </c>
      <c r="B823" s="1">
        <v>44197</v>
      </c>
      <c r="C823">
        <v>2021</v>
      </c>
      <c r="D823">
        <v>1</v>
      </c>
      <c r="E823" s="2" t="s">
        <v>171</v>
      </c>
      <c r="F823" s="2" t="s">
        <v>172</v>
      </c>
      <c r="G823" s="2" t="s">
        <v>21</v>
      </c>
      <c r="H823" s="2" t="s">
        <v>22</v>
      </c>
      <c r="I823" s="2" t="s">
        <v>66</v>
      </c>
      <c r="J823" s="2" t="s">
        <v>24</v>
      </c>
      <c r="N823" s="2" t="s">
        <v>173</v>
      </c>
      <c r="O823" s="2" t="s">
        <v>174</v>
      </c>
      <c r="P823" s="2" t="s">
        <v>175</v>
      </c>
      <c r="Q823" s="2" t="s">
        <v>175</v>
      </c>
      <c r="R823" s="2" t="s">
        <v>640</v>
      </c>
      <c r="S823" s="2" t="s">
        <v>641</v>
      </c>
    </row>
    <row r="824" spans="1:19">
      <c r="A824" s="1">
        <v>44197</v>
      </c>
      <c r="B824" s="1">
        <v>44197</v>
      </c>
      <c r="C824">
        <v>2021</v>
      </c>
      <c r="D824">
        <v>1</v>
      </c>
      <c r="E824" s="2" t="s">
        <v>177</v>
      </c>
      <c r="F824" s="2" t="s">
        <v>178</v>
      </c>
      <c r="G824" s="2" t="s">
        <v>21</v>
      </c>
      <c r="H824" s="2" t="s">
        <v>22</v>
      </c>
      <c r="I824" s="2" t="s">
        <v>23</v>
      </c>
      <c r="J824" s="2" t="s">
        <v>24</v>
      </c>
      <c r="K824">
        <v>3465.52</v>
      </c>
      <c r="L824">
        <v>288537.52</v>
      </c>
      <c r="M824">
        <v>8325.9500000000007</v>
      </c>
      <c r="N824" s="2" t="s">
        <v>179</v>
      </c>
      <c r="O824" s="2" t="s">
        <v>180</v>
      </c>
      <c r="P824" s="2" t="s">
        <v>1766</v>
      </c>
      <c r="Q824" s="2" t="s">
        <v>1767</v>
      </c>
      <c r="R824" s="2" t="s">
        <v>29</v>
      </c>
      <c r="S824" s="2" t="s">
        <v>30</v>
      </c>
    </row>
    <row r="825" spans="1:19">
      <c r="A825" s="1">
        <v>44197</v>
      </c>
      <c r="B825" s="1">
        <v>44197</v>
      </c>
      <c r="C825">
        <v>2021</v>
      </c>
      <c r="D825">
        <v>1</v>
      </c>
      <c r="E825" s="2" t="s">
        <v>183</v>
      </c>
      <c r="F825" s="2" t="s">
        <v>184</v>
      </c>
      <c r="G825" s="2" t="s">
        <v>185</v>
      </c>
      <c r="H825" s="2" t="s">
        <v>22</v>
      </c>
      <c r="I825" s="2" t="s">
        <v>186</v>
      </c>
      <c r="J825" s="2" t="s">
        <v>24</v>
      </c>
      <c r="K825">
        <v>2675.11</v>
      </c>
      <c r="L825">
        <v>2332776.14</v>
      </c>
      <c r="M825">
        <v>87203</v>
      </c>
      <c r="N825" s="2" t="s">
        <v>187</v>
      </c>
      <c r="O825" s="2" t="s">
        <v>188</v>
      </c>
      <c r="P825" s="2" t="s">
        <v>1768</v>
      </c>
      <c r="Q825" s="2" t="s">
        <v>1769</v>
      </c>
      <c r="R825" s="2" t="s">
        <v>29</v>
      </c>
      <c r="S825" s="2" t="s">
        <v>30</v>
      </c>
    </row>
    <row r="826" spans="1:19">
      <c r="A826" s="1">
        <v>44197</v>
      </c>
      <c r="B826" s="1">
        <v>44197</v>
      </c>
      <c r="C826">
        <v>2021</v>
      </c>
      <c r="D826">
        <v>1</v>
      </c>
      <c r="E826" s="2" t="s">
        <v>191</v>
      </c>
      <c r="F826" s="2" t="s">
        <v>192</v>
      </c>
      <c r="G826" s="2" t="s">
        <v>185</v>
      </c>
      <c r="H826" s="2" t="s">
        <v>22</v>
      </c>
      <c r="I826" s="2" t="s">
        <v>186</v>
      </c>
      <c r="J826" s="2" t="s">
        <v>24</v>
      </c>
      <c r="K826">
        <v>800.47</v>
      </c>
      <c r="L826">
        <v>4212275.2300000004</v>
      </c>
      <c r="M826">
        <v>526225.25</v>
      </c>
      <c r="N826" s="2" t="s">
        <v>193</v>
      </c>
      <c r="O826" s="2" t="s">
        <v>194</v>
      </c>
      <c r="P826" s="2" t="s">
        <v>1770</v>
      </c>
      <c r="Q826" s="2" t="s">
        <v>1771</v>
      </c>
      <c r="R826" s="2" t="s">
        <v>29</v>
      </c>
      <c r="S826" s="2" t="s">
        <v>30</v>
      </c>
    </row>
    <row r="827" spans="1:19">
      <c r="A827" s="1">
        <v>44197</v>
      </c>
      <c r="B827" s="1">
        <v>44197</v>
      </c>
      <c r="C827">
        <v>2021</v>
      </c>
      <c r="D827">
        <v>1</v>
      </c>
      <c r="E827" s="2" t="s">
        <v>197</v>
      </c>
      <c r="F827" s="2" t="s">
        <v>198</v>
      </c>
      <c r="G827" s="2" t="s">
        <v>185</v>
      </c>
      <c r="H827" s="2" t="s">
        <v>22</v>
      </c>
      <c r="I827" s="2" t="s">
        <v>186</v>
      </c>
      <c r="J827" s="2" t="s">
        <v>59</v>
      </c>
      <c r="K827">
        <v>3475.58</v>
      </c>
      <c r="L827">
        <v>6545051.3700000001</v>
      </c>
      <c r="M827">
        <v>188315.37</v>
      </c>
      <c r="N827" s="2" t="s">
        <v>199</v>
      </c>
      <c r="O827" s="2" t="s">
        <v>200</v>
      </c>
      <c r="P827" s="2" t="s">
        <v>1772</v>
      </c>
      <c r="Q827" s="2" t="s">
        <v>1773</v>
      </c>
      <c r="R827" s="2" t="s">
        <v>29</v>
      </c>
      <c r="S827" s="2" t="s">
        <v>30</v>
      </c>
    </row>
    <row r="828" spans="1:19">
      <c r="A828" s="1">
        <v>44197</v>
      </c>
      <c r="B828" s="1">
        <v>44197</v>
      </c>
      <c r="C828">
        <v>2021</v>
      </c>
      <c r="D828">
        <v>1</v>
      </c>
      <c r="E828" s="2" t="s">
        <v>203</v>
      </c>
      <c r="F828" s="2" t="s">
        <v>204</v>
      </c>
      <c r="G828" s="2" t="s">
        <v>39</v>
      </c>
      <c r="H828" s="2" t="s">
        <v>22</v>
      </c>
      <c r="I828" s="2" t="s">
        <v>40</v>
      </c>
      <c r="J828" s="2" t="s">
        <v>24</v>
      </c>
      <c r="K828">
        <v>777.16</v>
      </c>
      <c r="L828">
        <v>21699.8</v>
      </c>
      <c r="M828">
        <v>2792.19</v>
      </c>
      <c r="N828" s="2" t="s">
        <v>205</v>
      </c>
      <c r="O828" s="2" t="s">
        <v>206</v>
      </c>
      <c r="P828" s="2" t="s">
        <v>1774</v>
      </c>
      <c r="Q828" s="2" t="s">
        <v>1775</v>
      </c>
      <c r="R828" s="2" t="s">
        <v>29</v>
      </c>
      <c r="S828" s="2" t="s">
        <v>30</v>
      </c>
    </row>
    <row r="829" spans="1:19">
      <c r="A829" s="1">
        <v>44197</v>
      </c>
      <c r="B829" s="1">
        <v>44197</v>
      </c>
      <c r="C829">
        <v>2021</v>
      </c>
      <c r="D829">
        <v>1</v>
      </c>
      <c r="E829" s="2" t="s">
        <v>209</v>
      </c>
      <c r="F829" s="2" t="s">
        <v>210</v>
      </c>
      <c r="G829" s="2" t="s">
        <v>39</v>
      </c>
      <c r="H829" s="2" t="s">
        <v>22</v>
      </c>
      <c r="I829" s="2" t="s">
        <v>40</v>
      </c>
      <c r="J829" s="2" t="s">
        <v>59</v>
      </c>
      <c r="K829">
        <v>777.16</v>
      </c>
      <c r="L829">
        <v>21699.8</v>
      </c>
      <c r="M829">
        <v>2792.19</v>
      </c>
      <c r="N829" s="2" t="s">
        <v>211</v>
      </c>
      <c r="O829" s="2" t="s">
        <v>212</v>
      </c>
      <c r="P829" s="2" t="s">
        <v>1774</v>
      </c>
      <c r="Q829" s="2" t="s">
        <v>1775</v>
      </c>
      <c r="R829" s="2" t="s">
        <v>29</v>
      </c>
      <c r="S829" s="2" t="s">
        <v>30</v>
      </c>
    </row>
    <row r="830" spans="1:19">
      <c r="A830" s="1">
        <v>44197</v>
      </c>
      <c r="B830" s="1">
        <v>44197</v>
      </c>
      <c r="C830">
        <v>2021</v>
      </c>
      <c r="D830">
        <v>1</v>
      </c>
      <c r="E830" s="2" t="s">
        <v>213</v>
      </c>
      <c r="F830" s="2" t="s">
        <v>214</v>
      </c>
      <c r="G830" s="2" t="s">
        <v>185</v>
      </c>
      <c r="H830" s="2" t="s">
        <v>22</v>
      </c>
      <c r="I830" s="2" t="s">
        <v>215</v>
      </c>
      <c r="J830" s="2" t="s">
        <v>24</v>
      </c>
      <c r="K830">
        <v>25072.69</v>
      </c>
      <c r="L830">
        <v>807977.28</v>
      </c>
      <c r="M830">
        <v>3222.54</v>
      </c>
      <c r="N830" s="2" t="s">
        <v>216</v>
      </c>
      <c r="O830" s="2" t="s">
        <v>217</v>
      </c>
      <c r="P830" s="2" t="s">
        <v>1776</v>
      </c>
      <c r="Q830" s="2" t="s">
        <v>1777</v>
      </c>
      <c r="R830" s="2" t="s">
        <v>29</v>
      </c>
      <c r="S830" s="2" t="s">
        <v>30</v>
      </c>
    </row>
    <row r="831" spans="1:19">
      <c r="A831" s="1">
        <v>44197</v>
      </c>
      <c r="B831" s="1">
        <v>44197</v>
      </c>
      <c r="C831">
        <v>2021</v>
      </c>
      <c r="D831">
        <v>1</v>
      </c>
      <c r="E831" s="2" t="s">
        <v>220</v>
      </c>
      <c r="F831" s="2" t="s">
        <v>221</v>
      </c>
      <c r="G831" s="2" t="s">
        <v>185</v>
      </c>
      <c r="H831" s="2" t="s">
        <v>22</v>
      </c>
      <c r="I831" s="2" t="s">
        <v>215</v>
      </c>
      <c r="J831" s="2" t="s">
        <v>24</v>
      </c>
      <c r="K831">
        <v>2571.61</v>
      </c>
      <c r="L831">
        <v>212336.03</v>
      </c>
      <c r="M831">
        <v>8256.93</v>
      </c>
      <c r="N831" s="2" t="s">
        <v>222</v>
      </c>
      <c r="O831" s="2" t="s">
        <v>223</v>
      </c>
      <c r="P831" s="2" t="s">
        <v>1778</v>
      </c>
      <c r="Q831" s="2" t="s">
        <v>1779</v>
      </c>
      <c r="R831" s="2" t="s">
        <v>29</v>
      </c>
      <c r="S831" s="2" t="s">
        <v>30</v>
      </c>
    </row>
    <row r="832" spans="1:19">
      <c r="A832" s="1">
        <v>44197</v>
      </c>
      <c r="B832" s="1">
        <v>44197</v>
      </c>
      <c r="C832">
        <v>2021</v>
      </c>
      <c r="D832">
        <v>1</v>
      </c>
      <c r="E832" s="2" t="s">
        <v>226</v>
      </c>
      <c r="F832" s="2" t="s">
        <v>227</v>
      </c>
      <c r="G832" s="2" t="s">
        <v>185</v>
      </c>
      <c r="H832" s="2" t="s">
        <v>22</v>
      </c>
      <c r="I832" s="2" t="s">
        <v>215</v>
      </c>
      <c r="J832" s="2" t="s">
        <v>59</v>
      </c>
      <c r="K832">
        <v>27644.3</v>
      </c>
      <c r="L832">
        <v>1020313.31</v>
      </c>
      <c r="M832">
        <v>3690.86</v>
      </c>
      <c r="N832" s="2" t="s">
        <v>228</v>
      </c>
      <c r="O832" s="2" t="s">
        <v>229</v>
      </c>
      <c r="P832" s="2" t="s">
        <v>1780</v>
      </c>
      <c r="Q832" s="2" t="s">
        <v>1781</v>
      </c>
      <c r="R832" s="2" t="s">
        <v>29</v>
      </c>
      <c r="S832" s="2" t="s">
        <v>30</v>
      </c>
    </row>
    <row r="833" spans="1:19">
      <c r="A833" s="1">
        <v>44197</v>
      </c>
      <c r="B833" s="1">
        <v>44197</v>
      </c>
      <c r="C833">
        <v>2021</v>
      </c>
      <c r="D833">
        <v>1</v>
      </c>
      <c r="E833" s="2" t="s">
        <v>232</v>
      </c>
      <c r="F833" s="2" t="s">
        <v>233</v>
      </c>
      <c r="G833" s="2" t="s">
        <v>21</v>
      </c>
      <c r="H833" s="2" t="s">
        <v>22</v>
      </c>
      <c r="I833" s="2" t="s">
        <v>23</v>
      </c>
      <c r="J833" s="2" t="s">
        <v>24</v>
      </c>
      <c r="K833">
        <v>1115.1300000000001</v>
      </c>
      <c r="L833">
        <v>96681.02</v>
      </c>
      <c r="M833">
        <v>8669.93</v>
      </c>
      <c r="N833" s="2" t="s">
        <v>234</v>
      </c>
      <c r="O833" s="2" t="s">
        <v>235</v>
      </c>
      <c r="P833" s="2" t="s">
        <v>1782</v>
      </c>
      <c r="Q833" s="2" t="s">
        <v>1783</v>
      </c>
      <c r="R833" s="2" t="s">
        <v>29</v>
      </c>
      <c r="S833" s="2" t="s">
        <v>30</v>
      </c>
    </row>
    <row r="834" spans="1:19">
      <c r="A834" s="1">
        <v>44197</v>
      </c>
      <c r="B834" s="1">
        <v>44197</v>
      </c>
      <c r="C834">
        <v>2021</v>
      </c>
      <c r="D834">
        <v>1</v>
      </c>
      <c r="E834" s="2" t="s">
        <v>238</v>
      </c>
      <c r="F834" s="2" t="s">
        <v>239</v>
      </c>
      <c r="G834" s="2" t="s">
        <v>21</v>
      </c>
      <c r="H834" s="2" t="s">
        <v>22</v>
      </c>
      <c r="I834" s="2" t="s">
        <v>66</v>
      </c>
      <c r="J834" s="2" t="s">
        <v>24</v>
      </c>
      <c r="K834">
        <v>839.08</v>
      </c>
      <c r="L834">
        <v>79044.39</v>
      </c>
      <c r="M834">
        <v>9420.36</v>
      </c>
      <c r="N834" s="2" t="s">
        <v>240</v>
      </c>
      <c r="O834" s="2" t="s">
        <v>241</v>
      </c>
      <c r="P834" s="2" t="s">
        <v>1784</v>
      </c>
      <c r="Q834" s="2" t="s">
        <v>1785</v>
      </c>
      <c r="R834" s="2" t="s">
        <v>29</v>
      </c>
      <c r="S834" s="2" t="s">
        <v>30</v>
      </c>
    </row>
    <row r="835" spans="1:19">
      <c r="A835" s="1">
        <v>44197</v>
      </c>
      <c r="B835" s="1">
        <v>44197</v>
      </c>
      <c r="C835">
        <v>2021</v>
      </c>
      <c r="D835">
        <v>1</v>
      </c>
      <c r="E835" s="2" t="s">
        <v>244</v>
      </c>
      <c r="F835" s="2" t="s">
        <v>245</v>
      </c>
      <c r="G835" s="2" t="s">
        <v>21</v>
      </c>
      <c r="H835" s="2" t="s">
        <v>22</v>
      </c>
      <c r="I835" s="2" t="s">
        <v>23</v>
      </c>
      <c r="J835" s="2" t="s">
        <v>24</v>
      </c>
      <c r="K835">
        <v>2874.93</v>
      </c>
      <c r="L835">
        <v>2165869.48</v>
      </c>
      <c r="M835">
        <v>75336.42</v>
      </c>
      <c r="N835" s="2" t="s">
        <v>246</v>
      </c>
      <c r="O835" s="2" t="s">
        <v>247</v>
      </c>
      <c r="P835" s="2" t="s">
        <v>1786</v>
      </c>
      <c r="Q835" s="2" t="s">
        <v>1787</v>
      </c>
      <c r="R835" s="2" t="s">
        <v>29</v>
      </c>
      <c r="S835" s="2" t="s">
        <v>30</v>
      </c>
    </row>
    <row r="836" spans="1:19">
      <c r="A836" s="1">
        <v>44197</v>
      </c>
      <c r="B836" s="1">
        <v>44197</v>
      </c>
      <c r="C836">
        <v>2021</v>
      </c>
      <c r="D836">
        <v>1</v>
      </c>
      <c r="E836" s="2" t="s">
        <v>250</v>
      </c>
      <c r="F836" s="2" t="s">
        <v>251</v>
      </c>
      <c r="G836" s="2" t="s">
        <v>21</v>
      </c>
      <c r="H836" s="2" t="s">
        <v>22</v>
      </c>
      <c r="I836" s="2" t="s">
        <v>66</v>
      </c>
      <c r="J836" s="2" t="s">
        <v>24</v>
      </c>
      <c r="K836">
        <v>78.709999999999994</v>
      </c>
      <c r="L836">
        <v>113.33</v>
      </c>
      <c r="M836">
        <v>143.97999999999999</v>
      </c>
      <c r="N836" s="2" t="s">
        <v>252</v>
      </c>
      <c r="O836" s="2" t="s">
        <v>253</v>
      </c>
      <c r="P836" s="2" t="s">
        <v>1788</v>
      </c>
      <c r="Q836" s="2" t="s">
        <v>1789</v>
      </c>
      <c r="R836" s="2" t="s">
        <v>29</v>
      </c>
      <c r="S836" s="2" t="s">
        <v>30</v>
      </c>
    </row>
    <row r="837" spans="1:19">
      <c r="A837" s="1">
        <v>44197</v>
      </c>
      <c r="B837" s="1">
        <v>44197</v>
      </c>
      <c r="C837">
        <v>2021</v>
      </c>
      <c r="D837">
        <v>1</v>
      </c>
      <c r="E837" s="2" t="s">
        <v>256</v>
      </c>
      <c r="F837" s="2" t="s">
        <v>257</v>
      </c>
      <c r="G837" s="2" t="s">
        <v>21</v>
      </c>
      <c r="H837" s="2" t="s">
        <v>22</v>
      </c>
      <c r="I837" s="2" t="s">
        <v>258</v>
      </c>
      <c r="J837" s="2" t="s">
        <v>24</v>
      </c>
      <c r="K837">
        <v>657.01</v>
      </c>
      <c r="L837">
        <v>551206.72</v>
      </c>
      <c r="M837">
        <v>83896.25</v>
      </c>
      <c r="N837" s="2" t="s">
        <v>259</v>
      </c>
      <c r="O837" s="2" t="s">
        <v>260</v>
      </c>
      <c r="P837" s="2" t="s">
        <v>1790</v>
      </c>
      <c r="Q837" s="2" t="s">
        <v>1791</v>
      </c>
      <c r="R837" s="2" t="s">
        <v>29</v>
      </c>
      <c r="S837" s="2" t="s">
        <v>30</v>
      </c>
    </row>
    <row r="838" spans="1:19">
      <c r="A838" s="1">
        <v>44197</v>
      </c>
      <c r="B838" s="1">
        <v>44197</v>
      </c>
      <c r="C838">
        <v>2021</v>
      </c>
      <c r="D838">
        <v>1</v>
      </c>
      <c r="E838" s="2" t="s">
        <v>263</v>
      </c>
      <c r="F838" s="2" t="s">
        <v>264</v>
      </c>
      <c r="G838" s="2" t="s">
        <v>21</v>
      </c>
      <c r="H838" s="2" t="s">
        <v>22</v>
      </c>
      <c r="I838" s="2" t="s">
        <v>258</v>
      </c>
      <c r="J838" s="2" t="s">
        <v>24</v>
      </c>
      <c r="K838">
        <v>0</v>
      </c>
      <c r="L838">
        <v>0</v>
      </c>
      <c r="N838" s="2" t="s">
        <v>265</v>
      </c>
      <c r="O838" s="2" t="s">
        <v>266</v>
      </c>
      <c r="P838" s="2" t="s">
        <v>639</v>
      </c>
      <c r="Q838" s="2" t="s">
        <v>639</v>
      </c>
      <c r="R838" s="2" t="s">
        <v>29</v>
      </c>
      <c r="S838" s="2" t="s">
        <v>30</v>
      </c>
    </row>
    <row r="839" spans="1:19">
      <c r="A839" s="1">
        <v>44197</v>
      </c>
      <c r="B839" s="1">
        <v>44197</v>
      </c>
      <c r="C839">
        <v>2021</v>
      </c>
      <c r="D839">
        <v>1</v>
      </c>
      <c r="E839" s="2" t="s">
        <v>269</v>
      </c>
      <c r="F839" s="2" t="s">
        <v>270</v>
      </c>
      <c r="G839" s="2" t="s">
        <v>21</v>
      </c>
      <c r="H839" s="2" t="s">
        <v>22</v>
      </c>
      <c r="I839" s="2" t="s">
        <v>258</v>
      </c>
      <c r="J839" s="2" t="s">
        <v>59</v>
      </c>
      <c r="K839">
        <v>657.01</v>
      </c>
      <c r="L839">
        <v>551206.72</v>
      </c>
      <c r="M839">
        <v>83896.25</v>
      </c>
      <c r="N839" s="2" t="s">
        <v>271</v>
      </c>
      <c r="O839" s="2" t="s">
        <v>272</v>
      </c>
      <c r="P839" s="2" t="s">
        <v>1790</v>
      </c>
      <c r="Q839" s="2" t="s">
        <v>1791</v>
      </c>
      <c r="R839" s="2" t="s">
        <v>29</v>
      </c>
      <c r="S839" s="2" t="s">
        <v>30</v>
      </c>
    </row>
    <row r="840" spans="1:19">
      <c r="A840" s="1">
        <v>44197</v>
      </c>
      <c r="B840" s="1">
        <v>44197</v>
      </c>
      <c r="C840">
        <v>2021</v>
      </c>
      <c r="D840">
        <v>1</v>
      </c>
      <c r="E840" s="2" t="s">
        <v>275</v>
      </c>
      <c r="F840" s="2" t="s">
        <v>276</v>
      </c>
      <c r="G840" s="2" t="s">
        <v>39</v>
      </c>
      <c r="H840" s="2" t="s">
        <v>22</v>
      </c>
      <c r="I840" s="2" t="s">
        <v>40</v>
      </c>
      <c r="J840" s="2" t="s">
        <v>24</v>
      </c>
      <c r="K840">
        <v>30.62</v>
      </c>
      <c r="L840">
        <v>135.25</v>
      </c>
      <c r="M840">
        <v>441.7</v>
      </c>
      <c r="N840" s="2" t="s">
        <v>277</v>
      </c>
      <c r="O840" s="2" t="s">
        <v>278</v>
      </c>
      <c r="P840" s="2" t="s">
        <v>1792</v>
      </c>
      <c r="Q840" s="2" t="s">
        <v>1793</v>
      </c>
      <c r="R840" s="2" t="s">
        <v>29</v>
      </c>
      <c r="S840" s="2" t="s">
        <v>30</v>
      </c>
    </row>
    <row r="841" spans="1:19">
      <c r="A841" s="1">
        <v>44197</v>
      </c>
      <c r="B841" s="1">
        <v>44197</v>
      </c>
      <c r="C841">
        <v>2021</v>
      </c>
      <c r="D841">
        <v>1</v>
      </c>
      <c r="E841" s="2" t="s">
        <v>281</v>
      </c>
      <c r="F841" s="2" t="s">
        <v>282</v>
      </c>
      <c r="G841" s="2" t="s">
        <v>39</v>
      </c>
      <c r="H841" s="2" t="s">
        <v>22</v>
      </c>
      <c r="I841" s="2" t="s">
        <v>40</v>
      </c>
      <c r="J841" s="2" t="s">
        <v>24</v>
      </c>
      <c r="K841">
        <v>1.84</v>
      </c>
      <c r="L841">
        <v>2.2400000000000002</v>
      </c>
      <c r="M841">
        <v>121.74</v>
      </c>
      <c r="N841" s="2" t="s">
        <v>283</v>
      </c>
      <c r="O841" s="2" t="s">
        <v>284</v>
      </c>
      <c r="P841" s="2" t="s">
        <v>1794</v>
      </c>
      <c r="Q841" s="2" t="s">
        <v>1795</v>
      </c>
      <c r="R841" s="2" t="s">
        <v>29</v>
      </c>
      <c r="S841" s="2" t="s">
        <v>30</v>
      </c>
    </row>
    <row r="842" spans="1:19">
      <c r="A842" s="1">
        <v>44197</v>
      </c>
      <c r="B842" s="1">
        <v>44197</v>
      </c>
      <c r="C842">
        <v>2021</v>
      </c>
      <c r="D842">
        <v>1</v>
      </c>
      <c r="E842" s="2" t="s">
        <v>287</v>
      </c>
      <c r="F842" s="2" t="s">
        <v>288</v>
      </c>
      <c r="G842" s="2" t="s">
        <v>39</v>
      </c>
      <c r="H842" s="2" t="s">
        <v>22</v>
      </c>
      <c r="I842" s="2" t="s">
        <v>40</v>
      </c>
      <c r="J842" s="2" t="s">
        <v>59</v>
      </c>
      <c r="K842">
        <v>32.47</v>
      </c>
      <c r="L842">
        <v>137.49</v>
      </c>
      <c r="M842">
        <v>423.44</v>
      </c>
      <c r="N842" s="2" t="s">
        <v>289</v>
      </c>
      <c r="O842" s="2" t="s">
        <v>290</v>
      </c>
      <c r="P842" s="2" t="s">
        <v>1796</v>
      </c>
      <c r="Q842" s="2" t="s">
        <v>1797</v>
      </c>
      <c r="R842" s="2" t="s">
        <v>29</v>
      </c>
      <c r="S842" s="2" t="s">
        <v>30</v>
      </c>
    </row>
    <row r="843" spans="1:19">
      <c r="A843" s="1">
        <v>44197</v>
      </c>
      <c r="B843" s="1">
        <v>44197</v>
      </c>
      <c r="C843">
        <v>2021</v>
      </c>
      <c r="D843">
        <v>1</v>
      </c>
      <c r="E843" s="2" t="s">
        <v>293</v>
      </c>
      <c r="F843" s="2" t="s">
        <v>294</v>
      </c>
      <c r="G843" s="2" t="s">
        <v>21</v>
      </c>
      <c r="H843" s="2" t="s">
        <v>22</v>
      </c>
      <c r="I843" s="2" t="s">
        <v>295</v>
      </c>
      <c r="J843" s="2" t="s">
        <v>24</v>
      </c>
      <c r="K843">
        <v>847.51</v>
      </c>
      <c r="L843">
        <v>4257.0600000000004</v>
      </c>
      <c r="M843">
        <v>502.3</v>
      </c>
      <c r="N843" s="2" t="s">
        <v>296</v>
      </c>
      <c r="O843" s="2" t="s">
        <v>297</v>
      </c>
      <c r="P843" s="2" t="s">
        <v>1798</v>
      </c>
      <c r="Q843" s="2" t="s">
        <v>1799</v>
      </c>
      <c r="R843" s="2" t="s">
        <v>29</v>
      </c>
      <c r="S843" s="2" t="s">
        <v>30</v>
      </c>
    </row>
    <row r="844" spans="1:19">
      <c r="A844" s="1">
        <v>44197</v>
      </c>
      <c r="B844" s="1">
        <v>44197</v>
      </c>
      <c r="C844">
        <v>2021</v>
      </c>
      <c r="D844">
        <v>1</v>
      </c>
      <c r="E844" s="2" t="s">
        <v>300</v>
      </c>
      <c r="F844" s="2" t="s">
        <v>301</v>
      </c>
      <c r="G844" s="2" t="s">
        <v>21</v>
      </c>
      <c r="H844" s="2" t="s">
        <v>22</v>
      </c>
      <c r="I844" s="2" t="s">
        <v>295</v>
      </c>
      <c r="J844" s="2" t="s">
        <v>24</v>
      </c>
      <c r="K844">
        <v>43.29</v>
      </c>
      <c r="L844">
        <v>1646.73</v>
      </c>
      <c r="M844">
        <v>3803.95</v>
      </c>
      <c r="N844" s="2" t="s">
        <v>302</v>
      </c>
      <c r="O844" s="2" t="s">
        <v>303</v>
      </c>
      <c r="P844" s="2" t="s">
        <v>1800</v>
      </c>
      <c r="Q844" s="2" t="s">
        <v>1801</v>
      </c>
      <c r="R844" s="2" t="s">
        <v>29</v>
      </c>
      <c r="S844" s="2" t="s">
        <v>30</v>
      </c>
    </row>
    <row r="845" spans="1:19">
      <c r="A845" s="1">
        <v>44197</v>
      </c>
      <c r="B845" s="1">
        <v>44197</v>
      </c>
      <c r="C845">
        <v>2021</v>
      </c>
      <c r="D845">
        <v>1</v>
      </c>
      <c r="E845" s="2" t="s">
        <v>306</v>
      </c>
      <c r="F845" s="2" t="s">
        <v>307</v>
      </c>
      <c r="G845" s="2" t="s">
        <v>21</v>
      </c>
      <c r="H845" s="2" t="s">
        <v>22</v>
      </c>
      <c r="I845" s="2" t="s">
        <v>295</v>
      </c>
      <c r="J845" s="2" t="s">
        <v>101</v>
      </c>
      <c r="K845">
        <v>890.8</v>
      </c>
      <c r="L845">
        <v>5903.78</v>
      </c>
      <c r="M845">
        <v>662.75</v>
      </c>
      <c r="N845" s="2" t="s">
        <v>308</v>
      </c>
      <c r="O845" s="2" t="s">
        <v>309</v>
      </c>
      <c r="P845" s="2" t="s">
        <v>1802</v>
      </c>
      <c r="Q845" s="2" t="s">
        <v>1803</v>
      </c>
      <c r="R845" s="2" t="s">
        <v>29</v>
      </c>
      <c r="S845" s="2" t="s">
        <v>30</v>
      </c>
    </row>
    <row r="846" spans="1:19">
      <c r="A846" s="1">
        <v>44197</v>
      </c>
      <c r="B846" s="1">
        <v>44197</v>
      </c>
      <c r="C846">
        <v>2021</v>
      </c>
      <c r="D846">
        <v>1</v>
      </c>
      <c r="E846" s="2" t="s">
        <v>312</v>
      </c>
      <c r="F846" s="2" t="s">
        <v>313</v>
      </c>
      <c r="G846" s="2" t="s">
        <v>21</v>
      </c>
      <c r="H846" s="2" t="s">
        <v>22</v>
      </c>
      <c r="I846" s="2" t="s">
        <v>295</v>
      </c>
      <c r="J846" s="2" t="s">
        <v>59</v>
      </c>
      <c r="K846">
        <v>4386.66</v>
      </c>
      <c r="L846">
        <v>19354.59</v>
      </c>
      <c r="M846">
        <v>441.21</v>
      </c>
      <c r="N846" s="2" t="s">
        <v>314</v>
      </c>
      <c r="O846" s="2" t="s">
        <v>315</v>
      </c>
      <c r="P846" s="2" t="s">
        <v>1804</v>
      </c>
      <c r="Q846" s="2" t="s">
        <v>1805</v>
      </c>
      <c r="R846" s="2" t="s">
        <v>29</v>
      </c>
      <c r="S846" s="2" t="s">
        <v>30</v>
      </c>
    </row>
    <row r="847" spans="1:19">
      <c r="A847" s="1">
        <v>44197</v>
      </c>
      <c r="B847" s="1">
        <v>44197</v>
      </c>
      <c r="C847">
        <v>2021</v>
      </c>
      <c r="D847">
        <v>1</v>
      </c>
      <c r="E847" s="2" t="s">
        <v>318</v>
      </c>
      <c r="F847" s="2" t="s">
        <v>319</v>
      </c>
      <c r="G847" s="2" t="s">
        <v>21</v>
      </c>
      <c r="H847" s="2" t="s">
        <v>22</v>
      </c>
      <c r="I847" s="2" t="s">
        <v>295</v>
      </c>
      <c r="J847" s="2" t="s">
        <v>24</v>
      </c>
      <c r="K847">
        <v>3495.85</v>
      </c>
      <c r="L847">
        <v>13450.8</v>
      </c>
      <c r="M847">
        <v>384.76</v>
      </c>
      <c r="N847" s="2" t="s">
        <v>320</v>
      </c>
      <c r="O847" s="2" t="s">
        <v>321</v>
      </c>
      <c r="P847" s="2" t="s">
        <v>1806</v>
      </c>
      <c r="Q847" s="2" t="s">
        <v>1807</v>
      </c>
      <c r="R847" s="2" t="s">
        <v>29</v>
      </c>
      <c r="S847" s="2" t="s">
        <v>30</v>
      </c>
    </row>
    <row r="848" spans="1:19">
      <c r="A848" s="1">
        <v>44197</v>
      </c>
      <c r="B848" s="1">
        <v>44197</v>
      </c>
      <c r="C848">
        <v>2021</v>
      </c>
      <c r="D848">
        <v>1</v>
      </c>
      <c r="E848" s="2" t="s">
        <v>324</v>
      </c>
      <c r="F848" s="2" t="s">
        <v>325</v>
      </c>
      <c r="G848" s="2" t="s">
        <v>21</v>
      </c>
      <c r="H848" s="2" t="s">
        <v>22</v>
      </c>
      <c r="I848" s="2" t="s">
        <v>23</v>
      </c>
      <c r="J848" s="2" t="s">
        <v>59</v>
      </c>
      <c r="K848">
        <v>31708.240000000002</v>
      </c>
      <c r="L848">
        <v>2990834.85</v>
      </c>
      <c r="M848">
        <v>9432.36</v>
      </c>
      <c r="N848" s="2" t="s">
        <v>326</v>
      </c>
      <c r="O848" s="2" t="s">
        <v>327</v>
      </c>
      <c r="P848" s="2" t="s">
        <v>1808</v>
      </c>
      <c r="Q848" s="2" t="s">
        <v>1809</v>
      </c>
      <c r="R848" s="2" t="s">
        <v>29</v>
      </c>
      <c r="S848" s="2" t="s">
        <v>30</v>
      </c>
    </row>
    <row r="849" spans="1:19">
      <c r="A849" s="1">
        <v>44197</v>
      </c>
      <c r="B849" s="1">
        <v>44197</v>
      </c>
      <c r="C849">
        <v>2021</v>
      </c>
      <c r="D849">
        <v>1</v>
      </c>
      <c r="E849" s="2" t="s">
        <v>330</v>
      </c>
      <c r="F849" s="2" t="s">
        <v>331</v>
      </c>
      <c r="G849" s="2" t="s">
        <v>21</v>
      </c>
      <c r="H849" s="2" t="s">
        <v>332</v>
      </c>
      <c r="I849" s="2" t="s">
        <v>333</v>
      </c>
      <c r="J849" s="2" t="s">
        <v>24</v>
      </c>
      <c r="K849">
        <v>155.07</v>
      </c>
      <c r="L849">
        <v>7854553.0599999996</v>
      </c>
      <c r="M849">
        <v>5065166.09</v>
      </c>
      <c r="N849" s="2" t="s">
        <v>334</v>
      </c>
      <c r="O849" s="2" t="s">
        <v>335</v>
      </c>
      <c r="P849" s="2" t="s">
        <v>1810</v>
      </c>
      <c r="Q849" s="2" t="s">
        <v>1811</v>
      </c>
      <c r="R849" s="2" t="s">
        <v>29</v>
      </c>
      <c r="S849" s="2" t="s">
        <v>30</v>
      </c>
    </row>
    <row r="850" spans="1:19">
      <c r="A850" s="1">
        <v>44197</v>
      </c>
      <c r="B850" s="1">
        <v>44197</v>
      </c>
      <c r="C850">
        <v>2021</v>
      </c>
      <c r="D850">
        <v>1</v>
      </c>
      <c r="E850" s="2" t="s">
        <v>338</v>
      </c>
      <c r="F850" s="2" t="s">
        <v>339</v>
      </c>
      <c r="G850" s="2" t="s">
        <v>21</v>
      </c>
      <c r="H850" s="2" t="s">
        <v>332</v>
      </c>
      <c r="I850" s="2" t="s">
        <v>333</v>
      </c>
      <c r="J850" s="2" t="s">
        <v>24</v>
      </c>
      <c r="K850">
        <v>1.61</v>
      </c>
      <c r="L850">
        <v>1315609.24</v>
      </c>
      <c r="M850">
        <v>81714859.629999995</v>
      </c>
      <c r="N850" s="2" t="s">
        <v>340</v>
      </c>
      <c r="O850" s="2" t="s">
        <v>341</v>
      </c>
      <c r="P850" s="2" t="s">
        <v>1417</v>
      </c>
      <c r="Q850" s="2" t="s">
        <v>1812</v>
      </c>
      <c r="R850" s="2" t="s">
        <v>29</v>
      </c>
      <c r="S850" s="2" t="s">
        <v>30</v>
      </c>
    </row>
    <row r="851" spans="1:19">
      <c r="A851" s="1">
        <v>44197</v>
      </c>
      <c r="B851" s="1">
        <v>44197</v>
      </c>
      <c r="C851">
        <v>2021</v>
      </c>
      <c r="D851">
        <v>1</v>
      </c>
      <c r="E851" s="2" t="s">
        <v>344</v>
      </c>
      <c r="F851" s="2" t="s">
        <v>345</v>
      </c>
      <c r="G851" s="2" t="s">
        <v>21</v>
      </c>
      <c r="H851" s="2" t="s">
        <v>332</v>
      </c>
      <c r="I851" s="2" t="s">
        <v>333</v>
      </c>
      <c r="J851" s="2" t="s">
        <v>59</v>
      </c>
      <c r="K851">
        <v>156.68</v>
      </c>
      <c r="L851">
        <v>9170162.3000000007</v>
      </c>
      <c r="M851">
        <v>5852796.9699999997</v>
      </c>
      <c r="N851" s="2" t="s">
        <v>346</v>
      </c>
      <c r="O851" s="2" t="s">
        <v>347</v>
      </c>
      <c r="P851" s="2" t="s">
        <v>1813</v>
      </c>
      <c r="Q851" s="2" t="s">
        <v>1814</v>
      </c>
      <c r="R851" s="2" t="s">
        <v>29</v>
      </c>
      <c r="S851" s="2" t="s">
        <v>30</v>
      </c>
    </row>
    <row r="852" spans="1:19">
      <c r="A852" s="1">
        <v>44197</v>
      </c>
      <c r="B852" s="1">
        <v>44197</v>
      </c>
      <c r="C852">
        <v>2021</v>
      </c>
      <c r="D852">
        <v>1</v>
      </c>
      <c r="E852" s="2" t="s">
        <v>350</v>
      </c>
      <c r="F852" s="2" t="s">
        <v>351</v>
      </c>
      <c r="G852" s="2" t="s">
        <v>21</v>
      </c>
      <c r="H852" s="2" t="s">
        <v>22</v>
      </c>
      <c r="I852" s="2" t="s">
        <v>352</v>
      </c>
      <c r="J852" s="2" t="s">
        <v>353</v>
      </c>
      <c r="K852">
        <v>42623.4</v>
      </c>
      <c r="L852">
        <v>12387617.73</v>
      </c>
      <c r="M852">
        <v>29062.95</v>
      </c>
      <c r="N852" s="2" t="s">
        <v>354</v>
      </c>
      <c r="O852" s="2" t="s">
        <v>355</v>
      </c>
      <c r="P852" s="2" t="s">
        <v>1815</v>
      </c>
      <c r="Q852" s="2" t="s">
        <v>1816</v>
      </c>
      <c r="R852" s="2" t="s">
        <v>29</v>
      </c>
      <c r="S852" s="2" t="s">
        <v>30</v>
      </c>
    </row>
    <row r="853" spans="1:19">
      <c r="A853" s="1">
        <v>44197</v>
      </c>
      <c r="B853" s="1">
        <v>44197</v>
      </c>
      <c r="C853">
        <v>2021</v>
      </c>
      <c r="D853">
        <v>1</v>
      </c>
      <c r="E853" s="2" t="s">
        <v>358</v>
      </c>
      <c r="F853" s="2" t="s">
        <v>359</v>
      </c>
      <c r="G853" s="2" t="s">
        <v>21</v>
      </c>
      <c r="H853" s="2" t="s">
        <v>22</v>
      </c>
      <c r="I853" s="2" t="s">
        <v>352</v>
      </c>
      <c r="J853" s="2" t="s">
        <v>353</v>
      </c>
      <c r="K853">
        <v>43280.41</v>
      </c>
      <c r="L853">
        <v>12938824.449999999</v>
      </c>
      <c r="M853">
        <v>29895.34</v>
      </c>
      <c r="N853" s="2" t="s">
        <v>360</v>
      </c>
      <c r="O853" s="2" t="s">
        <v>361</v>
      </c>
      <c r="P853" s="2" t="s">
        <v>1817</v>
      </c>
      <c r="Q853" s="2" t="s">
        <v>1818</v>
      </c>
      <c r="R853" s="2" t="s">
        <v>29</v>
      </c>
      <c r="S853" s="2" t="s">
        <v>30</v>
      </c>
    </row>
    <row r="854" spans="1:19">
      <c r="A854" s="1">
        <v>44197</v>
      </c>
      <c r="B854" s="1">
        <v>44197</v>
      </c>
      <c r="C854">
        <v>2021</v>
      </c>
      <c r="D854">
        <v>1</v>
      </c>
      <c r="E854" s="2" t="s">
        <v>364</v>
      </c>
      <c r="F854" s="2" t="s">
        <v>365</v>
      </c>
      <c r="G854" s="2" t="s">
        <v>21</v>
      </c>
      <c r="H854" s="2" t="s">
        <v>22</v>
      </c>
      <c r="I854" s="2" t="s">
        <v>352</v>
      </c>
      <c r="J854" s="2" t="s">
        <v>353</v>
      </c>
      <c r="K854">
        <v>43123.73</v>
      </c>
      <c r="L854">
        <v>3768662.14</v>
      </c>
      <c r="M854">
        <v>8739.18</v>
      </c>
      <c r="N854" s="2" t="s">
        <v>366</v>
      </c>
      <c r="O854" s="2" t="s">
        <v>367</v>
      </c>
      <c r="P854" s="2" t="s">
        <v>1819</v>
      </c>
      <c r="Q854" s="2" t="s">
        <v>1820</v>
      </c>
      <c r="R854" s="2" t="s">
        <v>29</v>
      </c>
      <c r="S854" s="2" t="s">
        <v>30</v>
      </c>
    </row>
    <row r="855" spans="1:19">
      <c r="A855" s="1">
        <v>44197</v>
      </c>
      <c r="B855" s="1">
        <v>44197</v>
      </c>
      <c r="C855">
        <v>2021</v>
      </c>
      <c r="D855">
        <v>1</v>
      </c>
      <c r="E855" s="2" t="s">
        <v>370</v>
      </c>
      <c r="F855" s="2" t="s">
        <v>371</v>
      </c>
      <c r="G855" s="2" t="s">
        <v>21</v>
      </c>
      <c r="H855" s="2" t="s">
        <v>22</v>
      </c>
      <c r="I855" s="2" t="s">
        <v>23</v>
      </c>
      <c r="J855" s="2" t="s">
        <v>24</v>
      </c>
      <c r="K855">
        <v>23027.279999999999</v>
      </c>
      <c r="L855">
        <v>431181.9</v>
      </c>
      <c r="M855">
        <v>1872.48</v>
      </c>
      <c r="N855" s="2" t="s">
        <v>372</v>
      </c>
      <c r="O855" s="2" t="s">
        <v>373</v>
      </c>
      <c r="P855" s="2" t="s">
        <v>1821</v>
      </c>
      <c r="Q855" s="2" t="s">
        <v>1822</v>
      </c>
      <c r="R855" s="2" t="s">
        <v>29</v>
      </c>
      <c r="S855" s="2" t="s">
        <v>30</v>
      </c>
    </row>
    <row r="856" spans="1:19">
      <c r="A856" s="1">
        <v>44197</v>
      </c>
      <c r="B856" s="1">
        <v>44197</v>
      </c>
      <c r="C856">
        <v>2021</v>
      </c>
      <c r="D856">
        <v>1</v>
      </c>
      <c r="E856" s="2" t="s">
        <v>376</v>
      </c>
      <c r="F856" s="2" t="s">
        <v>377</v>
      </c>
      <c r="G856" s="2" t="s">
        <v>21</v>
      </c>
      <c r="H856" s="2" t="s">
        <v>22</v>
      </c>
      <c r="I856" s="2" t="s">
        <v>23</v>
      </c>
      <c r="J856" s="2" t="s">
        <v>378</v>
      </c>
      <c r="K856">
        <v>0.92</v>
      </c>
      <c r="L856">
        <v>14.56</v>
      </c>
      <c r="M856">
        <v>1582.61</v>
      </c>
      <c r="N856" s="2" t="s">
        <v>379</v>
      </c>
      <c r="O856" s="2" t="s">
        <v>380</v>
      </c>
      <c r="P856" s="2" t="s">
        <v>1327</v>
      </c>
      <c r="Q856" s="2" t="s">
        <v>1118</v>
      </c>
      <c r="R856" s="2" t="s">
        <v>29</v>
      </c>
      <c r="S856" s="2" t="s">
        <v>30</v>
      </c>
    </row>
    <row r="857" spans="1:19">
      <c r="A857" s="1">
        <v>44228</v>
      </c>
      <c r="B857" s="1">
        <v>44228</v>
      </c>
      <c r="C857">
        <v>2021</v>
      </c>
      <c r="D857">
        <v>2</v>
      </c>
      <c r="E857" s="2" t="s">
        <v>19</v>
      </c>
      <c r="F857" s="2" t="s">
        <v>20</v>
      </c>
      <c r="G857" s="2" t="s">
        <v>21</v>
      </c>
      <c r="H857" s="2" t="s">
        <v>22</v>
      </c>
      <c r="I857" s="2" t="s">
        <v>23</v>
      </c>
      <c r="J857" s="2" t="s">
        <v>24</v>
      </c>
      <c r="K857">
        <v>0.92</v>
      </c>
      <c r="L857">
        <v>54.37</v>
      </c>
      <c r="M857">
        <v>5909.78</v>
      </c>
      <c r="N857" s="2" t="s">
        <v>25</v>
      </c>
      <c r="O857" s="2" t="s">
        <v>26</v>
      </c>
      <c r="P857" s="2" t="s">
        <v>1327</v>
      </c>
      <c r="Q857" s="2" t="s">
        <v>1823</v>
      </c>
      <c r="R857" s="2" t="s">
        <v>29</v>
      </c>
      <c r="S857" s="2" t="s">
        <v>30</v>
      </c>
    </row>
    <row r="858" spans="1:19">
      <c r="A858" s="1">
        <v>44228</v>
      </c>
      <c r="B858" s="1">
        <v>44228</v>
      </c>
      <c r="C858">
        <v>2021</v>
      </c>
      <c r="D858">
        <v>2</v>
      </c>
      <c r="E858" s="2" t="s">
        <v>31</v>
      </c>
      <c r="F858" s="2" t="s">
        <v>32</v>
      </c>
      <c r="G858" s="2" t="s">
        <v>21</v>
      </c>
      <c r="H858" s="2" t="s">
        <v>22</v>
      </c>
      <c r="I858" s="2" t="s">
        <v>23</v>
      </c>
      <c r="J858" s="2" t="s">
        <v>24</v>
      </c>
      <c r="K858">
        <v>835.54</v>
      </c>
      <c r="L858">
        <v>4765.53</v>
      </c>
      <c r="M858">
        <v>570.35</v>
      </c>
      <c r="N858" s="2" t="s">
        <v>33</v>
      </c>
      <c r="O858" s="2" t="s">
        <v>34</v>
      </c>
      <c r="P858" s="2" t="s">
        <v>1824</v>
      </c>
      <c r="Q858" s="2" t="s">
        <v>1825</v>
      </c>
      <c r="R858" s="2" t="s">
        <v>29</v>
      </c>
      <c r="S858" s="2" t="s">
        <v>30</v>
      </c>
    </row>
    <row r="859" spans="1:19">
      <c r="A859" s="1">
        <v>44228</v>
      </c>
      <c r="B859" s="1">
        <v>44228</v>
      </c>
      <c r="C859">
        <v>2021</v>
      </c>
      <c r="D859">
        <v>2</v>
      </c>
      <c r="E859" s="2" t="s">
        <v>37</v>
      </c>
      <c r="F859" s="2" t="s">
        <v>38</v>
      </c>
      <c r="G859" s="2" t="s">
        <v>39</v>
      </c>
      <c r="H859" s="2" t="s">
        <v>22</v>
      </c>
      <c r="I859" s="2" t="s">
        <v>40</v>
      </c>
      <c r="J859" s="2" t="s">
        <v>24</v>
      </c>
      <c r="K859">
        <v>4.9800000000000004</v>
      </c>
      <c r="L859">
        <v>253.42</v>
      </c>
      <c r="M859">
        <v>5088.76</v>
      </c>
      <c r="N859" s="2" t="s">
        <v>41</v>
      </c>
      <c r="O859" s="2" t="s">
        <v>42</v>
      </c>
      <c r="P859" s="2" t="s">
        <v>1826</v>
      </c>
      <c r="Q859" s="2" t="s">
        <v>1827</v>
      </c>
      <c r="R859" s="2" t="s">
        <v>29</v>
      </c>
      <c r="S859" s="2" t="s">
        <v>30</v>
      </c>
    </row>
    <row r="860" spans="1:19">
      <c r="A860" s="1">
        <v>44228</v>
      </c>
      <c r="B860" s="1">
        <v>44228</v>
      </c>
      <c r="C860">
        <v>2021</v>
      </c>
      <c r="D860">
        <v>2</v>
      </c>
      <c r="E860" s="2" t="s">
        <v>45</v>
      </c>
      <c r="F860" s="2" t="s">
        <v>46</v>
      </c>
      <c r="G860" s="2" t="s">
        <v>39</v>
      </c>
      <c r="H860" s="2" t="s">
        <v>22</v>
      </c>
      <c r="I860" s="2" t="s">
        <v>40</v>
      </c>
      <c r="J860" s="2" t="s">
        <v>24</v>
      </c>
      <c r="K860">
        <v>5502.19</v>
      </c>
      <c r="L860">
        <v>258100.15</v>
      </c>
      <c r="M860">
        <v>4690.8599999999997</v>
      </c>
      <c r="N860" s="2" t="s">
        <v>47</v>
      </c>
      <c r="O860" s="2" t="s">
        <v>48</v>
      </c>
      <c r="P860" s="2" t="s">
        <v>1828</v>
      </c>
      <c r="Q860" s="2" t="s">
        <v>1829</v>
      </c>
      <c r="R860" s="2" t="s">
        <v>29</v>
      </c>
      <c r="S860" s="2" t="s">
        <v>30</v>
      </c>
    </row>
    <row r="861" spans="1:19">
      <c r="A861" s="1">
        <v>44228</v>
      </c>
      <c r="B861" s="1">
        <v>44228</v>
      </c>
      <c r="C861">
        <v>2021</v>
      </c>
      <c r="D861">
        <v>2</v>
      </c>
      <c r="E861" s="2" t="s">
        <v>51</v>
      </c>
      <c r="F861" s="2" t="s">
        <v>52</v>
      </c>
      <c r="G861" s="2" t="s">
        <v>39</v>
      </c>
      <c r="H861" s="2" t="s">
        <v>22</v>
      </c>
      <c r="I861" s="2" t="s">
        <v>40</v>
      </c>
      <c r="J861" s="2" t="s">
        <v>24</v>
      </c>
      <c r="K861">
        <v>23.28</v>
      </c>
      <c r="L861">
        <v>894.93</v>
      </c>
      <c r="M861">
        <v>3844.2</v>
      </c>
      <c r="N861" s="2" t="s">
        <v>53</v>
      </c>
      <c r="O861" s="2" t="s">
        <v>54</v>
      </c>
      <c r="P861" s="2" t="s">
        <v>1830</v>
      </c>
      <c r="Q861" s="2" t="s">
        <v>1831</v>
      </c>
      <c r="R861" s="2" t="s">
        <v>29</v>
      </c>
      <c r="S861" s="2" t="s">
        <v>30</v>
      </c>
    </row>
    <row r="862" spans="1:19">
      <c r="A862" s="1">
        <v>44228</v>
      </c>
      <c r="B862" s="1">
        <v>44228</v>
      </c>
      <c r="C862">
        <v>2021</v>
      </c>
      <c r="D862">
        <v>2</v>
      </c>
      <c r="E862" s="2" t="s">
        <v>57</v>
      </c>
      <c r="F862" s="2" t="s">
        <v>58</v>
      </c>
      <c r="G862" s="2" t="s">
        <v>39</v>
      </c>
      <c r="H862" s="2" t="s">
        <v>22</v>
      </c>
      <c r="I862" s="2" t="s">
        <v>40</v>
      </c>
      <c r="J862" s="2" t="s">
        <v>59</v>
      </c>
      <c r="K862">
        <v>5530.45</v>
      </c>
      <c r="L862">
        <v>259248.5</v>
      </c>
      <c r="M862">
        <v>4687.66</v>
      </c>
      <c r="N862" s="2" t="s">
        <v>60</v>
      </c>
      <c r="O862" s="2" t="s">
        <v>61</v>
      </c>
      <c r="P862" s="2" t="s">
        <v>1832</v>
      </c>
      <c r="Q862" s="2" t="s">
        <v>1833</v>
      </c>
      <c r="R862" s="2" t="s">
        <v>29</v>
      </c>
      <c r="S862" s="2" t="s">
        <v>30</v>
      </c>
    </row>
    <row r="863" spans="1:19">
      <c r="A863" s="1">
        <v>44228</v>
      </c>
      <c r="B863" s="1">
        <v>44228</v>
      </c>
      <c r="C863">
        <v>2021</v>
      </c>
      <c r="D863">
        <v>2</v>
      </c>
      <c r="E863" s="2" t="s">
        <v>64</v>
      </c>
      <c r="F863" s="2" t="s">
        <v>65</v>
      </c>
      <c r="G863" s="2" t="s">
        <v>21</v>
      </c>
      <c r="H863" s="2" t="s">
        <v>22</v>
      </c>
      <c r="I863" s="2" t="s">
        <v>66</v>
      </c>
      <c r="J863" s="2" t="s">
        <v>24</v>
      </c>
      <c r="K863">
        <v>9.33</v>
      </c>
      <c r="L863">
        <v>223.34</v>
      </c>
      <c r="M863">
        <v>2393.7800000000002</v>
      </c>
      <c r="N863" s="2" t="s">
        <v>67</v>
      </c>
      <c r="O863" s="2" t="s">
        <v>68</v>
      </c>
      <c r="P863" s="2" t="s">
        <v>1834</v>
      </c>
      <c r="Q863" s="2" t="s">
        <v>1835</v>
      </c>
      <c r="R863" s="2" t="s">
        <v>29</v>
      </c>
      <c r="S863" s="2" t="s">
        <v>30</v>
      </c>
    </row>
    <row r="864" spans="1:19">
      <c r="A864" s="1">
        <v>44228</v>
      </c>
      <c r="B864" s="1">
        <v>44228</v>
      </c>
      <c r="C864">
        <v>2021</v>
      </c>
      <c r="D864">
        <v>2</v>
      </c>
      <c r="E864" s="2" t="s">
        <v>71</v>
      </c>
      <c r="F864" s="2" t="s">
        <v>72</v>
      </c>
      <c r="G864" s="2" t="s">
        <v>21</v>
      </c>
      <c r="H864" s="2" t="s">
        <v>22</v>
      </c>
      <c r="I864" s="2" t="s">
        <v>73</v>
      </c>
      <c r="J864" s="2" t="s">
        <v>59</v>
      </c>
      <c r="K864">
        <v>5059.24</v>
      </c>
      <c r="L864">
        <v>119331.22</v>
      </c>
      <c r="M864">
        <v>2358.6799999999998</v>
      </c>
      <c r="N864" s="2" t="s">
        <v>74</v>
      </c>
      <c r="O864" s="2" t="s">
        <v>75</v>
      </c>
      <c r="P864" s="2" t="s">
        <v>1836</v>
      </c>
      <c r="Q864" s="2" t="s">
        <v>1837</v>
      </c>
      <c r="R864" s="2" t="s">
        <v>29</v>
      </c>
      <c r="S864" s="2" t="s">
        <v>30</v>
      </c>
    </row>
    <row r="865" spans="1:19">
      <c r="A865" s="1">
        <v>44228</v>
      </c>
      <c r="B865" s="1">
        <v>44228</v>
      </c>
      <c r="C865">
        <v>2021</v>
      </c>
      <c r="D865">
        <v>2</v>
      </c>
      <c r="E865" s="2" t="s">
        <v>78</v>
      </c>
      <c r="F865" s="2" t="s">
        <v>79</v>
      </c>
      <c r="G865" s="2" t="s">
        <v>80</v>
      </c>
      <c r="H865" s="2" t="s">
        <v>81</v>
      </c>
      <c r="I865" s="2" t="s">
        <v>82</v>
      </c>
      <c r="J865" s="2" t="s">
        <v>24</v>
      </c>
      <c r="K865">
        <v>1.44</v>
      </c>
      <c r="L865">
        <v>4629628.1900000004</v>
      </c>
      <c r="M865">
        <v>321501957.63999999</v>
      </c>
      <c r="N865" s="2" t="s">
        <v>83</v>
      </c>
      <c r="O865" s="2" t="s">
        <v>84</v>
      </c>
      <c r="P865" s="2" t="s">
        <v>1838</v>
      </c>
      <c r="Q865" s="2" t="s">
        <v>1839</v>
      </c>
      <c r="R865" s="2" t="s">
        <v>29</v>
      </c>
      <c r="S865" s="2" t="s">
        <v>30</v>
      </c>
    </row>
    <row r="866" spans="1:19">
      <c r="A866" s="1">
        <v>44228</v>
      </c>
      <c r="B866" s="1">
        <v>44228</v>
      </c>
      <c r="C866">
        <v>2021</v>
      </c>
      <c r="D866">
        <v>2</v>
      </c>
      <c r="E866" s="2" t="s">
        <v>87</v>
      </c>
      <c r="F866" s="2" t="s">
        <v>88</v>
      </c>
      <c r="G866" s="2" t="s">
        <v>80</v>
      </c>
      <c r="H866" s="2" t="s">
        <v>81</v>
      </c>
      <c r="I866" s="2" t="s">
        <v>82</v>
      </c>
      <c r="J866" s="2" t="s">
        <v>24</v>
      </c>
      <c r="K866">
        <v>0.47</v>
      </c>
      <c r="L866">
        <v>681845.49</v>
      </c>
      <c r="M866">
        <v>145073508.50999999</v>
      </c>
      <c r="N866" s="2" t="s">
        <v>89</v>
      </c>
      <c r="O866" s="2" t="s">
        <v>90</v>
      </c>
      <c r="P866" s="2" t="s">
        <v>1840</v>
      </c>
      <c r="Q866" s="2" t="s">
        <v>1841</v>
      </c>
      <c r="R866" s="2" t="s">
        <v>29</v>
      </c>
      <c r="S866" s="2" t="s">
        <v>30</v>
      </c>
    </row>
    <row r="867" spans="1:19">
      <c r="A867" s="1">
        <v>44228</v>
      </c>
      <c r="B867" s="1">
        <v>44228</v>
      </c>
      <c r="C867">
        <v>2021</v>
      </c>
      <c r="D867">
        <v>2</v>
      </c>
      <c r="E867" s="2" t="s">
        <v>93</v>
      </c>
      <c r="F867" s="2" t="s">
        <v>94</v>
      </c>
      <c r="G867" s="2" t="s">
        <v>80</v>
      </c>
      <c r="H867" s="2" t="s">
        <v>81</v>
      </c>
      <c r="I867" s="2" t="s">
        <v>82</v>
      </c>
      <c r="J867" s="2" t="s">
        <v>24</v>
      </c>
      <c r="K867">
        <v>0.24</v>
      </c>
      <c r="L867">
        <v>3678987.91</v>
      </c>
      <c r="M867">
        <v>1532911629.1700001</v>
      </c>
      <c r="N867" s="2" t="s">
        <v>95</v>
      </c>
      <c r="O867" s="2" t="s">
        <v>96</v>
      </c>
      <c r="P867" s="2" t="s">
        <v>1650</v>
      </c>
      <c r="Q867" s="2" t="s">
        <v>1842</v>
      </c>
      <c r="R867" s="2" t="s">
        <v>29</v>
      </c>
      <c r="S867" s="2" t="s">
        <v>30</v>
      </c>
    </row>
    <row r="868" spans="1:19">
      <c r="A868" s="1">
        <v>44228</v>
      </c>
      <c r="B868" s="1">
        <v>44228</v>
      </c>
      <c r="C868">
        <v>2021</v>
      </c>
      <c r="D868">
        <v>2</v>
      </c>
      <c r="E868" s="2" t="s">
        <v>99</v>
      </c>
      <c r="F868" s="2" t="s">
        <v>100</v>
      </c>
      <c r="G868" s="2" t="s">
        <v>80</v>
      </c>
      <c r="H868" s="2" t="s">
        <v>81</v>
      </c>
      <c r="I868" s="2" t="s">
        <v>82</v>
      </c>
      <c r="J868" s="2" t="s">
        <v>101</v>
      </c>
      <c r="K868">
        <v>0.95</v>
      </c>
      <c r="L868">
        <v>10901991.300000001</v>
      </c>
      <c r="M868">
        <v>1147578031.5799999</v>
      </c>
      <c r="N868" s="2" t="s">
        <v>102</v>
      </c>
      <c r="O868" s="2" t="s">
        <v>103</v>
      </c>
      <c r="P868" s="2" t="s">
        <v>1843</v>
      </c>
      <c r="Q868" s="2" t="s">
        <v>1844</v>
      </c>
      <c r="R868" s="2" t="s">
        <v>29</v>
      </c>
      <c r="S868" s="2" t="s">
        <v>30</v>
      </c>
    </row>
    <row r="869" spans="1:19">
      <c r="A869" s="1">
        <v>44228</v>
      </c>
      <c r="B869" s="1">
        <v>44228</v>
      </c>
      <c r="C869">
        <v>2021</v>
      </c>
      <c r="D869">
        <v>2</v>
      </c>
      <c r="E869" s="2" t="s">
        <v>106</v>
      </c>
      <c r="F869" s="2" t="s">
        <v>107</v>
      </c>
      <c r="G869" s="2" t="s">
        <v>80</v>
      </c>
      <c r="H869" s="2" t="s">
        <v>81</v>
      </c>
      <c r="I869" s="2" t="s">
        <v>82</v>
      </c>
      <c r="J869" s="2" t="s">
        <v>24</v>
      </c>
      <c r="K869">
        <v>0.24</v>
      </c>
      <c r="L869">
        <v>6541157.9000000004</v>
      </c>
      <c r="M869">
        <v>2725482458.3299999</v>
      </c>
      <c r="N869" s="2" t="s">
        <v>108</v>
      </c>
      <c r="O869" s="2" t="s">
        <v>109</v>
      </c>
      <c r="P869" s="2" t="s">
        <v>1650</v>
      </c>
      <c r="Q869" s="2" t="s">
        <v>1845</v>
      </c>
      <c r="R869" s="2" t="s">
        <v>29</v>
      </c>
      <c r="S869" s="2" t="s">
        <v>30</v>
      </c>
    </row>
    <row r="870" spans="1:19">
      <c r="A870" s="1">
        <v>44228</v>
      </c>
      <c r="B870" s="1">
        <v>44228</v>
      </c>
      <c r="C870">
        <v>2021</v>
      </c>
      <c r="D870">
        <v>2</v>
      </c>
      <c r="E870" s="2" t="s">
        <v>111</v>
      </c>
      <c r="F870" s="2" t="s">
        <v>112</v>
      </c>
      <c r="G870" s="2" t="s">
        <v>80</v>
      </c>
      <c r="H870" s="2" t="s">
        <v>81</v>
      </c>
      <c r="I870" s="2" t="s">
        <v>82</v>
      </c>
      <c r="J870" s="2" t="s">
        <v>24</v>
      </c>
      <c r="K870">
        <v>0.05</v>
      </c>
      <c r="L870">
        <v>340765</v>
      </c>
      <c r="M870">
        <v>681530000</v>
      </c>
      <c r="N870" s="2" t="s">
        <v>113</v>
      </c>
      <c r="O870" s="2" t="s">
        <v>114</v>
      </c>
      <c r="P870" s="2" t="s">
        <v>516</v>
      </c>
      <c r="Q870" s="2" t="s">
        <v>1846</v>
      </c>
      <c r="R870" s="2" t="s">
        <v>29</v>
      </c>
      <c r="S870" s="2" t="s">
        <v>30</v>
      </c>
    </row>
    <row r="871" spans="1:19">
      <c r="A871" s="1">
        <v>44228</v>
      </c>
      <c r="B871" s="1">
        <v>44228</v>
      </c>
      <c r="C871">
        <v>2021</v>
      </c>
      <c r="D871">
        <v>2</v>
      </c>
      <c r="E871" s="2" t="s">
        <v>117</v>
      </c>
      <c r="F871" s="2" t="s">
        <v>118</v>
      </c>
      <c r="G871" s="2" t="s">
        <v>80</v>
      </c>
      <c r="H871" s="2" t="s">
        <v>81</v>
      </c>
      <c r="I871" s="2" t="s">
        <v>82</v>
      </c>
      <c r="J871" s="2" t="s">
        <v>59</v>
      </c>
      <c r="K871">
        <v>2.44</v>
      </c>
      <c r="L871">
        <v>15872384.49</v>
      </c>
      <c r="M871">
        <v>650507561.07000005</v>
      </c>
      <c r="N871" s="2" t="s">
        <v>119</v>
      </c>
      <c r="O871" s="2" t="s">
        <v>120</v>
      </c>
      <c r="P871" s="2" t="s">
        <v>1452</v>
      </c>
      <c r="Q871" s="2" t="s">
        <v>1847</v>
      </c>
      <c r="R871" s="2" t="s">
        <v>29</v>
      </c>
      <c r="S871" s="2" t="s">
        <v>30</v>
      </c>
    </row>
    <row r="872" spans="1:19">
      <c r="A872" s="1">
        <v>44228</v>
      </c>
      <c r="B872" s="1">
        <v>44228</v>
      </c>
      <c r="C872">
        <v>2021</v>
      </c>
      <c r="D872">
        <v>2</v>
      </c>
      <c r="E872" s="2" t="s">
        <v>123</v>
      </c>
      <c r="F872" s="2" t="s">
        <v>124</v>
      </c>
      <c r="G872" s="2" t="s">
        <v>21</v>
      </c>
      <c r="H872" s="2" t="s">
        <v>22</v>
      </c>
      <c r="I872" s="2" t="s">
        <v>73</v>
      </c>
      <c r="J872" s="2" t="s">
        <v>24</v>
      </c>
      <c r="K872">
        <v>749.87</v>
      </c>
      <c r="L872">
        <v>32350.32</v>
      </c>
      <c r="M872">
        <v>4314.12</v>
      </c>
      <c r="N872" s="2" t="s">
        <v>125</v>
      </c>
      <c r="O872" s="2" t="s">
        <v>126</v>
      </c>
      <c r="P872" s="2" t="s">
        <v>1848</v>
      </c>
      <c r="Q872" s="2" t="s">
        <v>1849</v>
      </c>
      <c r="R872" s="2" t="s">
        <v>29</v>
      </c>
      <c r="S872" s="2" t="s">
        <v>30</v>
      </c>
    </row>
    <row r="873" spans="1:19">
      <c r="A873" s="1">
        <v>44228</v>
      </c>
      <c r="B873" s="1">
        <v>44228</v>
      </c>
      <c r="C873">
        <v>2021</v>
      </c>
      <c r="D873">
        <v>2</v>
      </c>
      <c r="E873" s="2" t="s">
        <v>129</v>
      </c>
      <c r="F873" s="2" t="s">
        <v>130</v>
      </c>
      <c r="G873" s="2" t="s">
        <v>21</v>
      </c>
      <c r="H873" s="2" t="s">
        <v>22</v>
      </c>
      <c r="I873" s="2" t="s">
        <v>73</v>
      </c>
      <c r="J873" s="2" t="s">
        <v>24</v>
      </c>
      <c r="K873">
        <v>863.91</v>
      </c>
      <c r="L873">
        <v>27754.22</v>
      </c>
      <c r="M873">
        <v>3212.63</v>
      </c>
      <c r="N873" s="2" t="s">
        <v>131</v>
      </c>
      <c r="O873" s="2" t="s">
        <v>132</v>
      </c>
      <c r="P873" s="2" t="s">
        <v>1850</v>
      </c>
      <c r="Q873" s="2" t="s">
        <v>1851</v>
      </c>
      <c r="R873" s="2" t="s">
        <v>29</v>
      </c>
      <c r="S873" s="2" t="s">
        <v>30</v>
      </c>
    </row>
    <row r="874" spans="1:19">
      <c r="A874" s="1">
        <v>44228</v>
      </c>
      <c r="B874" s="1">
        <v>44228</v>
      </c>
      <c r="C874">
        <v>2021</v>
      </c>
      <c r="D874">
        <v>2</v>
      </c>
      <c r="E874" s="2" t="s">
        <v>135</v>
      </c>
      <c r="F874" s="2" t="s">
        <v>136</v>
      </c>
      <c r="G874" s="2" t="s">
        <v>21</v>
      </c>
      <c r="H874" s="2" t="s">
        <v>22</v>
      </c>
      <c r="I874" s="2" t="s">
        <v>73</v>
      </c>
      <c r="J874" s="2" t="s">
        <v>101</v>
      </c>
      <c r="K874">
        <v>1613.77</v>
      </c>
      <c r="L874">
        <v>60104.54</v>
      </c>
      <c r="M874">
        <v>3724.48</v>
      </c>
      <c r="N874" s="2" t="s">
        <v>137</v>
      </c>
      <c r="O874" s="2" t="s">
        <v>138</v>
      </c>
      <c r="P874" s="2" t="s">
        <v>1852</v>
      </c>
      <c r="Q874" s="2" t="s">
        <v>1853</v>
      </c>
      <c r="R874" s="2" t="s">
        <v>29</v>
      </c>
      <c r="S874" s="2" t="s">
        <v>30</v>
      </c>
    </row>
    <row r="875" spans="1:19">
      <c r="A875" s="1">
        <v>44228</v>
      </c>
      <c r="B875" s="1">
        <v>44228</v>
      </c>
      <c r="C875">
        <v>2021</v>
      </c>
      <c r="D875">
        <v>2</v>
      </c>
      <c r="E875" s="2" t="s">
        <v>141</v>
      </c>
      <c r="F875" s="2" t="s">
        <v>142</v>
      </c>
      <c r="G875" s="2" t="s">
        <v>21</v>
      </c>
      <c r="H875" s="2" t="s">
        <v>22</v>
      </c>
      <c r="I875" s="2" t="s">
        <v>73</v>
      </c>
      <c r="J875" s="2" t="s">
        <v>24</v>
      </c>
      <c r="K875">
        <v>1436.6</v>
      </c>
      <c r="L875">
        <v>21812.61</v>
      </c>
      <c r="M875">
        <v>1518.35</v>
      </c>
      <c r="N875" s="2" t="s">
        <v>143</v>
      </c>
      <c r="O875" s="2" t="s">
        <v>144</v>
      </c>
      <c r="P875" s="2" t="s">
        <v>1854</v>
      </c>
      <c r="Q875" s="2" t="s">
        <v>1855</v>
      </c>
      <c r="R875" s="2" t="s">
        <v>29</v>
      </c>
      <c r="S875" s="2" t="s">
        <v>30</v>
      </c>
    </row>
    <row r="876" spans="1:19">
      <c r="A876" s="1">
        <v>44228</v>
      </c>
      <c r="B876" s="1">
        <v>44228</v>
      </c>
      <c r="C876">
        <v>2021</v>
      </c>
      <c r="D876">
        <v>2</v>
      </c>
      <c r="E876" s="2" t="s">
        <v>147</v>
      </c>
      <c r="F876" s="2" t="s">
        <v>148</v>
      </c>
      <c r="G876" s="2" t="s">
        <v>21</v>
      </c>
      <c r="H876" s="2" t="s">
        <v>22</v>
      </c>
      <c r="I876" s="2" t="s">
        <v>73</v>
      </c>
      <c r="J876" s="2" t="s">
        <v>24</v>
      </c>
      <c r="K876">
        <v>2008.87</v>
      </c>
      <c r="L876">
        <v>37414.06</v>
      </c>
      <c r="M876">
        <v>1862.44</v>
      </c>
      <c r="N876" s="2" t="s">
        <v>149</v>
      </c>
      <c r="O876" s="2" t="s">
        <v>150</v>
      </c>
      <c r="P876" s="2" t="s">
        <v>1856</v>
      </c>
      <c r="Q876" s="2" t="s">
        <v>1857</v>
      </c>
      <c r="R876" s="2" t="s">
        <v>29</v>
      </c>
      <c r="S876" s="2" t="s">
        <v>30</v>
      </c>
    </row>
    <row r="877" spans="1:19">
      <c r="A877" s="1">
        <v>44228</v>
      </c>
      <c r="B877" s="1">
        <v>44228</v>
      </c>
      <c r="C877">
        <v>2021</v>
      </c>
      <c r="D877">
        <v>2</v>
      </c>
      <c r="E877" s="2" t="s">
        <v>153</v>
      </c>
      <c r="F877" s="2" t="s">
        <v>154</v>
      </c>
      <c r="G877" s="2" t="s">
        <v>21</v>
      </c>
      <c r="H877" s="2" t="s">
        <v>22</v>
      </c>
      <c r="I877" s="2" t="s">
        <v>73</v>
      </c>
      <c r="J877" s="2" t="s">
        <v>101</v>
      </c>
      <c r="K877">
        <v>3445.46</v>
      </c>
      <c r="L877">
        <v>59226.67</v>
      </c>
      <c r="M877">
        <v>1718.98</v>
      </c>
      <c r="N877" s="2" t="s">
        <v>155</v>
      </c>
      <c r="O877" s="2" t="s">
        <v>156</v>
      </c>
      <c r="P877" s="2" t="s">
        <v>1858</v>
      </c>
      <c r="Q877" s="2" t="s">
        <v>1859</v>
      </c>
      <c r="R877" s="2" t="s">
        <v>29</v>
      </c>
      <c r="S877" s="2" t="s">
        <v>30</v>
      </c>
    </row>
    <row r="878" spans="1:19">
      <c r="A878" s="1">
        <v>44228</v>
      </c>
      <c r="B878" s="1">
        <v>44228</v>
      </c>
      <c r="C878">
        <v>2021</v>
      </c>
      <c r="D878">
        <v>2</v>
      </c>
      <c r="E878" s="2" t="s">
        <v>159</v>
      </c>
      <c r="F878" s="2" t="s">
        <v>160</v>
      </c>
      <c r="G878" s="2" t="s">
        <v>21</v>
      </c>
      <c r="H878" s="2" t="s">
        <v>22</v>
      </c>
      <c r="I878" s="2" t="s">
        <v>66</v>
      </c>
      <c r="J878" s="2" t="s">
        <v>59</v>
      </c>
      <c r="K878">
        <v>861.94</v>
      </c>
      <c r="L878">
        <v>68323.100000000006</v>
      </c>
      <c r="M878">
        <v>7926.67</v>
      </c>
      <c r="N878" s="2" t="s">
        <v>161</v>
      </c>
      <c r="O878" s="2" t="s">
        <v>162</v>
      </c>
      <c r="P878" s="2" t="s">
        <v>1860</v>
      </c>
      <c r="Q878" s="2" t="s">
        <v>1861</v>
      </c>
      <c r="R878" s="2" t="s">
        <v>29</v>
      </c>
      <c r="S878" s="2" t="s">
        <v>30</v>
      </c>
    </row>
    <row r="879" spans="1:19">
      <c r="A879" s="1">
        <v>44228</v>
      </c>
      <c r="B879" s="1">
        <v>44228</v>
      </c>
      <c r="C879">
        <v>2021</v>
      </c>
      <c r="D879">
        <v>2</v>
      </c>
      <c r="E879" s="2" t="s">
        <v>165</v>
      </c>
      <c r="F879" s="2" t="s">
        <v>166</v>
      </c>
      <c r="G879" s="2" t="s">
        <v>21</v>
      </c>
      <c r="H879" s="2" t="s">
        <v>22</v>
      </c>
      <c r="I879" s="2" t="s">
        <v>23</v>
      </c>
      <c r="J879" s="2" t="s">
        <v>24</v>
      </c>
      <c r="K879">
        <v>0</v>
      </c>
      <c r="L879">
        <v>0</v>
      </c>
      <c r="N879" s="2" t="s">
        <v>167</v>
      </c>
      <c r="O879" s="2" t="s">
        <v>168</v>
      </c>
      <c r="P879" s="2" t="s">
        <v>639</v>
      </c>
      <c r="Q879" s="2" t="s">
        <v>639</v>
      </c>
      <c r="R879" s="2" t="s">
        <v>29</v>
      </c>
      <c r="S879" s="2" t="s">
        <v>30</v>
      </c>
    </row>
    <row r="880" spans="1:19">
      <c r="A880" s="1">
        <v>44228</v>
      </c>
      <c r="B880" s="1">
        <v>44228</v>
      </c>
      <c r="C880">
        <v>2021</v>
      </c>
      <c r="D880">
        <v>2</v>
      </c>
      <c r="E880" s="2" t="s">
        <v>171</v>
      </c>
      <c r="F880" s="2" t="s">
        <v>172</v>
      </c>
      <c r="G880" s="2" t="s">
        <v>21</v>
      </c>
      <c r="H880" s="2" t="s">
        <v>22</v>
      </c>
      <c r="I880" s="2" t="s">
        <v>66</v>
      </c>
      <c r="J880" s="2" t="s">
        <v>24</v>
      </c>
      <c r="N880" s="2" t="s">
        <v>173</v>
      </c>
      <c r="O880" s="2" t="s">
        <v>174</v>
      </c>
      <c r="P880" s="2" t="s">
        <v>175</v>
      </c>
      <c r="Q880" s="2" t="s">
        <v>175</v>
      </c>
      <c r="R880" s="2" t="s">
        <v>640</v>
      </c>
      <c r="S880" s="2" t="s">
        <v>641</v>
      </c>
    </row>
    <row r="881" spans="1:19">
      <c r="A881" s="1">
        <v>44228</v>
      </c>
      <c r="B881" s="1">
        <v>44228</v>
      </c>
      <c r="C881">
        <v>2021</v>
      </c>
      <c r="D881">
        <v>2</v>
      </c>
      <c r="E881" s="2" t="s">
        <v>177</v>
      </c>
      <c r="F881" s="2" t="s">
        <v>178</v>
      </c>
      <c r="G881" s="2" t="s">
        <v>21</v>
      </c>
      <c r="H881" s="2" t="s">
        <v>22</v>
      </c>
      <c r="I881" s="2" t="s">
        <v>23</v>
      </c>
      <c r="J881" s="2" t="s">
        <v>24</v>
      </c>
      <c r="K881">
        <v>3189.73</v>
      </c>
      <c r="L881">
        <v>275230.37</v>
      </c>
      <c r="M881">
        <v>8628.64</v>
      </c>
      <c r="N881" s="2" t="s">
        <v>179</v>
      </c>
      <c r="O881" s="2" t="s">
        <v>180</v>
      </c>
      <c r="P881" s="2" t="s">
        <v>1862</v>
      </c>
      <c r="Q881" s="2" t="s">
        <v>1863</v>
      </c>
      <c r="R881" s="2" t="s">
        <v>29</v>
      </c>
      <c r="S881" s="2" t="s">
        <v>30</v>
      </c>
    </row>
    <row r="882" spans="1:19">
      <c r="A882" s="1">
        <v>44228</v>
      </c>
      <c r="B882" s="1">
        <v>44228</v>
      </c>
      <c r="C882">
        <v>2021</v>
      </c>
      <c r="D882">
        <v>2</v>
      </c>
      <c r="E882" s="2" t="s">
        <v>183</v>
      </c>
      <c r="F882" s="2" t="s">
        <v>184</v>
      </c>
      <c r="G882" s="2" t="s">
        <v>185</v>
      </c>
      <c r="H882" s="2" t="s">
        <v>22</v>
      </c>
      <c r="I882" s="2" t="s">
        <v>186</v>
      </c>
      <c r="J882" s="2" t="s">
        <v>24</v>
      </c>
      <c r="K882">
        <v>2522.88</v>
      </c>
      <c r="L882">
        <v>2064459.14</v>
      </c>
      <c r="M882">
        <v>81829.460000000006</v>
      </c>
      <c r="N882" s="2" t="s">
        <v>187</v>
      </c>
      <c r="O882" s="2" t="s">
        <v>188</v>
      </c>
      <c r="P882" s="2" t="s">
        <v>1864</v>
      </c>
      <c r="Q882" s="2" t="s">
        <v>1865</v>
      </c>
      <c r="R882" s="2" t="s">
        <v>29</v>
      </c>
      <c r="S882" s="2" t="s">
        <v>30</v>
      </c>
    </row>
    <row r="883" spans="1:19">
      <c r="A883" s="1">
        <v>44228</v>
      </c>
      <c r="B883" s="1">
        <v>44228</v>
      </c>
      <c r="C883">
        <v>2021</v>
      </c>
      <c r="D883">
        <v>2</v>
      </c>
      <c r="E883" s="2" t="s">
        <v>191</v>
      </c>
      <c r="F883" s="2" t="s">
        <v>192</v>
      </c>
      <c r="G883" s="2" t="s">
        <v>185</v>
      </c>
      <c r="H883" s="2" t="s">
        <v>22</v>
      </c>
      <c r="I883" s="2" t="s">
        <v>186</v>
      </c>
      <c r="J883" s="2" t="s">
        <v>24</v>
      </c>
      <c r="K883">
        <v>759.79</v>
      </c>
      <c r="L883">
        <v>2279173.56</v>
      </c>
      <c r="M883">
        <v>299974.15000000002</v>
      </c>
      <c r="N883" s="2" t="s">
        <v>193</v>
      </c>
      <c r="O883" s="2" t="s">
        <v>194</v>
      </c>
      <c r="P883" s="2" t="s">
        <v>1866</v>
      </c>
      <c r="Q883" s="2" t="s">
        <v>1867</v>
      </c>
      <c r="R883" s="2" t="s">
        <v>29</v>
      </c>
      <c r="S883" s="2" t="s">
        <v>30</v>
      </c>
    </row>
    <row r="884" spans="1:19">
      <c r="A884" s="1">
        <v>44228</v>
      </c>
      <c r="B884" s="1">
        <v>44228</v>
      </c>
      <c r="C884">
        <v>2021</v>
      </c>
      <c r="D884">
        <v>2</v>
      </c>
      <c r="E884" s="2" t="s">
        <v>197</v>
      </c>
      <c r="F884" s="2" t="s">
        <v>198</v>
      </c>
      <c r="G884" s="2" t="s">
        <v>185</v>
      </c>
      <c r="H884" s="2" t="s">
        <v>22</v>
      </c>
      <c r="I884" s="2" t="s">
        <v>186</v>
      </c>
      <c r="J884" s="2" t="s">
        <v>59</v>
      </c>
      <c r="K884">
        <v>3282.67</v>
      </c>
      <c r="L884">
        <v>4343632.6900000004</v>
      </c>
      <c r="M884">
        <v>132320.10999999999</v>
      </c>
      <c r="N884" s="2" t="s">
        <v>199</v>
      </c>
      <c r="O884" s="2" t="s">
        <v>200</v>
      </c>
      <c r="P884" s="2" t="s">
        <v>1868</v>
      </c>
      <c r="Q884" s="2" t="s">
        <v>1869</v>
      </c>
      <c r="R884" s="2" t="s">
        <v>29</v>
      </c>
      <c r="S884" s="2" t="s">
        <v>30</v>
      </c>
    </row>
    <row r="885" spans="1:19">
      <c r="A885" s="1">
        <v>44228</v>
      </c>
      <c r="B885" s="1">
        <v>44228</v>
      </c>
      <c r="C885">
        <v>2021</v>
      </c>
      <c r="D885">
        <v>2</v>
      </c>
      <c r="E885" s="2" t="s">
        <v>203</v>
      </c>
      <c r="F885" s="2" t="s">
        <v>204</v>
      </c>
      <c r="G885" s="2" t="s">
        <v>39</v>
      </c>
      <c r="H885" s="2" t="s">
        <v>22</v>
      </c>
      <c r="I885" s="2" t="s">
        <v>40</v>
      </c>
      <c r="J885" s="2" t="s">
        <v>24</v>
      </c>
      <c r="K885">
        <v>656.57</v>
      </c>
      <c r="L885">
        <v>18381.349999999999</v>
      </c>
      <c r="M885">
        <v>2799.6</v>
      </c>
      <c r="N885" s="2" t="s">
        <v>205</v>
      </c>
      <c r="O885" s="2" t="s">
        <v>206</v>
      </c>
      <c r="P885" s="2" t="s">
        <v>1870</v>
      </c>
      <c r="Q885" s="2" t="s">
        <v>1871</v>
      </c>
      <c r="R885" s="2" t="s">
        <v>29</v>
      </c>
      <c r="S885" s="2" t="s">
        <v>30</v>
      </c>
    </row>
    <row r="886" spans="1:19">
      <c r="A886" s="1">
        <v>44228</v>
      </c>
      <c r="B886" s="1">
        <v>44228</v>
      </c>
      <c r="C886">
        <v>2021</v>
      </c>
      <c r="D886">
        <v>2</v>
      </c>
      <c r="E886" s="2" t="s">
        <v>209</v>
      </c>
      <c r="F886" s="2" t="s">
        <v>210</v>
      </c>
      <c r="G886" s="2" t="s">
        <v>39</v>
      </c>
      <c r="H886" s="2" t="s">
        <v>22</v>
      </c>
      <c r="I886" s="2" t="s">
        <v>40</v>
      </c>
      <c r="J886" s="2" t="s">
        <v>59</v>
      </c>
      <c r="K886">
        <v>656.57</v>
      </c>
      <c r="L886">
        <v>18381.349999999999</v>
      </c>
      <c r="M886">
        <v>2799.6</v>
      </c>
      <c r="N886" s="2" t="s">
        <v>211</v>
      </c>
      <c r="O886" s="2" t="s">
        <v>212</v>
      </c>
      <c r="P886" s="2" t="s">
        <v>1870</v>
      </c>
      <c r="Q886" s="2" t="s">
        <v>1871</v>
      </c>
      <c r="R886" s="2" t="s">
        <v>29</v>
      </c>
      <c r="S886" s="2" t="s">
        <v>30</v>
      </c>
    </row>
    <row r="887" spans="1:19">
      <c r="A887" s="1">
        <v>44228</v>
      </c>
      <c r="B887" s="1">
        <v>44228</v>
      </c>
      <c r="C887">
        <v>2021</v>
      </c>
      <c r="D887">
        <v>2</v>
      </c>
      <c r="E887" s="2" t="s">
        <v>213</v>
      </c>
      <c r="F887" s="2" t="s">
        <v>214</v>
      </c>
      <c r="G887" s="2" t="s">
        <v>185</v>
      </c>
      <c r="H887" s="2" t="s">
        <v>22</v>
      </c>
      <c r="I887" s="2" t="s">
        <v>215</v>
      </c>
      <c r="J887" s="2" t="s">
        <v>24</v>
      </c>
      <c r="K887">
        <v>22026.27</v>
      </c>
      <c r="L887">
        <v>747134.44</v>
      </c>
      <c r="M887">
        <v>3392.02</v>
      </c>
      <c r="N887" s="2" t="s">
        <v>216</v>
      </c>
      <c r="O887" s="2" t="s">
        <v>217</v>
      </c>
      <c r="P887" s="2" t="s">
        <v>1872</v>
      </c>
      <c r="Q887" s="2" t="s">
        <v>1873</v>
      </c>
      <c r="R887" s="2" t="s">
        <v>29</v>
      </c>
      <c r="S887" s="2" t="s">
        <v>30</v>
      </c>
    </row>
    <row r="888" spans="1:19">
      <c r="A888" s="1">
        <v>44228</v>
      </c>
      <c r="B888" s="1">
        <v>44228</v>
      </c>
      <c r="C888">
        <v>2021</v>
      </c>
      <c r="D888">
        <v>2</v>
      </c>
      <c r="E888" s="2" t="s">
        <v>220</v>
      </c>
      <c r="F888" s="2" t="s">
        <v>221</v>
      </c>
      <c r="G888" s="2" t="s">
        <v>185</v>
      </c>
      <c r="H888" s="2" t="s">
        <v>22</v>
      </c>
      <c r="I888" s="2" t="s">
        <v>215</v>
      </c>
      <c r="J888" s="2" t="s">
        <v>24</v>
      </c>
      <c r="K888">
        <v>2345.81</v>
      </c>
      <c r="L888">
        <v>186601.63</v>
      </c>
      <c r="M888">
        <v>7954.68</v>
      </c>
      <c r="N888" s="2" t="s">
        <v>222</v>
      </c>
      <c r="O888" s="2" t="s">
        <v>223</v>
      </c>
      <c r="P888" s="2" t="s">
        <v>1874</v>
      </c>
      <c r="Q888" s="2" t="s">
        <v>1875</v>
      </c>
      <c r="R888" s="2" t="s">
        <v>29</v>
      </c>
      <c r="S888" s="2" t="s">
        <v>30</v>
      </c>
    </row>
    <row r="889" spans="1:19">
      <c r="A889" s="1">
        <v>44228</v>
      </c>
      <c r="B889" s="1">
        <v>44228</v>
      </c>
      <c r="C889">
        <v>2021</v>
      </c>
      <c r="D889">
        <v>2</v>
      </c>
      <c r="E889" s="2" t="s">
        <v>226</v>
      </c>
      <c r="F889" s="2" t="s">
        <v>227</v>
      </c>
      <c r="G889" s="2" t="s">
        <v>185</v>
      </c>
      <c r="H889" s="2" t="s">
        <v>22</v>
      </c>
      <c r="I889" s="2" t="s">
        <v>215</v>
      </c>
      <c r="J889" s="2" t="s">
        <v>59</v>
      </c>
      <c r="K889">
        <v>24372.080000000002</v>
      </c>
      <c r="L889">
        <v>933736.07</v>
      </c>
      <c r="M889">
        <v>3831.17</v>
      </c>
      <c r="N889" s="2" t="s">
        <v>228</v>
      </c>
      <c r="O889" s="2" t="s">
        <v>229</v>
      </c>
      <c r="P889" s="2" t="s">
        <v>1876</v>
      </c>
      <c r="Q889" s="2" t="s">
        <v>1877</v>
      </c>
      <c r="R889" s="2" t="s">
        <v>29</v>
      </c>
      <c r="S889" s="2" t="s">
        <v>30</v>
      </c>
    </row>
    <row r="890" spans="1:19">
      <c r="A890" s="1">
        <v>44228</v>
      </c>
      <c r="B890" s="1">
        <v>44228</v>
      </c>
      <c r="C890">
        <v>2021</v>
      </c>
      <c r="D890">
        <v>2</v>
      </c>
      <c r="E890" s="2" t="s">
        <v>232</v>
      </c>
      <c r="F890" s="2" t="s">
        <v>233</v>
      </c>
      <c r="G890" s="2" t="s">
        <v>21</v>
      </c>
      <c r="H890" s="2" t="s">
        <v>22</v>
      </c>
      <c r="I890" s="2" t="s">
        <v>23</v>
      </c>
      <c r="J890" s="2" t="s">
        <v>24</v>
      </c>
      <c r="K890">
        <v>830.89</v>
      </c>
      <c r="L890">
        <v>61363.91</v>
      </c>
      <c r="M890">
        <v>7385.32</v>
      </c>
      <c r="N890" s="2" t="s">
        <v>234</v>
      </c>
      <c r="O890" s="2" t="s">
        <v>235</v>
      </c>
      <c r="P890" s="2" t="s">
        <v>1878</v>
      </c>
      <c r="Q890" s="2" t="s">
        <v>1879</v>
      </c>
      <c r="R890" s="2" t="s">
        <v>29</v>
      </c>
      <c r="S890" s="2" t="s">
        <v>30</v>
      </c>
    </row>
    <row r="891" spans="1:19">
      <c r="A891" s="1">
        <v>44228</v>
      </c>
      <c r="B891" s="1">
        <v>44228</v>
      </c>
      <c r="C891">
        <v>2021</v>
      </c>
      <c r="D891">
        <v>2</v>
      </c>
      <c r="E891" s="2" t="s">
        <v>238</v>
      </c>
      <c r="F891" s="2" t="s">
        <v>239</v>
      </c>
      <c r="G891" s="2" t="s">
        <v>21</v>
      </c>
      <c r="H891" s="2" t="s">
        <v>22</v>
      </c>
      <c r="I891" s="2" t="s">
        <v>66</v>
      </c>
      <c r="J891" s="2" t="s">
        <v>24</v>
      </c>
      <c r="K891">
        <v>781.43</v>
      </c>
      <c r="L891">
        <v>68011.45</v>
      </c>
      <c r="M891">
        <v>8703.4599999999991</v>
      </c>
      <c r="N891" s="2" t="s">
        <v>240</v>
      </c>
      <c r="O891" s="2" t="s">
        <v>241</v>
      </c>
      <c r="P891" s="2" t="s">
        <v>1880</v>
      </c>
      <c r="Q891" s="2" t="s">
        <v>1881</v>
      </c>
      <c r="R891" s="2" t="s">
        <v>29</v>
      </c>
      <c r="S891" s="2" t="s">
        <v>30</v>
      </c>
    </row>
    <row r="892" spans="1:19">
      <c r="A892" s="1">
        <v>44228</v>
      </c>
      <c r="B892" s="1">
        <v>44228</v>
      </c>
      <c r="C892">
        <v>2021</v>
      </c>
      <c r="D892">
        <v>2</v>
      </c>
      <c r="E892" s="2" t="s">
        <v>244</v>
      </c>
      <c r="F892" s="2" t="s">
        <v>245</v>
      </c>
      <c r="G892" s="2" t="s">
        <v>21</v>
      </c>
      <c r="H892" s="2" t="s">
        <v>22</v>
      </c>
      <c r="I892" s="2" t="s">
        <v>23</v>
      </c>
      <c r="J892" s="2" t="s">
        <v>24</v>
      </c>
      <c r="K892">
        <v>2821.07</v>
      </c>
      <c r="L892">
        <v>2152843.73</v>
      </c>
      <c r="M892">
        <v>76313.02</v>
      </c>
      <c r="N892" s="2" t="s">
        <v>246</v>
      </c>
      <c r="O892" s="2" t="s">
        <v>247</v>
      </c>
      <c r="P892" s="2" t="s">
        <v>1882</v>
      </c>
      <c r="Q892" s="2" t="s">
        <v>1883</v>
      </c>
      <c r="R892" s="2" t="s">
        <v>29</v>
      </c>
      <c r="S892" s="2" t="s">
        <v>30</v>
      </c>
    </row>
    <row r="893" spans="1:19">
      <c r="A893" s="1">
        <v>44228</v>
      </c>
      <c r="B893" s="1">
        <v>44228</v>
      </c>
      <c r="C893">
        <v>2021</v>
      </c>
      <c r="D893">
        <v>2</v>
      </c>
      <c r="E893" s="2" t="s">
        <v>250</v>
      </c>
      <c r="F893" s="2" t="s">
        <v>251</v>
      </c>
      <c r="G893" s="2" t="s">
        <v>21</v>
      </c>
      <c r="H893" s="2" t="s">
        <v>22</v>
      </c>
      <c r="I893" s="2" t="s">
        <v>66</v>
      </c>
      <c r="J893" s="2" t="s">
        <v>24</v>
      </c>
      <c r="K893">
        <v>71.180000000000007</v>
      </c>
      <c r="L893">
        <v>88.31</v>
      </c>
      <c r="M893">
        <v>124.07</v>
      </c>
      <c r="N893" s="2" t="s">
        <v>252</v>
      </c>
      <c r="O893" s="2" t="s">
        <v>253</v>
      </c>
      <c r="P893" s="2" t="s">
        <v>1884</v>
      </c>
      <c r="Q893" s="2" t="s">
        <v>1885</v>
      </c>
      <c r="R893" s="2" t="s">
        <v>29</v>
      </c>
      <c r="S893" s="2" t="s">
        <v>30</v>
      </c>
    </row>
    <row r="894" spans="1:19">
      <c r="A894" s="1">
        <v>44228</v>
      </c>
      <c r="B894" s="1">
        <v>44228</v>
      </c>
      <c r="C894">
        <v>2021</v>
      </c>
      <c r="D894">
        <v>2</v>
      </c>
      <c r="E894" s="2" t="s">
        <v>256</v>
      </c>
      <c r="F894" s="2" t="s">
        <v>257</v>
      </c>
      <c r="G894" s="2" t="s">
        <v>21</v>
      </c>
      <c r="H894" s="2" t="s">
        <v>22</v>
      </c>
      <c r="I894" s="2" t="s">
        <v>258</v>
      </c>
      <c r="J894" s="2" t="s">
        <v>24</v>
      </c>
      <c r="K894">
        <v>636.07000000000005</v>
      </c>
      <c r="L894">
        <v>547109.17000000004</v>
      </c>
      <c r="M894">
        <v>86013.99</v>
      </c>
      <c r="N894" s="2" t="s">
        <v>259</v>
      </c>
      <c r="O894" s="2" t="s">
        <v>260</v>
      </c>
      <c r="P894" s="2" t="s">
        <v>1886</v>
      </c>
      <c r="Q894" s="2" t="s">
        <v>1887</v>
      </c>
      <c r="R894" s="2" t="s">
        <v>29</v>
      </c>
      <c r="S894" s="2" t="s">
        <v>30</v>
      </c>
    </row>
    <row r="895" spans="1:19">
      <c r="A895" s="1">
        <v>44228</v>
      </c>
      <c r="B895" s="1">
        <v>44228</v>
      </c>
      <c r="C895">
        <v>2021</v>
      </c>
      <c r="D895">
        <v>2</v>
      </c>
      <c r="E895" s="2" t="s">
        <v>263</v>
      </c>
      <c r="F895" s="2" t="s">
        <v>264</v>
      </c>
      <c r="G895" s="2" t="s">
        <v>21</v>
      </c>
      <c r="H895" s="2" t="s">
        <v>22</v>
      </c>
      <c r="I895" s="2" t="s">
        <v>258</v>
      </c>
      <c r="J895" s="2" t="s">
        <v>24</v>
      </c>
      <c r="K895">
        <v>0</v>
      </c>
      <c r="L895">
        <v>0</v>
      </c>
      <c r="N895" s="2" t="s">
        <v>265</v>
      </c>
      <c r="O895" s="2" t="s">
        <v>266</v>
      </c>
      <c r="P895" s="2" t="s">
        <v>639</v>
      </c>
      <c r="Q895" s="2" t="s">
        <v>639</v>
      </c>
      <c r="R895" s="2" t="s">
        <v>29</v>
      </c>
      <c r="S895" s="2" t="s">
        <v>30</v>
      </c>
    </row>
    <row r="896" spans="1:19">
      <c r="A896" s="1">
        <v>44228</v>
      </c>
      <c r="B896" s="1">
        <v>44228</v>
      </c>
      <c r="C896">
        <v>2021</v>
      </c>
      <c r="D896">
        <v>2</v>
      </c>
      <c r="E896" s="2" t="s">
        <v>269</v>
      </c>
      <c r="F896" s="2" t="s">
        <v>270</v>
      </c>
      <c r="G896" s="2" t="s">
        <v>21</v>
      </c>
      <c r="H896" s="2" t="s">
        <v>22</v>
      </c>
      <c r="I896" s="2" t="s">
        <v>258</v>
      </c>
      <c r="J896" s="2" t="s">
        <v>59</v>
      </c>
      <c r="K896">
        <v>636.07000000000005</v>
      </c>
      <c r="L896">
        <v>547109.17000000004</v>
      </c>
      <c r="M896">
        <v>86013.99</v>
      </c>
      <c r="N896" s="2" t="s">
        <v>271</v>
      </c>
      <c r="O896" s="2" t="s">
        <v>272</v>
      </c>
      <c r="P896" s="2" t="s">
        <v>1886</v>
      </c>
      <c r="Q896" s="2" t="s">
        <v>1887</v>
      </c>
      <c r="R896" s="2" t="s">
        <v>29</v>
      </c>
      <c r="S896" s="2" t="s">
        <v>30</v>
      </c>
    </row>
    <row r="897" spans="1:19">
      <c r="A897" s="1">
        <v>44228</v>
      </c>
      <c r="B897" s="1">
        <v>44228</v>
      </c>
      <c r="C897">
        <v>2021</v>
      </c>
      <c r="D897">
        <v>2</v>
      </c>
      <c r="E897" s="2" t="s">
        <v>275</v>
      </c>
      <c r="F897" s="2" t="s">
        <v>276</v>
      </c>
      <c r="G897" s="2" t="s">
        <v>39</v>
      </c>
      <c r="H897" s="2" t="s">
        <v>22</v>
      </c>
      <c r="I897" s="2" t="s">
        <v>40</v>
      </c>
      <c r="J897" s="2" t="s">
        <v>24</v>
      </c>
      <c r="K897">
        <v>19.809999999999999</v>
      </c>
      <c r="L897">
        <v>114.03</v>
      </c>
      <c r="M897">
        <v>575.62</v>
      </c>
      <c r="N897" s="2" t="s">
        <v>277</v>
      </c>
      <c r="O897" s="2" t="s">
        <v>278</v>
      </c>
      <c r="P897" s="2" t="s">
        <v>1888</v>
      </c>
      <c r="Q897" s="2" t="s">
        <v>1889</v>
      </c>
      <c r="R897" s="2" t="s">
        <v>29</v>
      </c>
      <c r="S897" s="2" t="s">
        <v>30</v>
      </c>
    </row>
    <row r="898" spans="1:19">
      <c r="A898" s="1">
        <v>44228</v>
      </c>
      <c r="B898" s="1">
        <v>44228</v>
      </c>
      <c r="C898">
        <v>2021</v>
      </c>
      <c r="D898">
        <v>2</v>
      </c>
      <c r="E898" s="2" t="s">
        <v>281</v>
      </c>
      <c r="F898" s="2" t="s">
        <v>282</v>
      </c>
      <c r="G898" s="2" t="s">
        <v>39</v>
      </c>
      <c r="H898" s="2" t="s">
        <v>22</v>
      </c>
      <c r="I898" s="2" t="s">
        <v>40</v>
      </c>
      <c r="J898" s="2" t="s">
        <v>24</v>
      </c>
      <c r="K898">
        <v>1.98</v>
      </c>
      <c r="L898">
        <v>3.26</v>
      </c>
      <c r="M898">
        <v>164.65</v>
      </c>
      <c r="N898" s="2" t="s">
        <v>283</v>
      </c>
      <c r="O898" s="2" t="s">
        <v>284</v>
      </c>
      <c r="P898" s="2" t="s">
        <v>1890</v>
      </c>
      <c r="Q898" s="2" t="s">
        <v>1891</v>
      </c>
      <c r="R898" s="2" t="s">
        <v>29</v>
      </c>
      <c r="S898" s="2" t="s">
        <v>30</v>
      </c>
    </row>
    <row r="899" spans="1:19">
      <c r="A899" s="1">
        <v>44228</v>
      </c>
      <c r="B899" s="1">
        <v>44228</v>
      </c>
      <c r="C899">
        <v>2021</v>
      </c>
      <c r="D899">
        <v>2</v>
      </c>
      <c r="E899" s="2" t="s">
        <v>287</v>
      </c>
      <c r="F899" s="2" t="s">
        <v>288</v>
      </c>
      <c r="G899" s="2" t="s">
        <v>39</v>
      </c>
      <c r="H899" s="2" t="s">
        <v>22</v>
      </c>
      <c r="I899" s="2" t="s">
        <v>40</v>
      </c>
      <c r="J899" s="2" t="s">
        <v>59</v>
      </c>
      <c r="K899">
        <v>21.79</v>
      </c>
      <c r="L899">
        <v>117.29</v>
      </c>
      <c r="M899">
        <v>538.27</v>
      </c>
      <c r="N899" s="2" t="s">
        <v>289</v>
      </c>
      <c r="O899" s="2" t="s">
        <v>290</v>
      </c>
      <c r="P899" s="2" t="s">
        <v>1892</v>
      </c>
      <c r="Q899" s="2" t="s">
        <v>1893</v>
      </c>
      <c r="R899" s="2" t="s">
        <v>29</v>
      </c>
      <c r="S899" s="2" t="s">
        <v>30</v>
      </c>
    </row>
    <row r="900" spans="1:19">
      <c r="A900" s="1">
        <v>44228</v>
      </c>
      <c r="B900" s="1">
        <v>44228</v>
      </c>
      <c r="C900">
        <v>2021</v>
      </c>
      <c r="D900">
        <v>2</v>
      </c>
      <c r="E900" s="2" t="s">
        <v>293</v>
      </c>
      <c r="F900" s="2" t="s">
        <v>294</v>
      </c>
      <c r="G900" s="2" t="s">
        <v>21</v>
      </c>
      <c r="H900" s="2" t="s">
        <v>22</v>
      </c>
      <c r="I900" s="2" t="s">
        <v>295</v>
      </c>
      <c r="J900" s="2" t="s">
        <v>24</v>
      </c>
      <c r="K900">
        <v>831.21</v>
      </c>
      <c r="L900">
        <v>4274.8999999999996</v>
      </c>
      <c r="M900">
        <v>514.29999999999995</v>
      </c>
      <c r="N900" s="2" t="s">
        <v>296</v>
      </c>
      <c r="O900" s="2" t="s">
        <v>297</v>
      </c>
      <c r="P900" s="2" t="s">
        <v>1894</v>
      </c>
      <c r="Q900" s="2" t="s">
        <v>1895</v>
      </c>
      <c r="R900" s="2" t="s">
        <v>29</v>
      </c>
      <c r="S900" s="2" t="s">
        <v>30</v>
      </c>
    </row>
    <row r="901" spans="1:19">
      <c r="A901" s="1">
        <v>44228</v>
      </c>
      <c r="B901" s="1">
        <v>44228</v>
      </c>
      <c r="C901">
        <v>2021</v>
      </c>
      <c r="D901">
        <v>2</v>
      </c>
      <c r="E901" s="2" t="s">
        <v>300</v>
      </c>
      <c r="F901" s="2" t="s">
        <v>301</v>
      </c>
      <c r="G901" s="2" t="s">
        <v>21</v>
      </c>
      <c r="H901" s="2" t="s">
        <v>22</v>
      </c>
      <c r="I901" s="2" t="s">
        <v>295</v>
      </c>
      <c r="J901" s="2" t="s">
        <v>24</v>
      </c>
      <c r="K901">
        <v>39.71</v>
      </c>
      <c r="L901">
        <v>1323.33</v>
      </c>
      <c r="M901">
        <v>3332.49</v>
      </c>
      <c r="N901" s="2" t="s">
        <v>302</v>
      </c>
      <c r="O901" s="2" t="s">
        <v>303</v>
      </c>
      <c r="P901" s="2" t="s">
        <v>1896</v>
      </c>
      <c r="Q901" s="2" t="s">
        <v>1897</v>
      </c>
      <c r="R901" s="2" t="s">
        <v>29</v>
      </c>
      <c r="S901" s="2" t="s">
        <v>30</v>
      </c>
    </row>
    <row r="902" spans="1:19">
      <c r="A902" s="1">
        <v>44228</v>
      </c>
      <c r="B902" s="1">
        <v>44228</v>
      </c>
      <c r="C902">
        <v>2021</v>
      </c>
      <c r="D902">
        <v>2</v>
      </c>
      <c r="E902" s="2" t="s">
        <v>306</v>
      </c>
      <c r="F902" s="2" t="s">
        <v>307</v>
      </c>
      <c r="G902" s="2" t="s">
        <v>21</v>
      </c>
      <c r="H902" s="2" t="s">
        <v>22</v>
      </c>
      <c r="I902" s="2" t="s">
        <v>295</v>
      </c>
      <c r="J902" s="2" t="s">
        <v>101</v>
      </c>
      <c r="K902">
        <v>870.92</v>
      </c>
      <c r="L902">
        <v>5598.23</v>
      </c>
      <c r="M902">
        <v>642.79</v>
      </c>
      <c r="N902" s="2" t="s">
        <v>308</v>
      </c>
      <c r="O902" s="2" t="s">
        <v>309</v>
      </c>
      <c r="P902" s="2" t="s">
        <v>1898</v>
      </c>
      <c r="Q902" s="2" t="s">
        <v>1899</v>
      </c>
      <c r="R902" s="2" t="s">
        <v>29</v>
      </c>
      <c r="S902" s="2" t="s">
        <v>30</v>
      </c>
    </row>
    <row r="903" spans="1:19">
      <c r="A903" s="1">
        <v>44228</v>
      </c>
      <c r="B903" s="1">
        <v>44228</v>
      </c>
      <c r="C903">
        <v>2021</v>
      </c>
      <c r="D903">
        <v>2</v>
      </c>
      <c r="E903" s="2" t="s">
        <v>312</v>
      </c>
      <c r="F903" s="2" t="s">
        <v>313</v>
      </c>
      <c r="G903" s="2" t="s">
        <v>21</v>
      </c>
      <c r="H903" s="2" t="s">
        <v>22</v>
      </c>
      <c r="I903" s="2" t="s">
        <v>295</v>
      </c>
      <c r="J903" s="2" t="s">
        <v>59</v>
      </c>
      <c r="K903">
        <v>4519.7700000000004</v>
      </c>
      <c r="L903">
        <v>18315.48</v>
      </c>
      <c r="M903">
        <v>405.23</v>
      </c>
      <c r="N903" s="2" t="s">
        <v>314</v>
      </c>
      <c r="O903" s="2" t="s">
        <v>315</v>
      </c>
      <c r="P903" s="2" t="s">
        <v>1900</v>
      </c>
      <c r="Q903" s="2" t="s">
        <v>1901</v>
      </c>
      <c r="R903" s="2" t="s">
        <v>29</v>
      </c>
      <c r="S903" s="2" t="s">
        <v>30</v>
      </c>
    </row>
    <row r="904" spans="1:19">
      <c r="A904" s="1">
        <v>44228</v>
      </c>
      <c r="B904" s="1">
        <v>44228</v>
      </c>
      <c r="C904">
        <v>2021</v>
      </c>
      <c r="D904">
        <v>2</v>
      </c>
      <c r="E904" s="2" t="s">
        <v>318</v>
      </c>
      <c r="F904" s="2" t="s">
        <v>319</v>
      </c>
      <c r="G904" s="2" t="s">
        <v>21</v>
      </c>
      <c r="H904" s="2" t="s">
        <v>22</v>
      </c>
      <c r="I904" s="2" t="s">
        <v>295</v>
      </c>
      <c r="J904" s="2" t="s">
        <v>24</v>
      </c>
      <c r="K904">
        <v>3648.84</v>
      </c>
      <c r="L904">
        <v>12717.25</v>
      </c>
      <c r="M904">
        <v>348.53</v>
      </c>
      <c r="N904" s="2" t="s">
        <v>320</v>
      </c>
      <c r="O904" s="2" t="s">
        <v>321</v>
      </c>
      <c r="P904" s="2" t="s">
        <v>1902</v>
      </c>
      <c r="Q904" s="2" t="s">
        <v>1903</v>
      </c>
      <c r="R904" s="2" t="s">
        <v>29</v>
      </c>
      <c r="S904" s="2" t="s">
        <v>30</v>
      </c>
    </row>
    <row r="905" spans="1:19">
      <c r="A905" s="1">
        <v>44228</v>
      </c>
      <c r="B905" s="1">
        <v>44228</v>
      </c>
      <c r="C905">
        <v>2021</v>
      </c>
      <c r="D905">
        <v>2</v>
      </c>
      <c r="E905" s="2" t="s">
        <v>324</v>
      </c>
      <c r="F905" s="2" t="s">
        <v>325</v>
      </c>
      <c r="G905" s="2" t="s">
        <v>21</v>
      </c>
      <c r="H905" s="2" t="s">
        <v>22</v>
      </c>
      <c r="I905" s="2" t="s">
        <v>23</v>
      </c>
      <c r="J905" s="2" t="s">
        <v>59</v>
      </c>
      <c r="K905">
        <v>30607.09</v>
      </c>
      <c r="L905">
        <v>2919320.67</v>
      </c>
      <c r="M905">
        <v>9538.0499999999993</v>
      </c>
      <c r="N905" s="2" t="s">
        <v>326</v>
      </c>
      <c r="O905" s="2" t="s">
        <v>327</v>
      </c>
      <c r="P905" s="2" t="s">
        <v>1904</v>
      </c>
      <c r="Q905" s="2" t="s">
        <v>1905</v>
      </c>
      <c r="R905" s="2" t="s">
        <v>29</v>
      </c>
      <c r="S905" s="2" t="s">
        <v>30</v>
      </c>
    </row>
    <row r="906" spans="1:19">
      <c r="A906" s="1">
        <v>44228</v>
      </c>
      <c r="B906" s="1">
        <v>44228</v>
      </c>
      <c r="C906">
        <v>2021</v>
      </c>
      <c r="D906">
        <v>2</v>
      </c>
      <c r="E906" s="2" t="s">
        <v>330</v>
      </c>
      <c r="F906" s="2" t="s">
        <v>331</v>
      </c>
      <c r="G906" s="2" t="s">
        <v>21</v>
      </c>
      <c r="H906" s="2" t="s">
        <v>332</v>
      </c>
      <c r="I906" s="2" t="s">
        <v>333</v>
      </c>
      <c r="J906" s="2" t="s">
        <v>24</v>
      </c>
      <c r="K906">
        <v>156.19999999999999</v>
      </c>
      <c r="L906">
        <v>7645509.54</v>
      </c>
      <c r="M906">
        <v>4894692.41</v>
      </c>
      <c r="N906" s="2" t="s">
        <v>334</v>
      </c>
      <c r="O906" s="2" t="s">
        <v>335</v>
      </c>
      <c r="P906" s="2" t="s">
        <v>1906</v>
      </c>
      <c r="Q906" s="2" t="s">
        <v>1907</v>
      </c>
      <c r="R906" s="2" t="s">
        <v>29</v>
      </c>
      <c r="S906" s="2" t="s">
        <v>30</v>
      </c>
    </row>
    <row r="907" spans="1:19">
      <c r="A907" s="1">
        <v>44228</v>
      </c>
      <c r="B907" s="1">
        <v>44228</v>
      </c>
      <c r="C907">
        <v>2021</v>
      </c>
      <c r="D907">
        <v>2</v>
      </c>
      <c r="E907" s="2" t="s">
        <v>338</v>
      </c>
      <c r="F907" s="2" t="s">
        <v>339</v>
      </c>
      <c r="G907" s="2" t="s">
        <v>21</v>
      </c>
      <c r="H907" s="2" t="s">
        <v>332</v>
      </c>
      <c r="I907" s="2" t="s">
        <v>333</v>
      </c>
      <c r="J907" s="2" t="s">
        <v>24</v>
      </c>
      <c r="K907">
        <v>1.5</v>
      </c>
      <c r="L907">
        <v>1404915.91</v>
      </c>
      <c r="M907">
        <v>93661060.670000002</v>
      </c>
      <c r="N907" s="2" t="s">
        <v>340</v>
      </c>
      <c r="O907" s="2" t="s">
        <v>341</v>
      </c>
      <c r="P907" s="2" t="s">
        <v>1908</v>
      </c>
      <c r="Q907" s="2" t="s">
        <v>1909</v>
      </c>
      <c r="R907" s="2" t="s">
        <v>29</v>
      </c>
      <c r="S907" s="2" t="s">
        <v>30</v>
      </c>
    </row>
    <row r="908" spans="1:19">
      <c r="A908" s="1">
        <v>44228</v>
      </c>
      <c r="B908" s="1">
        <v>44228</v>
      </c>
      <c r="C908">
        <v>2021</v>
      </c>
      <c r="D908">
        <v>2</v>
      </c>
      <c r="E908" s="2" t="s">
        <v>344</v>
      </c>
      <c r="F908" s="2" t="s">
        <v>345</v>
      </c>
      <c r="G908" s="2" t="s">
        <v>21</v>
      </c>
      <c r="H908" s="2" t="s">
        <v>332</v>
      </c>
      <c r="I908" s="2" t="s">
        <v>333</v>
      </c>
      <c r="J908" s="2" t="s">
        <v>59</v>
      </c>
      <c r="K908">
        <v>157.69999999999999</v>
      </c>
      <c r="L908">
        <v>9050425.4499999993</v>
      </c>
      <c r="M908">
        <v>5739014.2400000002</v>
      </c>
      <c r="N908" s="2" t="s">
        <v>346</v>
      </c>
      <c r="O908" s="2" t="s">
        <v>347</v>
      </c>
      <c r="P908" s="2" t="s">
        <v>1910</v>
      </c>
      <c r="Q908" s="2" t="s">
        <v>1911</v>
      </c>
      <c r="R908" s="2" t="s">
        <v>29</v>
      </c>
      <c r="S908" s="2" t="s">
        <v>30</v>
      </c>
    </row>
    <row r="909" spans="1:19">
      <c r="A909" s="1">
        <v>44228</v>
      </c>
      <c r="B909" s="1">
        <v>44228</v>
      </c>
      <c r="C909">
        <v>2021</v>
      </c>
      <c r="D909">
        <v>2</v>
      </c>
      <c r="E909" s="2" t="s">
        <v>350</v>
      </c>
      <c r="F909" s="2" t="s">
        <v>351</v>
      </c>
      <c r="G909" s="2" t="s">
        <v>21</v>
      </c>
      <c r="H909" s="2" t="s">
        <v>22</v>
      </c>
      <c r="I909" s="2" t="s">
        <v>352</v>
      </c>
      <c r="J909" s="2" t="s">
        <v>353</v>
      </c>
      <c r="K909">
        <v>41205.730000000003</v>
      </c>
      <c r="L909">
        <v>12175715.93</v>
      </c>
      <c r="M909">
        <v>29548.6</v>
      </c>
      <c r="N909" s="2" t="s">
        <v>354</v>
      </c>
      <c r="O909" s="2" t="s">
        <v>355</v>
      </c>
      <c r="P909" s="2" t="s">
        <v>1912</v>
      </c>
      <c r="Q909" s="2" t="s">
        <v>1913</v>
      </c>
      <c r="R909" s="2" t="s">
        <v>29</v>
      </c>
      <c r="S909" s="2" t="s">
        <v>30</v>
      </c>
    </row>
    <row r="910" spans="1:19">
      <c r="A910" s="1">
        <v>44228</v>
      </c>
      <c r="B910" s="1">
        <v>44228</v>
      </c>
      <c r="C910">
        <v>2021</v>
      </c>
      <c r="D910">
        <v>2</v>
      </c>
      <c r="E910" s="2" t="s">
        <v>358</v>
      </c>
      <c r="F910" s="2" t="s">
        <v>359</v>
      </c>
      <c r="G910" s="2" t="s">
        <v>21</v>
      </c>
      <c r="H910" s="2" t="s">
        <v>22</v>
      </c>
      <c r="I910" s="2" t="s">
        <v>352</v>
      </c>
      <c r="J910" s="2" t="s">
        <v>353</v>
      </c>
      <c r="K910">
        <v>41841.800000000003</v>
      </c>
      <c r="L910">
        <v>12722825.1</v>
      </c>
      <c r="M910">
        <v>30406.97</v>
      </c>
      <c r="N910" s="2" t="s">
        <v>360</v>
      </c>
      <c r="O910" s="2" t="s">
        <v>361</v>
      </c>
      <c r="P910" s="2" t="s">
        <v>1914</v>
      </c>
      <c r="Q910" s="2" t="s">
        <v>1915</v>
      </c>
      <c r="R910" s="2" t="s">
        <v>29</v>
      </c>
      <c r="S910" s="2" t="s">
        <v>30</v>
      </c>
    </row>
    <row r="911" spans="1:19">
      <c r="A911" s="1">
        <v>44228</v>
      </c>
      <c r="B911" s="1">
        <v>44228</v>
      </c>
      <c r="C911">
        <v>2021</v>
      </c>
      <c r="D911">
        <v>2</v>
      </c>
      <c r="E911" s="2" t="s">
        <v>364</v>
      </c>
      <c r="F911" s="2" t="s">
        <v>365</v>
      </c>
      <c r="G911" s="2" t="s">
        <v>21</v>
      </c>
      <c r="H911" s="2" t="s">
        <v>22</v>
      </c>
      <c r="I911" s="2" t="s">
        <v>352</v>
      </c>
      <c r="J911" s="2" t="s">
        <v>353</v>
      </c>
      <c r="K911">
        <v>41684.11</v>
      </c>
      <c r="L911">
        <v>3672399.65</v>
      </c>
      <c r="M911">
        <v>8810.07</v>
      </c>
      <c r="N911" s="2" t="s">
        <v>366</v>
      </c>
      <c r="O911" s="2" t="s">
        <v>367</v>
      </c>
      <c r="P911" s="2" t="s">
        <v>1916</v>
      </c>
      <c r="Q911" s="2" t="s">
        <v>1917</v>
      </c>
      <c r="R911" s="2" t="s">
        <v>29</v>
      </c>
      <c r="S911" s="2" t="s">
        <v>30</v>
      </c>
    </row>
    <row r="912" spans="1:19">
      <c r="A912" s="1">
        <v>44228</v>
      </c>
      <c r="B912" s="1">
        <v>44228</v>
      </c>
      <c r="C912">
        <v>2021</v>
      </c>
      <c r="D912">
        <v>2</v>
      </c>
      <c r="E912" s="2" t="s">
        <v>370</v>
      </c>
      <c r="F912" s="2" t="s">
        <v>371</v>
      </c>
      <c r="G912" s="2" t="s">
        <v>21</v>
      </c>
      <c r="H912" s="2" t="s">
        <v>22</v>
      </c>
      <c r="I912" s="2" t="s">
        <v>23</v>
      </c>
      <c r="J912" s="2" t="s">
        <v>24</v>
      </c>
      <c r="K912">
        <v>22928.94</v>
      </c>
      <c r="L912">
        <v>425062.76</v>
      </c>
      <c r="M912">
        <v>1853.83</v>
      </c>
      <c r="N912" s="2" t="s">
        <v>372</v>
      </c>
      <c r="O912" s="2" t="s">
        <v>373</v>
      </c>
      <c r="P912" s="2" t="s">
        <v>1918</v>
      </c>
      <c r="Q912" s="2" t="s">
        <v>1919</v>
      </c>
      <c r="R912" s="2" t="s">
        <v>29</v>
      </c>
      <c r="S912" s="2" t="s">
        <v>30</v>
      </c>
    </row>
    <row r="913" spans="1:19">
      <c r="A913" s="1">
        <v>44228</v>
      </c>
      <c r="B913" s="1">
        <v>44228</v>
      </c>
      <c r="C913">
        <v>2021</v>
      </c>
      <c r="D913">
        <v>2</v>
      </c>
      <c r="E913" s="2" t="s">
        <v>376</v>
      </c>
      <c r="F913" s="2" t="s">
        <v>377</v>
      </c>
      <c r="G913" s="2" t="s">
        <v>21</v>
      </c>
      <c r="H913" s="2" t="s">
        <v>22</v>
      </c>
      <c r="I913" s="2" t="s">
        <v>23</v>
      </c>
      <c r="J913" s="2" t="s">
        <v>378</v>
      </c>
      <c r="K913">
        <v>0.82</v>
      </c>
      <c r="L913">
        <v>13.03</v>
      </c>
      <c r="M913">
        <v>1589.02</v>
      </c>
      <c r="N913" s="2" t="s">
        <v>379</v>
      </c>
      <c r="O913" s="2" t="s">
        <v>380</v>
      </c>
      <c r="P913" s="2" t="s">
        <v>615</v>
      </c>
      <c r="Q913" s="2" t="s">
        <v>1920</v>
      </c>
      <c r="R913" s="2" t="s">
        <v>29</v>
      </c>
      <c r="S913" s="2" t="s">
        <v>30</v>
      </c>
    </row>
    <row r="914" spans="1:19">
      <c r="A914" s="1">
        <v>44256</v>
      </c>
      <c r="B914" s="1">
        <v>44256</v>
      </c>
      <c r="C914">
        <v>2021</v>
      </c>
      <c r="D914">
        <v>3</v>
      </c>
      <c r="E914" s="2" t="s">
        <v>19</v>
      </c>
      <c r="F914" s="2" t="s">
        <v>20</v>
      </c>
      <c r="G914" s="2" t="s">
        <v>21</v>
      </c>
      <c r="H914" s="2" t="s">
        <v>22</v>
      </c>
      <c r="I914" s="2" t="s">
        <v>23</v>
      </c>
      <c r="J914" s="2" t="s">
        <v>24</v>
      </c>
      <c r="K914">
        <v>1.1599999999999999</v>
      </c>
      <c r="L914">
        <v>72.02</v>
      </c>
      <c r="M914">
        <v>6208.62</v>
      </c>
      <c r="N914" s="2" t="s">
        <v>25</v>
      </c>
      <c r="O914" s="2" t="s">
        <v>26</v>
      </c>
      <c r="P914" s="2" t="s">
        <v>1921</v>
      </c>
      <c r="Q914" s="2" t="s">
        <v>1922</v>
      </c>
      <c r="R914" s="2" t="s">
        <v>29</v>
      </c>
      <c r="S914" s="2" t="s">
        <v>30</v>
      </c>
    </row>
    <row r="915" spans="1:19">
      <c r="A915" s="1">
        <v>44256</v>
      </c>
      <c r="B915" s="1">
        <v>44256</v>
      </c>
      <c r="C915">
        <v>2021</v>
      </c>
      <c r="D915">
        <v>3</v>
      </c>
      <c r="E915" s="2" t="s">
        <v>31</v>
      </c>
      <c r="F915" s="2" t="s">
        <v>32</v>
      </c>
      <c r="G915" s="2" t="s">
        <v>21</v>
      </c>
      <c r="H915" s="2" t="s">
        <v>22</v>
      </c>
      <c r="I915" s="2" t="s">
        <v>23</v>
      </c>
      <c r="J915" s="2" t="s">
        <v>24</v>
      </c>
      <c r="K915">
        <v>1128.83</v>
      </c>
      <c r="L915">
        <v>11085.95</v>
      </c>
      <c r="M915">
        <v>982.07</v>
      </c>
      <c r="N915" s="2" t="s">
        <v>33</v>
      </c>
      <c r="O915" s="2" t="s">
        <v>34</v>
      </c>
      <c r="P915" s="2" t="s">
        <v>1923</v>
      </c>
      <c r="Q915" s="2" t="s">
        <v>1924</v>
      </c>
      <c r="R915" s="2" t="s">
        <v>29</v>
      </c>
      <c r="S915" s="2" t="s">
        <v>30</v>
      </c>
    </row>
    <row r="916" spans="1:19">
      <c r="A916" s="1">
        <v>44256</v>
      </c>
      <c r="B916" s="1">
        <v>44256</v>
      </c>
      <c r="C916">
        <v>2021</v>
      </c>
      <c r="D916">
        <v>3</v>
      </c>
      <c r="E916" s="2" t="s">
        <v>37</v>
      </c>
      <c r="F916" s="2" t="s">
        <v>38</v>
      </c>
      <c r="G916" s="2" t="s">
        <v>39</v>
      </c>
      <c r="H916" s="2" t="s">
        <v>22</v>
      </c>
      <c r="I916" s="2" t="s">
        <v>40</v>
      </c>
      <c r="J916" s="2" t="s">
        <v>24</v>
      </c>
      <c r="K916">
        <v>5.92</v>
      </c>
      <c r="L916">
        <v>306.58999999999997</v>
      </c>
      <c r="M916">
        <v>5178.8900000000003</v>
      </c>
      <c r="N916" s="2" t="s">
        <v>41</v>
      </c>
      <c r="O916" s="2" t="s">
        <v>42</v>
      </c>
      <c r="P916" s="2" t="s">
        <v>1925</v>
      </c>
      <c r="Q916" s="2" t="s">
        <v>1926</v>
      </c>
      <c r="R916" s="2" t="s">
        <v>29</v>
      </c>
      <c r="S916" s="2" t="s">
        <v>30</v>
      </c>
    </row>
    <row r="917" spans="1:19">
      <c r="A917" s="1">
        <v>44256</v>
      </c>
      <c r="B917" s="1">
        <v>44256</v>
      </c>
      <c r="C917">
        <v>2021</v>
      </c>
      <c r="D917">
        <v>3</v>
      </c>
      <c r="E917" s="2" t="s">
        <v>45</v>
      </c>
      <c r="F917" s="2" t="s">
        <v>46</v>
      </c>
      <c r="G917" s="2" t="s">
        <v>39</v>
      </c>
      <c r="H917" s="2" t="s">
        <v>22</v>
      </c>
      <c r="I917" s="2" t="s">
        <v>40</v>
      </c>
      <c r="J917" s="2" t="s">
        <v>24</v>
      </c>
      <c r="K917">
        <v>6003.68</v>
      </c>
      <c r="L917">
        <v>283954.61</v>
      </c>
      <c r="M917">
        <v>4729.68</v>
      </c>
      <c r="N917" s="2" t="s">
        <v>47</v>
      </c>
      <c r="O917" s="2" t="s">
        <v>48</v>
      </c>
      <c r="P917" s="2" t="s">
        <v>1927</v>
      </c>
      <c r="Q917" s="2" t="s">
        <v>1928</v>
      </c>
      <c r="R917" s="2" t="s">
        <v>29</v>
      </c>
      <c r="S917" s="2" t="s">
        <v>30</v>
      </c>
    </row>
    <row r="918" spans="1:19">
      <c r="A918" s="1">
        <v>44256</v>
      </c>
      <c r="B918" s="1">
        <v>44256</v>
      </c>
      <c r="C918">
        <v>2021</v>
      </c>
      <c r="D918">
        <v>3</v>
      </c>
      <c r="E918" s="2" t="s">
        <v>51</v>
      </c>
      <c r="F918" s="2" t="s">
        <v>52</v>
      </c>
      <c r="G918" s="2" t="s">
        <v>39</v>
      </c>
      <c r="H918" s="2" t="s">
        <v>22</v>
      </c>
      <c r="I918" s="2" t="s">
        <v>40</v>
      </c>
      <c r="J918" s="2" t="s">
        <v>24</v>
      </c>
      <c r="K918">
        <v>26.18</v>
      </c>
      <c r="L918">
        <v>1006.72</v>
      </c>
      <c r="M918">
        <v>3845.38</v>
      </c>
      <c r="N918" s="2" t="s">
        <v>53</v>
      </c>
      <c r="O918" s="2" t="s">
        <v>54</v>
      </c>
      <c r="P918" s="2" t="s">
        <v>1929</v>
      </c>
      <c r="Q918" s="2" t="s">
        <v>1930</v>
      </c>
      <c r="R918" s="2" t="s">
        <v>29</v>
      </c>
      <c r="S918" s="2" t="s">
        <v>30</v>
      </c>
    </row>
    <row r="919" spans="1:19">
      <c r="A919" s="1">
        <v>44256</v>
      </c>
      <c r="B919" s="1">
        <v>44256</v>
      </c>
      <c r="C919">
        <v>2021</v>
      </c>
      <c r="D919">
        <v>3</v>
      </c>
      <c r="E919" s="2" t="s">
        <v>57</v>
      </c>
      <c r="F919" s="2" t="s">
        <v>58</v>
      </c>
      <c r="G919" s="2" t="s">
        <v>39</v>
      </c>
      <c r="H919" s="2" t="s">
        <v>22</v>
      </c>
      <c r="I919" s="2" t="s">
        <v>40</v>
      </c>
      <c r="J919" s="2" t="s">
        <v>59</v>
      </c>
      <c r="K919">
        <v>6035.78</v>
      </c>
      <c r="L919">
        <v>285267.92</v>
      </c>
      <c r="M919">
        <v>4726.28</v>
      </c>
      <c r="N919" s="2" t="s">
        <v>60</v>
      </c>
      <c r="O919" s="2" t="s">
        <v>61</v>
      </c>
      <c r="P919" s="2" t="s">
        <v>1931</v>
      </c>
      <c r="Q919" s="2" t="s">
        <v>1932</v>
      </c>
      <c r="R919" s="2" t="s">
        <v>29</v>
      </c>
      <c r="S919" s="2" t="s">
        <v>30</v>
      </c>
    </row>
    <row r="920" spans="1:19">
      <c r="A920" s="1">
        <v>44256</v>
      </c>
      <c r="B920" s="1">
        <v>44256</v>
      </c>
      <c r="C920">
        <v>2021</v>
      </c>
      <c r="D920">
        <v>3</v>
      </c>
      <c r="E920" s="2" t="s">
        <v>64</v>
      </c>
      <c r="F920" s="2" t="s">
        <v>65</v>
      </c>
      <c r="G920" s="2" t="s">
        <v>21</v>
      </c>
      <c r="H920" s="2" t="s">
        <v>22</v>
      </c>
      <c r="I920" s="2" t="s">
        <v>66</v>
      </c>
      <c r="J920" s="2" t="s">
        <v>24</v>
      </c>
      <c r="K920">
        <v>12.92</v>
      </c>
      <c r="L920">
        <v>346.36</v>
      </c>
      <c r="M920">
        <v>2680.8</v>
      </c>
      <c r="N920" s="2" t="s">
        <v>67</v>
      </c>
      <c r="O920" s="2" t="s">
        <v>68</v>
      </c>
      <c r="P920" s="2" t="s">
        <v>1933</v>
      </c>
      <c r="Q920" s="2" t="s">
        <v>1934</v>
      </c>
      <c r="R920" s="2" t="s">
        <v>29</v>
      </c>
      <c r="S920" s="2" t="s">
        <v>30</v>
      </c>
    </row>
    <row r="921" spans="1:19">
      <c r="A921" s="1">
        <v>44256</v>
      </c>
      <c r="B921" s="1">
        <v>44256</v>
      </c>
      <c r="C921">
        <v>2021</v>
      </c>
      <c r="D921">
        <v>3</v>
      </c>
      <c r="E921" s="2" t="s">
        <v>71</v>
      </c>
      <c r="F921" s="2" t="s">
        <v>72</v>
      </c>
      <c r="G921" s="2" t="s">
        <v>21</v>
      </c>
      <c r="H921" s="2" t="s">
        <v>22</v>
      </c>
      <c r="I921" s="2" t="s">
        <v>73</v>
      </c>
      <c r="J921" s="2" t="s">
        <v>59</v>
      </c>
      <c r="K921">
        <v>5650.32</v>
      </c>
      <c r="L921">
        <v>139705.22</v>
      </c>
      <c r="M921">
        <v>2472.52</v>
      </c>
      <c r="N921" s="2" t="s">
        <v>74</v>
      </c>
      <c r="O921" s="2" t="s">
        <v>75</v>
      </c>
      <c r="P921" s="2" t="s">
        <v>1935</v>
      </c>
      <c r="Q921" s="2" t="s">
        <v>1936</v>
      </c>
      <c r="R921" s="2" t="s">
        <v>29</v>
      </c>
      <c r="S921" s="2" t="s">
        <v>30</v>
      </c>
    </row>
    <row r="922" spans="1:19">
      <c r="A922" s="1">
        <v>44256</v>
      </c>
      <c r="B922" s="1">
        <v>44256</v>
      </c>
      <c r="C922">
        <v>2021</v>
      </c>
      <c r="D922">
        <v>3</v>
      </c>
      <c r="E922" s="2" t="s">
        <v>78</v>
      </c>
      <c r="F922" s="2" t="s">
        <v>79</v>
      </c>
      <c r="G922" s="2" t="s">
        <v>80</v>
      </c>
      <c r="H922" s="2" t="s">
        <v>81</v>
      </c>
      <c r="I922" s="2" t="s">
        <v>82</v>
      </c>
      <c r="J922" s="2" t="s">
        <v>24</v>
      </c>
      <c r="K922">
        <v>1.95</v>
      </c>
      <c r="L922">
        <v>5828078.0300000003</v>
      </c>
      <c r="M922">
        <v>298875796.41000003</v>
      </c>
      <c r="N922" s="2" t="s">
        <v>83</v>
      </c>
      <c r="O922" s="2" t="s">
        <v>84</v>
      </c>
      <c r="P922" s="2" t="s">
        <v>1937</v>
      </c>
      <c r="Q922" s="2" t="s">
        <v>1938</v>
      </c>
      <c r="R922" s="2" t="s">
        <v>29</v>
      </c>
      <c r="S922" s="2" t="s">
        <v>30</v>
      </c>
    </row>
    <row r="923" spans="1:19">
      <c r="A923" s="1">
        <v>44256</v>
      </c>
      <c r="B923" s="1">
        <v>44256</v>
      </c>
      <c r="C923">
        <v>2021</v>
      </c>
      <c r="D923">
        <v>3</v>
      </c>
      <c r="E923" s="2" t="s">
        <v>87</v>
      </c>
      <c r="F923" s="2" t="s">
        <v>88</v>
      </c>
      <c r="G923" s="2" t="s">
        <v>80</v>
      </c>
      <c r="H923" s="2" t="s">
        <v>81</v>
      </c>
      <c r="I923" s="2" t="s">
        <v>82</v>
      </c>
      <c r="J923" s="2" t="s">
        <v>24</v>
      </c>
      <c r="K923">
        <v>0.42</v>
      </c>
      <c r="L923">
        <v>678873.33</v>
      </c>
      <c r="M923">
        <v>161636507.13999999</v>
      </c>
      <c r="N923" s="2" t="s">
        <v>89</v>
      </c>
      <c r="O923" s="2" t="s">
        <v>90</v>
      </c>
      <c r="P923" s="2" t="s">
        <v>1939</v>
      </c>
      <c r="Q923" s="2" t="s">
        <v>1940</v>
      </c>
      <c r="R923" s="2" t="s">
        <v>29</v>
      </c>
      <c r="S923" s="2" t="s">
        <v>30</v>
      </c>
    </row>
    <row r="924" spans="1:19">
      <c r="A924" s="1">
        <v>44256</v>
      </c>
      <c r="B924" s="1">
        <v>44256</v>
      </c>
      <c r="C924">
        <v>2021</v>
      </c>
      <c r="D924">
        <v>3</v>
      </c>
      <c r="E924" s="2" t="s">
        <v>93</v>
      </c>
      <c r="F924" s="2" t="s">
        <v>94</v>
      </c>
      <c r="G924" s="2" t="s">
        <v>80</v>
      </c>
      <c r="H924" s="2" t="s">
        <v>81</v>
      </c>
      <c r="I924" s="2" t="s">
        <v>82</v>
      </c>
      <c r="J924" s="2" t="s">
        <v>24</v>
      </c>
      <c r="K924">
        <v>0.26</v>
      </c>
      <c r="L924">
        <v>4362390.05</v>
      </c>
      <c r="M924">
        <v>1677842326.9200001</v>
      </c>
      <c r="N924" s="2" t="s">
        <v>95</v>
      </c>
      <c r="O924" s="2" t="s">
        <v>96</v>
      </c>
      <c r="P924" s="2" t="s">
        <v>1941</v>
      </c>
      <c r="Q924" s="2" t="s">
        <v>1942</v>
      </c>
      <c r="R924" s="2" t="s">
        <v>29</v>
      </c>
      <c r="S924" s="2" t="s">
        <v>30</v>
      </c>
    </row>
    <row r="925" spans="1:19">
      <c r="A925" s="1">
        <v>44256</v>
      </c>
      <c r="B925" s="1">
        <v>44256</v>
      </c>
      <c r="C925">
        <v>2021</v>
      </c>
      <c r="D925">
        <v>3</v>
      </c>
      <c r="E925" s="2" t="s">
        <v>99</v>
      </c>
      <c r="F925" s="2" t="s">
        <v>100</v>
      </c>
      <c r="G925" s="2" t="s">
        <v>80</v>
      </c>
      <c r="H925" s="2" t="s">
        <v>81</v>
      </c>
      <c r="I925" s="2" t="s">
        <v>82</v>
      </c>
      <c r="J925" s="2" t="s">
        <v>101</v>
      </c>
      <c r="K925">
        <v>0.91</v>
      </c>
      <c r="L925">
        <v>11182300.68</v>
      </c>
      <c r="M925">
        <v>1228824250.55</v>
      </c>
      <c r="N925" s="2" t="s">
        <v>102</v>
      </c>
      <c r="O925" s="2" t="s">
        <v>103</v>
      </c>
      <c r="P925" s="2" t="s">
        <v>1223</v>
      </c>
      <c r="Q925" s="2" t="s">
        <v>1943</v>
      </c>
      <c r="R925" s="2" t="s">
        <v>29</v>
      </c>
      <c r="S925" s="2" t="s">
        <v>30</v>
      </c>
    </row>
    <row r="926" spans="1:19">
      <c r="A926" s="1">
        <v>44256</v>
      </c>
      <c r="B926" s="1">
        <v>44256</v>
      </c>
      <c r="C926">
        <v>2021</v>
      </c>
      <c r="D926">
        <v>3</v>
      </c>
      <c r="E926" s="2" t="s">
        <v>106</v>
      </c>
      <c r="F926" s="2" t="s">
        <v>107</v>
      </c>
      <c r="G926" s="2" t="s">
        <v>80</v>
      </c>
      <c r="H926" s="2" t="s">
        <v>81</v>
      </c>
      <c r="I926" s="2" t="s">
        <v>82</v>
      </c>
      <c r="J926" s="2" t="s">
        <v>24</v>
      </c>
      <c r="K926">
        <v>0.23</v>
      </c>
      <c r="L926">
        <v>6141037.2999999998</v>
      </c>
      <c r="M926">
        <v>2670016217.3899999</v>
      </c>
      <c r="N926" s="2" t="s">
        <v>108</v>
      </c>
      <c r="O926" s="2" t="s">
        <v>109</v>
      </c>
      <c r="P926" s="2" t="s">
        <v>725</v>
      </c>
      <c r="Q926" s="2" t="s">
        <v>1944</v>
      </c>
      <c r="R926" s="2" t="s">
        <v>29</v>
      </c>
      <c r="S926" s="2" t="s">
        <v>30</v>
      </c>
    </row>
    <row r="927" spans="1:19">
      <c r="A927" s="1">
        <v>44256</v>
      </c>
      <c r="B927" s="1">
        <v>44256</v>
      </c>
      <c r="C927">
        <v>2021</v>
      </c>
      <c r="D927">
        <v>3</v>
      </c>
      <c r="E927" s="2" t="s">
        <v>111</v>
      </c>
      <c r="F927" s="2" t="s">
        <v>112</v>
      </c>
      <c r="G927" s="2" t="s">
        <v>80</v>
      </c>
      <c r="H927" s="2" t="s">
        <v>81</v>
      </c>
      <c r="I927" s="2" t="s">
        <v>82</v>
      </c>
      <c r="J927" s="2" t="s">
        <v>24</v>
      </c>
      <c r="K927">
        <v>0.06</v>
      </c>
      <c r="L927">
        <v>373100</v>
      </c>
      <c r="M927">
        <v>621833333.33000004</v>
      </c>
      <c r="N927" s="2" t="s">
        <v>113</v>
      </c>
      <c r="O927" s="2" t="s">
        <v>114</v>
      </c>
      <c r="P927" s="2" t="s">
        <v>1945</v>
      </c>
      <c r="Q927" s="2" t="s">
        <v>1946</v>
      </c>
      <c r="R927" s="2" t="s">
        <v>29</v>
      </c>
      <c r="S927" s="2" t="s">
        <v>30</v>
      </c>
    </row>
    <row r="928" spans="1:19">
      <c r="A928" s="1">
        <v>44256</v>
      </c>
      <c r="B928" s="1">
        <v>44256</v>
      </c>
      <c r="C928">
        <v>2021</v>
      </c>
      <c r="D928">
        <v>3</v>
      </c>
      <c r="E928" s="2" t="s">
        <v>117</v>
      </c>
      <c r="F928" s="2" t="s">
        <v>118</v>
      </c>
      <c r="G928" s="2" t="s">
        <v>80</v>
      </c>
      <c r="H928" s="2" t="s">
        <v>81</v>
      </c>
      <c r="I928" s="2" t="s">
        <v>82</v>
      </c>
      <c r="J928" s="2" t="s">
        <v>59</v>
      </c>
      <c r="K928">
        <v>2.92</v>
      </c>
      <c r="L928">
        <v>17383478.710000001</v>
      </c>
      <c r="M928">
        <v>595324613.36000001</v>
      </c>
      <c r="N928" s="2" t="s">
        <v>119</v>
      </c>
      <c r="O928" s="2" t="s">
        <v>120</v>
      </c>
      <c r="P928" s="2" t="s">
        <v>1947</v>
      </c>
      <c r="Q928" s="2" t="s">
        <v>1948</v>
      </c>
      <c r="R928" s="2" t="s">
        <v>29</v>
      </c>
      <c r="S928" s="2" t="s">
        <v>30</v>
      </c>
    </row>
    <row r="929" spans="1:19">
      <c r="A929" s="1">
        <v>44256</v>
      </c>
      <c r="B929" s="1">
        <v>44256</v>
      </c>
      <c r="C929">
        <v>2021</v>
      </c>
      <c r="D929">
        <v>3</v>
      </c>
      <c r="E929" s="2" t="s">
        <v>123</v>
      </c>
      <c r="F929" s="2" t="s">
        <v>124</v>
      </c>
      <c r="G929" s="2" t="s">
        <v>21</v>
      </c>
      <c r="H929" s="2" t="s">
        <v>22</v>
      </c>
      <c r="I929" s="2" t="s">
        <v>73</v>
      </c>
      <c r="J929" s="2" t="s">
        <v>24</v>
      </c>
      <c r="K929">
        <v>874.41</v>
      </c>
      <c r="L929">
        <v>39033.06</v>
      </c>
      <c r="M929">
        <v>4463.93</v>
      </c>
      <c r="N929" s="2" t="s">
        <v>125</v>
      </c>
      <c r="O929" s="2" t="s">
        <v>126</v>
      </c>
      <c r="P929" s="2" t="s">
        <v>1949</v>
      </c>
      <c r="Q929" s="2" t="s">
        <v>1950</v>
      </c>
      <c r="R929" s="2" t="s">
        <v>29</v>
      </c>
      <c r="S929" s="2" t="s">
        <v>30</v>
      </c>
    </row>
    <row r="930" spans="1:19">
      <c r="A930" s="1">
        <v>44256</v>
      </c>
      <c r="B930" s="1">
        <v>44256</v>
      </c>
      <c r="C930">
        <v>2021</v>
      </c>
      <c r="D930">
        <v>3</v>
      </c>
      <c r="E930" s="2" t="s">
        <v>129</v>
      </c>
      <c r="F930" s="2" t="s">
        <v>130</v>
      </c>
      <c r="G930" s="2" t="s">
        <v>21</v>
      </c>
      <c r="H930" s="2" t="s">
        <v>22</v>
      </c>
      <c r="I930" s="2" t="s">
        <v>73</v>
      </c>
      <c r="J930" s="2" t="s">
        <v>24</v>
      </c>
      <c r="K930">
        <v>1012.86</v>
      </c>
      <c r="L930">
        <v>33285.760000000002</v>
      </c>
      <c r="M930">
        <v>3286.31</v>
      </c>
      <c r="N930" s="2" t="s">
        <v>131</v>
      </c>
      <c r="O930" s="2" t="s">
        <v>132</v>
      </c>
      <c r="P930" s="2" t="s">
        <v>1951</v>
      </c>
      <c r="Q930" s="2" t="s">
        <v>1952</v>
      </c>
      <c r="R930" s="2" t="s">
        <v>29</v>
      </c>
      <c r="S930" s="2" t="s">
        <v>30</v>
      </c>
    </row>
    <row r="931" spans="1:19">
      <c r="A931" s="1">
        <v>44256</v>
      </c>
      <c r="B931" s="1">
        <v>44256</v>
      </c>
      <c r="C931">
        <v>2021</v>
      </c>
      <c r="D931">
        <v>3</v>
      </c>
      <c r="E931" s="2" t="s">
        <v>135</v>
      </c>
      <c r="F931" s="2" t="s">
        <v>136</v>
      </c>
      <c r="G931" s="2" t="s">
        <v>21</v>
      </c>
      <c r="H931" s="2" t="s">
        <v>22</v>
      </c>
      <c r="I931" s="2" t="s">
        <v>73</v>
      </c>
      <c r="J931" s="2" t="s">
        <v>101</v>
      </c>
      <c r="K931">
        <v>1887.27</v>
      </c>
      <c r="L931">
        <v>72318.820000000007</v>
      </c>
      <c r="M931">
        <v>3831.93</v>
      </c>
      <c r="N931" s="2" t="s">
        <v>137</v>
      </c>
      <c r="O931" s="2" t="s">
        <v>138</v>
      </c>
      <c r="P931" s="2" t="s">
        <v>1953</v>
      </c>
      <c r="Q931" s="2" t="s">
        <v>1954</v>
      </c>
      <c r="R931" s="2" t="s">
        <v>29</v>
      </c>
      <c r="S931" s="2" t="s">
        <v>30</v>
      </c>
    </row>
    <row r="932" spans="1:19">
      <c r="A932" s="1">
        <v>44256</v>
      </c>
      <c r="B932" s="1">
        <v>44256</v>
      </c>
      <c r="C932">
        <v>2021</v>
      </c>
      <c r="D932">
        <v>3</v>
      </c>
      <c r="E932" s="2" t="s">
        <v>141</v>
      </c>
      <c r="F932" s="2" t="s">
        <v>142</v>
      </c>
      <c r="G932" s="2" t="s">
        <v>21</v>
      </c>
      <c r="H932" s="2" t="s">
        <v>22</v>
      </c>
      <c r="I932" s="2" t="s">
        <v>73</v>
      </c>
      <c r="J932" s="2" t="s">
        <v>24</v>
      </c>
      <c r="K932">
        <v>1533.93</v>
      </c>
      <c r="L932">
        <v>24570.28</v>
      </c>
      <c r="M932">
        <v>1601.79</v>
      </c>
      <c r="N932" s="2" t="s">
        <v>143</v>
      </c>
      <c r="O932" s="2" t="s">
        <v>144</v>
      </c>
      <c r="P932" s="2" t="s">
        <v>1955</v>
      </c>
      <c r="Q932" s="2" t="s">
        <v>1956</v>
      </c>
      <c r="R932" s="2" t="s">
        <v>29</v>
      </c>
      <c r="S932" s="2" t="s">
        <v>30</v>
      </c>
    </row>
    <row r="933" spans="1:19">
      <c r="A933" s="1">
        <v>44256</v>
      </c>
      <c r="B933" s="1">
        <v>44256</v>
      </c>
      <c r="C933">
        <v>2021</v>
      </c>
      <c r="D933">
        <v>3</v>
      </c>
      <c r="E933" s="2" t="s">
        <v>147</v>
      </c>
      <c r="F933" s="2" t="s">
        <v>148</v>
      </c>
      <c r="G933" s="2" t="s">
        <v>21</v>
      </c>
      <c r="H933" s="2" t="s">
        <v>22</v>
      </c>
      <c r="I933" s="2" t="s">
        <v>73</v>
      </c>
      <c r="J933" s="2" t="s">
        <v>24</v>
      </c>
      <c r="K933">
        <v>2229.12</v>
      </c>
      <c r="L933">
        <v>42816.12</v>
      </c>
      <c r="M933">
        <v>1920.76</v>
      </c>
      <c r="N933" s="2" t="s">
        <v>149</v>
      </c>
      <c r="O933" s="2" t="s">
        <v>150</v>
      </c>
      <c r="P933" s="2" t="s">
        <v>1957</v>
      </c>
      <c r="Q933" s="2" t="s">
        <v>1958</v>
      </c>
      <c r="R933" s="2" t="s">
        <v>29</v>
      </c>
      <c r="S933" s="2" t="s">
        <v>30</v>
      </c>
    </row>
    <row r="934" spans="1:19">
      <c r="A934" s="1">
        <v>44256</v>
      </c>
      <c r="B934" s="1">
        <v>44256</v>
      </c>
      <c r="C934">
        <v>2021</v>
      </c>
      <c r="D934">
        <v>3</v>
      </c>
      <c r="E934" s="2" t="s">
        <v>153</v>
      </c>
      <c r="F934" s="2" t="s">
        <v>154</v>
      </c>
      <c r="G934" s="2" t="s">
        <v>21</v>
      </c>
      <c r="H934" s="2" t="s">
        <v>22</v>
      </c>
      <c r="I934" s="2" t="s">
        <v>73</v>
      </c>
      <c r="J934" s="2" t="s">
        <v>101</v>
      </c>
      <c r="K934">
        <v>3763.05</v>
      </c>
      <c r="L934">
        <v>67386.41</v>
      </c>
      <c r="M934">
        <v>1790.74</v>
      </c>
      <c r="N934" s="2" t="s">
        <v>155</v>
      </c>
      <c r="O934" s="2" t="s">
        <v>156</v>
      </c>
      <c r="P934" s="2" t="s">
        <v>1959</v>
      </c>
      <c r="Q934" s="2" t="s">
        <v>1960</v>
      </c>
      <c r="R934" s="2" t="s">
        <v>29</v>
      </c>
      <c r="S934" s="2" t="s">
        <v>30</v>
      </c>
    </row>
    <row r="935" spans="1:19">
      <c r="A935" s="1">
        <v>44256</v>
      </c>
      <c r="B935" s="1">
        <v>44256</v>
      </c>
      <c r="C935">
        <v>2021</v>
      </c>
      <c r="D935">
        <v>3</v>
      </c>
      <c r="E935" s="2" t="s">
        <v>159</v>
      </c>
      <c r="F935" s="2" t="s">
        <v>160</v>
      </c>
      <c r="G935" s="2" t="s">
        <v>21</v>
      </c>
      <c r="H935" s="2" t="s">
        <v>22</v>
      </c>
      <c r="I935" s="2" t="s">
        <v>66</v>
      </c>
      <c r="J935" s="2" t="s">
        <v>59</v>
      </c>
      <c r="K935">
        <v>1038.8399999999999</v>
      </c>
      <c r="L935">
        <v>86504.52</v>
      </c>
      <c r="M935">
        <v>8327.0300000000007</v>
      </c>
      <c r="N935" s="2" t="s">
        <v>161</v>
      </c>
      <c r="O935" s="2" t="s">
        <v>162</v>
      </c>
      <c r="P935" s="2" t="s">
        <v>1961</v>
      </c>
      <c r="Q935" s="2" t="s">
        <v>1962</v>
      </c>
      <c r="R935" s="2" t="s">
        <v>29</v>
      </c>
      <c r="S935" s="2" t="s">
        <v>30</v>
      </c>
    </row>
    <row r="936" spans="1:19">
      <c r="A936" s="1">
        <v>44256</v>
      </c>
      <c r="B936" s="1">
        <v>44256</v>
      </c>
      <c r="C936">
        <v>2021</v>
      </c>
      <c r="D936">
        <v>3</v>
      </c>
      <c r="E936" s="2" t="s">
        <v>165</v>
      </c>
      <c r="F936" s="2" t="s">
        <v>166</v>
      </c>
      <c r="G936" s="2" t="s">
        <v>21</v>
      </c>
      <c r="H936" s="2" t="s">
        <v>22</v>
      </c>
      <c r="I936" s="2" t="s">
        <v>23</v>
      </c>
      <c r="J936" s="2" t="s">
        <v>24</v>
      </c>
      <c r="K936">
        <v>0</v>
      </c>
      <c r="L936">
        <v>0</v>
      </c>
      <c r="N936" s="2" t="s">
        <v>167</v>
      </c>
      <c r="O936" s="2" t="s">
        <v>168</v>
      </c>
      <c r="P936" s="2" t="s">
        <v>639</v>
      </c>
      <c r="Q936" s="2" t="s">
        <v>639</v>
      </c>
      <c r="R936" s="2" t="s">
        <v>29</v>
      </c>
      <c r="S936" s="2" t="s">
        <v>30</v>
      </c>
    </row>
    <row r="937" spans="1:19">
      <c r="A937" s="1">
        <v>44256</v>
      </c>
      <c r="B937" s="1">
        <v>44256</v>
      </c>
      <c r="C937">
        <v>2021</v>
      </c>
      <c r="D937">
        <v>3</v>
      </c>
      <c r="E937" s="2" t="s">
        <v>171</v>
      </c>
      <c r="F937" s="2" t="s">
        <v>172</v>
      </c>
      <c r="G937" s="2" t="s">
        <v>21</v>
      </c>
      <c r="H937" s="2" t="s">
        <v>22</v>
      </c>
      <c r="I937" s="2" t="s">
        <v>66</v>
      </c>
      <c r="J937" s="2" t="s">
        <v>24</v>
      </c>
      <c r="N937" s="2" t="s">
        <v>173</v>
      </c>
      <c r="O937" s="2" t="s">
        <v>174</v>
      </c>
      <c r="P937" s="2" t="s">
        <v>175</v>
      </c>
      <c r="Q937" s="2" t="s">
        <v>175</v>
      </c>
      <c r="R937" s="2" t="s">
        <v>640</v>
      </c>
      <c r="S937" s="2" t="s">
        <v>641</v>
      </c>
    </row>
    <row r="938" spans="1:19">
      <c r="A938" s="1">
        <v>44256</v>
      </c>
      <c r="B938" s="1">
        <v>44256</v>
      </c>
      <c r="C938">
        <v>2021</v>
      </c>
      <c r="D938">
        <v>3</v>
      </c>
      <c r="E938" s="2" t="s">
        <v>177</v>
      </c>
      <c r="F938" s="2" t="s">
        <v>178</v>
      </c>
      <c r="G938" s="2" t="s">
        <v>21</v>
      </c>
      <c r="H938" s="2" t="s">
        <v>22</v>
      </c>
      <c r="I938" s="2" t="s">
        <v>23</v>
      </c>
      <c r="J938" s="2" t="s">
        <v>24</v>
      </c>
      <c r="K938">
        <v>3631.44</v>
      </c>
      <c r="L938">
        <v>327236.07</v>
      </c>
      <c r="M938">
        <v>9011.19</v>
      </c>
      <c r="N938" s="2" t="s">
        <v>179</v>
      </c>
      <c r="O938" s="2" t="s">
        <v>180</v>
      </c>
      <c r="P938" s="2" t="s">
        <v>1963</v>
      </c>
      <c r="Q938" s="2" t="s">
        <v>1964</v>
      </c>
      <c r="R938" s="2" t="s">
        <v>29</v>
      </c>
      <c r="S938" s="2" t="s">
        <v>30</v>
      </c>
    </row>
    <row r="939" spans="1:19">
      <c r="A939" s="1">
        <v>44256</v>
      </c>
      <c r="B939" s="1">
        <v>44256</v>
      </c>
      <c r="C939">
        <v>2021</v>
      </c>
      <c r="D939">
        <v>3</v>
      </c>
      <c r="E939" s="2" t="s">
        <v>183</v>
      </c>
      <c r="F939" s="2" t="s">
        <v>184</v>
      </c>
      <c r="G939" s="2" t="s">
        <v>185</v>
      </c>
      <c r="H939" s="2" t="s">
        <v>22</v>
      </c>
      <c r="I939" s="2" t="s">
        <v>186</v>
      </c>
      <c r="J939" s="2" t="s">
        <v>24</v>
      </c>
      <c r="K939">
        <v>2899.2</v>
      </c>
      <c r="L939">
        <v>3066845.64</v>
      </c>
      <c r="M939">
        <v>105782.48</v>
      </c>
      <c r="N939" s="2" t="s">
        <v>187</v>
      </c>
      <c r="O939" s="2" t="s">
        <v>188</v>
      </c>
      <c r="P939" s="2" t="s">
        <v>1965</v>
      </c>
      <c r="Q939" s="2" t="s">
        <v>1966</v>
      </c>
      <c r="R939" s="2" t="s">
        <v>29</v>
      </c>
      <c r="S939" s="2" t="s">
        <v>30</v>
      </c>
    </row>
    <row r="940" spans="1:19">
      <c r="A940" s="1">
        <v>44256</v>
      </c>
      <c r="B940" s="1">
        <v>44256</v>
      </c>
      <c r="C940">
        <v>2021</v>
      </c>
      <c r="D940">
        <v>3</v>
      </c>
      <c r="E940" s="2" t="s">
        <v>191</v>
      </c>
      <c r="F940" s="2" t="s">
        <v>192</v>
      </c>
      <c r="G940" s="2" t="s">
        <v>185</v>
      </c>
      <c r="H940" s="2" t="s">
        <v>22</v>
      </c>
      <c r="I940" s="2" t="s">
        <v>186</v>
      </c>
      <c r="J940" s="2" t="s">
        <v>24</v>
      </c>
      <c r="K940">
        <v>911.96</v>
      </c>
      <c r="L940">
        <v>4883563.32</v>
      </c>
      <c r="M940">
        <v>535501.92000000004</v>
      </c>
      <c r="N940" s="2" t="s">
        <v>193</v>
      </c>
      <c r="O940" s="2" t="s">
        <v>194</v>
      </c>
      <c r="P940" s="2" t="s">
        <v>1967</v>
      </c>
      <c r="Q940" s="2" t="s">
        <v>1968</v>
      </c>
      <c r="R940" s="2" t="s">
        <v>29</v>
      </c>
      <c r="S940" s="2" t="s">
        <v>30</v>
      </c>
    </row>
    <row r="941" spans="1:19">
      <c r="A941" s="1">
        <v>44256</v>
      </c>
      <c r="B941" s="1">
        <v>44256</v>
      </c>
      <c r="C941">
        <v>2021</v>
      </c>
      <c r="D941">
        <v>3</v>
      </c>
      <c r="E941" s="2" t="s">
        <v>197</v>
      </c>
      <c r="F941" s="2" t="s">
        <v>198</v>
      </c>
      <c r="G941" s="2" t="s">
        <v>185</v>
      </c>
      <c r="H941" s="2" t="s">
        <v>22</v>
      </c>
      <c r="I941" s="2" t="s">
        <v>186</v>
      </c>
      <c r="J941" s="2" t="s">
        <v>59</v>
      </c>
      <c r="K941">
        <v>3811.17</v>
      </c>
      <c r="L941">
        <v>7950408.96</v>
      </c>
      <c r="M941">
        <v>208608.09</v>
      </c>
      <c r="N941" s="2" t="s">
        <v>199</v>
      </c>
      <c r="O941" s="2" t="s">
        <v>200</v>
      </c>
      <c r="P941" s="2" t="s">
        <v>1969</v>
      </c>
      <c r="Q941" s="2" t="s">
        <v>1970</v>
      </c>
      <c r="R941" s="2" t="s">
        <v>29</v>
      </c>
      <c r="S941" s="2" t="s">
        <v>30</v>
      </c>
    </row>
    <row r="942" spans="1:19">
      <c r="A942" s="1">
        <v>44256</v>
      </c>
      <c r="B942" s="1">
        <v>44256</v>
      </c>
      <c r="C942">
        <v>2021</v>
      </c>
      <c r="D942">
        <v>3</v>
      </c>
      <c r="E942" s="2" t="s">
        <v>203</v>
      </c>
      <c r="F942" s="2" t="s">
        <v>204</v>
      </c>
      <c r="G942" s="2" t="s">
        <v>39</v>
      </c>
      <c r="H942" s="2" t="s">
        <v>22</v>
      </c>
      <c r="I942" s="2" t="s">
        <v>40</v>
      </c>
      <c r="J942" s="2" t="s">
        <v>24</v>
      </c>
      <c r="K942">
        <v>763.86</v>
      </c>
      <c r="L942">
        <v>22275.599999999999</v>
      </c>
      <c r="M942">
        <v>2916.19</v>
      </c>
      <c r="N942" s="2" t="s">
        <v>205</v>
      </c>
      <c r="O942" s="2" t="s">
        <v>206</v>
      </c>
      <c r="P942" s="2" t="s">
        <v>1971</v>
      </c>
      <c r="Q942" s="2" t="s">
        <v>1972</v>
      </c>
      <c r="R942" s="2" t="s">
        <v>29</v>
      </c>
      <c r="S942" s="2" t="s">
        <v>30</v>
      </c>
    </row>
    <row r="943" spans="1:19">
      <c r="A943" s="1">
        <v>44256</v>
      </c>
      <c r="B943" s="1">
        <v>44256</v>
      </c>
      <c r="C943">
        <v>2021</v>
      </c>
      <c r="D943">
        <v>3</v>
      </c>
      <c r="E943" s="2" t="s">
        <v>209</v>
      </c>
      <c r="F943" s="2" t="s">
        <v>210</v>
      </c>
      <c r="G943" s="2" t="s">
        <v>39</v>
      </c>
      <c r="H943" s="2" t="s">
        <v>22</v>
      </c>
      <c r="I943" s="2" t="s">
        <v>40</v>
      </c>
      <c r="J943" s="2" t="s">
        <v>59</v>
      </c>
      <c r="K943">
        <v>763.86</v>
      </c>
      <c r="L943">
        <v>22275.599999999999</v>
      </c>
      <c r="M943">
        <v>2916.19</v>
      </c>
      <c r="N943" s="2" t="s">
        <v>211</v>
      </c>
      <c r="O943" s="2" t="s">
        <v>212</v>
      </c>
      <c r="P943" s="2" t="s">
        <v>1971</v>
      </c>
      <c r="Q943" s="2" t="s">
        <v>1972</v>
      </c>
      <c r="R943" s="2" t="s">
        <v>29</v>
      </c>
      <c r="S943" s="2" t="s">
        <v>30</v>
      </c>
    </row>
    <row r="944" spans="1:19">
      <c r="A944" s="1">
        <v>44256</v>
      </c>
      <c r="B944" s="1">
        <v>44256</v>
      </c>
      <c r="C944">
        <v>2021</v>
      </c>
      <c r="D944">
        <v>3</v>
      </c>
      <c r="E944" s="2" t="s">
        <v>213</v>
      </c>
      <c r="F944" s="2" t="s">
        <v>214</v>
      </c>
      <c r="G944" s="2" t="s">
        <v>185</v>
      </c>
      <c r="H944" s="2" t="s">
        <v>22</v>
      </c>
      <c r="I944" s="2" t="s">
        <v>215</v>
      </c>
      <c r="J944" s="2" t="s">
        <v>24</v>
      </c>
      <c r="K944">
        <v>28229.52</v>
      </c>
      <c r="L944">
        <v>978015.03</v>
      </c>
      <c r="M944">
        <v>3464.51</v>
      </c>
      <c r="N944" s="2" t="s">
        <v>216</v>
      </c>
      <c r="O944" s="2" t="s">
        <v>217</v>
      </c>
      <c r="P944" s="2" t="s">
        <v>1973</v>
      </c>
      <c r="Q944" s="2" t="s">
        <v>1974</v>
      </c>
      <c r="R944" s="2" t="s">
        <v>29</v>
      </c>
      <c r="S944" s="2" t="s">
        <v>30</v>
      </c>
    </row>
    <row r="945" spans="1:19">
      <c r="A945" s="1">
        <v>44256</v>
      </c>
      <c r="B945" s="1">
        <v>44256</v>
      </c>
      <c r="C945">
        <v>2021</v>
      </c>
      <c r="D945">
        <v>3</v>
      </c>
      <c r="E945" s="2" t="s">
        <v>220</v>
      </c>
      <c r="F945" s="2" t="s">
        <v>221</v>
      </c>
      <c r="G945" s="2" t="s">
        <v>185</v>
      </c>
      <c r="H945" s="2" t="s">
        <v>22</v>
      </c>
      <c r="I945" s="2" t="s">
        <v>215</v>
      </c>
      <c r="J945" s="2" t="s">
        <v>24</v>
      </c>
      <c r="K945">
        <v>4852.88</v>
      </c>
      <c r="L945">
        <v>270763.98</v>
      </c>
      <c r="M945">
        <v>5579.45</v>
      </c>
      <c r="N945" s="2" t="s">
        <v>222</v>
      </c>
      <c r="O945" s="2" t="s">
        <v>223</v>
      </c>
      <c r="P945" s="2" t="s">
        <v>1975</v>
      </c>
      <c r="Q945" s="2" t="s">
        <v>1976</v>
      </c>
      <c r="R945" s="2" t="s">
        <v>29</v>
      </c>
      <c r="S945" s="2" t="s">
        <v>30</v>
      </c>
    </row>
    <row r="946" spans="1:19">
      <c r="A946" s="1">
        <v>44256</v>
      </c>
      <c r="B946" s="1">
        <v>44256</v>
      </c>
      <c r="C946">
        <v>2021</v>
      </c>
      <c r="D946">
        <v>3</v>
      </c>
      <c r="E946" s="2" t="s">
        <v>226</v>
      </c>
      <c r="F946" s="2" t="s">
        <v>227</v>
      </c>
      <c r="G946" s="2" t="s">
        <v>185</v>
      </c>
      <c r="H946" s="2" t="s">
        <v>22</v>
      </c>
      <c r="I946" s="2" t="s">
        <v>215</v>
      </c>
      <c r="J946" s="2" t="s">
        <v>59</v>
      </c>
      <c r="K946">
        <v>33082.400000000001</v>
      </c>
      <c r="L946">
        <v>1248779.01</v>
      </c>
      <c r="M946">
        <v>3774.75</v>
      </c>
      <c r="N946" s="2" t="s">
        <v>228</v>
      </c>
      <c r="O946" s="2" t="s">
        <v>229</v>
      </c>
      <c r="P946" s="2" t="s">
        <v>1977</v>
      </c>
      <c r="Q946" s="2" t="s">
        <v>1978</v>
      </c>
      <c r="R946" s="2" t="s">
        <v>29</v>
      </c>
      <c r="S946" s="2" t="s">
        <v>30</v>
      </c>
    </row>
    <row r="947" spans="1:19">
      <c r="A947" s="1">
        <v>44256</v>
      </c>
      <c r="B947" s="1">
        <v>44256</v>
      </c>
      <c r="C947">
        <v>2021</v>
      </c>
      <c r="D947">
        <v>3</v>
      </c>
      <c r="E947" s="2" t="s">
        <v>232</v>
      </c>
      <c r="F947" s="2" t="s">
        <v>233</v>
      </c>
      <c r="G947" s="2" t="s">
        <v>21</v>
      </c>
      <c r="H947" s="2" t="s">
        <v>22</v>
      </c>
      <c r="I947" s="2" t="s">
        <v>23</v>
      </c>
      <c r="J947" s="2" t="s">
        <v>24</v>
      </c>
      <c r="K947">
        <v>1648.84</v>
      </c>
      <c r="L947">
        <v>164298.04999999999</v>
      </c>
      <c r="M947">
        <v>9964.4599999999991</v>
      </c>
      <c r="N947" s="2" t="s">
        <v>234</v>
      </c>
      <c r="O947" s="2" t="s">
        <v>235</v>
      </c>
      <c r="P947" s="2" t="s">
        <v>1979</v>
      </c>
      <c r="Q947" s="2" t="s">
        <v>1980</v>
      </c>
      <c r="R947" s="2" t="s">
        <v>29</v>
      </c>
      <c r="S947" s="2" t="s">
        <v>30</v>
      </c>
    </row>
    <row r="948" spans="1:19">
      <c r="A948" s="1">
        <v>44256</v>
      </c>
      <c r="B948" s="1">
        <v>44256</v>
      </c>
      <c r="C948">
        <v>2021</v>
      </c>
      <c r="D948">
        <v>3</v>
      </c>
      <c r="E948" s="2" t="s">
        <v>238</v>
      </c>
      <c r="F948" s="2" t="s">
        <v>239</v>
      </c>
      <c r="G948" s="2" t="s">
        <v>21</v>
      </c>
      <c r="H948" s="2" t="s">
        <v>22</v>
      </c>
      <c r="I948" s="2" t="s">
        <v>66</v>
      </c>
      <c r="J948" s="2" t="s">
        <v>24</v>
      </c>
      <c r="K948">
        <v>920.42</v>
      </c>
      <c r="L948">
        <v>86004.67</v>
      </c>
      <c r="M948">
        <v>9344.07</v>
      </c>
      <c r="N948" s="2" t="s">
        <v>240</v>
      </c>
      <c r="O948" s="2" t="s">
        <v>241</v>
      </c>
      <c r="P948" s="2" t="s">
        <v>1981</v>
      </c>
      <c r="Q948" s="2" t="s">
        <v>1982</v>
      </c>
      <c r="R948" s="2" t="s">
        <v>29</v>
      </c>
      <c r="S948" s="2" t="s">
        <v>30</v>
      </c>
    </row>
    <row r="949" spans="1:19">
      <c r="A949" s="1">
        <v>44256</v>
      </c>
      <c r="B949" s="1">
        <v>44256</v>
      </c>
      <c r="C949">
        <v>2021</v>
      </c>
      <c r="D949">
        <v>3</v>
      </c>
      <c r="E949" s="2" t="s">
        <v>244</v>
      </c>
      <c r="F949" s="2" t="s">
        <v>245</v>
      </c>
      <c r="G949" s="2" t="s">
        <v>21</v>
      </c>
      <c r="H949" s="2" t="s">
        <v>22</v>
      </c>
      <c r="I949" s="2" t="s">
        <v>23</v>
      </c>
      <c r="J949" s="2" t="s">
        <v>24</v>
      </c>
      <c r="K949">
        <v>3481.39</v>
      </c>
      <c r="L949">
        <v>3046328.53</v>
      </c>
      <c r="M949">
        <v>87503.23</v>
      </c>
      <c r="N949" s="2" t="s">
        <v>246</v>
      </c>
      <c r="O949" s="2" t="s">
        <v>247</v>
      </c>
      <c r="P949" s="2" t="s">
        <v>1983</v>
      </c>
      <c r="Q949" s="2" t="s">
        <v>1984</v>
      </c>
      <c r="R949" s="2" t="s">
        <v>29</v>
      </c>
      <c r="S949" s="2" t="s">
        <v>30</v>
      </c>
    </row>
    <row r="950" spans="1:19">
      <c r="A950" s="1">
        <v>44256</v>
      </c>
      <c r="B950" s="1">
        <v>44256</v>
      </c>
      <c r="C950">
        <v>2021</v>
      </c>
      <c r="D950">
        <v>3</v>
      </c>
      <c r="E950" s="2" t="s">
        <v>250</v>
      </c>
      <c r="F950" s="2" t="s">
        <v>251</v>
      </c>
      <c r="G950" s="2" t="s">
        <v>21</v>
      </c>
      <c r="H950" s="2" t="s">
        <v>22</v>
      </c>
      <c r="I950" s="2" t="s">
        <v>66</v>
      </c>
      <c r="J950" s="2" t="s">
        <v>24</v>
      </c>
      <c r="K950">
        <v>105.5</v>
      </c>
      <c r="L950">
        <v>153.5</v>
      </c>
      <c r="M950">
        <v>145.5</v>
      </c>
      <c r="N950" s="2" t="s">
        <v>252</v>
      </c>
      <c r="O950" s="2" t="s">
        <v>253</v>
      </c>
      <c r="P950" s="2" t="s">
        <v>1985</v>
      </c>
      <c r="Q950" s="2" t="s">
        <v>1986</v>
      </c>
      <c r="R950" s="2" t="s">
        <v>29</v>
      </c>
      <c r="S950" s="2" t="s">
        <v>30</v>
      </c>
    </row>
    <row r="951" spans="1:19">
      <c r="A951" s="1">
        <v>44256</v>
      </c>
      <c r="B951" s="1">
        <v>44256</v>
      </c>
      <c r="C951">
        <v>2021</v>
      </c>
      <c r="D951">
        <v>3</v>
      </c>
      <c r="E951" s="2" t="s">
        <v>256</v>
      </c>
      <c r="F951" s="2" t="s">
        <v>257</v>
      </c>
      <c r="G951" s="2" t="s">
        <v>21</v>
      </c>
      <c r="H951" s="2" t="s">
        <v>22</v>
      </c>
      <c r="I951" s="2" t="s">
        <v>258</v>
      </c>
      <c r="J951" s="2" t="s">
        <v>24</v>
      </c>
      <c r="K951">
        <v>806.59</v>
      </c>
      <c r="L951">
        <v>722031.36</v>
      </c>
      <c r="M951">
        <v>89516.53</v>
      </c>
      <c r="N951" s="2" t="s">
        <v>259</v>
      </c>
      <c r="O951" s="2" t="s">
        <v>260</v>
      </c>
      <c r="P951" s="2" t="s">
        <v>1987</v>
      </c>
      <c r="Q951" s="2" t="s">
        <v>1988</v>
      </c>
      <c r="R951" s="2" t="s">
        <v>29</v>
      </c>
      <c r="S951" s="2" t="s">
        <v>30</v>
      </c>
    </row>
    <row r="952" spans="1:19">
      <c r="A952" s="1">
        <v>44256</v>
      </c>
      <c r="B952" s="1">
        <v>44256</v>
      </c>
      <c r="C952">
        <v>2021</v>
      </c>
      <c r="D952">
        <v>3</v>
      </c>
      <c r="E952" s="2" t="s">
        <v>263</v>
      </c>
      <c r="F952" s="2" t="s">
        <v>264</v>
      </c>
      <c r="G952" s="2" t="s">
        <v>21</v>
      </c>
      <c r="H952" s="2" t="s">
        <v>22</v>
      </c>
      <c r="I952" s="2" t="s">
        <v>258</v>
      </c>
      <c r="J952" s="2" t="s">
        <v>24</v>
      </c>
      <c r="K952">
        <v>0</v>
      </c>
      <c r="L952">
        <v>0</v>
      </c>
      <c r="N952" s="2" t="s">
        <v>265</v>
      </c>
      <c r="O952" s="2" t="s">
        <v>266</v>
      </c>
      <c r="P952" s="2" t="s">
        <v>639</v>
      </c>
      <c r="Q952" s="2" t="s">
        <v>639</v>
      </c>
      <c r="R952" s="2" t="s">
        <v>29</v>
      </c>
      <c r="S952" s="2" t="s">
        <v>30</v>
      </c>
    </row>
    <row r="953" spans="1:19">
      <c r="A953" s="1">
        <v>44256</v>
      </c>
      <c r="B953" s="1">
        <v>44256</v>
      </c>
      <c r="C953">
        <v>2021</v>
      </c>
      <c r="D953">
        <v>3</v>
      </c>
      <c r="E953" s="2" t="s">
        <v>269</v>
      </c>
      <c r="F953" s="2" t="s">
        <v>270</v>
      </c>
      <c r="G953" s="2" t="s">
        <v>21</v>
      </c>
      <c r="H953" s="2" t="s">
        <v>22</v>
      </c>
      <c r="I953" s="2" t="s">
        <v>258</v>
      </c>
      <c r="J953" s="2" t="s">
        <v>59</v>
      </c>
      <c r="K953">
        <v>806.59</v>
      </c>
      <c r="L953">
        <v>722031.36</v>
      </c>
      <c r="M953">
        <v>89516.53</v>
      </c>
      <c r="N953" s="2" t="s">
        <v>271</v>
      </c>
      <c r="O953" s="2" t="s">
        <v>272</v>
      </c>
      <c r="P953" s="2" t="s">
        <v>1987</v>
      </c>
      <c r="Q953" s="2" t="s">
        <v>1988</v>
      </c>
      <c r="R953" s="2" t="s">
        <v>29</v>
      </c>
      <c r="S953" s="2" t="s">
        <v>30</v>
      </c>
    </row>
    <row r="954" spans="1:19">
      <c r="A954" s="1">
        <v>44256</v>
      </c>
      <c r="B954" s="1">
        <v>44256</v>
      </c>
      <c r="C954">
        <v>2021</v>
      </c>
      <c r="D954">
        <v>3</v>
      </c>
      <c r="E954" s="2" t="s">
        <v>275</v>
      </c>
      <c r="F954" s="2" t="s">
        <v>276</v>
      </c>
      <c r="G954" s="2" t="s">
        <v>39</v>
      </c>
      <c r="H954" s="2" t="s">
        <v>22</v>
      </c>
      <c r="I954" s="2" t="s">
        <v>40</v>
      </c>
      <c r="J954" s="2" t="s">
        <v>24</v>
      </c>
      <c r="K954">
        <v>19.489999999999998</v>
      </c>
      <c r="L954">
        <v>113.85</v>
      </c>
      <c r="M954">
        <v>584.15</v>
      </c>
      <c r="N954" s="2" t="s">
        <v>277</v>
      </c>
      <c r="O954" s="2" t="s">
        <v>278</v>
      </c>
      <c r="P954" s="2" t="s">
        <v>1989</v>
      </c>
      <c r="Q954" s="2" t="s">
        <v>1990</v>
      </c>
      <c r="R954" s="2" t="s">
        <v>29</v>
      </c>
      <c r="S954" s="2" t="s">
        <v>30</v>
      </c>
    </row>
    <row r="955" spans="1:19">
      <c r="A955" s="1">
        <v>44256</v>
      </c>
      <c r="B955" s="1">
        <v>44256</v>
      </c>
      <c r="C955">
        <v>2021</v>
      </c>
      <c r="D955">
        <v>3</v>
      </c>
      <c r="E955" s="2" t="s">
        <v>281</v>
      </c>
      <c r="F955" s="2" t="s">
        <v>282</v>
      </c>
      <c r="G955" s="2" t="s">
        <v>39</v>
      </c>
      <c r="H955" s="2" t="s">
        <v>22</v>
      </c>
      <c r="I955" s="2" t="s">
        <v>40</v>
      </c>
      <c r="J955" s="2" t="s">
        <v>24</v>
      </c>
      <c r="K955">
        <v>2.9</v>
      </c>
      <c r="L955">
        <v>4.67</v>
      </c>
      <c r="M955">
        <v>161.03</v>
      </c>
      <c r="N955" s="2" t="s">
        <v>283</v>
      </c>
      <c r="O955" s="2" t="s">
        <v>284</v>
      </c>
      <c r="P955" s="2" t="s">
        <v>1193</v>
      </c>
      <c r="Q955" s="2" t="s">
        <v>1991</v>
      </c>
      <c r="R955" s="2" t="s">
        <v>29</v>
      </c>
      <c r="S955" s="2" t="s">
        <v>30</v>
      </c>
    </row>
    <row r="956" spans="1:19">
      <c r="A956" s="1">
        <v>44256</v>
      </c>
      <c r="B956" s="1">
        <v>44256</v>
      </c>
      <c r="C956">
        <v>2021</v>
      </c>
      <c r="D956">
        <v>3</v>
      </c>
      <c r="E956" s="2" t="s">
        <v>287</v>
      </c>
      <c r="F956" s="2" t="s">
        <v>288</v>
      </c>
      <c r="G956" s="2" t="s">
        <v>39</v>
      </c>
      <c r="H956" s="2" t="s">
        <v>22</v>
      </c>
      <c r="I956" s="2" t="s">
        <v>40</v>
      </c>
      <c r="J956" s="2" t="s">
        <v>59</v>
      </c>
      <c r="K956">
        <v>22.38</v>
      </c>
      <c r="L956">
        <v>118.52</v>
      </c>
      <c r="M956">
        <v>529.58000000000004</v>
      </c>
      <c r="N956" s="2" t="s">
        <v>289</v>
      </c>
      <c r="O956" s="2" t="s">
        <v>290</v>
      </c>
      <c r="P956" s="2" t="s">
        <v>1992</v>
      </c>
      <c r="Q956" s="2" t="s">
        <v>1993</v>
      </c>
      <c r="R956" s="2" t="s">
        <v>29</v>
      </c>
      <c r="S956" s="2" t="s">
        <v>30</v>
      </c>
    </row>
    <row r="957" spans="1:19">
      <c r="A957" s="1">
        <v>44256</v>
      </c>
      <c r="B957" s="1">
        <v>44256</v>
      </c>
      <c r="C957">
        <v>2021</v>
      </c>
      <c r="D957">
        <v>3</v>
      </c>
      <c r="E957" s="2" t="s">
        <v>293</v>
      </c>
      <c r="F957" s="2" t="s">
        <v>294</v>
      </c>
      <c r="G957" s="2" t="s">
        <v>21</v>
      </c>
      <c r="H957" s="2" t="s">
        <v>22</v>
      </c>
      <c r="I957" s="2" t="s">
        <v>295</v>
      </c>
      <c r="J957" s="2" t="s">
        <v>24</v>
      </c>
      <c r="K957">
        <v>929.46</v>
      </c>
      <c r="L957">
        <v>4937.29</v>
      </c>
      <c r="M957">
        <v>531.20000000000005</v>
      </c>
      <c r="N957" s="2" t="s">
        <v>296</v>
      </c>
      <c r="O957" s="2" t="s">
        <v>297</v>
      </c>
      <c r="P957" s="2" t="s">
        <v>1994</v>
      </c>
      <c r="Q957" s="2" t="s">
        <v>1995</v>
      </c>
      <c r="R957" s="2" t="s">
        <v>29</v>
      </c>
      <c r="S957" s="2" t="s">
        <v>30</v>
      </c>
    </row>
    <row r="958" spans="1:19">
      <c r="A958" s="1">
        <v>44256</v>
      </c>
      <c r="B958" s="1">
        <v>44256</v>
      </c>
      <c r="C958">
        <v>2021</v>
      </c>
      <c r="D958">
        <v>3</v>
      </c>
      <c r="E958" s="2" t="s">
        <v>300</v>
      </c>
      <c r="F958" s="2" t="s">
        <v>301</v>
      </c>
      <c r="G958" s="2" t="s">
        <v>21</v>
      </c>
      <c r="H958" s="2" t="s">
        <v>22</v>
      </c>
      <c r="I958" s="2" t="s">
        <v>295</v>
      </c>
      <c r="J958" s="2" t="s">
        <v>24</v>
      </c>
      <c r="K958">
        <v>47.32</v>
      </c>
      <c r="L958">
        <v>1665.95</v>
      </c>
      <c r="M958">
        <v>3520.6</v>
      </c>
      <c r="N958" s="2" t="s">
        <v>302</v>
      </c>
      <c r="O958" s="2" t="s">
        <v>303</v>
      </c>
      <c r="P958" s="2" t="s">
        <v>1996</v>
      </c>
      <c r="Q958" s="2" t="s">
        <v>1997</v>
      </c>
      <c r="R958" s="2" t="s">
        <v>29</v>
      </c>
      <c r="S958" s="2" t="s">
        <v>30</v>
      </c>
    </row>
    <row r="959" spans="1:19">
      <c r="A959" s="1">
        <v>44256</v>
      </c>
      <c r="B959" s="1">
        <v>44256</v>
      </c>
      <c r="C959">
        <v>2021</v>
      </c>
      <c r="D959">
        <v>3</v>
      </c>
      <c r="E959" s="2" t="s">
        <v>306</v>
      </c>
      <c r="F959" s="2" t="s">
        <v>307</v>
      </c>
      <c r="G959" s="2" t="s">
        <v>21</v>
      </c>
      <c r="H959" s="2" t="s">
        <v>22</v>
      </c>
      <c r="I959" s="2" t="s">
        <v>295</v>
      </c>
      <c r="J959" s="2" t="s">
        <v>101</v>
      </c>
      <c r="K959">
        <v>976.79</v>
      </c>
      <c r="L959">
        <v>6603.25</v>
      </c>
      <c r="M959">
        <v>676.02</v>
      </c>
      <c r="N959" s="2" t="s">
        <v>308</v>
      </c>
      <c r="O959" s="2" t="s">
        <v>309</v>
      </c>
      <c r="P959" s="2" t="s">
        <v>1998</v>
      </c>
      <c r="Q959" s="2" t="s">
        <v>1999</v>
      </c>
      <c r="R959" s="2" t="s">
        <v>29</v>
      </c>
      <c r="S959" s="2" t="s">
        <v>30</v>
      </c>
    </row>
    <row r="960" spans="1:19">
      <c r="A960" s="1">
        <v>44256</v>
      </c>
      <c r="B960" s="1">
        <v>44256</v>
      </c>
      <c r="C960">
        <v>2021</v>
      </c>
      <c r="D960">
        <v>3</v>
      </c>
      <c r="E960" s="2" t="s">
        <v>312</v>
      </c>
      <c r="F960" s="2" t="s">
        <v>313</v>
      </c>
      <c r="G960" s="2" t="s">
        <v>21</v>
      </c>
      <c r="H960" s="2" t="s">
        <v>22</v>
      </c>
      <c r="I960" s="2" t="s">
        <v>295</v>
      </c>
      <c r="J960" s="2" t="s">
        <v>59</v>
      </c>
      <c r="K960">
        <v>5154.57</v>
      </c>
      <c r="L960">
        <v>21285.98</v>
      </c>
      <c r="M960">
        <v>412.95</v>
      </c>
      <c r="N960" s="2" t="s">
        <v>314</v>
      </c>
      <c r="O960" s="2" t="s">
        <v>315</v>
      </c>
      <c r="P960" s="2" t="s">
        <v>2000</v>
      </c>
      <c r="Q960" s="2" t="s">
        <v>2001</v>
      </c>
      <c r="R960" s="2" t="s">
        <v>29</v>
      </c>
      <c r="S960" s="2" t="s">
        <v>30</v>
      </c>
    </row>
    <row r="961" spans="1:19">
      <c r="A961" s="1">
        <v>44256</v>
      </c>
      <c r="B961" s="1">
        <v>44256</v>
      </c>
      <c r="C961">
        <v>2021</v>
      </c>
      <c r="D961">
        <v>3</v>
      </c>
      <c r="E961" s="2" t="s">
        <v>318</v>
      </c>
      <c r="F961" s="2" t="s">
        <v>319</v>
      </c>
      <c r="G961" s="2" t="s">
        <v>21</v>
      </c>
      <c r="H961" s="2" t="s">
        <v>22</v>
      </c>
      <c r="I961" s="2" t="s">
        <v>295</v>
      </c>
      <c r="J961" s="2" t="s">
        <v>24</v>
      </c>
      <c r="K961">
        <v>4177.79</v>
      </c>
      <c r="L961">
        <v>14682.74</v>
      </c>
      <c r="M961">
        <v>351.45</v>
      </c>
      <c r="N961" s="2" t="s">
        <v>320</v>
      </c>
      <c r="O961" s="2" t="s">
        <v>321</v>
      </c>
      <c r="P961" s="2" t="s">
        <v>2002</v>
      </c>
      <c r="Q961" s="2" t="s">
        <v>2003</v>
      </c>
      <c r="R961" s="2" t="s">
        <v>29</v>
      </c>
      <c r="S961" s="2" t="s">
        <v>30</v>
      </c>
    </row>
    <row r="962" spans="1:19">
      <c r="A962" s="1">
        <v>44256</v>
      </c>
      <c r="B962" s="1">
        <v>44256</v>
      </c>
      <c r="C962">
        <v>2021</v>
      </c>
      <c r="D962">
        <v>3</v>
      </c>
      <c r="E962" s="2" t="s">
        <v>324</v>
      </c>
      <c r="F962" s="2" t="s">
        <v>325</v>
      </c>
      <c r="G962" s="2" t="s">
        <v>21</v>
      </c>
      <c r="H962" s="2" t="s">
        <v>22</v>
      </c>
      <c r="I962" s="2" t="s">
        <v>23</v>
      </c>
      <c r="J962" s="2" t="s">
        <v>59</v>
      </c>
      <c r="K962">
        <v>37208.51</v>
      </c>
      <c r="L962">
        <v>4053907.07</v>
      </c>
      <c r="M962">
        <v>10895.11</v>
      </c>
      <c r="N962" s="2" t="s">
        <v>326</v>
      </c>
      <c r="O962" s="2" t="s">
        <v>327</v>
      </c>
      <c r="P962" s="2" t="s">
        <v>2004</v>
      </c>
      <c r="Q962" s="2" t="s">
        <v>2005</v>
      </c>
      <c r="R962" s="2" t="s">
        <v>29</v>
      </c>
      <c r="S962" s="2" t="s">
        <v>30</v>
      </c>
    </row>
    <row r="963" spans="1:19">
      <c r="A963" s="1">
        <v>44256</v>
      </c>
      <c r="B963" s="1">
        <v>44256</v>
      </c>
      <c r="C963">
        <v>2021</v>
      </c>
      <c r="D963">
        <v>3</v>
      </c>
      <c r="E963" s="2" t="s">
        <v>330</v>
      </c>
      <c r="F963" s="2" t="s">
        <v>331</v>
      </c>
      <c r="G963" s="2" t="s">
        <v>21</v>
      </c>
      <c r="H963" s="2" t="s">
        <v>332</v>
      </c>
      <c r="I963" s="2" t="s">
        <v>333</v>
      </c>
      <c r="J963" s="2" t="s">
        <v>24</v>
      </c>
      <c r="K963">
        <v>200.7</v>
      </c>
      <c r="L963">
        <v>11427957.68</v>
      </c>
      <c r="M963">
        <v>5694049.6699999999</v>
      </c>
      <c r="N963" s="2" t="s">
        <v>334</v>
      </c>
      <c r="O963" s="2" t="s">
        <v>335</v>
      </c>
      <c r="P963" s="2" t="s">
        <v>2006</v>
      </c>
      <c r="Q963" s="2" t="s">
        <v>2007</v>
      </c>
      <c r="R963" s="2" t="s">
        <v>29</v>
      </c>
      <c r="S963" s="2" t="s">
        <v>30</v>
      </c>
    </row>
    <row r="964" spans="1:19">
      <c r="A964" s="1">
        <v>44256</v>
      </c>
      <c r="B964" s="1">
        <v>44256</v>
      </c>
      <c r="C964">
        <v>2021</v>
      </c>
      <c r="D964">
        <v>3</v>
      </c>
      <c r="E964" s="2" t="s">
        <v>338</v>
      </c>
      <c r="F964" s="2" t="s">
        <v>339</v>
      </c>
      <c r="G964" s="2" t="s">
        <v>21</v>
      </c>
      <c r="H964" s="2" t="s">
        <v>332</v>
      </c>
      <c r="I964" s="2" t="s">
        <v>333</v>
      </c>
      <c r="J964" s="2" t="s">
        <v>24</v>
      </c>
      <c r="K964">
        <v>1.65</v>
      </c>
      <c r="L964">
        <v>1554256.92</v>
      </c>
      <c r="M964">
        <v>94197389.090000004</v>
      </c>
      <c r="N964" s="2" t="s">
        <v>340</v>
      </c>
      <c r="O964" s="2" t="s">
        <v>341</v>
      </c>
      <c r="P964" s="2" t="s">
        <v>2008</v>
      </c>
      <c r="Q964" s="2" t="s">
        <v>2009</v>
      </c>
      <c r="R964" s="2" t="s">
        <v>29</v>
      </c>
      <c r="S964" s="2" t="s">
        <v>30</v>
      </c>
    </row>
    <row r="965" spans="1:19">
      <c r="A965" s="1">
        <v>44256</v>
      </c>
      <c r="B965" s="1">
        <v>44256</v>
      </c>
      <c r="C965">
        <v>2021</v>
      </c>
      <c r="D965">
        <v>3</v>
      </c>
      <c r="E965" s="2" t="s">
        <v>344</v>
      </c>
      <c r="F965" s="2" t="s">
        <v>345</v>
      </c>
      <c r="G965" s="2" t="s">
        <v>21</v>
      </c>
      <c r="H965" s="2" t="s">
        <v>332</v>
      </c>
      <c r="I965" s="2" t="s">
        <v>333</v>
      </c>
      <c r="J965" s="2" t="s">
        <v>59</v>
      </c>
      <c r="K965">
        <v>202.35</v>
      </c>
      <c r="L965">
        <v>12982214.6</v>
      </c>
      <c r="M965">
        <v>6415722.5599999996</v>
      </c>
      <c r="N965" s="2" t="s">
        <v>346</v>
      </c>
      <c r="O965" s="2" t="s">
        <v>347</v>
      </c>
      <c r="P965" s="2" t="s">
        <v>2010</v>
      </c>
      <c r="Q965" s="2" t="s">
        <v>2011</v>
      </c>
      <c r="R965" s="2" t="s">
        <v>29</v>
      </c>
      <c r="S965" s="2" t="s">
        <v>30</v>
      </c>
    </row>
    <row r="966" spans="1:19">
      <c r="A966" s="1">
        <v>44256</v>
      </c>
      <c r="B966" s="1">
        <v>44256</v>
      </c>
      <c r="C966">
        <v>2021</v>
      </c>
      <c r="D966">
        <v>3</v>
      </c>
      <c r="E966" s="2" t="s">
        <v>350</v>
      </c>
      <c r="F966" s="2" t="s">
        <v>351</v>
      </c>
      <c r="G966" s="2" t="s">
        <v>21</v>
      </c>
      <c r="H966" s="2" t="s">
        <v>22</v>
      </c>
      <c r="I966" s="2" t="s">
        <v>352</v>
      </c>
      <c r="J966" s="2" t="s">
        <v>353</v>
      </c>
      <c r="K966">
        <v>49254.6</v>
      </c>
      <c r="L966">
        <v>17283617.399999999</v>
      </c>
      <c r="M966">
        <v>35090.36</v>
      </c>
      <c r="N966" s="2" t="s">
        <v>354</v>
      </c>
      <c r="O966" s="2" t="s">
        <v>355</v>
      </c>
      <c r="P966" s="2" t="s">
        <v>2012</v>
      </c>
      <c r="Q966" s="2" t="s">
        <v>2013</v>
      </c>
      <c r="R966" s="2" t="s">
        <v>29</v>
      </c>
      <c r="S966" s="2" t="s">
        <v>30</v>
      </c>
    </row>
    <row r="967" spans="1:19">
      <c r="A967" s="1">
        <v>44256</v>
      </c>
      <c r="B967" s="1">
        <v>44256</v>
      </c>
      <c r="C967">
        <v>2021</v>
      </c>
      <c r="D967">
        <v>3</v>
      </c>
      <c r="E967" s="2" t="s">
        <v>358</v>
      </c>
      <c r="F967" s="2" t="s">
        <v>359</v>
      </c>
      <c r="G967" s="2" t="s">
        <v>21</v>
      </c>
      <c r="H967" s="2" t="s">
        <v>22</v>
      </c>
      <c r="I967" s="2" t="s">
        <v>352</v>
      </c>
      <c r="J967" s="2" t="s">
        <v>353</v>
      </c>
      <c r="K967">
        <v>50061.19</v>
      </c>
      <c r="L967">
        <v>18005648.760000002</v>
      </c>
      <c r="M967">
        <v>35967.279999999999</v>
      </c>
      <c r="N967" s="2" t="s">
        <v>360</v>
      </c>
      <c r="O967" s="2" t="s">
        <v>361</v>
      </c>
      <c r="P967" s="2" t="s">
        <v>2014</v>
      </c>
      <c r="Q967" s="2" t="s">
        <v>2015</v>
      </c>
      <c r="R967" s="2" t="s">
        <v>29</v>
      </c>
      <c r="S967" s="2" t="s">
        <v>30</v>
      </c>
    </row>
    <row r="968" spans="1:19">
      <c r="A968" s="1">
        <v>44256</v>
      </c>
      <c r="B968" s="1">
        <v>44256</v>
      </c>
      <c r="C968">
        <v>2021</v>
      </c>
      <c r="D968">
        <v>3</v>
      </c>
      <c r="E968" s="2" t="s">
        <v>364</v>
      </c>
      <c r="F968" s="2" t="s">
        <v>365</v>
      </c>
      <c r="G968" s="2" t="s">
        <v>21</v>
      </c>
      <c r="H968" s="2" t="s">
        <v>22</v>
      </c>
      <c r="I968" s="2" t="s">
        <v>352</v>
      </c>
      <c r="J968" s="2" t="s">
        <v>353</v>
      </c>
      <c r="K968">
        <v>49858.84</v>
      </c>
      <c r="L968">
        <v>5023434.16</v>
      </c>
      <c r="M968">
        <v>10075.31</v>
      </c>
      <c r="N968" s="2" t="s">
        <v>366</v>
      </c>
      <c r="O968" s="2" t="s">
        <v>367</v>
      </c>
      <c r="P968" s="2" t="s">
        <v>2016</v>
      </c>
      <c r="Q968" s="2" t="s">
        <v>2017</v>
      </c>
      <c r="R968" s="2" t="s">
        <v>29</v>
      </c>
      <c r="S968" s="2" t="s">
        <v>30</v>
      </c>
    </row>
    <row r="969" spans="1:19">
      <c r="A969" s="1">
        <v>44256</v>
      </c>
      <c r="B969" s="1">
        <v>44256</v>
      </c>
      <c r="C969">
        <v>2021</v>
      </c>
      <c r="D969">
        <v>3</v>
      </c>
      <c r="E969" s="2" t="s">
        <v>370</v>
      </c>
      <c r="F969" s="2" t="s">
        <v>371</v>
      </c>
      <c r="G969" s="2" t="s">
        <v>21</v>
      </c>
      <c r="H969" s="2" t="s">
        <v>22</v>
      </c>
      <c r="I969" s="2" t="s">
        <v>23</v>
      </c>
      <c r="J969" s="2" t="s">
        <v>24</v>
      </c>
      <c r="K969">
        <v>27316.85</v>
      </c>
      <c r="L969">
        <v>504886.45</v>
      </c>
      <c r="M969">
        <v>1848.26</v>
      </c>
      <c r="N969" s="2" t="s">
        <v>372</v>
      </c>
      <c r="O969" s="2" t="s">
        <v>373</v>
      </c>
      <c r="P969" s="2" t="s">
        <v>2018</v>
      </c>
      <c r="Q969" s="2" t="s">
        <v>2019</v>
      </c>
      <c r="R969" s="2" t="s">
        <v>29</v>
      </c>
      <c r="S969" s="2" t="s">
        <v>30</v>
      </c>
    </row>
    <row r="970" spans="1:19">
      <c r="A970" s="1">
        <v>44256</v>
      </c>
      <c r="B970" s="1">
        <v>44256</v>
      </c>
      <c r="C970">
        <v>2021</v>
      </c>
      <c r="D970">
        <v>3</v>
      </c>
      <c r="E970" s="2" t="s">
        <v>376</v>
      </c>
      <c r="F970" s="2" t="s">
        <v>377</v>
      </c>
      <c r="G970" s="2" t="s">
        <v>21</v>
      </c>
      <c r="H970" s="2" t="s">
        <v>22</v>
      </c>
      <c r="I970" s="2" t="s">
        <v>23</v>
      </c>
      <c r="J970" s="2" t="s">
        <v>378</v>
      </c>
      <c r="K970">
        <v>0.94</v>
      </c>
      <c r="L970">
        <v>14.56</v>
      </c>
      <c r="M970">
        <v>1548.94</v>
      </c>
      <c r="N970" s="2" t="s">
        <v>379</v>
      </c>
      <c r="O970" s="2" t="s">
        <v>380</v>
      </c>
      <c r="P970" s="2" t="s">
        <v>933</v>
      </c>
      <c r="Q970" s="2" t="s">
        <v>1118</v>
      </c>
      <c r="R970" s="2" t="s">
        <v>29</v>
      </c>
      <c r="S970" s="2" t="s">
        <v>30</v>
      </c>
    </row>
    <row r="971" spans="1:19">
      <c r="A971" s="1">
        <v>44287</v>
      </c>
      <c r="B971" s="1">
        <v>44287</v>
      </c>
      <c r="C971">
        <v>2021</v>
      </c>
      <c r="D971">
        <v>4</v>
      </c>
      <c r="E971" s="2" t="s">
        <v>19</v>
      </c>
      <c r="F971" s="2" t="s">
        <v>20</v>
      </c>
      <c r="G971" s="2" t="s">
        <v>21</v>
      </c>
      <c r="H971" s="2" t="s">
        <v>22</v>
      </c>
      <c r="I971" s="2" t="s">
        <v>23</v>
      </c>
      <c r="J971" s="2" t="s">
        <v>24</v>
      </c>
      <c r="K971">
        <v>0.94</v>
      </c>
      <c r="L971">
        <v>61.04</v>
      </c>
      <c r="M971">
        <v>6493.62</v>
      </c>
      <c r="N971" s="2" t="s">
        <v>25</v>
      </c>
      <c r="O971" s="2" t="s">
        <v>26</v>
      </c>
      <c r="P971" s="2" t="s">
        <v>933</v>
      </c>
      <c r="Q971" s="2" t="s">
        <v>2020</v>
      </c>
      <c r="R971" s="2" t="s">
        <v>29</v>
      </c>
      <c r="S971" s="2" t="s">
        <v>30</v>
      </c>
    </row>
    <row r="972" spans="1:19">
      <c r="A972" s="1">
        <v>44287</v>
      </c>
      <c r="B972" s="1">
        <v>44287</v>
      </c>
      <c r="C972">
        <v>2021</v>
      </c>
      <c r="D972">
        <v>4</v>
      </c>
      <c r="E972" s="2" t="s">
        <v>31</v>
      </c>
      <c r="F972" s="2" t="s">
        <v>32</v>
      </c>
      <c r="G972" s="2" t="s">
        <v>21</v>
      </c>
      <c r="H972" s="2" t="s">
        <v>22</v>
      </c>
      <c r="I972" s="2" t="s">
        <v>23</v>
      </c>
      <c r="J972" s="2" t="s">
        <v>24</v>
      </c>
      <c r="K972">
        <v>972.73</v>
      </c>
      <c r="L972">
        <v>5383.2</v>
      </c>
      <c r="M972">
        <v>553.41</v>
      </c>
      <c r="N972" s="2" t="s">
        <v>33</v>
      </c>
      <c r="O972" s="2" t="s">
        <v>34</v>
      </c>
      <c r="P972" s="2" t="s">
        <v>2021</v>
      </c>
      <c r="Q972" s="2" t="s">
        <v>2022</v>
      </c>
      <c r="R972" s="2" t="s">
        <v>29</v>
      </c>
      <c r="S972" s="2" t="s">
        <v>30</v>
      </c>
    </row>
    <row r="973" spans="1:19">
      <c r="A973" s="1">
        <v>44287</v>
      </c>
      <c r="B973" s="1">
        <v>44287</v>
      </c>
      <c r="C973">
        <v>2021</v>
      </c>
      <c r="D973">
        <v>4</v>
      </c>
      <c r="E973" s="2" t="s">
        <v>37</v>
      </c>
      <c r="F973" s="2" t="s">
        <v>38</v>
      </c>
      <c r="G973" s="2" t="s">
        <v>39</v>
      </c>
      <c r="H973" s="2" t="s">
        <v>22</v>
      </c>
      <c r="I973" s="2" t="s">
        <v>40</v>
      </c>
      <c r="J973" s="2" t="s">
        <v>24</v>
      </c>
      <c r="K973">
        <v>5.09</v>
      </c>
      <c r="L973">
        <v>258.37</v>
      </c>
      <c r="M973">
        <v>5076.03</v>
      </c>
      <c r="N973" s="2" t="s">
        <v>41</v>
      </c>
      <c r="O973" s="2" t="s">
        <v>42</v>
      </c>
      <c r="P973" s="2" t="s">
        <v>2023</v>
      </c>
      <c r="Q973" s="2" t="s">
        <v>2024</v>
      </c>
      <c r="R973" s="2" t="s">
        <v>29</v>
      </c>
      <c r="S973" s="2" t="s">
        <v>30</v>
      </c>
    </row>
    <row r="974" spans="1:19">
      <c r="A974" s="1">
        <v>44287</v>
      </c>
      <c r="B974" s="1">
        <v>44287</v>
      </c>
      <c r="C974">
        <v>2021</v>
      </c>
      <c r="D974">
        <v>4</v>
      </c>
      <c r="E974" s="2" t="s">
        <v>45</v>
      </c>
      <c r="F974" s="2" t="s">
        <v>46</v>
      </c>
      <c r="G974" s="2" t="s">
        <v>39</v>
      </c>
      <c r="H974" s="2" t="s">
        <v>22</v>
      </c>
      <c r="I974" s="2" t="s">
        <v>40</v>
      </c>
      <c r="J974" s="2" t="s">
        <v>24</v>
      </c>
      <c r="K974">
        <v>5222.47</v>
      </c>
      <c r="L974">
        <v>254396.58</v>
      </c>
      <c r="M974">
        <v>4871.1899999999996</v>
      </c>
      <c r="N974" s="2" t="s">
        <v>47</v>
      </c>
      <c r="O974" s="2" t="s">
        <v>48</v>
      </c>
      <c r="P974" s="2" t="s">
        <v>2025</v>
      </c>
      <c r="Q974" s="2" t="s">
        <v>2026</v>
      </c>
      <c r="R974" s="2" t="s">
        <v>29</v>
      </c>
      <c r="S974" s="2" t="s">
        <v>30</v>
      </c>
    </row>
    <row r="975" spans="1:19">
      <c r="A975" s="1">
        <v>44287</v>
      </c>
      <c r="B975" s="1">
        <v>44287</v>
      </c>
      <c r="C975">
        <v>2021</v>
      </c>
      <c r="D975">
        <v>4</v>
      </c>
      <c r="E975" s="2" t="s">
        <v>51</v>
      </c>
      <c r="F975" s="2" t="s">
        <v>52</v>
      </c>
      <c r="G975" s="2" t="s">
        <v>39</v>
      </c>
      <c r="H975" s="2" t="s">
        <v>22</v>
      </c>
      <c r="I975" s="2" t="s">
        <v>40</v>
      </c>
      <c r="J975" s="2" t="s">
        <v>24</v>
      </c>
      <c r="K975">
        <v>25.13</v>
      </c>
      <c r="L975">
        <v>877.88</v>
      </c>
      <c r="M975">
        <v>3493.35</v>
      </c>
      <c r="N975" s="2" t="s">
        <v>53</v>
      </c>
      <c r="O975" s="2" t="s">
        <v>54</v>
      </c>
      <c r="P975" s="2" t="s">
        <v>2027</v>
      </c>
      <c r="Q975" s="2" t="s">
        <v>2028</v>
      </c>
      <c r="R975" s="2" t="s">
        <v>29</v>
      </c>
      <c r="S975" s="2" t="s">
        <v>30</v>
      </c>
    </row>
    <row r="976" spans="1:19">
      <c r="A976" s="1">
        <v>44287</v>
      </c>
      <c r="B976" s="1">
        <v>44287</v>
      </c>
      <c r="C976">
        <v>2021</v>
      </c>
      <c r="D976">
        <v>4</v>
      </c>
      <c r="E976" s="2" t="s">
        <v>57</v>
      </c>
      <c r="F976" s="2" t="s">
        <v>58</v>
      </c>
      <c r="G976" s="2" t="s">
        <v>39</v>
      </c>
      <c r="H976" s="2" t="s">
        <v>22</v>
      </c>
      <c r="I976" s="2" t="s">
        <v>40</v>
      </c>
      <c r="J976" s="2" t="s">
        <v>59</v>
      </c>
      <c r="K976">
        <v>5252.69</v>
      </c>
      <c r="L976">
        <v>255532.83</v>
      </c>
      <c r="M976">
        <v>4864.8</v>
      </c>
      <c r="N976" s="2" t="s">
        <v>60</v>
      </c>
      <c r="O976" s="2" t="s">
        <v>61</v>
      </c>
      <c r="P976" s="2" t="s">
        <v>2029</v>
      </c>
      <c r="Q976" s="2" t="s">
        <v>2030</v>
      </c>
      <c r="R976" s="2" t="s">
        <v>29</v>
      </c>
      <c r="S976" s="2" t="s">
        <v>30</v>
      </c>
    </row>
    <row r="977" spans="1:19">
      <c r="A977" s="1">
        <v>44287</v>
      </c>
      <c r="B977" s="1">
        <v>44287</v>
      </c>
      <c r="C977">
        <v>2021</v>
      </c>
      <c r="D977">
        <v>4</v>
      </c>
      <c r="E977" s="2" t="s">
        <v>64</v>
      </c>
      <c r="F977" s="2" t="s">
        <v>65</v>
      </c>
      <c r="G977" s="2" t="s">
        <v>21</v>
      </c>
      <c r="H977" s="2" t="s">
        <v>22</v>
      </c>
      <c r="I977" s="2" t="s">
        <v>66</v>
      </c>
      <c r="J977" s="2" t="s">
        <v>24</v>
      </c>
      <c r="K977">
        <v>13.88</v>
      </c>
      <c r="L977">
        <v>377.23</v>
      </c>
      <c r="M977">
        <v>2717.8</v>
      </c>
      <c r="N977" s="2" t="s">
        <v>67</v>
      </c>
      <c r="O977" s="2" t="s">
        <v>68</v>
      </c>
      <c r="P977" s="2" t="s">
        <v>2031</v>
      </c>
      <c r="Q977" s="2" t="s">
        <v>2032</v>
      </c>
      <c r="R977" s="2" t="s">
        <v>29</v>
      </c>
      <c r="S977" s="2" t="s">
        <v>30</v>
      </c>
    </row>
    <row r="978" spans="1:19">
      <c r="A978" s="1">
        <v>44287</v>
      </c>
      <c r="B978" s="1">
        <v>44287</v>
      </c>
      <c r="C978">
        <v>2021</v>
      </c>
      <c r="D978">
        <v>4</v>
      </c>
      <c r="E978" s="2" t="s">
        <v>71</v>
      </c>
      <c r="F978" s="2" t="s">
        <v>72</v>
      </c>
      <c r="G978" s="2" t="s">
        <v>21</v>
      </c>
      <c r="H978" s="2" t="s">
        <v>22</v>
      </c>
      <c r="I978" s="2" t="s">
        <v>73</v>
      </c>
      <c r="J978" s="2" t="s">
        <v>59</v>
      </c>
      <c r="K978">
        <v>4788.55</v>
      </c>
      <c r="L978">
        <v>115232.23</v>
      </c>
      <c r="M978">
        <v>2406.41</v>
      </c>
      <c r="N978" s="2" t="s">
        <v>74</v>
      </c>
      <c r="O978" s="2" t="s">
        <v>75</v>
      </c>
      <c r="P978" s="2" t="s">
        <v>2033</v>
      </c>
      <c r="Q978" s="2" t="s">
        <v>2034</v>
      </c>
      <c r="R978" s="2" t="s">
        <v>29</v>
      </c>
      <c r="S978" s="2" t="s">
        <v>30</v>
      </c>
    </row>
    <row r="979" spans="1:19">
      <c r="A979" s="1">
        <v>44287</v>
      </c>
      <c r="B979" s="1">
        <v>44287</v>
      </c>
      <c r="C979">
        <v>2021</v>
      </c>
      <c r="D979">
        <v>4</v>
      </c>
      <c r="E979" s="2" t="s">
        <v>78</v>
      </c>
      <c r="F979" s="2" t="s">
        <v>79</v>
      </c>
      <c r="G979" s="2" t="s">
        <v>80</v>
      </c>
      <c r="H979" s="2" t="s">
        <v>81</v>
      </c>
      <c r="I979" s="2" t="s">
        <v>82</v>
      </c>
      <c r="J979" s="2" t="s">
        <v>24</v>
      </c>
      <c r="K979">
        <v>1.49</v>
      </c>
      <c r="L979">
        <v>4913256.25</v>
      </c>
      <c r="M979">
        <v>329748741.61000001</v>
      </c>
      <c r="N979" s="2" t="s">
        <v>83</v>
      </c>
      <c r="O979" s="2" t="s">
        <v>84</v>
      </c>
      <c r="P979" s="2" t="s">
        <v>1315</v>
      </c>
      <c r="Q979" s="2" t="s">
        <v>2035</v>
      </c>
      <c r="R979" s="2" t="s">
        <v>29</v>
      </c>
      <c r="S979" s="2" t="s">
        <v>30</v>
      </c>
    </row>
    <row r="980" spans="1:19">
      <c r="A980" s="1">
        <v>44287</v>
      </c>
      <c r="B980" s="1">
        <v>44287</v>
      </c>
      <c r="C980">
        <v>2021</v>
      </c>
      <c r="D980">
        <v>4</v>
      </c>
      <c r="E980" s="2" t="s">
        <v>87</v>
      </c>
      <c r="F980" s="2" t="s">
        <v>88</v>
      </c>
      <c r="G980" s="2" t="s">
        <v>80</v>
      </c>
      <c r="H980" s="2" t="s">
        <v>81</v>
      </c>
      <c r="I980" s="2" t="s">
        <v>82</v>
      </c>
      <c r="J980" s="2" t="s">
        <v>24</v>
      </c>
      <c r="K980">
        <v>0.41</v>
      </c>
      <c r="L980">
        <v>739673.94</v>
      </c>
      <c r="M980">
        <v>180408278.05000001</v>
      </c>
      <c r="N980" s="2" t="s">
        <v>89</v>
      </c>
      <c r="O980" s="2" t="s">
        <v>90</v>
      </c>
      <c r="P980" s="2" t="s">
        <v>2036</v>
      </c>
      <c r="Q980" s="2" t="s">
        <v>2037</v>
      </c>
      <c r="R980" s="2" t="s">
        <v>29</v>
      </c>
      <c r="S980" s="2" t="s">
        <v>30</v>
      </c>
    </row>
    <row r="981" spans="1:19">
      <c r="A981" s="1">
        <v>44287</v>
      </c>
      <c r="B981" s="1">
        <v>44287</v>
      </c>
      <c r="C981">
        <v>2021</v>
      </c>
      <c r="D981">
        <v>4</v>
      </c>
      <c r="E981" s="2" t="s">
        <v>93</v>
      </c>
      <c r="F981" s="2" t="s">
        <v>94</v>
      </c>
      <c r="G981" s="2" t="s">
        <v>80</v>
      </c>
      <c r="H981" s="2" t="s">
        <v>81</v>
      </c>
      <c r="I981" s="2" t="s">
        <v>82</v>
      </c>
      <c r="J981" s="2" t="s">
        <v>24</v>
      </c>
      <c r="K981">
        <v>0.21</v>
      </c>
      <c r="L981">
        <v>3829853.23</v>
      </c>
      <c r="M981">
        <v>1823739633.3299999</v>
      </c>
      <c r="N981" s="2" t="s">
        <v>95</v>
      </c>
      <c r="O981" s="2" t="s">
        <v>96</v>
      </c>
      <c r="P981" s="2" t="s">
        <v>403</v>
      </c>
      <c r="Q981" s="2" t="s">
        <v>2038</v>
      </c>
      <c r="R981" s="2" t="s">
        <v>29</v>
      </c>
      <c r="S981" s="2" t="s">
        <v>30</v>
      </c>
    </row>
    <row r="982" spans="1:19">
      <c r="A982" s="1">
        <v>44287</v>
      </c>
      <c r="B982" s="1">
        <v>44287</v>
      </c>
      <c r="C982">
        <v>2021</v>
      </c>
      <c r="D982">
        <v>4</v>
      </c>
      <c r="E982" s="2" t="s">
        <v>99</v>
      </c>
      <c r="F982" s="2" t="s">
        <v>100</v>
      </c>
      <c r="G982" s="2" t="s">
        <v>80</v>
      </c>
      <c r="H982" s="2" t="s">
        <v>81</v>
      </c>
      <c r="I982" s="2" t="s">
        <v>82</v>
      </c>
      <c r="J982" s="2" t="s">
        <v>101</v>
      </c>
      <c r="K982">
        <v>0.83</v>
      </c>
      <c r="L982">
        <v>9963716.5199999996</v>
      </c>
      <c r="M982">
        <v>1200447773.49</v>
      </c>
      <c r="N982" s="2" t="s">
        <v>102</v>
      </c>
      <c r="O982" s="2" t="s">
        <v>103</v>
      </c>
      <c r="P982" s="2" t="s">
        <v>2039</v>
      </c>
      <c r="Q982" s="2" t="s">
        <v>2040</v>
      </c>
      <c r="R982" s="2" t="s">
        <v>29</v>
      </c>
      <c r="S982" s="2" t="s">
        <v>30</v>
      </c>
    </row>
    <row r="983" spans="1:19">
      <c r="A983" s="1">
        <v>44287</v>
      </c>
      <c r="B983" s="1">
        <v>44287</v>
      </c>
      <c r="C983">
        <v>2021</v>
      </c>
      <c r="D983">
        <v>4</v>
      </c>
      <c r="E983" s="2" t="s">
        <v>106</v>
      </c>
      <c r="F983" s="2" t="s">
        <v>107</v>
      </c>
      <c r="G983" s="2" t="s">
        <v>80</v>
      </c>
      <c r="H983" s="2" t="s">
        <v>81</v>
      </c>
      <c r="I983" s="2" t="s">
        <v>82</v>
      </c>
      <c r="J983" s="2" t="s">
        <v>24</v>
      </c>
      <c r="K983">
        <v>0.2</v>
      </c>
      <c r="L983">
        <v>5394189.3499999996</v>
      </c>
      <c r="M983">
        <v>2697094675</v>
      </c>
      <c r="N983" s="2" t="s">
        <v>108</v>
      </c>
      <c r="O983" s="2" t="s">
        <v>109</v>
      </c>
      <c r="P983" s="2" t="s">
        <v>1142</v>
      </c>
      <c r="Q983" s="2" t="s">
        <v>2041</v>
      </c>
      <c r="R983" s="2" t="s">
        <v>29</v>
      </c>
      <c r="S983" s="2" t="s">
        <v>30</v>
      </c>
    </row>
    <row r="984" spans="1:19">
      <c r="A984" s="1">
        <v>44287</v>
      </c>
      <c r="B984" s="1">
        <v>44287</v>
      </c>
      <c r="C984">
        <v>2021</v>
      </c>
      <c r="D984">
        <v>4</v>
      </c>
      <c r="E984" s="2" t="s">
        <v>111</v>
      </c>
      <c r="F984" s="2" t="s">
        <v>112</v>
      </c>
      <c r="G984" s="2" t="s">
        <v>80</v>
      </c>
      <c r="H984" s="2" t="s">
        <v>81</v>
      </c>
      <c r="I984" s="2" t="s">
        <v>82</v>
      </c>
      <c r="J984" s="2" t="s">
        <v>24</v>
      </c>
      <c r="K984">
        <v>0.05</v>
      </c>
      <c r="L984">
        <v>261411</v>
      </c>
      <c r="M984">
        <v>522822000</v>
      </c>
      <c r="N984" s="2" t="s">
        <v>113</v>
      </c>
      <c r="O984" s="2" t="s">
        <v>114</v>
      </c>
      <c r="P984" s="2" t="s">
        <v>516</v>
      </c>
      <c r="Q984" s="2" t="s">
        <v>2042</v>
      </c>
      <c r="R984" s="2" t="s">
        <v>29</v>
      </c>
      <c r="S984" s="2" t="s">
        <v>30</v>
      </c>
    </row>
    <row r="985" spans="1:19">
      <c r="A985" s="1">
        <v>44287</v>
      </c>
      <c r="B985" s="1">
        <v>44287</v>
      </c>
      <c r="C985">
        <v>2021</v>
      </c>
      <c r="D985">
        <v>4</v>
      </c>
      <c r="E985" s="2" t="s">
        <v>117</v>
      </c>
      <c r="F985" s="2" t="s">
        <v>118</v>
      </c>
      <c r="G985" s="2" t="s">
        <v>80</v>
      </c>
      <c r="H985" s="2" t="s">
        <v>81</v>
      </c>
      <c r="I985" s="2" t="s">
        <v>82</v>
      </c>
      <c r="J985" s="2" t="s">
        <v>59</v>
      </c>
      <c r="K985">
        <v>2.36</v>
      </c>
      <c r="L985">
        <v>15138383.77</v>
      </c>
      <c r="M985">
        <v>641456939.40999997</v>
      </c>
      <c r="N985" s="2" t="s">
        <v>119</v>
      </c>
      <c r="O985" s="2" t="s">
        <v>120</v>
      </c>
      <c r="P985" s="2" t="s">
        <v>2043</v>
      </c>
      <c r="Q985" s="2" t="s">
        <v>2044</v>
      </c>
      <c r="R985" s="2" t="s">
        <v>29</v>
      </c>
      <c r="S985" s="2" t="s">
        <v>30</v>
      </c>
    </row>
    <row r="986" spans="1:19">
      <c r="A986" s="1">
        <v>44287</v>
      </c>
      <c r="B986" s="1">
        <v>44287</v>
      </c>
      <c r="C986">
        <v>2021</v>
      </c>
      <c r="D986">
        <v>4</v>
      </c>
      <c r="E986" s="2" t="s">
        <v>123</v>
      </c>
      <c r="F986" s="2" t="s">
        <v>124</v>
      </c>
      <c r="G986" s="2" t="s">
        <v>21</v>
      </c>
      <c r="H986" s="2" t="s">
        <v>22</v>
      </c>
      <c r="I986" s="2" t="s">
        <v>73</v>
      </c>
      <c r="J986" s="2" t="s">
        <v>24</v>
      </c>
      <c r="K986">
        <v>793</v>
      </c>
      <c r="L986">
        <v>32735.37</v>
      </c>
      <c r="M986">
        <v>4128.04</v>
      </c>
      <c r="N986" s="2" t="s">
        <v>125</v>
      </c>
      <c r="O986" s="2" t="s">
        <v>126</v>
      </c>
      <c r="P986" s="2" t="s">
        <v>2045</v>
      </c>
      <c r="Q986" s="2" t="s">
        <v>2046</v>
      </c>
      <c r="R986" s="2" t="s">
        <v>29</v>
      </c>
      <c r="S986" s="2" t="s">
        <v>30</v>
      </c>
    </row>
    <row r="987" spans="1:19">
      <c r="A987" s="1">
        <v>44287</v>
      </c>
      <c r="B987" s="1">
        <v>44287</v>
      </c>
      <c r="C987">
        <v>2021</v>
      </c>
      <c r="D987">
        <v>4</v>
      </c>
      <c r="E987" s="2" t="s">
        <v>129</v>
      </c>
      <c r="F987" s="2" t="s">
        <v>130</v>
      </c>
      <c r="G987" s="2" t="s">
        <v>21</v>
      </c>
      <c r="H987" s="2" t="s">
        <v>22</v>
      </c>
      <c r="I987" s="2" t="s">
        <v>73</v>
      </c>
      <c r="J987" s="2" t="s">
        <v>24</v>
      </c>
      <c r="K987">
        <v>782.31</v>
      </c>
      <c r="L987">
        <v>26313.75</v>
      </c>
      <c r="M987">
        <v>3363.6</v>
      </c>
      <c r="N987" s="2" t="s">
        <v>131</v>
      </c>
      <c r="O987" s="2" t="s">
        <v>132</v>
      </c>
      <c r="P987" s="2" t="s">
        <v>2047</v>
      </c>
      <c r="Q987" s="2" t="s">
        <v>2048</v>
      </c>
      <c r="R987" s="2" t="s">
        <v>29</v>
      </c>
      <c r="S987" s="2" t="s">
        <v>30</v>
      </c>
    </row>
    <row r="988" spans="1:19">
      <c r="A988" s="1">
        <v>44287</v>
      </c>
      <c r="B988" s="1">
        <v>44287</v>
      </c>
      <c r="C988">
        <v>2021</v>
      </c>
      <c r="D988">
        <v>4</v>
      </c>
      <c r="E988" s="2" t="s">
        <v>135</v>
      </c>
      <c r="F988" s="2" t="s">
        <v>136</v>
      </c>
      <c r="G988" s="2" t="s">
        <v>21</v>
      </c>
      <c r="H988" s="2" t="s">
        <v>22</v>
      </c>
      <c r="I988" s="2" t="s">
        <v>73</v>
      </c>
      <c r="J988" s="2" t="s">
        <v>101</v>
      </c>
      <c r="K988">
        <v>1575.32</v>
      </c>
      <c r="L988">
        <v>59049.120000000003</v>
      </c>
      <c r="M988">
        <v>3748.39</v>
      </c>
      <c r="N988" s="2" t="s">
        <v>137</v>
      </c>
      <c r="O988" s="2" t="s">
        <v>138</v>
      </c>
      <c r="P988" s="2" t="s">
        <v>2049</v>
      </c>
      <c r="Q988" s="2" t="s">
        <v>2050</v>
      </c>
      <c r="R988" s="2" t="s">
        <v>29</v>
      </c>
      <c r="S988" s="2" t="s">
        <v>30</v>
      </c>
    </row>
    <row r="989" spans="1:19">
      <c r="A989" s="1">
        <v>44287</v>
      </c>
      <c r="B989" s="1">
        <v>44287</v>
      </c>
      <c r="C989">
        <v>2021</v>
      </c>
      <c r="D989">
        <v>4</v>
      </c>
      <c r="E989" s="2" t="s">
        <v>141</v>
      </c>
      <c r="F989" s="2" t="s">
        <v>142</v>
      </c>
      <c r="G989" s="2" t="s">
        <v>21</v>
      </c>
      <c r="H989" s="2" t="s">
        <v>22</v>
      </c>
      <c r="I989" s="2" t="s">
        <v>73</v>
      </c>
      <c r="J989" s="2" t="s">
        <v>24</v>
      </c>
      <c r="K989">
        <v>1418.86</v>
      </c>
      <c r="L989">
        <v>20562.16</v>
      </c>
      <c r="M989">
        <v>1449.2</v>
      </c>
      <c r="N989" s="2" t="s">
        <v>143</v>
      </c>
      <c r="O989" s="2" t="s">
        <v>144</v>
      </c>
      <c r="P989" s="2" t="s">
        <v>2051</v>
      </c>
      <c r="Q989" s="2" t="s">
        <v>2052</v>
      </c>
      <c r="R989" s="2" t="s">
        <v>29</v>
      </c>
      <c r="S989" s="2" t="s">
        <v>30</v>
      </c>
    </row>
    <row r="990" spans="1:19">
      <c r="A990" s="1">
        <v>44287</v>
      </c>
      <c r="B990" s="1">
        <v>44287</v>
      </c>
      <c r="C990">
        <v>2021</v>
      </c>
      <c r="D990">
        <v>4</v>
      </c>
      <c r="E990" s="2" t="s">
        <v>147</v>
      </c>
      <c r="F990" s="2" t="s">
        <v>148</v>
      </c>
      <c r="G990" s="2" t="s">
        <v>21</v>
      </c>
      <c r="H990" s="2" t="s">
        <v>22</v>
      </c>
      <c r="I990" s="2" t="s">
        <v>73</v>
      </c>
      <c r="J990" s="2" t="s">
        <v>24</v>
      </c>
      <c r="K990">
        <v>1794.37</v>
      </c>
      <c r="L990">
        <v>35620.94</v>
      </c>
      <c r="M990">
        <v>1985.15</v>
      </c>
      <c r="N990" s="2" t="s">
        <v>149</v>
      </c>
      <c r="O990" s="2" t="s">
        <v>150</v>
      </c>
      <c r="P990" s="2" t="s">
        <v>2053</v>
      </c>
      <c r="Q990" s="2" t="s">
        <v>2054</v>
      </c>
      <c r="R990" s="2" t="s">
        <v>29</v>
      </c>
      <c r="S990" s="2" t="s">
        <v>30</v>
      </c>
    </row>
    <row r="991" spans="1:19">
      <c r="A991" s="1">
        <v>44287</v>
      </c>
      <c r="B991" s="1">
        <v>44287</v>
      </c>
      <c r="C991">
        <v>2021</v>
      </c>
      <c r="D991">
        <v>4</v>
      </c>
      <c r="E991" s="2" t="s">
        <v>153</v>
      </c>
      <c r="F991" s="2" t="s">
        <v>154</v>
      </c>
      <c r="G991" s="2" t="s">
        <v>21</v>
      </c>
      <c r="H991" s="2" t="s">
        <v>22</v>
      </c>
      <c r="I991" s="2" t="s">
        <v>73</v>
      </c>
      <c r="J991" s="2" t="s">
        <v>101</v>
      </c>
      <c r="K991">
        <v>3213.23</v>
      </c>
      <c r="L991">
        <v>56183.1</v>
      </c>
      <c r="M991">
        <v>1748.49</v>
      </c>
      <c r="N991" s="2" t="s">
        <v>155</v>
      </c>
      <c r="O991" s="2" t="s">
        <v>156</v>
      </c>
      <c r="P991" s="2" t="s">
        <v>2055</v>
      </c>
      <c r="Q991" s="2" t="s">
        <v>2056</v>
      </c>
      <c r="R991" s="2" t="s">
        <v>29</v>
      </c>
      <c r="S991" s="2" t="s">
        <v>30</v>
      </c>
    </row>
    <row r="992" spans="1:19">
      <c r="A992" s="1">
        <v>44287</v>
      </c>
      <c r="B992" s="1">
        <v>44287</v>
      </c>
      <c r="C992">
        <v>2021</v>
      </c>
      <c r="D992">
        <v>4</v>
      </c>
      <c r="E992" s="2" t="s">
        <v>159</v>
      </c>
      <c r="F992" s="2" t="s">
        <v>160</v>
      </c>
      <c r="G992" s="2" t="s">
        <v>21</v>
      </c>
      <c r="H992" s="2" t="s">
        <v>22</v>
      </c>
      <c r="I992" s="2" t="s">
        <v>66</v>
      </c>
      <c r="J992" s="2" t="s">
        <v>59</v>
      </c>
      <c r="K992">
        <v>921.28</v>
      </c>
      <c r="L992">
        <v>75500.94</v>
      </c>
      <c r="M992">
        <v>8195.2199999999993</v>
      </c>
      <c r="N992" s="2" t="s">
        <v>161</v>
      </c>
      <c r="O992" s="2" t="s">
        <v>162</v>
      </c>
      <c r="P992" s="2" t="s">
        <v>2057</v>
      </c>
      <c r="Q992" s="2" t="s">
        <v>2058</v>
      </c>
      <c r="R992" s="2" t="s">
        <v>29</v>
      </c>
      <c r="S992" s="2" t="s">
        <v>30</v>
      </c>
    </row>
    <row r="993" spans="1:19">
      <c r="A993" s="1">
        <v>44287</v>
      </c>
      <c r="B993" s="1">
        <v>44287</v>
      </c>
      <c r="C993">
        <v>2021</v>
      </c>
      <c r="D993">
        <v>4</v>
      </c>
      <c r="E993" s="2" t="s">
        <v>165</v>
      </c>
      <c r="F993" s="2" t="s">
        <v>166</v>
      </c>
      <c r="G993" s="2" t="s">
        <v>21</v>
      </c>
      <c r="H993" s="2" t="s">
        <v>22</v>
      </c>
      <c r="I993" s="2" t="s">
        <v>23</v>
      </c>
      <c r="J993" s="2" t="s">
        <v>24</v>
      </c>
      <c r="K993">
        <v>0</v>
      </c>
      <c r="L993">
        <v>0</v>
      </c>
      <c r="N993" s="2" t="s">
        <v>167</v>
      </c>
      <c r="O993" s="2" t="s">
        <v>168</v>
      </c>
      <c r="P993" s="2" t="s">
        <v>639</v>
      </c>
      <c r="Q993" s="2" t="s">
        <v>639</v>
      </c>
      <c r="R993" s="2" t="s">
        <v>29</v>
      </c>
      <c r="S993" s="2" t="s">
        <v>30</v>
      </c>
    </row>
    <row r="994" spans="1:19">
      <c r="A994" s="1">
        <v>44287</v>
      </c>
      <c r="B994" s="1">
        <v>44287</v>
      </c>
      <c r="C994">
        <v>2021</v>
      </c>
      <c r="D994">
        <v>4</v>
      </c>
      <c r="E994" s="2" t="s">
        <v>171</v>
      </c>
      <c r="F994" s="2" t="s">
        <v>172</v>
      </c>
      <c r="G994" s="2" t="s">
        <v>21</v>
      </c>
      <c r="H994" s="2" t="s">
        <v>22</v>
      </c>
      <c r="I994" s="2" t="s">
        <v>66</v>
      </c>
      <c r="J994" s="2" t="s">
        <v>24</v>
      </c>
      <c r="N994" s="2" t="s">
        <v>173</v>
      </c>
      <c r="O994" s="2" t="s">
        <v>174</v>
      </c>
      <c r="P994" s="2" t="s">
        <v>175</v>
      </c>
      <c r="Q994" s="2" t="s">
        <v>175</v>
      </c>
      <c r="R994" s="2" t="s">
        <v>640</v>
      </c>
      <c r="S994" s="2" t="s">
        <v>641</v>
      </c>
    </row>
    <row r="995" spans="1:19">
      <c r="A995" s="1">
        <v>44287</v>
      </c>
      <c r="B995" s="1">
        <v>44287</v>
      </c>
      <c r="C995">
        <v>2021</v>
      </c>
      <c r="D995">
        <v>4</v>
      </c>
      <c r="E995" s="2" t="s">
        <v>177</v>
      </c>
      <c r="F995" s="2" t="s">
        <v>178</v>
      </c>
      <c r="G995" s="2" t="s">
        <v>21</v>
      </c>
      <c r="H995" s="2" t="s">
        <v>22</v>
      </c>
      <c r="I995" s="2" t="s">
        <v>23</v>
      </c>
      <c r="J995" s="2" t="s">
        <v>24</v>
      </c>
      <c r="K995">
        <v>3229.68</v>
      </c>
      <c r="L995">
        <v>299542.34000000003</v>
      </c>
      <c r="M995">
        <v>9274.68</v>
      </c>
      <c r="N995" s="2" t="s">
        <v>179</v>
      </c>
      <c r="O995" s="2" t="s">
        <v>180</v>
      </c>
      <c r="P995" s="2" t="s">
        <v>2059</v>
      </c>
      <c r="Q995" s="2" t="s">
        <v>2060</v>
      </c>
      <c r="R995" s="2" t="s">
        <v>29</v>
      </c>
      <c r="S995" s="2" t="s">
        <v>30</v>
      </c>
    </row>
    <row r="996" spans="1:19">
      <c r="A996" s="1">
        <v>44287</v>
      </c>
      <c r="B996" s="1">
        <v>44287</v>
      </c>
      <c r="C996">
        <v>2021</v>
      </c>
      <c r="D996">
        <v>4</v>
      </c>
      <c r="E996" s="2" t="s">
        <v>183</v>
      </c>
      <c r="F996" s="2" t="s">
        <v>184</v>
      </c>
      <c r="G996" s="2" t="s">
        <v>185</v>
      </c>
      <c r="H996" s="2" t="s">
        <v>22</v>
      </c>
      <c r="I996" s="2" t="s">
        <v>186</v>
      </c>
      <c r="J996" s="2" t="s">
        <v>24</v>
      </c>
      <c r="K996">
        <v>2324.46</v>
      </c>
      <c r="L996">
        <v>2186862.56</v>
      </c>
      <c r="M996">
        <v>94080.46</v>
      </c>
      <c r="N996" s="2" t="s">
        <v>187</v>
      </c>
      <c r="O996" s="2" t="s">
        <v>188</v>
      </c>
      <c r="P996" s="2" t="s">
        <v>2061</v>
      </c>
      <c r="Q996" s="2" t="s">
        <v>2062</v>
      </c>
      <c r="R996" s="2" t="s">
        <v>29</v>
      </c>
      <c r="S996" s="2" t="s">
        <v>30</v>
      </c>
    </row>
    <row r="997" spans="1:19">
      <c r="A997" s="1">
        <v>44287</v>
      </c>
      <c r="B997" s="1">
        <v>44287</v>
      </c>
      <c r="C997">
        <v>2021</v>
      </c>
      <c r="D997">
        <v>4</v>
      </c>
      <c r="E997" s="2" t="s">
        <v>191</v>
      </c>
      <c r="F997" s="2" t="s">
        <v>192</v>
      </c>
      <c r="G997" s="2" t="s">
        <v>185</v>
      </c>
      <c r="H997" s="2" t="s">
        <v>22</v>
      </c>
      <c r="I997" s="2" t="s">
        <v>186</v>
      </c>
      <c r="J997" s="2" t="s">
        <v>24</v>
      </c>
      <c r="K997">
        <v>731.65</v>
      </c>
      <c r="L997">
        <v>3456451.1</v>
      </c>
      <c r="M997">
        <v>472418.66</v>
      </c>
      <c r="N997" s="2" t="s">
        <v>193</v>
      </c>
      <c r="O997" s="2" t="s">
        <v>194</v>
      </c>
      <c r="P997" s="2" t="s">
        <v>2063</v>
      </c>
      <c r="Q997" s="2" t="s">
        <v>2064</v>
      </c>
      <c r="R997" s="2" t="s">
        <v>29</v>
      </c>
      <c r="S997" s="2" t="s">
        <v>30</v>
      </c>
    </row>
    <row r="998" spans="1:19">
      <c r="A998" s="1">
        <v>44287</v>
      </c>
      <c r="B998" s="1">
        <v>44287</v>
      </c>
      <c r="C998">
        <v>2021</v>
      </c>
      <c r="D998">
        <v>4</v>
      </c>
      <c r="E998" s="2" t="s">
        <v>197</v>
      </c>
      <c r="F998" s="2" t="s">
        <v>198</v>
      </c>
      <c r="G998" s="2" t="s">
        <v>185</v>
      </c>
      <c r="H998" s="2" t="s">
        <v>22</v>
      </c>
      <c r="I998" s="2" t="s">
        <v>186</v>
      </c>
      <c r="J998" s="2" t="s">
        <v>59</v>
      </c>
      <c r="K998">
        <v>3056.11</v>
      </c>
      <c r="L998">
        <v>5643313.6600000001</v>
      </c>
      <c r="M998">
        <v>184656.76</v>
      </c>
      <c r="N998" s="2" t="s">
        <v>199</v>
      </c>
      <c r="O998" s="2" t="s">
        <v>200</v>
      </c>
      <c r="P998" s="2" t="s">
        <v>2065</v>
      </c>
      <c r="Q998" s="2" t="s">
        <v>2066</v>
      </c>
      <c r="R998" s="2" t="s">
        <v>29</v>
      </c>
      <c r="S998" s="2" t="s">
        <v>30</v>
      </c>
    </row>
    <row r="999" spans="1:19">
      <c r="A999" s="1">
        <v>44287</v>
      </c>
      <c r="B999" s="1">
        <v>44287</v>
      </c>
      <c r="C999">
        <v>2021</v>
      </c>
      <c r="D999">
        <v>4</v>
      </c>
      <c r="E999" s="2" t="s">
        <v>203</v>
      </c>
      <c r="F999" s="2" t="s">
        <v>204</v>
      </c>
      <c r="G999" s="2" t="s">
        <v>39</v>
      </c>
      <c r="H999" s="2" t="s">
        <v>22</v>
      </c>
      <c r="I999" s="2" t="s">
        <v>40</v>
      </c>
      <c r="J999" s="2" t="s">
        <v>24</v>
      </c>
      <c r="K999">
        <v>725.35</v>
      </c>
      <c r="L999">
        <v>21700.76</v>
      </c>
      <c r="M999">
        <v>2991.76</v>
      </c>
      <c r="N999" s="2" t="s">
        <v>205</v>
      </c>
      <c r="O999" s="2" t="s">
        <v>206</v>
      </c>
      <c r="P999" s="2" t="s">
        <v>2067</v>
      </c>
      <c r="Q999" s="2" t="s">
        <v>2068</v>
      </c>
      <c r="R999" s="2" t="s">
        <v>29</v>
      </c>
      <c r="S999" s="2" t="s">
        <v>30</v>
      </c>
    </row>
    <row r="1000" spans="1:19">
      <c r="A1000" s="1">
        <v>44287</v>
      </c>
      <c r="B1000" s="1">
        <v>44287</v>
      </c>
      <c r="C1000">
        <v>2021</v>
      </c>
      <c r="D1000">
        <v>4</v>
      </c>
      <c r="E1000" s="2" t="s">
        <v>209</v>
      </c>
      <c r="F1000" s="2" t="s">
        <v>210</v>
      </c>
      <c r="G1000" s="2" t="s">
        <v>39</v>
      </c>
      <c r="H1000" s="2" t="s">
        <v>22</v>
      </c>
      <c r="I1000" s="2" t="s">
        <v>40</v>
      </c>
      <c r="J1000" s="2" t="s">
        <v>59</v>
      </c>
      <c r="K1000">
        <v>725.35</v>
      </c>
      <c r="L1000">
        <v>21700.76</v>
      </c>
      <c r="M1000">
        <v>2991.76</v>
      </c>
      <c r="N1000" s="2" t="s">
        <v>211</v>
      </c>
      <c r="O1000" s="2" t="s">
        <v>212</v>
      </c>
      <c r="P1000" s="2" t="s">
        <v>2067</v>
      </c>
      <c r="Q1000" s="2" t="s">
        <v>2068</v>
      </c>
      <c r="R1000" s="2" t="s">
        <v>29</v>
      </c>
      <c r="S1000" s="2" t="s">
        <v>30</v>
      </c>
    </row>
    <row r="1001" spans="1:19">
      <c r="A1001" s="1">
        <v>44287</v>
      </c>
      <c r="B1001" s="1">
        <v>44287</v>
      </c>
      <c r="C1001">
        <v>2021</v>
      </c>
      <c r="D1001">
        <v>4</v>
      </c>
      <c r="E1001" s="2" t="s">
        <v>213</v>
      </c>
      <c r="F1001" s="2" t="s">
        <v>214</v>
      </c>
      <c r="G1001" s="2" t="s">
        <v>185</v>
      </c>
      <c r="H1001" s="2" t="s">
        <v>22</v>
      </c>
      <c r="I1001" s="2" t="s">
        <v>215</v>
      </c>
      <c r="J1001" s="2" t="s">
        <v>24</v>
      </c>
      <c r="K1001">
        <v>29930.78</v>
      </c>
      <c r="L1001">
        <v>815078.2</v>
      </c>
      <c r="M1001">
        <v>2723.21</v>
      </c>
      <c r="N1001" s="2" t="s">
        <v>216</v>
      </c>
      <c r="O1001" s="2" t="s">
        <v>217</v>
      </c>
      <c r="P1001" s="2" t="s">
        <v>2069</v>
      </c>
      <c r="Q1001" s="2" t="s">
        <v>2070</v>
      </c>
      <c r="R1001" s="2" t="s">
        <v>29</v>
      </c>
      <c r="S1001" s="2" t="s">
        <v>30</v>
      </c>
    </row>
    <row r="1002" spans="1:19">
      <c r="A1002" s="1">
        <v>44287</v>
      </c>
      <c r="B1002" s="1">
        <v>44287</v>
      </c>
      <c r="C1002">
        <v>2021</v>
      </c>
      <c r="D1002">
        <v>4</v>
      </c>
      <c r="E1002" s="2" t="s">
        <v>220</v>
      </c>
      <c r="F1002" s="2" t="s">
        <v>221</v>
      </c>
      <c r="G1002" s="2" t="s">
        <v>185</v>
      </c>
      <c r="H1002" s="2" t="s">
        <v>22</v>
      </c>
      <c r="I1002" s="2" t="s">
        <v>215</v>
      </c>
      <c r="J1002" s="2" t="s">
        <v>24</v>
      </c>
      <c r="K1002">
        <v>2563.9899999999998</v>
      </c>
      <c r="L1002">
        <v>191177.82</v>
      </c>
      <c r="M1002">
        <v>7456.26</v>
      </c>
      <c r="N1002" s="2" t="s">
        <v>222</v>
      </c>
      <c r="O1002" s="2" t="s">
        <v>223</v>
      </c>
      <c r="P1002" s="2" t="s">
        <v>2071</v>
      </c>
      <c r="Q1002" s="2" t="s">
        <v>2072</v>
      </c>
      <c r="R1002" s="2" t="s">
        <v>29</v>
      </c>
      <c r="S1002" s="2" t="s">
        <v>30</v>
      </c>
    </row>
    <row r="1003" spans="1:19">
      <c r="A1003" s="1">
        <v>44287</v>
      </c>
      <c r="B1003" s="1">
        <v>44287</v>
      </c>
      <c r="C1003">
        <v>2021</v>
      </c>
      <c r="D1003">
        <v>4</v>
      </c>
      <c r="E1003" s="2" t="s">
        <v>226</v>
      </c>
      <c r="F1003" s="2" t="s">
        <v>227</v>
      </c>
      <c r="G1003" s="2" t="s">
        <v>185</v>
      </c>
      <c r="H1003" s="2" t="s">
        <v>22</v>
      </c>
      <c r="I1003" s="2" t="s">
        <v>215</v>
      </c>
      <c r="J1003" s="2" t="s">
        <v>59</v>
      </c>
      <c r="K1003">
        <v>32494.77</v>
      </c>
      <c r="L1003">
        <v>1006256.01</v>
      </c>
      <c r="M1003">
        <v>3096.67</v>
      </c>
      <c r="N1003" s="2" t="s">
        <v>228</v>
      </c>
      <c r="O1003" s="2" t="s">
        <v>229</v>
      </c>
      <c r="P1003" s="2" t="s">
        <v>2073</v>
      </c>
      <c r="Q1003" s="2" t="s">
        <v>2074</v>
      </c>
      <c r="R1003" s="2" t="s">
        <v>29</v>
      </c>
      <c r="S1003" s="2" t="s">
        <v>30</v>
      </c>
    </row>
    <row r="1004" spans="1:19">
      <c r="A1004" s="1">
        <v>44287</v>
      </c>
      <c r="B1004" s="1">
        <v>44287</v>
      </c>
      <c r="C1004">
        <v>2021</v>
      </c>
      <c r="D1004">
        <v>4</v>
      </c>
      <c r="E1004" s="2" t="s">
        <v>232</v>
      </c>
      <c r="F1004" s="2" t="s">
        <v>233</v>
      </c>
      <c r="G1004" s="2" t="s">
        <v>21</v>
      </c>
      <c r="H1004" s="2" t="s">
        <v>22</v>
      </c>
      <c r="I1004" s="2" t="s">
        <v>23</v>
      </c>
      <c r="J1004" s="2" t="s">
        <v>24</v>
      </c>
      <c r="K1004">
        <v>1029.55</v>
      </c>
      <c r="L1004">
        <v>101457.42</v>
      </c>
      <c r="M1004">
        <v>9854.5400000000009</v>
      </c>
      <c r="N1004" s="2" t="s">
        <v>234</v>
      </c>
      <c r="O1004" s="2" t="s">
        <v>235</v>
      </c>
      <c r="P1004" s="2" t="s">
        <v>2075</v>
      </c>
      <c r="Q1004" s="2" t="s">
        <v>2076</v>
      </c>
      <c r="R1004" s="2" t="s">
        <v>29</v>
      </c>
      <c r="S1004" s="2" t="s">
        <v>30</v>
      </c>
    </row>
    <row r="1005" spans="1:19">
      <c r="A1005" s="1">
        <v>44287</v>
      </c>
      <c r="B1005" s="1">
        <v>44287</v>
      </c>
      <c r="C1005">
        <v>2021</v>
      </c>
      <c r="D1005">
        <v>4</v>
      </c>
      <c r="E1005" s="2" t="s">
        <v>238</v>
      </c>
      <c r="F1005" s="2" t="s">
        <v>239</v>
      </c>
      <c r="G1005" s="2" t="s">
        <v>21</v>
      </c>
      <c r="H1005" s="2" t="s">
        <v>22</v>
      </c>
      <c r="I1005" s="2" t="s">
        <v>66</v>
      </c>
      <c r="J1005" s="2" t="s">
        <v>24</v>
      </c>
      <c r="K1005">
        <v>814.04</v>
      </c>
      <c r="L1005">
        <v>74985.2</v>
      </c>
      <c r="M1005">
        <v>9211.49</v>
      </c>
      <c r="N1005" s="2" t="s">
        <v>240</v>
      </c>
      <c r="O1005" s="2" t="s">
        <v>241</v>
      </c>
      <c r="P1005" s="2" t="s">
        <v>2077</v>
      </c>
      <c r="Q1005" s="2" t="s">
        <v>2078</v>
      </c>
      <c r="R1005" s="2" t="s">
        <v>29</v>
      </c>
      <c r="S1005" s="2" t="s">
        <v>30</v>
      </c>
    </row>
    <row r="1006" spans="1:19">
      <c r="A1006" s="1">
        <v>44287</v>
      </c>
      <c r="B1006" s="1">
        <v>44287</v>
      </c>
      <c r="C1006">
        <v>2021</v>
      </c>
      <c r="D1006">
        <v>4</v>
      </c>
      <c r="E1006" s="2" t="s">
        <v>244</v>
      </c>
      <c r="F1006" s="2" t="s">
        <v>245</v>
      </c>
      <c r="G1006" s="2" t="s">
        <v>21</v>
      </c>
      <c r="H1006" s="2" t="s">
        <v>22</v>
      </c>
      <c r="I1006" s="2" t="s">
        <v>23</v>
      </c>
      <c r="J1006" s="2" t="s">
        <v>24</v>
      </c>
      <c r="K1006">
        <v>2862.71</v>
      </c>
      <c r="L1006">
        <v>2046234.56</v>
      </c>
      <c r="M1006">
        <v>71478.929999999993</v>
      </c>
      <c r="N1006" s="2" t="s">
        <v>246</v>
      </c>
      <c r="O1006" s="2" t="s">
        <v>247</v>
      </c>
      <c r="P1006" s="2" t="s">
        <v>2079</v>
      </c>
      <c r="Q1006" s="2" t="s">
        <v>2080</v>
      </c>
      <c r="R1006" s="2" t="s">
        <v>29</v>
      </c>
      <c r="S1006" s="2" t="s">
        <v>30</v>
      </c>
    </row>
    <row r="1007" spans="1:19">
      <c r="A1007" s="1">
        <v>44287</v>
      </c>
      <c r="B1007" s="1">
        <v>44287</v>
      </c>
      <c r="C1007">
        <v>2021</v>
      </c>
      <c r="D1007">
        <v>4</v>
      </c>
      <c r="E1007" s="2" t="s">
        <v>250</v>
      </c>
      <c r="F1007" s="2" t="s">
        <v>251</v>
      </c>
      <c r="G1007" s="2" t="s">
        <v>21</v>
      </c>
      <c r="H1007" s="2" t="s">
        <v>22</v>
      </c>
      <c r="I1007" s="2" t="s">
        <v>66</v>
      </c>
      <c r="J1007" s="2" t="s">
        <v>24</v>
      </c>
      <c r="K1007">
        <v>93.36</v>
      </c>
      <c r="L1007">
        <v>138.51</v>
      </c>
      <c r="M1007">
        <v>148.36000000000001</v>
      </c>
      <c r="N1007" s="2" t="s">
        <v>252</v>
      </c>
      <c r="O1007" s="2" t="s">
        <v>253</v>
      </c>
      <c r="P1007" s="2" t="s">
        <v>2081</v>
      </c>
      <c r="Q1007" s="2" t="s">
        <v>2082</v>
      </c>
      <c r="R1007" s="2" t="s">
        <v>29</v>
      </c>
      <c r="S1007" s="2" t="s">
        <v>30</v>
      </c>
    </row>
    <row r="1008" spans="1:19">
      <c r="A1008" s="1">
        <v>44287</v>
      </c>
      <c r="B1008" s="1">
        <v>44287</v>
      </c>
      <c r="C1008">
        <v>2021</v>
      </c>
      <c r="D1008">
        <v>4</v>
      </c>
      <c r="E1008" s="2" t="s">
        <v>256</v>
      </c>
      <c r="F1008" s="2" t="s">
        <v>257</v>
      </c>
      <c r="G1008" s="2" t="s">
        <v>21</v>
      </c>
      <c r="H1008" s="2" t="s">
        <v>22</v>
      </c>
      <c r="I1008" s="2" t="s">
        <v>258</v>
      </c>
      <c r="J1008" s="2" t="s">
        <v>24</v>
      </c>
      <c r="K1008">
        <v>557.79</v>
      </c>
      <c r="L1008">
        <v>553322.48</v>
      </c>
      <c r="M1008">
        <v>99199.07</v>
      </c>
      <c r="N1008" s="2" t="s">
        <v>259</v>
      </c>
      <c r="O1008" s="2" t="s">
        <v>260</v>
      </c>
      <c r="P1008" s="2" t="s">
        <v>2083</v>
      </c>
      <c r="Q1008" s="2" t="s">
        <v>2084</v>
      </c>
      <c r="R1008" s="2" t="s">
        <v>29</v>
      </c>
      <c r="S1008" s="2" t="s">
        <v>30</v>
      </c>
    </row>
    <row r="1009" spans="1:19">
      <c r="A1009" s="1">
        <v>44287</v>
      </c>
      <c r="B1009" s="1">
        <v>44287</v>
      </c>
      <c r="C1009">
        <v>2021</v>
      </c>
      <c r="D1009">
        <v>4</v>
      </c>
      <c r="E1009" s="2" t="s">
        <v>263</v>
      </c>
      <c r="F1009" s="2" t="s">
        <v>264</v>
      </c>
      <c r="G1009" s="2" t="s">
        <v>21</v>
      </c>
      <c r="H1009" s="2" t="s">
        <v>22</v>
      </c>
      <c r="I1009" s="2" t="s">
        <v>258</v>
      </c>
      <c r="J1009" s="2" t="s">
        <v>24</v>
      </c>
      <c r="K1009">
        <v>0</v>
      </c>
      <c r="L1009">
        <v>0</v>
      </c>
      <c r="N1009" s="2" t="s">
        <v>265</v>
      </c>
      <c r="O1009" s="2" t="s">
        <v>266</v>
      </c>
      <c r="P1009" s="2" t="s">
        <v>639</v>
      </c>
      <c r="Q1009" s="2" t="s">
        <v>639</v>
      </c>
      <c r="R1009" s="2" t="s">
        <v>29</v>
      </c>
      <c r="S1009" s="2" t="s">
        <v>30</v>
      </c>
    </row>
    <row r="1010" spans="1:19">
      <c r="A1010" s="1">
        <v>44287</v>
      </c>
      <c r="B1010" s="1">
        <v>44287</v>
      </c>
      <c r="C1010">
        <v>2021</v>
      </c>
      <c r="D1010">
        <v>4</v>
      </c>
      <c r="E1010" s="2" t="s">
        <v>269</v>
      </c>
      <c r="F1010" s="2" t="s">
        <v>270</v>
      </c>
      <c r="G1010" s="2" t="s">
        <v>21</v>
      </c>
      <c r="H1010" s="2" t="s">
        <v>22</v>
      </c>
      <c r="I1010" s="2" t="s">
        <v>258</v>
      </c>
      <c r="J1010" s="2" t="s">
        <v>59</v>
      </c>
      <c r="K1010">
        <v>557.79</v>
      </c>
      <c r="L1010">
        <v>553322.48</v>
      </c>
      <c r="M1010">
        <v>99199.07</v>
      </c>
      <c r="N1010" s="2" t="s">
        <v>271</v>
      </c>
      <c r="O1010" s="2" t="s">
        <v>272</v>
      </c>
      <c r="P1010" s="2" t="s">
        <v>2083</v>
      </c>
      <c r="Q1010" s="2" t="s">
        <v>2084</v>
      </c>
      <c r="R1010" s="2" t="s">
        <v>29</v>
      </c>
      <c r="S1010" s="2" t="s">
        <v>30</v>
      </c>
    </row>
    <row r="1011" spans="1:19">
      <c r="A1011" s="1">
        <v>44287</v>
      </c>
      <c r="B1011" s="1">
        <v>44287</v>
      </c>
      <c r="C1011">
        <v>2021</v>
      </c>
      <c r="D1011">
        <v>4</v>
      </c>
      <c r="E1011" s="2" t="s">
        <v>275</v>
      </c>
      <c r="F1011" s="2" t="s">
        <v>276</v>
      </c>
      <c r="G1011" s="2" t="s">
        <v>39</v>
      </c>
      <c r="H1011" s="2" t="s">
        <v>22</v>
      </c>
      <c r="I1011" s="2" t="s">
        <v>40</v>
      </c>
      <c r="J1011" s="2" t="s">
        <v>24</v>
      </c>
      <c r="K1011">
        <v>18.850000000000001</v>
      </c>
      <c r="L1011">
        <v>111.43</v>
      </c>
      <c r="M1011">
        <v>591.14</v>
      </c>
      <c r="N1011" s="2" t="s">
        <v>277</v>
      </c>
      <c r="O1011" s="2" t="s">
        <v>278</v>
      </c>
      <c r="P1011" s="2" t="s">
        <v>2085</v>
      </c>
      <c r="Q1011" s="2" t="s">
        <v>2086</v>
      </c>
      <c r="R1011" s="2" t="s">
        <v>29</v>
      </c>
      <c r="S1011" s="2" t="s">
        <v>30</v>
      </c>
    </row>
    <row r="1012" spans="1:19">
      <c r="A1012" s="1">
        <v>44287</v>
      </c>
      <c r="B1012" s="1">
        <v>44287</v>
      </c>
      <c r="C1012">
        <v>2021</v>
      </c>
      <c r="D1012">
        <v>4</v>
      </c>
      <c r="E1012" s="2" t="s">
        <v>281</v>
      </c>
      <c r="F1012" s="2" t="s">
        <v>282</v>
      </c>
      <c r="G1012" s="2" t="s">
        <v>39</v>
      </c>
      <c r="H1012" s="2" t="s">
        <v>22</v>
      </c>
      <c r="I1012" s="2" t="s">
        <v>40</v>
      </c>
      <c r="J1012" s="2" t="s">
        <v>24</v>
      </c>
      <c r="K1012">
        <v>3.2</v>
      </c>
      <c r="L1012">
        <v>22.02</v>
      </c>
      <c r="M1012">
        <v>688.12</v>
      </c>
      <c r="N1012" s="2" t="s">
        <v>283</v>
      </c>
      <c r="O1012" s="2" t="s">
        <v>284</v>
      </c>
      <c r="P1012" s="2" t="s">
        <v>2087</v>
      </c>
      <c r="Q1012" s="2" t="s">
        <v>2088</v>
      </c>
      <c r="R1012" s="2" t="s">
        <v>29</v>
      </c>
      <c r="S1012" s="2" t="s">
        <v>30</v>
      </c>
    </row>
    <row r="1013" spans="1:19">
      <c r="A1013" s="1">
        <v>44287</v>
      </c>
      <c r="B1013" s="1">
        <v>44287</v>
      </c>
      <c r="C1013">
        <v>2021</v>
      </c>
      <c r="D1013">
        <v>4</v>
      </c>
      <c r="E1013" s="2" t="s">
        <v>287</v>
      </c>
      <c r="F1013" s="2" t="s">
        <v>288</v>
      </c>
      <c r="G1013" s="2" t="s">
        <v>39</v>
      </c>
      <c r="H1013" s="2" t="s">
        <v>22</v>
      </c>
      <c r="I1013" s="2" t="s">
        <v>40</v>
      </c>
      <c r="J1013" s="2" t="s">
        <v>59</v>
      </c>
      <c r="K1013">
        <v>22.06</v>
      </c>
      <c r="L1013">
        <v>133.44999999999999</v>
      </c>
      <c r="M1013">
        <v>604.94000000000005</v>
      </c>
      <c r="N1013" s="2" t="s">
        <v>289</v>
      </c>
      <c r="O1013" s="2" t="s">
        <v>290</v>
      </c>
      <c r="P1013" s="2" t="s">
        <v>2089</v>
      </c>
      <c r="Q1013" s="2" t="s">
        <v>2090</v>
      </c>
      <c r="R1013" s="2" t="s">
        <v>29</v>
      </c>
      <c r="S1013" s="2" t="s">
        <v>30</v>
      </c>
    </row>
    <row r="1014" spans="1:19">
      <c r="A1014" s="1">
        <v>44287</v>
      </c>
      <c r="B1014" s="1">
        <v>44287</v>
      </c>
      <c r="C1014">
        <v>2021</v>
      </c>
      <c r="D1014">
        <v>4</v>
      </c>
      <c r="E1014" s="2" t="s">
        <v>293</v>
      </c>
      <c r="F1014" s="2" t="s">
        <v>294</v>
      </c>
      <c r="G1014" s="2" t="s">
        <v>21</v>
      </c>
      <c r="H1014" s="2" t="s">
        <v>22</v>
      </c>
      <c r="I1014" s="2" t="s">
        <v>295</v>
      </c>
      <c r="J1014" s="2" t="s">
        <v>24</v>
      </c>
      <c r="K1014">
        <v>762.11</v>
      </c>
      <c r="L1014">
        <v>6084.87</v>
      </c>
      <c r="M1014">
        <v>798.42</v>
      </c>
      <c r="N1014" s="2" t="s">
        <v>296</v>
      </c>
      <c r="O1014" s="2" t="s">
        <v>297</v>
      </c>
      <c r="P1014" s="2" t="s">
        <v>2091</v>
      </c>
      <c r="Q1014" s="2" t="s">
        <v>2092</v>
      </c>
      <c r="R1014" s="2" t="s">
        <v>29</v>
      </c>
      <c r="S1014" s="2" t="s">
        <v>30</v>
      </c>
    </row>
    <row r="1015" spans="1:19">
      <c r="A1015" s="1">
        <v>44287</v>
      </c>
      <c r="B1015" s="1">
        <v>44287</v>
      </c>
      <c r="C1015">
        <v>2021</v>
      </c>
      <c r="D1015">
        <v>4</v>
      </c>
      <c r="E1015" s="2" t="s">
        <v>300</v>
      </c>
      <c r="F1015" s="2" t="s">
        <v>301</v>
      </c>
      <c r="G1015" s="2" t="s">
        <v>21</v>
      </c>
      <c r="H1015" s="2" t="s">
        <v>22</v>
      </c>
      <c r="I1015" s="2" t="s">
        <v>295</v>
      </c>
      <c r="J1015" s="2" t="s">
        <v>24</v>
      </c>
      <c r="K1015">
        <v>41.18</v>
      </c>
      <c r="L1015">
        <v>1723.75</v>
      </c>
      <c r="M1015">
        <v>4185.8900000000003</v>
      </c>
      <c r="N1015" s="2" t="s">
        <v>302</v>
      </c>
      <c r="O1015" s="2" t="s">
        <v>303</v>
      </c>
      <c r="P1015" s="2" t="s">
        <v>2093</v>
      </c>
      <c r="Q1015" s="2" t="s">
        <v>2094</v>
      </c>
      <c r="R1015" s="2" t="s">
        <v>29</v>
      </c>
      <c r="S1015" s="2" t="s">
        <v>30</v>
      </c>
    </row>
    <row r="1016" spans="1:19">
      <c r="A1016" s="1">
        <v>44287</v>
      </c>
      <c r="B1016" s="1">
        <v>44287</v>
      </c>
      <c r="C1016">
        <v>2021</v>
      </c>
      <c r="D1016">
        <v>4</v>
      </c>
      <c r="E1016" s="2" t="s">
        <v>306</v>
      </c>
      <c r="F1016" s="2" t="s">
        <v>307</v>
      </c>
      <c r="G1016" s="2" t="s">
        <v>21</v>
      </c>
      <c r="H1016" s="2" t="s">
        <v>22</v>
      </c>
      <c r="I1016" s="2" t="s">
        <v>295</v>
      </c>
      <c r="J1016" s="2" t="s">
        <v>101</v>
      </c>
      <c r="K1016">
        <v>803.29</v>
      </c>
      <c r="L1016">
        <v>7808.62</v>
      </c>
      <c r="M1016">
        <v>972.08</v>
      </c>
      <c r="N1016" s="2" t="s">
        <v>308</v>
      </c>
      <c r="O1016" s="2" t="s">
        <v>309</v>
      </c>
      <c r="P1016" s="2" t="s">
        <v>2095</v>
      </c>
      <c r="Q1016" s="2" t="s">
        <v>2096</v>
      </c>
      <c r="R1016" s="2" t="s">
        <v>29</v>
      </c>
      <c r="S1016" s="2" t="s">
        <v>30</v>
      </c>
    </row>
    <row r="1017" spans="1:19">
      <c r="A1017" s="1">
        <v>44287</v>
      </c>
      <c r="B1017" s="1">
        <v>44287</v>
      </c>
      <c r="C1017">
        <v>2021</v>
      </c>
      <c r="D1017">
        <v>4</v>
      </c>
      <c r="E1017" s="2" t="s">
        <v>312</v>
      </c>
      <c r="F1017" s="2" t="s">
        <v>313</v>
      </c>
      <c r="G1017" s="2" t="s">
        <v>21</v>
      </c>
      <c r="H1017" s="2" t="s">
        <v>22</v>
      </c>
      <c r="I1017" s="2" t="s">
        <v>295</v>
      </c>
      <c r="J1017" s="2" t="s">
        <v>59</v>
      </c>
      <c r="K1017">
        <v>4761.96</v>
      </c>
      <c r="L1017">
        <v>22058.720000000001</v>
      </c>
      <c r="M1017">
        <v>463.23</v>
      </c>
      <c r="N1017" s="2" t="s">
        <v>314</v>
      </c>
      <c r="O1017" s="2" t="s">
        <v>315</v>
      </c>
      <c r="P1017" s="2" t="s">
        <v>2097</v>
      </c>
      <c r="Q1017" s="2" t="s">
        <v>2098</v>
      </c>
      <c r="R1017" s="2" t="s">
        <v>29</v>
      </c>
      <c r="S1017" s="2" t="s">
        <v>30</v>
      </c>
    </row>
    <row r="1018" spans="1:19">
      <c r="A1018" s="1">
        <v>44287</v>
      </c>
      <c r="B1018" s="1">
        <v>44287</v>
      </c>
      <c r="C1018">
        <v>2021</v>
      </c>
      <c r="D1018">
        <v>4</v>
      </c>
      <c r="E1018" s="2" t="s">
        <v>318</v>
      </c>
      <c r="F1018" s="2" t="s">
        <v>319</v>
      </c>
      <c r="G1018" s="2" t="s">
        <v>21</v>
      </c>
      <c r="H1018" s="2" t="s">
        <v>22</v>
      </c>
      <c r="I1018" s="2" t="s">
        <v>295</v>
      </c>
      <c r="J1018" s="2" t="s">
        <v>24</v>
      </c>
      <c r="K1018">
        <v>3958.67</v>
      </c>
      <c r="L1018">
        <v>14250.1</v>
      </c>
      <c r="M1018">
        <v>359.97</v>
      </c>
      <c r="N1018" s="2" t="s">
        <v>320</v>
      </c>
      <c r="O1018" s="2" t="s">
        <v>321</v>
      </c>
      <c r="P1018" s="2" t="s">
        <v>2099</v>
      </c>
      <c r="Q1018" s="2" t="s">
        <v>2100</v>
      </c>
      <c r="R1018" s="2" t="s">
        <v>29</v>
      </c>
      <c r="S1018" s="2" t="s">
        <v>30</v>
      </c>
    </row>
    <row r="1019" spans="1:19">
      <c r="A1019" s="1">
        <v>44287</v>
      </c>
      <c r="B1019" s="1">
        <v>44287</v>
      </c>
      <c r="C1019">
        <v>2021</v>
      </c>
      <c r="D1019">
        <v>4</v>
      </c>
      <c r="E1019" s="2" t="s">
        <v>324</v>
      </c>
      <c r="F1019" s="2" t="s">
        <v>325</v>
      </c>
      <c r="G1019" s="2" t="s">
        <v>21</v>
      </c>
      <c r="H1019" s="2" t="s">
        <v>22</v>
      </c>
      <c r="I1019" s="2" t="s">
        <v>23</v>
      </c>
      <c r="J1019" s="2" t="s">
        <v>59</v>
      </c>
      <c r="K1019">
        <v>34506.22</v>
      </c>
      <c r="L1019">
        <v>2946342.24</v>
      </c>
      <c r="M1019">
        <v>8538.58</v>
      </c>
      <c r="N1019" s="2" t="s">
        <v>326</v>
      </c>
      <c r="O1019" s="2" t="s">
        <v>327</v>
      </c>
      <c r="P1019" s="2" t="s">
        <v>2101</v>
      </c>
      <c r="Q1019" s="2" t="s">
        <v>2102</v>
      </c>
      <c r="R1019" s="2" t="s">
        <v>29</v>
      </c>
      <c r="S1019" s="2" t="s">
        <v>30</v>
      </c>
    </row>
    <row r="1020" spans="1:19">
      <c r="A1020" s="1">
        <v>44287</v>
      </c>
      <c r="B1020" s="1">
        <v>44287</v>
      </c>
      <c r="C1020">
        <v>2021</v>
      </c>
      <c r="D1020">
        <v>4</v>
      </c>
      <c r="E1020" s="2" t="s">
        <v>330</v>
      </c>
      <c r="F1020" s="2" t="s">
        <v>331</v>
      </c>
      <c r="G1020" s="2" t="s">
        <v>21</v>
      </c>
      <c r="H1020" s="2" t="s">
        <v>332</v>
      </c>
      <c r="I1020" s="2" t="s">
        <v>333</v>
      </c>
      <c r="J1020" s="2" t="s">
        <v>24</v>
      </c>
      <c r="K1020">
        <v>150.19</v>
      </c>
      <c r="L1020">
        <v>7555042.4100000001</v>
      </c>
      <c r="M1020">
        <v>5030323.2</v>
      </c>
      <c r="N1020" s="2" t="s">
        <v>334</v>
      </c>
      <c r="O1020" s="2" t="s">
        <v>335</v>
      </c>
      <c r="P1020" s="2" t="s">
        <v>2103</v>
      </c>
      <c r="Q1020" s="2" t="s">
        <v>2104</v>
      </c>
      <c r="R1020" s="2" t="s">
        <v>29</v>
      </c>
      <c r="S1020" s="2" t="s">
        <v>30</v>
      </c>
    </row>
    <row r="1021" spans="1:19">
      <c r="A1021" s="1">
        <v>44287</v>
      </c>
      <c r="B1021" s="1">
        <v>44287</v>
      </c>
      <c r="C1021">
        <v>2021</v>
      </c>
      <c r="D1021">
        <v>4</v>
      </c>
      <c r="E1021" s="2" t="s">
        <v>338</v>
      </c>
      <c r="F1021" s="2" t="s">
        <v>339</v>
      </c>
      <c r="G1021" s="2" t="s">
        <v>21</v>
      </c>
      <c r="H1021" s="2" t="s">
        <v>332</v>
      </c>
      <c r="I1021" s="2" t="s">
        <v>333</v>
      </c>
      <c r="J1021" s="2" t="s">
        <v>24</v>
      </c>
      <c r="K1021">
        <v>1.33</v>
      </c>
      <c r="L1021">
        <v>1247825.3500000001</v>
      </c>
      <c r="M1021">
        <v>93821454.890000001</v>
      </c>
      <c r="N1021" s="2" t="s">
        <v>340</v>
      </c>
      <c r="O1021" s="2" t="s">
        <v>341</v>
      </c>
      <c r="P1021" s="2" t="s">
        <v>2105</v>
      </c>
      <c r="Q1021" s="2" t="s">
        <v>2106</v>
      </c>
      <c r="R1021" s="2" t="s">
        <v>29</v>
      </c>
      <c r="S1021" s="2" t="s">
        <v>30</v>
      </c>
    </row>
    <row r="1022" spans="1:19">
      <c r="A1022" s="1">
        <v>44287</v>
      </c>
      <c r="B1022" s="1">
        <v>44287</v>
      </c>
      <c r="C1022">
        <v>2021</v>
      </c>
      <c r="D1022">
        <v>4</v>
      </c>
      <c r="E1022" s="2" t="s">
        <v>344</v>
      </c>
      <c r="F1022" s="2" t="s">
        <v>345</v>
      </c>
      <c r="G1022" s="2" t="s">
        <v>21</v>
      </c>
      <c r="H1022" s="2" t="s">
        <v>332</v>
      </c>
      <c r="I1022" s="2" t="s">
        <v>333</v>
      </c>
      <c r="J1022" s="2" t="s">
        <v>59</v>
      </c>
      <c r="K1022">
        <v>151.52000000000001</v>
      </c>
      <c r="L1022">
        <v>8802867.7599999998</v>
      </c>
      <c r="M1022">
        <v>5809706.8099999996</v>
      </c>
      <c r="N1022" s="2" t="s">
        <v>346</v>
      </c>
      <c r="O1022" s="2" t="s">
        <v>347</v>
      </c>
      <c r="P1022" s="2" t="s">
        <v>2107</v>
      </c>
      <c r="Q1022" s="2" t="s">
        <v>2108</v>
      </c>
      <c r="R1022" s="2" t="s">
        <v>29</v>
      </c>
      <c r="S1022" s="2" t="s">
        <v>30</v>
      </c>
    </row>
    <row r="1023" spans="1:19">
      <c r="A1023" s="1">
        <v>44287</v>
      </c>
      <c r="B1023" s="1">
        <v>44287</v>
      </c>
      <c r="C1023">
        <v>2021</v>
      </c>
      <c r="D1023">
        <v>4</v>
      </c>
      <c r="E1023" s="2" t="s">
        <v>350</v>
      </c>
      <c r="F1023" s="2" t="s">
        <v>351</v>
      </c>
      <c r="G1023" s="2" t="s">
        <v>21</v>
      </c>
      <c r="H1023" s="2" t="s">
        <v>22</v>
      </c>
      <c r="I1023" s="2" t="s">
        <v>352</v>
      </c>
      <c r="J1023" s="2" t="s">
        <v>353</v>
      </c>
      <c r="K1023">
        <v>45129.53</v>
      </c>
      <c r="L1023">
        <v>11962001.880000001</v>
      </c>
      <c r="M1023">
        <v>26505.93</v>
      </c>
      <c r="N1023" s="2" t="s">
        <v>354</v>
      </c>
      <c r="O1023" s="2" t="s">
        <v>355</v>
      </c>
      <c r="P1023" s="2" t="s">
        <v>2109</v>
      </c>
      <c r="Q1023" s="2" t="s">
        <v>2110</v>
      </c>
      <c r="R1023" s="2" t="s">
        <v>29</v>
      </c>
      <c r="S1023" s="2" t="s">
        <v>30</v>
      </c>
    </row>
    <row r="1024" spans="1:19">
      <c r="A1024" s="1">
        <v>44287</v>
      </c>
      <c r="B1024" s="1">
        <v>44287</v>
      </c>
      <c r="C1024">
        <v>2021</v>
      </c>
      <c r="D1024">
        <v>4</v>
      </c>
      <c r="E1024" s="2" t="s">
        <v>358</v>
      </c>
      <c r="F1024" s="2" t="s">
        <v>359</v>
      </c>
      <c r="G1024" s="2" t="s">
        <v>21</v>
      </c>
      <c r="H1024" s="2" t="s">
        <v>22</v>
      </c>
      <c r="I1024" s="2" t="s">
        <v>352</v>
      </c>
      <c r="J1024" s="2" t="s">
        <v>353</v>
      </c>
      <c r="K1024">
        <v>45687.32</v>
      </c>
      <c r="L1024">
        <v>12515324.359999999</v>
      </c>
      <c r="M1024">
        <v>27393.43</v>
      </c>
      <c r="N1024" s="2" t="s">
        <v>360</v>
      </c>
      <c r="O1024" s="2" t="s">
        <v>361</v>
      </c>
      <c r="P1024" s="2" t="s">
        <v>2111</v>
      </c>
      <c r="Q1024" s="2" t="s">
        <v>2112</v>
      </c>
      <c r="R1024" s="2" t="s">
        <v>29</v>
      </c>
      <c r="S1024" s="2" t="s">
        <v>30</v>
      </c>
    </row>
    <row r="1025" spans="1:19">
      <c r="A1025" s="1">
        <v>44287</v>
      </c>
      <c r="B1025" s="1">
        <v>44287</v>
      </c>
      <c r="C1025">
        <v>2021</v>
      </c>
      <c r="D1025">
        <v>4</v>
      </c>
      <c r="E1025" s="2" t="s">
        <v>364</v>
      </c>
      <c r="F1025" s="2" t="s">
        <v>365</v>
      </c>
      <c r="G1025" s="2" t="s">
        <v>21</v>
      </c>
      <c r="H1025" s="2" t="s">
        <v>22</v>
      </c>
      <c r="I1025" s="2" t="s">
        <v>352</v>
      </c>
      <c r="J1025" s="2" t="s">
        <v>353</v>
      </c>
      <c r="K1025">
        <v>45535.79</v>
      </c>
      <c r="L1025">
        <v>3712456.6</v>
      </c>
      <c r="M1025">
        <v>8152.83</v>
      </c>
      <c r="N1025" s="2" t="s">
        <v>366</v>
      </c>
      <c r="O1025" s="2" t="s">
        <v>367</v>
      </c>
      <c r="P1025" s="2" t="s">
        <v>2113</v>
      </c>
      <c r="Q1025" s="2" t="s">
        <v>2114</v>
      </c>
      <c r="R1025" s="2" t="s">
        <v>29</v>
      </c>
      <c r="S1025" s="2" t="s">
        <v>30</v>
      </c>
    </row>
    <row r="1026" spans="1:19">
      <c r="A1026" s="1">
        <v>44287</v>
      </c>
      <c r="B1026" s="1">
        <v>44287</v>
      </c>
      <c r="C1026">
        <v>2021</v>
      </c>
      <c r="D1026">
        <v>4</v>
      </c>
      <c r="E1026" s="2" t="s">
        <v>370</v>
      </c>
      <c r="F1026" s="2" t="s">
        <v>371</v>
      </c>
      <c r="G1026" s="2" t="s">
        <v>21</v>
      </c>
      <c r="H1026" s="2" t="s">
        <v>22</v>
      </c>
      <c r="I1026" s="2" t="s">
        <v>23</v>
      </c>
      <c r="J1026" s="2" t="s">
        <v>24</v>
      </c>
      <c r="K1026">
        <v>26410.61</v>
      </c>
      <c r="L1026">
        <v>493663.68</v>
      </c>
      <c r="M1026">
        <v>1869.19</v>
      </c>
      <c r="N1026" s="2" t="s">
        <v>372</v>
      </c>
      <c r="O1026" s="2" t="s">
        <v>373</v>
      </c>
      <c r="P1026" s="2" t="s">
        <v>2115</v>
      </c>
      <c r="Q1026" s="2" t="s">
        <v>2116</v>
      </c>
      <c r="R1026" s="2" t="s">
        <v>29</v>
      </c>
      <c r="S1026" s="2" t="s">
        <v>30</v>
      </c>
    </row>
    <row r="1027" spans="1:19">
      <c r="A1027" s="1">
        <v>44287</v>
      </c>
      <c r="B1027" s="1">
        <v>44287</v>
      </c>
      <c r="C1027">
        <v>2021</v>
      </c>
      <c r="D1027">
        <v>4</v>
      </c>
      <c r="E1027" s="2" t="s">
        <v>376</v>
      </c>
      <c r="F1027" s="2" t="s">
        <v>377</v>
      </c>
      <c r="G1027" s="2" t="s">
        <v>21</v>
      </c>
      <c r="H1027" s="2" t="s">
        <v>22</v>
      </c>
      <c r="I1027" s="2" t="s">
        <v>23</v>
      </c>
      <c r="J1027" s="2" t="s">
        <v>378</v>
      </c>
      <c r="K1027">
        <v>0.96</v>
      </c>
      <c r="L1027">
        <v>14.71</v>
      </c>
      <c r="M1027">
        <v>1532.29</v>
      </c>
      <c r="N1027" s="2" t="s">
        <v>379</v>
      </c>
      <c r="O1027" s="2" t="s">
        <v>380</v>
      </c>
      <c r="P1027" s="2" t="s">
        <v>1244</v>
      </c>
      <c r="Q1027" s="2" t="s">
        <v>2117</v>
      </c>
      <c r="R1027" s="2" t="s">
        <v>29</v>
      </c>
      <c r="S1027" s="2" t="s">
        <v>30</v>
      </c>
    </row>
    <row r="1028" spans="1:19">
      <c r="A1028" s="1">
        <v>44317</v>
      </c>
      <c r="B1028" s="1">
        <v>44317</v>
      </c>
      <c r="C1028">
        <v>2021</v>
      </c>
      <c r="D1028">
        <v>5</v>
      </c>
      <c r="E1028" s="2" t="s">
        <v>19</v>
      </c>
      <c r="F1028" s="2" t="s">
        <v>20</v>
      </c>
      <c r="G1028" s="2" t="s">
        <v>21</v>
      </c>
      <c r="H1028" s="2" t="s">
        <v>22</v>
      </c>
      <c r="I1028" s="2" t="s">
        <v>23</v>
      </c>
      <c r="J1028" s="2" t="s">
        <v>24</v>
      </c>
      <c r="K1028">
        <v>0.95</v>
      </c>
      <c r="L1028">
        <v>58.72</v>
      </c>
      <c r="M1028">
        <v>6181.05</v>
      </c>
      <c r="N1028" s="2" t="s">
        <v>25</v>
      </c>
      <c r="O1028" s="2" t="s">
        <v>26</v>
      </c>
      <c r="P1028" s="2" t="s">
        <v>1843</v>
      </c>
      <c r="Q1028" s="2" t="s">
        <v>2118</v>
      </c>
      <c r="R1028" s="2" t="s">
        <v>29</v>
      </c>
      <c r="S1028" s="2" t="s">
        <v>30</v>
      </c>
    </row>
    <row r="1029" spans="1:19">
      <c r="A1029" s="1">
        <v>44317</v>
      </c>
      <c r="B1029" s="1">
        <v>44317</v>
      </c>
      <c r="C1029">
        <v>2021</v>
      </c>
      <c r="D1029">
        <v>5</v>
      </c>
      <c r="E1029" s="2" t="s">
        <v>31</v>
      </c>
      <c r="F1029" s="2" t="s">
        <v>32</v>
      </c>
      <c r="G1029" s="2" t="s">
        <v>21</v>
      </c>
      <c r="H1029" s="2" t="s">
        <v>22</v>
      </c>
      <c r="I1029" s="2" t="s">
        <v>23</v>
      </c>
      <c r="J1029" s="2" t="s">
        <v>24</v>
      </c>
      <c r="K1029">
        <v>1343.1</v>
      </c>
      <c r="L1029">
        <v>16261.48</v>
      </c>
      <c r="M1029">
        <v>1210.74</v>
      </c>
      <c r="N1029" s="2" t="s">
        <v>33</v>
      </c>
      <c r="O1029" s="2" t="s">
        <v>34</v>
      </c>
      <c r="P1029" s="2" t="s">
        <v>2119</v>
      </c>
      <c r="Q1029" s="2" t="s">
        <v>2120</v>
      </c>
      <c r="R1029" s="2" t="s">
        <v>29</v>
      </c>
      <c r="S1029" s="2" t="s">
        <v>30</v>
      </c>
    </row>
    <row r="1030" spans="1:19">
      <c r="A1030" s="1">
        <v>44317</v>
      </c>
      <c r="B1030" s="1">
        <v>44317</v>
      </c>
      <c r="C1030">
        <v>2021</v>
      </c>
      <c r="D1030">
        <v>5</v>
      </c>
      <c r="E1030" s="2" t="s">
        <v>37</v>
      </c>
      <c r="F1030" s="2" t="s">
        <v>38</v>
      </c>
      <c r="G1030" s="2" t="s">
        <v>39</v>
      </c>
      <c r="H1030" s="2" t="s">
        <v>22</v>
      </c>
      <c r="I1030" s="2" t="s">
        <v>40</v>
      </c>
      <c r="J1030" s="2" t="s">
        <v>24</v>
      </c>
      <c r="K1030">
        <v>3.65</v>
      </c>
      <c r="L1030">
        <v>186.58</v>
      </c>
      <c r="M1030">
        <v>5111.78</v>
      </c>
      <c r="N1030" s="2" t="s">
        <v>41</v>
      </c>
      <c r="O1030" s="2" t="s">
        <v>42</v>
      </c>
      <c r="P1030" s="2" t="s">
        <v>2121</v>
      </c>
      <c r="Q1030" s="2" t="s">
        <v>2122</v>
      </c>
      <c r="R1030" s="2" t="s">
        <v>29</v>
      </c>
      <c r="S1030" s="2" t="s">
        <v>30</v>
      </c>
    </row>
    <row r="1031" spans="1:19">
      <c r="A1031" s="1">
        <v>44317</v>
      </c>
      <c r="B1031" s="1">
        <v>44317</v>
      </c>
      <c r="C1031">
        <v>2021</v>
      </c>
      <c r="D1031">
        <v>5</v>
      </c>
      <c r="E1031" s="2" t="s">
        <v>45</v>
      </c>
      <c r="F1031" s="2" t="s">
        <v>46</v>
      </c>
      <c r="G1031" s="2" t="s">
        <v>39</v>
      </c>
      <c r="H1031" s="2" t="s">
        <v>22</v>
      </c>
      <c r="I1031" s="2" t="s">
        <v>40</v>
      </c>
      <c r="J1031" s="2" t="s">
        <v>24</v>
      </c>
      <c r="K1031">
        <v>4139.66</v>
      </c>
      <c r="L1031">
        <v>201977.91</v>
      </c>
      <c r="M1031">
        <v>4879.09</v>
      </c>
      <c r="N1031" s="2" t="s">
        <v>47</v>
      </c>
      <c r="O1031" s="2" t="s">
        <v>48</v>
      </c>
      <c r="P1031" s="2" t="s">
        <v>2123</v>
      </c>
      <c r="Q1031" s="2" t="s">
        <v>2124</v>
      </c>
      <c r="R1031" s="2" t="s">
        <v>29</v>
      </c>
      <c r="S1031" s="2" t="s">
        <v>30</v>
      </c>
    </row>
    <row r="1032" spans="1:19">
      <c r="A1032" s="1">
        <v>44317</v>
      </c>
      <c r="B1032" s="1">
        <v>44317</v>
      </c>
      <c r="C1032">
        <v>2021</v>
      </c>
      <c r="D1032">
        <v>5</v>
      </c>
      <c r="E1032" s="2" t="s">
        <v>51</v>
      </c>
      <c r="F1032" s="2" t="s">
        <v>52</v>
      </c>
      <c r="G1032" s="2" t="s">
        <v>39</v>
      </c>
      <c r="H1032" s="2" t="s">
        <v>22</v>
      </c>
      <c r="I1032" s="2" t="s">
        <v>40</v>
      </c>
      <c r="J1032" s="2" t="s">
        <v>24</v>
      </c>
      <c r="K1032">
        <v>23.76</v>
      </c>
      <c r="L1032">
        <v>693.89</v>
      </c>
      <c r="M1032">
        <v>2920.41</v>
      </c>
      <c r="N1032" s="2" t="s">
        <v>53</v>
      </c>
      <c r="O1032" s="2" t="s">
        <v>54</v>
      </c>
      <c r="P1032" s="2" t="s">
        <v>2125</v>
      </c>
      <c r="Q1032" s="2" t="s">
        <v>2126</v>
      </c>
      <c r="R1032" s="2" t="s">
        <v>29</v>
      </c>
      <c r="S1032" s="2" t="s">
        <v>30</v>
      </c>
    </row>
    <row r="1033" spans="1:19">
      <c r="A1033" s="1">
        <v>44317</v>
      </c>
      <c r="B1033" s="1">
        <v>44317</v>
      </c>
      <c r="C1033">
        <v>2021</v>
      </c>
      <c r="D1033">
        <v>5</v>
      </c>
      <c r="E1033" s="2" t="s">
        <v>57</v>
      </c>
      <c r="F1033" s="2" t="s">
        <v>58</v>
      </c>
      <c r="G1033" s="2" t="s">
        <v>39</v>
      </c>
      <c r="H1033" s="2" t="s">
        <v>22</v>
      </c>
      <c r="I1033" s="2" t="s">
        <v>40</v>
      </c>
      <c r="J1033" s="2" t="s">
        <v>59</v>
      </c>
      <c r="K1033">
        <v>4167.07</v>
      </c>
      <c r="L1033">
        <v>202858.37</v>
      </c>
      <c r="M1033">
        <v>4868.13</v>
      </c>
      <c r="N1033" s="2" t="s">
        <v>60</v>
      </c>
      <c r="O1033" s="2" t="s">
        <v>61</v>
      </c>
      <c r="P1033" s="2" t="s">
        <v>2127</v>
      </c>
      <c r="Q1033" s="2" t="s">
        <v>2128</v>
      </c>
      <c r="R1033" s="2" t="s">
        <v>29</v>
      </c>
      <c r="S1033" s="2" t="s">
        <v>30</v>
      </c>
    </row>
    <row r="1034" spans="1:19">
      <c r="A1034" s="1">
        <v>44317</v>
      </c>
      <c r="B1034" s="1">
        <v>44317</v>
      </c>
      <c r="C1034">
        <v>2021</v>
      </c>
      <c r="D1034">
        <v>5</v>
      </c>
      <c r="E1034" s="2" t="s">
        <v>64</v>
      </c>
      <c r="F1034" s="2" t="s">
        <v>65</v>
      </c>
      <c r="G1034" s="2" t="s">
        <v>21</v>
      </c>
      <c r="H1034" s="2" t="s">
        <v>22</v>
      </c>
      <c r="I1034" s="2" t="s">
        <v>66</v>
      </c>
      <c r="J1034" s="2" t="s">
        <v>24</v>
      </c>
      <c r="K1034">
        <v>17.29</v>
      </c>
      <c r="L1034">
        <v>422.44</v>
      </c>
      <c r="M1034">
        <v>2443.2600000000002</v>
      </c>
      <c r="N1034" s="2" t="s">
        <v>67</v>
      </c>
      <c r="O1034" s="2" t="s">
        <v>68</v>
      </c>
      <c r="P1034" s="2" t="s">
        <v>2129</v>
      </c>
      <c r="Q1034" s="2" t="s">
        <v>2130</v>
      </c>
      <c r="R1034" s="2" t="s">
        <v>29</v>
      </c>
      <c r="S1034" s="2" t="s">
        <v>30</v>
      </c>
    </row>
    <row r="1035" spans="1:19">
      <c r="A1035" s="1">
        <v>44317</v>
      </c>
      <c r="B1035" s="1">
        <v>44317</v>
      </c>
      <c r="C1035">
        <v>2021</v>
      </c>
      <c r="D1035">
        <v>5</v>
      </c>
      <c r="E1035" s="2" t="s">
        <v>71</v>
      </c>
      <c r="F1035" s="2" t="s">
        <v>72</v>
      </c>
      <c r="G1035" s="2" t="s">
        <v>21</v>
      </c>
      <c r="H1035" s="2" t="s">
        <v>22</v>
      </c>
      <c r="I1035" s="2" t="s">
        <v>73</v>
      </c>
      <c r="J1035" s="2" t="s">
        <v>59</v>
      </c>
      <c r="K1035">
        <v>3901.33</v>
      </c>
      <c r="L1035">
        <v>95238.97</v>
      </c>
      <c r="M1035">
        <v>2441.19</v>
      </c>
      <c r="N1035" s="2" t="s">
        <v>74</v>
      </c>
      <c r="O1035" s="2" t="s">
        <v>75</v>
      </c>
      <c r="P1035" s="2" t="s">
        <v>2131</v>
      </c>
      <c r="Q1035" s="2" t="s">
        <v>2132</v>
      </c>
      <c r="R1035" s="2" t="s">
        <v>29</v>
      </c>
      <c r="S1035" s="2" t="s">
        <v>30</v>
      </c>
    </row>
    <row r="1036" spans="1:19">
      <c r="A1036" s="1">
        <v>44317</v>
      </c>
      <c r="B1036" s="1">
        <v>44317</v>
      </c>
      <c r="C1036">
        <v>2021</v>
      </c>
      <c r="D1036">
        <v>5</v>
      </c>
      <c r="E1036" s="2" t="s">
        <v>78</v>
      </c>
      <c r="F1036" s="2" t="s">
        <v>79</v>
      </c>
      <c r="G1036" s="2" t="s">
        <v>80</v>
      </c>
      <c r="H1036" s="2" t="s">
        <v>81</v>
      </c>
      <c r="I1036" s="2" t="s">
        <v>82</v>
      </c>
      <c r="J1036" s="2" t="s">
        <v>24</v>
      </c>
      <c r="K1036">
        <v>1.1399999999999999</v>
      </c>
      <c r="L1036">
        <v>4424857.91</v>
      </c>
      <c r="M1036">
        <v>388145430.69999999</v>
      </c>
      <c r="N1036" s="2" t="s">
        <v>83</v>
      </c>
      <c r="O1036" s="2" t="s">
        <v>84</v>
      </c>
      <c r="P1036" s="2" t="s">
        <v>2133</v>
      </c>
      <c r="Q1036" s="2" t="s">
        <v>2134</v>
      </c>
      <c r="R1036" s="2" t="s">
        <v>29</v>
      </c>
      <c r="S1036" s="2" t="s">
        <v>30</v>
      </c>
    </row>
    <row r="1037" spans="1:19">
      <c r="A1037" s="1">
        <v>44317</v>
      </c>
      <c r="B1037" s="1">
        <v>44317</v>
      </c>
      <c r="C1037">
        <v>2021</v>
      </c>
      <c r="D1037">
        <v>5</v>
      </c>
      <c r="E1037" s="2" t="s">
        <v>87</v>
      </c>
      <c r="F1037" s="2" t="s">
        <v>88</v>
      </c>
      <c r="G1037" s="2" t="s">
        <v>80</v>
      </c>
      <c r="H1037" s="2" t="s">
        <v>81</v>
      </c>
      <c r="I1037" s="2" t="s">
        <v>82</v>
      </c>
      <c r="J1037" s="2" t="s">
        <v>24</v>
      </c>
      <c r="K1037">
        <v>0.47</v>
      </c>
      <c r="L1037">
        <v>710624</v>
      </c>
      <c r="M1037">
        <v>151196595.74000001</v>
      </c>
      <c r="N1037" s="2" t="s">
        <v>89</v>
      </c>
      <c r="O1037" s="2" t="s">
        <v>90</v>
      </c>
      <c r="P1037" s="2" t="s">
        <v>1840</v>
      </c>
      <c r="Q1037" s="2" t="s">
        <v>2135</v>
      </c>
      <c r="R1037" s="2" t="s">
        <v>29</v>
      </c>
      <c r="S1037" s="2" t="s">
        <v>30</v>
      </c>
    </row>
    <row r="1038" spans="1:19">
      <c r="A1038" s="1">
        <v>44317</v>
      </c>
      <c r="B1038" s="1">
        <v>44317</v>
      </c>
      <c r="C1038">
        <v>2021</v>
      </c>
      <c r="D1038">
        <v>5</v>
      </c>
      <c r="E1038" s="2" t="s">
        <v>93</v>
      </c>
      <c r="F1038" s="2" t="s">
        <v>94</v>
      </c>
      <c r="G1038" s="2" t="s">
        <v>80</v>
      </c>
      <c r="H1038" s="2" t="s">
        <v>81</v>
      </c>
      <c r="I1038" s="2" t="s">
        <v>82</v>
      </c>
      <c r="J1038" s="2" t="s">
        <v>24</v>
      </c>
      <c r="K1038">
        <v>0.23</v>
      </c>
      <c r="L1038">
        <v>4280972.87</v>
      </c>
      <c r="M1038">
        <v>1861292552.1700001</v>
      </c>
      <c r="N1038" s="2" t="s">
        <v>95</v>
      </c>
      <c r="O1038" s="2" t="s">
        <v>96</v>
      </c>
      <c r="P1038" s="2" t="s">
        <v>725</v>
      </c>
      <c r="Q1038" s="2" t="s">
        <v>2136</v>
      </c>
      <c r="R1038" s="2" t="s">
        <v>29</v>
      </c>
      <c r="S1038" s="2" t="s">
        <v>30</v>
      </c>
    </row>
    <row r="1039" spans="1:19">
      <c r="A1039" s="1">
        <v>44317</v>
      </c>
      <c r="B1039" s="1">
        <v>44317</v>
      </c>
      <c r="C1039">
        <v>2021</v>
      </c>
      <c r="D1039">
        <v>5</v>
      </c>
      <c r="E1039" s="2" t="s">
        <v>99</v>
      </c>
      <c r="F1039" s="2" t="s">
        <v>100</v>
      </c>
      <c r="G1039" s="2" t="s">
        <v>80</v>
      </c>
      <c r="H1039" s="2" t="s">
        <v>81</v>
      </c>
      <c r="I1039" s="2" t="s">
        <v>82</v>
      </c>
      <c r="J1039" s="2" t="s">
        <v>101</v>
      </c>
      <c r="K1039">
        <v>0.89</v>
      </c>
      <c r="L1039">
        <v>9966086.8200000003</v>
      </c>
      <c r="M1039">
        <v>1119785035.96</v>
      </c>
      <c r="N1039" s="2" t="s">
        <v>102</v>
      </c>
      <c r="O1039" s="2" t="s">
        <v>103</v>
      </c>
      <c r="P1039" s="2" t="s">
        <v>1016</v>
      </c>
      <c r="Q1039" s="2" t="s">
        <v>2137</v>
      </c>
      <c r="R1039" s="2" t="s">
        <v>29</v>
      </c>
      <c r="S1039" s="2" t="s">
        <v>30</v>
      </c>
    </row>
    <row r="1040" spans="1:19">
      <c r="A1040" s="1">
        <v>44317</v>
      </c>
      <c r="B1040" s="1">
        <v>44317</v>
      </c>
      <c r="C1040">
        <v>2021</v>
      </c>
      <c r="D1040">
        <v>5</v>
      </c>
      <c r="E1040" s="2" t="s">
        <v>106</v>
      </c>
      <c r="F1040" s="2" t="s">
        <v>107</v>
      </c>
      <c r="G1040" s="2" t="s">
        <v>80</v>
      </c>
      <c r="H1040" s="2" t="s">
        <v>81</v>
      </c>
      <c r="I1040" s="2" t="s">
        <v>82</v>
      </c>
      <c r="J1040" s="2" t="s">
        <v>24</v>
      </c>
      <c r="K1040">
        <v>0.19</v>
      </c>
      <c r="L1040">
        <v>4974489.95</v>
      </c>
      <c r="M1040">
        <v>2618152605.2600002</v>
      </c>
      <c r="N1040" s="2" t="s">
        <v>108</v>
      </c>
      <c r="O1040" s="2" t="s">
        <v>109</v>
      </c>
      <c r="P1040" s="2" t="s">
        <v>97</v>
      </c>
      <c r="Q1040" s="2" t="s">
        <v>2138</v>
      </c>
      <c r="R1040" s="2" t="s">
        <v>29</v>
      </c>
      <c r="S1040" s="2" t="s">
        <v>30</v>
      </c>
    </row>
    <row r="1041" spans="1:19">
      <c r="A1041" s="1">
        <v>44317</v>
      </c>
      <c r="B1041" s="1">
        <v>44317</v>
      </c>
      <c r="C1041">
        <v>2021</v>
      </c>
      <c r="D1041">
        <v>5</v>
      </c>
      <c r="E1041" s="2" t="s">
        <v>111</v>
      </c>
      <c r="F1041" s="2" t="s">
        <v>112</v>
      </c>
      <c r="G1041" s="2" t="s">
        <v>80</v>
      </c>
      <c r="H1041" s="2" t="s">
        <v>81</v>
      </c>
      <c r="I1041" s="2" t="s">
        <v>82</v>
      </c>
      <c r="J1041" s="2" t="s">
        <v>24</v>
      </c>
      <c r="K1041">
        <v>0.05</v>
      </c>
      <c r="L1041">
        <v>261935</v>
      </c>
      <c r="M1041">
        <v>523870000</v>
      </c>
      <c r="N1041" s="2" t="s">
        <v>113</v>
      </c>
      <c r="O1041" s="2" t="s">
        <v>114</v>
      </c>
      <c r="P1041" s="2" t="s">
        <v>516</v>
      </c>
      <c r="Q1041" s="2" t="s">
        <v>2139</v>
      </c>
      <c r="R1041" s="2" t="s">
        <v>29</v>
      </c>
      <c r="S1041" s="2" t="s">
        <v>30</v>
      </c>
    </row>
    <row r="1042" spans="1:19">
      <c r="A1042" s="1">
        <v>44317</v>
      </c>
      <c r="B1042" s="1">
        <v>44317</v>
      </c>
      <c r="C1042">
        <v>2021</v>
      </c>
      <c r="D1042">
        <v>5</v>
      </c>
      <c r="E1042" s="2" t="s">
        <v>117</v>
      </c>
      <c r="F1042" s="2" t="s">
        <v>118</v>
      </c>
      <c r="G1042" s="2" t="s">
        <v>80</v>
      </c>
      <c r="H1042" s="2" t="s">
        <v>81</v>
      </c>
      <c r="I1042" s="2" t="s">
        <v>82</v>
      </c>
      <c r="J1042" s="2" t="s">
        <v>59</v>
      </c>
      <c r="K1042">
        <v>2.08</v>
      </c>
      <c r="L1042">
        <v>14652879.73</v>
      </c>
      <c r="M1042">
        <v>704465371.63</v>
      </c>
      <c r="N1042" s="2" t="s">
        <v>119</v>
      </c>
      <c r="O1042" s="2" t="s">
        <v>120</v>
      </c>
      <c r="P1042" s="2" t="s">
        <v>692</v>
      </c>
      <c r="Q1042" s="2" t="s">
        <v>2140</v>
      </c>
      <c r="R1042" s="2" t="s">
        <v>29</v>
      </c>
      <c r="S1042" s="2" t="s">
        <v>30</v>
      </c>
    </row>
    <row r="1043" spans="1:19">
      <c r="A1043" s="1">
        <v>44317</v>
      </c>
      <c r="B1043" s="1">
        <v>44317</v>
      </c>
      <c r="C1043">
        <v>2021</v>
      </c>
      <c r="D1043">
        <v>5</v>
      </c>
      <c r="E1043" s="2" t="s">
        <v>123</v>
      </c>
      <c r="F1043" s="2" t="s">
        <v>124</v>
      </c>
      <c r="G1043" s="2" t="s">
        <v>21</v>
      </c>
      <c r="H1043" s="2" t="s">
        <v>22</v>
      </c>
      <c r="I1043" s="2" t="s">
        <v>73</v>
      </c>
      <c r="J1043" s="2" t="s">
        <v>24</v>
      </c>
      <c r="K1043">
        <v>835.27</v>
      </c>
      <c r="L1043">
        <v>33536.629999999997</v>
      </c>
      <c r="M1043">
        <v>4015.06</v>
      </c>
      <c r="N1043" s="2" t="s">
        <v>125</v>
      </c>
      <c r="O1043" s="2" t="s">
        <v>126</v>
      </c>
      <c r="P1043" s="2" t="s">
        <v>2141</v>
      </c>
      <c r="Q1043" s="2" t="s">
        <v>2142</v>
      </c>
      <c r="R1043" s="2" t="s">
        <v>29</v>
      </c>
      <c r="S1043" s="2" t="s">
        <v>30</v>
      </c>
    </row>
    <row r="1044" spans="1:19">
      <c r="A1044" s="1">
        <v>44317</v>
      </c>
      <c r="B1044" s="1">
        <v>44317</v>
      </c>
      <c r="C1044">
        <v>2021</v>
      </c>
      <c r="D1044">
        <v>5</v>
      </c>
      <c r="E1044" s="2" t="s">
        <v>129</v>
      </c>
      <c r="F1044" s="2" t="s">
        <v>130</v>
      </c>
      <c r="G1044" s="2" t="s">
        <v>21</v>
      </c>
      <c r="H1044" s="2" t="s">
        <v>22</v>
      </c>
      <c r="I1044" s="2" t="s">
        <v>73</v>
      </c>
      <c r="J1044" s="2" t="s">
        <v>24</v>
      </c>
      <c r="K1044">
        <v>509.46</v>
      </c>
      <c r="L1044">
        <v>18477.240000000002</v>
      </c>
      <c r="M1044">
        <v>3626.83</v>
      </c>
      <c r="N1044" s="2" t="s">
        <v>131</v>
      </c>
      <c r="O1044" s="2" t="s">
        <v>132</v>
      </c>
      <c r="P1044" s="2" t="s">
        <v>2143</v>
      </c>
      <c r="Q1044" s="2" t="s">
        <v>2144</v>
      </c>
      <c r="R1044" s="2" t="s">
        <v>29</v>
      </c>
      <c r="S1044" s="2" t="s">
        <v>30</v>
      </c>
    </row>
    <row r="1045" spans="1:19">
      <c r="A1045" s="1">
        <v>44317</v>
      </c>
      <c r="B1045" s="1">
        <v>44317</v>
      </c>
      <c r="C1045">
        <v>2021</v>
      </c>
      <c r="D1045">
        <v>5</v>
      </c>
      <c r="E1045" s="2" t="s">
        <v>135</v>
      </c>
      <c r="F1045" s="2" t="s">
        <v>136</v>
      </c>
      <c r="G1045" s="2" t="s">
        <v>21</v>
      </c>
      <c r="H1045" s="2" t="s">
        <v>22</v>
      </c>
      <c r="I1045" s="2" t="s">
        <v>73</v>
      </c>
      <c r="J1045" s="2" t="s">
        <v>101</v>
      </c>
      <c r="K1045">
        <v>1344.73</v>
      </c>
      <c r="L1045">
        <v>52013.87</v>
      </c>
      <c r="M1045">
        <v>3867.98</v>
      </c>
      <c r="N1045" s="2" t="s">
        <v>137</v>
      </c>
      <c r="O1045" s="2" t="s">
        <v>138</v>
      </c>
      <c r="P1045" s="2" t="s">
        <v>2145</v>
      </c>
      <c r="Q1045" s="2" t="s">
        <v>2146</v>
      </c>
      <c r="R1045" s="2" t="s">
        <v>29</v>
      </c>
      <c r="S1045" s="2" t="s">
        <v>30</v>
      </c>
    </row>
    <row r="1046" spans="1:19">
      <c r="A1046" s="1">
        <v>44317</v>
      </c>
      <c r="B1046" s="1">
        <v>44317</v>
      </c>
      <c r="C1046">
        <v>2021</v>
      </c>
      <c r="D1046">
        <v>5</v>
      </c>
      <c r="E1046" s="2" t="s">
        <v>141</v>
      </c>
      <c r="F1046" s="2" t="s">
        <v>142</v>
      </c>
      <c r="G1046" s="2" t="s">
        <v>21</v>
      </c>
      <c r="H1046" s="2" t="s">
        <v>22</v>
      </c>
      <c r="I1046" s="2" t="s">
        <v>73</v>
      </c>
      <c r="J1046" s="2" t="s">
        <v>24</v>
      </c>
      <c r="K1046">
        <v>1428.76</v>
      </c>
      <c r="L1046">
        <v>21029.7</v>
      </c>
      <c r="M1046">
        <v>1471.88</v>
      </c>
      <c r="N1046" s="2" t="s">
        <v>143</v>
      </c>
      <c r="O1046" s="2" t="s">
        <v>144</v>
      </c>
      <c r="P1046" s="2" t="s">
        <v>2147</v>
      </c>
      <c r="Q1046" s="2" t="s">
        <v>2148</v>
      </c>
      <c r="R1046" s="2" t="s">
        <v>29</v>
      </c>
      <c r="S1046" s="2" t="s">
        <v>30</v>
      </c>
    </row>
    <row r="1047" spans="1:19">
      <c r="A1047" s="1">
        <v>44317</v>
      </c>
      <c r="B1047" s="1">
        <v>44317</v>
      </c>
      <c r="C1047">
        <v>2021</v>
      </c>
      <c r="D1047">
        <v>5</v>
      </c>
      <c r="E1047" s="2" t="s">
        <v>147</v>
      </c>
      <c r="F1047" s="2" t="s">
        <v>148</v>
      </c>
      <c r="G1047" s="2" t="s">
        <v>21</v>
      </c>
      <c r="H1047" s="2" t="s">
        <v>22</v>
      </c>
      <c r="I1047" s="2" t="s">
        <v>73</v>
      </c>
      <c r="J1047" s="2" t="s">
        <v>24</v>
      </c>
      <c r="K1047">
        <v>1127.8399999999999</v>
      </c>
      <c r="L1047">
        <v>22195.4</v>
      </c>
      <c r="M1047">
        <v>1967.96</v>
      </c>
      <c r="N1047" s="2" t="s">
        <v>149</v>
      </c>
      <c r="O1047" s="2" t="s">
        <v>150</v>
      </c>
      <c r="P1047" s="2" t="s">
        <v>2149</v>
      </c>
      <c r="Q1047" s="2" t="s">
        <v>2150</v>
      </c>
      <c r="R1047" s="2" t="s">
        <v>29</v>
      </c>
      <c r="S1047" s="2" t="s">
        <v>30</v>
      </c>
    </row>
    <row r="1048" spans="1:19">
      <c r="A1048" s="1">
        <v>44317</v>
      </c>
      <c r="B1048" s="1">
        <v>44317</v>
      </c>
      <c r="C1048">
        <v>2021</v>
      </c>
      <c r="D1048">
        <v>5</v>
      </c>
      <c r="E1048" s="2" t="s">
        <v>153</v>
      </c>
      <c r="F1048" s="2" t="s">
        <v>154</v>
      </c>
      <c r="G1048" s="2" t="s">
        <v>21</v>
      </c>
      <c r="H1048" s="2" t="s">
        <v>22</v>
      </c>
      <c r="I1048" s="2" t="s">
        <v>73</v>
      </c>
      <c r="J1048" s="2" t="s">
        <v>101</v>
      </c>
      <c r="K1048">
        <v>2556.6</v>
      </c>
      <c r="L1048">
        <v>43225.1</v>
      </c>
      <c r="M1048">
        <v>1690.73</v>
      </c>
      <c r="N1048" s="2" t="s">
        <v>155</v>
      </c>
      <c r="O1048" s="2" t="s">
        <v>156</v>
      </c>
      <c r="P1048" s="2" t="s">
        <v>2151</v>
      </c>
      <c r="Q1048" s="2" t="s">
        <v>2152</v>
      </c>
      <c r="R1048" s="2" t="s">
        <v>29</v>
      </c>
      <c r="S1048" s="2" t="s">
        <v>30</v>
      </c>
    </row>
    <row r="1049" spans="1:19">
      <c r="A1049" s="1">
        <v>44317</v>
      </c>
      <c r="B1049" s="1">
        <v>44317</v>
      </c>
      <c r="C1049">
        <v>2021</v>
      </c>
      <c r="D1049">
        <v>5</v>
      </c>
      <c r="E1049" s="2" t="s">
        <v>159</v>
      </c>
      <c r="F1049" s="2" t="s">
        <v>160</v>
      </c>
      <c r="G1049" s="2" t="s">
        <v>21</v>
      </c>
      <c r="H1049" s="2" t="s">
        <v>22</v>
      </c>
      <c r="I1049" s="2" t="s">
        <v>66</v>
      </c>
      <c r="J1049" s="2" t="s">
        <v>59</v>
      </c>
      <c r="K1049">
        <v>936.41</v>
      </c>
      <c r="L1049">
        <v>70589.490000000005</v>
      </c>
      <c r="M1049">
        <v>7538.31</v>
      </c>
      <c r="N1049" s="2" t="s">
        <v>161</v>
      </c>
      <c r="O1049" s="2" t="s">
        <v>162</v>
      </c>
      <c r="P1049" s="2" t="s">
        <v>2153</v>
      </c>
      <c r="Q1049" s="2" t="s">
        <v>2154</v>
      </c>
      <c r="R1049" s="2" t="s">
        <v>29</v>
      </c>
      <c r="S1049" s="2" t="s">
        <v>30</v>
      </c>
    </row>
    <row r="1050" spans="1:19">
      <c r="A1050" s="1">
        <v>44317</v>
      </c>
      <c r="B1050" s="1">
        <v>44317</v>
      </c>
      <c r="C1050">
        <v>2021</v>
      </c>
      <c r="D1050">
        <v>5</v>
      </c>
      <c r="E1050" s="2" t="s">
        <v>165</v>
      </c>
      <c r="F1050" s="2" t="s">
        <v>166</v>
      </c>
      <c r="G1050" s="2" t="s">
        <v>21</v>
      </c>
      <c r="H1050" s="2" t="s">
        <v>22</v>
      </c>
      <c r="I1050" s="2" t="s">
        <v>23</v>
      </c>
      <c r="J1050" s="2" t="s">
        <v>24</v>
      </c>
      <c r="K1050">
        <v>0</v>
      </c>
      <c r="L1050">
        <v>0</v>
      </c>
      <c r="N1050" s="2" t="s">
        <v>167</v>
      </c>
      <c r="O1050" s="2" t="s">
        <v>168</v>
      </c>
      <c r="P1050" s="2" t="s">
        <v>639</v>
      </c>
      <c r="Q1050" s="2" t="s">
        <v>639</v>
      </c>
      <c r="R1050" s="2" t="s">
        <v>29</v>
      </c>
      <c r="S1050" s="2" t="s">
        <v>30</v>
      </c>
    </row>
    <row r="1051" spans="1:19">
      <c r="A1051" s="1">
        <v>44317</v>
      </c>
      <c r="B1051" s="1">
        <v>44317</v>
      </c>
      <c r="C1051">
        <v>2021</v>
      </c>
      <c r="D1051">
        <v>5</v>
      </c>
      <c r="E1051" s="2" t="s">
        <v>171</v>
      </c>
      <c r="F1051" s="2" t="s">
        <v>172</v>
      </c>
      <c r="G1051" s="2" t="s">
        <v>21</v>
      </c>
      <c r="H1051" s="2" t="s">
        <v>22</v>
      </c>
      <c r="I1051" s="2" t="s">
        <v>66</v>
      </c>
      <c r="J1051" s="2" t="s">
        <v>24</v>
      </c>
      <c r="N1051" s="2" t="s">
        <v>173</v>
      </c>
      <c r="O1051" s="2" t="s">
        <v>174</v>
      </c>
      <c r="P1051" s="2" t="s">
        <v>175</v>
      </c>
      <c r="Q1051" s="2" t="s">
        <v>175</v>
      </c>
      <c r="R1051" s="2" t="s">
        <v>640</v>
      </c>
      <c r="S1051" s="2" t="s">
        <v>641</v>
      </c>
    </row>
    <row r="1052" spans="1:19">
      <c r="A1052" s="1">
        <v>44317</v>
      </c>
      <c r="B1052" s="1">
        <v>44317</v>
      </c>
      <c r="C1052">
        <v>2021</v>
      </c>
      <c r="D1052">
        <v>5</v>
      </c>
      <c r="E1052" s="2" t="s">
        <v>177</v>
      </c>
      <c r="F1052" s="2" t="s">
        <v>178</v>
      </c>
      <c r="G1052" s="2" t="s">
        <v>21</v>
      </c>
      <c r="H1052" s="2" t="s">
        <v>22</v>
      </c>
      <c r="I1052" s="2" t="s">
        <v>23</v>
      </c>
      <c r="J1052" s="2" t="s">
        <v>24</v>
      </c>
      <c r="K1052">
        <v>2798.61</v>
      </c>
      <c r="L1052">
        <v>266289.44</v>
      </c>
      <c r="M1052">
        <v>9515.06</v>
      </c>
      <c r="N1052" s="2" t="s">
        <v>179</v>
      </c>
      <c r="O1052" s="2" t="s">
        <v>180</v>
      </c>
      <c r="P1052" s="2" t="s">
        <v>2155</v>
      </c>
      <c r="Q1052" s="2" t="s">
        <v>2156</v>
      </c>
      <c r="R1052" s="2" t="s">
        <v>29</v>
      </c>
      <c r="S1052" s="2" t="s">
        <v>30</v>
      </c>
    </row>
    <row r="1053" spans="1:19">
      <c r="A1053" s="1">
        <v>44317</v>
      </c>
      <c r="B1053" s="1">
        <v>44317</v>
      </c>
      <c r="C1053">
        <v>2021</v>
      </c>
      <c r="D1053">
        <v>5</v>
      </c>
      <c r="E1053" s="2" t="s">
        <v>183</v>
      </c>
      <c r="F1053" s="2" t="s">
        <v>184</v>
      </c>
      <c r="G1053" s="2" t="s">
        <v>185</v>
      </c>
      <c r="H1053" s="2" t="s">
        <v>22</v>
      </c>
      <c r="I1053" s="2" t="s">
        <v>186</v>
      </c>
      <c r="J1053" s="2" t="s">
        <v>24</v>
      </c>
      <c r="K1053">
        <v>2030.89</v>
      </c>
      <c r="L1053">
        <v>2007337.42</v>
      </c>
      <c r="M1053">
        <v>98840.28</v>
      </c>
      <c r="N1053" s="2" t="s">
        <v>187</v>
      </c>
      <c r="O1053" s="2" t="s">
        <v>188</v>
      </c>
      <c r="P1053" s="2" t="s">
        <v>2157</v>
      </c>
      <c r="Q1053" s="2" t="s">
        <v>2158</v>
      </c>
      <c r="R1053" s="2" t="s">
        <v>29</v>
      </c>
      <c r="S1053" s="2" t="s">
        <v>30</v>
      </c>
    </row>
    <row r="1054" spans="1:19">
      <c r="A1054" s="1">
        <v>44317</v>
      </c>
      <c r="B1054" s="1">
        <v>44317</v>
      </c>
      <c r="C1054">
        <v>2021</v>
      </c>
      <c r="D1054">
        <v>5</v>
      </c>
      <c r="E1054" s="2" t="s">
        <v>191</v>
      </c>
      <c r="F1054" s="2" t="s">
        <v>192</v>
      </c>
      <c r="G1054" s="2" t="s">
        <v>185</v>
      </c>
      <c r="H1054" s="2" t="s">
        <v>22</v>
      </c>
      <c r="I1054" s="2" t="s">
        <v>186</v>
      </c>
      <c r="J1054" s="2" t="s">
        <v>24</v>
      </c>
      <c r="K1054">
        <v>577.75</v>
      </c>
      <c r="L1054">
        <v>3376531.12</v>
      </c>
      <c r="M1054">
        <v>584427.71</v>
      </c>
      <c r="N1054" s="2" t="s">
        <v>193</v>
      </c>
      <c r="O1054" s="2" t="s">
        <v>194</v>
      </c>
      <c r="P1054" s="2" t="s">
        <v>2159</v>
      </c>
      <c r="Q1054" s="2" t="s">
        <v>2160</v>
      </c>
      <c r="R1054" s="2" t="s">
        <v>29</v>
      </c>
      <c r="S1054" s="2" t="s">
        <v>30</v>
      </c>
    </row>
    <row r="1055" spans="1:19">
      <c r="A1055" s="1">
        <v>44317</v>
      </c>
      <c r="B1055" s="1">
        <v>44317</v>
      </c>
      <c r="C1055">
        <v>2021</v>
      </c>
      <c r="D1055">
        <v>5</v>
      </c>
      <c r="E1055" s="2" t="s">
        <v>197</v>
      </c>
      <c r="F1055" s="2" t="s">
        <v>198</v>
      </c>
      <c r="G1055" s="2" t="s">
        <v>185</v>
      </c>
      <c r="H1055" s="2" t="s">
        <v>22</v>
      </c>
      <c r="I1055" s="2" t="s">
        <v>186</v>
      </c>
      <c r="J1055" s="2" t="s">
        <v>59</v>
      </c>
      <c r="K1055">
        <v>2608.64</v>
      </c>
      <c r="L1055">
        <v>5383868.54</v>
      </c>
      <c r="M1055">
        <v>206386.03</v>
      </c>
      <c r="N1055" s="2" t="s">
        <v>199</v>
      </c>
      <c r="O1055" s="2" t="s">
        <v>200</v>
      </c>
      <c r="P1055" s="2" t="s">
        <v>2161</v>
      </c>
      <c r="Q1055" s="2" t="s">
        <v>2162</v>
      </c>
      <c r="R1055" s="2" t="s">
        <v>29</v>
      </c>
      <c r="S1055" s="2" t="s">
        <v>30</v>
      </c>
    </row>
    <row r="1056" spans="1:19">
      <c r="A1056" s="1">
        <v>44317</v>
      </c>
      <c r="B1056" s="1">
        <v>44317</v>
      </c>
      <c r="C1056">
        <v>2021</v>
      </c>
      <c r="D1056">
        <v>5</v>
      </c>
      <c r="E1056" s="2" t="s">
        <v>203</v>
      </c>
      <c r="F1056" s="2" t="s">
        <v>204</v>
      </c>
      <c r="G1056" s="2" t="s">
        <v>39</v>
      </c>
      <c r="H1056" s="2" t="s">
        <v>22</v>
      </c>
      <c r="I1056" s="2" t="s">
        <v>40</v>
      </c>
      <c r="J1056" s="2" t="s">
        <v>24</v>
      </c>
      <c r="K1056">
        <v>824.37</v>
      </c>
      <c r="L1056">
        <v>24138.07</v>
      </c>
      <c r="M1056">
        <v>2928.06</v>
      </c>
      <c r="N1056" s="2" t="s">
        <v>205</v>
      </c>
      <c r="O1056" s="2" t="s">
        <v>206</v>
      </c>
      <c r="P1056" s="2" t="s">
        <v>2163</v>
      </c>
      <c r="Q1056" s="2" t="s">
        <v>2164</v>
      </c>
      <c r="R1056" s="2" t="s">
        <v>29</v>
      </c>
      <c r="S1056" s="2" t="s">
        <v>30</v>
      </c>
    </row>
    <row r="1057" spans="1:19">
      <c r="A1057" s="1">
        <v>44317</v>
      </c>
      <c r="B1057" s="1">
        <v>44317</v>
      </c>
      <c r="C1057">
        <v>2021</v>
      </c>
      <c r="D1057">
        <v>5</v>
      </c>
      <c r="E1057" s="2" t="s">
        <v>209</v>
      </c>
      <c r="F1057" s="2" t="s">
        <v>210</v>
      </c>
      <c r="G1057" s="2" t="s">
        <v>39</v>
      </c>
      <c r="H1057" s="2" t="s">
        <v>22</v>
      </c>
      <c r="I1057" s="2" t="s">
        <v>40</v>
      </c>
      <c r="J1057" s="2" t="s">
        <v>59</v>
      </c>
      <c r="K1057">
        <v>824.37</v>
      </c>
      <c r="L1057">
        <v>24138.07</v>
      </c>
      <c r="M1057">
        <v>2928.06</v>
      </c>
      <c r="N1057" s="2" t="s">
        <v>211</v>
      </c>
      <c r="O1057" s="2" t="s">
        <v>212</v>
      </c>
      <c r="P1057" s="2" t="s">
        <v>2163</v>
      </c>
      <c r="Q1057" s="2" t="s">
        <v>2164</v>
      </c>
      <c r="R1057" s="2" t="s">
        <v>29</v>
      </c>
      <c r="S1057" s="2" t="s">
        <v>30</v>
      </c>
    </row>
    <row r="1058" spans="1:19">
      <c r="A1058" s="1">
        <v>44317</v>
      </c>
      <c r="B1058" s="1">
        <v>44317</v>
      </c>
      <c r="C1058">
        <v>2021</v>
      </c>
      <c r="D1058">
        <v>5</v>
      </c>
      <c r="E1058" s="2" t="s">
        <v>213</v>
      </c>
      <c r="F1058" s="2" t="s">
        <v>214</v>
      </c>
      <c r="G1058" s="2" t="s">
        <v>185</v>
      </c>
      <c r="H1058" s="2" t="s">
        <v>22</v>
      </c>
      <c r="I1058" s="2" t="s">
        <v>215</v>
      </c>
      <c r="J1058" s="2" t="s">
        <v>24</v>
      </c>
      <c r="K1058">
        <v>27205.39</v>
      </c>
      <c r="L1058">
        <v>723916.96</v>
      </c>
      <c r="M1058">
        <v>2660.93</v>
      </c>
      <c r="N1058" s="2" t="s">
        <v>216</v>
      </c>
      <c r="O1058" s="2" t="s">
        <v>217</v>
      </c>
      <c r="P1058" s="2" t="s">
        <v>2165</v>
      </c>
      <c r="Q1058" s="2" t="s">
        <v>2166</v>
      </c>
      <c r="R1058" s="2" t="s">
        <v>29</v>
      </c>
      <c r="S1058" s="2" t="s">
        <v>30</v>
      </c>
    </row>
    <row r="1059" spans="1:19">
      <c r="A1059" s="1">
        <v>44317</v>
      </c>
      <c r="B1059" s="1">
        <v>44317</v>
      </c>
      <c r="C1059">
        <v>2021</v>
      </c>
      <c r="D1059">
        <v>5</v>
      </c>
      <c r="E1059" s="2" t="s">
        <v>220</v>
      </c>
      <c r="F1059" s="2" t="s">
        <v>221</v>
      </c>
      <c r="G1059" s="2" t="s">
        <v>185</v>
      </c>
      <c r="H1059" s="2" t="s">
        <v>22</v>
      </c>
      <c r="I1059" s="2" t="s">
        <v>215</v>
      </c>
      <c r="J1059" s="2" t="s">
        <v>24</v>
      </c>
      <c r="K1059">
        <v>2528.9299999999998</v>
      </c>
      <c r="L1059">
        <v>174306.94</v>
      </c>
      <c r="M1059">
        <v>6892.52</v>
      </c>
      <c r="N1059" s="2" t="s">
        <v>222</v>
      </c>
      <c r="O1059" s="2" t="s">
        <v>223</v>
      </c>
      <c r="P1059" s="2" t="s">
        <v>2167</v>
      </c>
      <c r="Q1059" s="2" t="s">
        <v>2168</v>
      </c>
      <c r="R1059" s="2" t="s">
        <v>29</v>
      </c>
      <c r="S1059" s="2" t="s">
        <v>30</v>
      </c>
    </row>
    <row r="1060" spans="1:19">
      <c r="A1060" s="1">
        <v>44317</v>
      </c>
      <c r="B1060" s="1">
        <v>44317</v>
      </c>
      <c r="C1060">
        <v>2021</v>
      </c>
      <c r="D1060">
        <v>5</v>
      </c>
      <c r="E1060" s="2" t="s">
        <v>226</v>
      </c>
      <c r="F1060" s="2" t="s">
        <v>227</v>
      </c>
      <c r="G1060" s="2" t="s">
        <v>185</v>
      </c>
      <c r="H1060" s="2" t="s">
        <v>22</v>
      </c>
      <c r="I1060" s="2" t="s">
        <v>215</v>
      </c>
      <c r="J1060" s="2" t="s">
        <v>59</v>
      </c>
      <c r="K1060">
        <v>29734.31</v>
      </c>
      <c r="L1060">
        <v>898223.9</v>
      </c>
      <c r="M1060">
        <v>3020.83</v>
      </c>
      <c r="N1060" s="2" t="s">
        <v>228</v>
      </c>
      <c r="O1060" s="2" t="s">
        <v>229</v>
      </c>
      <c r="P1060" s="2" t="s">
        <v>2169</v>
      </c>
      <c r="Q1060" s="2" t="s">
        <v>2170</v>
      </c>
      <c r="R1060" s="2" t="s">
        <v>29</v>
      </c>
      <c r="S1060" s="2" t="s">
        <v>30</v>
      </c>
    </row>
    <row r="1061" spans="1:19">
      <c r="A1061" s="1">
        <v>44317</v>
      </c>
      <c r="B1061" s="1">
        <v>44317</v>
      </c>
      <c r="C1061">
        <v>2021</v>
      </c>
      <c r="D1061">
        <v>5</v>
      </c>
      <c r="E1061" s="2" t="s">
        <v>232</v>
      </c>
      <c r="F1061" s="2" t="s">
        <v>233</v>
      </c>
      <c r="G1061" s="2" t="s">
        <v>21</v>
      </c>
      <c r="H1061" s="2" t="s">
        <v>22</v>
      </c>
      <c r="I1061" s="2" t="s">
        <v>23</v>
      </c>
      <c r="J1061" s="2" t="s">
        <v>24</v>
      </c>
      <c r="K1061">
        <v>1866.34</v>
      </c>
      <c r="L1061">
        <v>116463.2</v>
      </c>
      <c r="M1061">
        <v>6240.19</v>
      </c>
      <c r="N1061" s="2" t="s">
        <v>234</v>
      </c>
      <c r="O1061" s="2" t="s">
        <v>235</v>
      </c>
      <c r="P1061" s="2" t="s">
        <v>2171</v>
      </c>
      <c r="Q1061" s="2" t="s">
        <v>2172</v>
      </c>
      <c r="R1061" s="2" t="s">
        <v>29</v>
      </c>
      <c r="S1061" s="2" t="s">
        <v>30</v>
      </c>
    </row>
    <row r="1062" spans="1:19">
      <c r="A1062" s="1">
        <v>44317</v>
      </c>
      <c r="B1062" s="1">
        <v>44317</v>
      </c>
      <c r="C1062">
        <v>2021</v>
      </c>
      <c r="D1062">
        <v>5</v>
      </c>
      <c r="E1062" s="2" t="s">
        <v>238</v>
      </c>
      <c r="F1062" s="2" t="s">
        <v>239</v>
      </c>
      <c r="G1062" s="2" t="s">
        <v>21</v>
      </c>
      <c r="H1062" s="2" t="s">
        <v>22</v>
      </c>
      <c r="I1062" s="2" t="s">
        <v>66</v>
      </c>
      <c r="J1062" s="2" t="s">
        <v>24</v>
      </c>
      <c r="K1062">
        <v>857.3</v>
      </c>
      <c r="L1062">
        <v>70068.77</v>
      </c>
      <c r="M1062">
        <v>8173.19</v>
      </c>
      <c r="N1062" s="2" t="s">
        <v>240</v>
      </c>
      <c r="O1062" s="2" t="s">
        <v>241</v>
      </c>
      <c r="P1062" s="2" t="s">
        <v>2173</v>
      </c>
      <c r="Q1062" s="2" t="s">
        <v>2174</v>
      </c>
      <c r="R1062" s="2" t="s">
        <v>29</v>
      </c>
      <c r="S1062" s="2" t="s">
        <v>30</v>
      </c>
    </row>
    <row r="1063" spans="1:19">
      <c r="A1063" s="1">
        <v>44317</v>
      </c>
      <c r="B1063" s="1">
        <v>44317</v>
      </c>
      <c r="C1063">
        <v>2021</v>
      </c>
      <c r="D1063">
        <v>5</v>
      </c>
      <c r="E1063" s="2" t="s">
        <v>244</v>
      </c>
      <c r="F1063" s="2" t="s">
        <v>245</v>
      </c>
      <c r="G1063" s="2" t="s">
        <v>21</v>
      </c>
      <c r="H1063" s="2" t="s">
        <v>22</v>
      </c>
      <c r="I1063" s="2" t="s">
        <v>23</v>
      </c>
      <c r="J1063" s="2" t="s">
        <v>24</v>
      </c>
      <c r="K1063">
        <v>2565.39</v>
      </c>
      <c r="L1063">
        <v>1819458.99</v>
      </c>
      <c r="M1063">
        <v>70923.289999999994</v>
      </c>
      <c r="N1063" s="2" t="s">
        <v>246</v>
      </c>
      <c r="O1063" s="2" t="s">
        <v>247</v>
      </c>
      <c r="P1063" s="2" t="s">
        <v>2175</v>
      </c>
      <c r="Q1063" s="2" t="s">
        <v>2176</v>
      </c>
      <c r="R1063" s="2" t="s">
        <v>29</v>
      </c>
      <c r="S1063" s="2" t="s">
        <v>30</v>
      </c>
    </row>
    <row r="1064" spans="1:19">
      <c r="A1064" s="1">
        <v>44317</v>
      </c>
      <c r="B1064" s="1">
        <v>44317</v>
      </c>
      <c r="C1064">
        <v>2021</v>
      </c>
      <c r="D1064">
        <v>5</v>
      </c>
      <c r="E1064" s="2" t="s">
        <v>250</v>
      </c>
      <c r="F1064" s="2" t="s">
        <v>251</v>
      </c>
      <c r="G1064" s="2" t="s">
        <v>21</v>
      </c>
      <c r="H1064" s="2" t="s">
        <v>22</v>
      </c>
      <c r="I1064" s="2" t="s">
        <v>66</v>
      </c>
      <c r="J1064" s="2" t="s">
        <v>24</v>
      </c>
      <c r="K1064">
        <v>61.82</v>
      </c>
      <c r="L1064">
        <v>98.28</v>
      </c>
      <c r="M1064">
        <v>158.97999999999999</v>
      </c>
      <c r="N1064" s="2" t="s">
        <v>252</v>
      </c>
      <c r="O1064" s="2" t="s">
        <v>253</v>
      </c>
      <c r="P1064" s="2" t="s">
        <v>2177</v>
      </c>
      <c r="Q1064" s="2" t="s">
        <v>2178</v>
      </c>
      <c r="R1064" s="2" t="s">
        <v>29</v>
      </c>
      <c r="S1064" s="2" t="s">
        <v>30</v>
      </c>
    </row>
    <row r="1065" spans="1:19">
      <c r="A1065" s="1">
        <v>44317</v>
      </c>
      <c r="B1065" s="1">
        <v>44317</v>
      </c>
      <c r="C1065">
        <v>2021</v>
      </c>
      <c r="D1065">
        <v>5</v>
      </c>
      <c r="E1065" s="2" t="s">
        <v>256</v>
      </c>
      <c r="F1065" s="2" t="s">
        <v>257</v>
      </c>
      <c r="G1065" s="2" t="s">
        <v>21</v>
      </c>
      <c r="H1065" s="2" t="s">
        <v>22</v>
      </c>
      <c r="I1065" s="2" t="s">
        <v>258</v>
      </c>
      <c r="J1065" s="2" t="s">
        <v>24</v>
      </c>
      <c r="K1065">
        <v>366.69</v>
      </c>
      <c r="L1065">
        <v>341793.99</v>
      </c>
      <c r="M1065">
        <v>93210.61</v>
      </c>
      <c r="N1065" s="2" t="s">
        <v>259</v>
      </c>
      <c r="O1065" s="2" t="s">
        <v>260</v>
      </c>
      <c r="P1065" s="2" t="s">
        <v>2179</v>
      </c>
      <c r="Q1065" s="2" t="s">
        <v>2180</v>
      </c>
      <c r="R1065" s="2" t="s">
        <v>29</v>
      </c>
      <c r="S1065" s="2" t="s">
        <v>30</v>
      </c>
    </row>
    <row r="1066" spans="1:19">
      <c r="A1066" s="1">
        <v>44317</v>
      </c>
      <c r="B1066" s="1">
        <v>44317</v>
      </c>
      <c r="C1066">
        <v>2021</v>
      </c>
      <c r="D1066">
        <v>5</v>
      </c>
      <c r="E1066" s="2" t="s">
        <v>263</v>
      </c>
      <c r="F1066" s="2" t="s">
        <v>264</v>
      </c>
      <c r="G1066" s="2" t="s">
        <v>21</v>
      </c>
      <c r="H1066" s="2" t="s">
        <v>22</v>
      </c>
      <c r="I1066" s="2" t="s">
        <v>258</v>
      </c>
      <c r="J1066" s="2" t="s">
        <v>24</v>
      </c>
      <c r="K1066">
        <v>0</v>
      </c>
      <c r="L1066">
        <v>0</v>
      </c>
      <c r="N1066" s="2" t="s">
        <v>265</v>
      </c>
      <c r="O1066" s="2" t="s">
        <v>266</v>
      </c>
      <c r="P1066" s="2" t="s">
        <v>639</v>
      </c>
      <c r="Q1066" s="2" t="s">
        <v>639</v>
      </c>
      <c r="R1066" s="2" t="s">
        <v>29</v>
      </c>
      <c r="S1066" s="2" t="s">
        <v>30</v>
      </c>
    </row>
    <row r="1067" spans="1:19">
      <c r="A1067" s="1">
        <v>44317</v>
      </c>
      <c r="B1067" s="1">
        <v>44317</v>
      </c>
      <c r="C1067">
        <v>2021</v>
      </c>
      <c r="D1067">
        <v>5</v>
      </c>
      <c r="E1067" s="2" t="s">
        <v>269</v>
      </c>
      <c r="F1067" s="2" t="s">
        <v>270</v>
      </c>
      <c r="G1067" s="2" t="s">
        <v>21</v>
      </c>
      <c r="H1067" s="2" t="s">
        <v>22</v>
      </c>
      <c r="I1067" s="2" t="s">
        <v>258</v>
      </c>
      <c r="J1067" s="2" t="s">
        <v>59</v>
      </c>
      <c r="K1067">
        <v>366.69</v>
      </c>
      <c r="L1067">
        <v>341793.99</v>
      </c>
      <c r="M1067">
        <v>93210.61</v>
      </c>
      <c r="N1067" s="2" t="s">
        <v>271</v>
      </c>
      <c r="O1067" s="2" t="s">
        <v>272</v>
      </c>
      <c r="P1067" s="2" t="s">
        <v>2179</v>
      </c>
      <c r="Q1067" s="2" t="s">
        <v>2180</v>
      </c>
      <c r="R1067" s="2" t="s">
        <v>29</v>
      </c>
      <c r="S1067" s="2" t="s">
        <v>30</v>
      </c>
    </row>
    <row r="1068" spans="1:19">
      <c r="A1068" s="1">
        <v>44317</v>
      </c>
      <c r="B1068" s="1">
        <v>44317</v>
      </c>
      <c r="C1068">
        <v>2021</v>
      </c>
      <c r="D1068">
        <v>5</v>
      </c>
      <c r="E1068" s="2" t="s">
        <v>275</v>
      </c>
      <c r="F1068" s="2" t="s">
        <v>276</v>
      </c>
      <c r="G1068" s="2" t="s">
        <v>39</v>
      </c>
      <c r="H1068" s="2" t="s">
        <v>22</v>
      </c>
      <c r="I1068" s="2" t="s">
        <v>40</v>
      </c>
      <c r="J1068" s="2" t="s">
        <v>24</v>
      </c>
      <c r="K1068">
        <v>18.079999999999998</v>
      </c>
      <c r="L1068">
        <v>102.27</v>
      </c>
      <c r="M1068">
        <v>565.65</v>
      </c>
      <c r="N1068" s="2" t="s">
        <v>277</v>
      </c>
      <c r="O1068" s="2" t="s">
        <v>278</v>
      </c>
      <c r="P1068" s="2" t="s">
        <v>2181</v>
      </c>
      <c r="Q1068" s="2" t="s">
        <v>2182</v>
      </c>
      <c r="R1068" s="2" t="s">
        <v>29</v>
      </c>
      <c r="S1068" s="2" t="s">
        <v>30</v>
      </c>
    </row>
    <row r="1069" spans="1:19">
      <c r="A1069" s="1">
        <v>44317</v>
      </c>
      <c r="B1069" s="1">
        <v>44317</v>
      </c>
      <c r="C1069">
        <v>2021</v>
      </c>
      <c r="D1069">
        <v>5</v>
      </c>
      <c r="E1069" s="2" t="s">
        <v>281</v>
      </c>
      <c r="F1069" s="2" t="s">
        <v>282</v>
      </c>
      <c r="G1069" s="2" t="s">
        <v>39</v>
      </c>
      <c r="H1069" s="2" t="s">
        <v>22</v>
      </c>
      <c r="I1069" s="2" t="s">
        <v>40</v>
      </c>
      <c r="J1069" s="2" t="s">
        <v>24</v>
      </c>
      <c r="K1069">
        <v>2.73</v>
      </c>
      <c r="L1069">
        <v>19.239999999999998</v>
      </c>
      <c r="M1069">
        <v>704.76</v>
      </c>
      <c r="N1069" s="2" t="s">
        <v>283</v>
      </c>
      <c r="O1069" s="2" t="s">
        <v>284</v>
      </c>
      <c r="P1069" s="2" t="s">
        <v>2183</v>
      </c>
      <c r="Q1069" s="2" t="s">
        <v>2184</v>
      </c>
      <c r="R1069" s="2" t="s">
        <v>29</v>
      </c>
      <c r="S1069" s="2" t="s">
        <v>30</v>
      </c>
    </row>
    <row r="1070" spans="1:19">
      <c r="A1070" s="1">
        <v>44317</v>
      </c>
      <c r="B1070" s="1">
        <v>44317</v>
      </c>
      <c r="C1070">
        <v>2021</v>
      </c>
      <c r="D1070">
        <v>5</v>
      </c>
      <c r="E1070" s="2" t="s">
        <v>287</v>
      </c>
      <c r="F1070" s="2" t="s">
        <v>288</v>
      </c>
      <c r="G1070" s="2" t="s">
        <v>39</v>
      </c>
      <c r="H1070" s="2" t="s">
        <v>22</v>
      </c>
      <c r="I1070" s="2" t="s">
        <v>40</v>
      </c>
      <c r="J1070" s="2" t="s">
        <v>59</v>
      </c>
      <c r="K1070">
        <v>20.81</v>
      </c>
      <c r="L1070">
        <v>121.51</v>
      </c>
      <c r="M1070">
        <v>583.9</v>
      </c>
      <c r="N1070" s="2" t="s">
        <v>289</v>
      </c>
      <c r="O1070" s="2" t="s">
        <v>290</v>
      </c>
      <c r="P1070" s="2" t="s">
        <v>2185</v>
      </c>
      <c r="Q1070" s="2" t="s">
        <v>2186</v>
      </c>
      <c r="R1070" s="2" t="s">
        <v>29</v>
      </c>
      <c r="S1070" s="2" t="s">
        <v>30</v>
      </c>
    </row>
    <row r="1071" spans="1:19">
      <c r="A1071" s="1">
        <v>44317</v>
      </c>
      <c r="B1071" s="1">
        <v>44317</v>
      </c>
      <c r="C1071">
        <v>2021</v>
      </c>
      <c r="D1071">
        <v>5</v>
      </c>
      <c r="E1071" s="2" t="s">
        <v>293</v>
      </c>
      <c r="F1071" s="2" t="s">
        <v>294</v>
      </c>
      <c r="G1071" s="2" t="s">
        <v>21</v>
      </c>
      <c r="H1071" s="2" t="s">
        <v>22</v>
      </c>
      <c r="I1071" s="2" t="s">
        <v>295</v>
      </c>
      <c r="J1071" s="2" t="s">
        <v>24</v>
      </c>
      <c r="K1071">
        <v>635.82000000000005</v>
      </c>
      <c r="L1071">
        <v>5580</v>
      </c>
      <c r="M1071">
        <v>877.61</v>
      </c>
      <c r="N1071" s="2" t="s">
        <v>296</v>
      </c>
      <c r="O1071" s="2" t="s">
        <v>297</v>
      </c>
      <c r="P1071" s="2" t="s">
        <v>2187</v>
      </c>
      <c r="Q1071" s="2" t="s">
        <v>2188</v>
      </c>
      <c r="R1071" s="2" t="s">
        <v>29</v>
      </c>
      <c r="S1071" s="2" t="s">
        <v>30</v>
      </c>
    </row>
    <row r="1072" spans="1:19">
      <c r="A1072" s="1">
        <v>44317</v>
      </c>
      <c r="B1072" s="1">
        <v>44317</v>
      </c>
      <c r="C1072">
        <v>2021</v>
      </c>
      <c r="D1072">
        <v>5</v>
      </c>
      <c r="E1072" s="2" t="s">
        <v>300</v>
      </c>
      <c r="F1072" s="2" t="s">
        <v>301</v>
      </c>
      <c r="G1072" s="2" t="s">
        <v>21</v>
      </c>
      <c r="H1072" s="2" t="s">
        <v>22</v>
      </c>
      <c r="I1072" s="2" t="s">
        <v>295</v>
      </c>
      <c r="J1072" s="2" t="s">
        <v>24</v>
      </c>
      <c r="K1072">
        <v>37.31</v>
      </c>
      <c r="L1072">
        <v>1391.8</v>
      </c>
      <c r="M1072">
        <v>3730.37</v>
      </c>
      <c r="N1072" s="2" t="s">
        <v>302</v>
      </c>
      <c r="O1072" s="2" t="s">
        <v>303</v>
      </c>
      <c r="P1072" s="2" t="s">
        <v>2189</v>
      </c>
      <c r="Q1072" s="2" t="s">
        <v>2190</v>
      </c>
      <c r="R1072" s="2" t="s">
        <v>29</v>
      </c>
      <c r="S1072" s="2" t="s">
        <v>30</v>
      </c>
    </row>
    <row r="1073" spans="1:19">
      <c r="A1073" s="1">
        <v>44317</v>
      </c>
      <c r="B1073" s="1">
        <v>44317</v>
      </c>
      <c r="C1073">
        <v>2021</v>
      </c>
      <c r="D1073">
        <v>5</v>
      </c>
      <c r="E1073" s="2" t="s">
        <v>306</v>
      </c>
      <c r="F1073" s="2" t="s">
        <v>307</v>
      </c>
      <c r="G1073" s="2" t="s">
        <v>21</v>
      </c>
      <c r="H1073" s="2" t="s">
        <v>22</v>
      </c>
      <c r="I1073" s="2" t="s">
        <v>295</v>
      </c>
      <c r="J1073" s="2" t="s">
        <v>101</v>
      </c>
      <c r="K1073">
        <v>673.13</v>
      </c>
      <c r="L1073">
        <v>6971.8</v>
      </c>
      <c r="M1073">
        <v>1035.73</v>
      </c>
      <c r="N1073" s="2" t="s">
        <v>308</v>
      </c>
      <c r="O1073" s="2" t="s">
        <v>309</v>
      </c>
      <c r="P1073" s="2" t="s">
        <v>2191</v>
      </c>
      <c r="Q1073" s="2" t="s">
        <v>2192</v>
      </c>
      <c r="R1073" s="2" t="s">
        <v>29</v>
      </c>
      <c r="S1073" s="2" t="s">
        <v>30</v>
      </c>
    </row>
    <row r="1074" spans="1:19">
      <c r="A1074" s="1">
        <v>44317</v>
      </c>
      <c r="B1074" s="1">
        <v>44317</v>
      </c>
      <c r="C1074">
        <v>2021</v>
      </c>
      <c r="D1074">
        <v>5</v>
      </c>
      <c r="E1074" s="2" t="s">
        <v>312</v>
      </c>
      <c r="F1074" s="2" t="s">
        <v>313</v>
      </c>
      <c r="G1074" s="2" t="s">
        <v>21</v>
      </c>
      <c r="H1074" s="2" t="s">
        <v>22</v>
      </c>
      <c r="I1074" s="2" t="s">
        <v>295</v>
      </c>
      <c r="J1074" s="2" t="s">
        <v>59</v>
      </c>
      <c r="K1074">
        <v>3848.67</v>
      </c>
      <c r="L1074">
        <v>21414.23</v>
      </c>
      <c r="M1074">
        <v>556.41</v>
      </c>
      <c r="N1074" s="2" t="s">
        <v>314</v>
      </c>
      <c r="O1074" s="2" t="s">
        <v>315</v>
      </c>
      <c r="P1074" s="2" t="s">
        <v>2193</v>
      </c>
      <c r="Q1074" s="2" t="s">
        <v>2194</v>
      </c>
      <c r="R1074" s="2" t="s">
        <v>29</v>
      </c>
      <c r="S1074" s="2" t="s">
        <v>30</v>
      </c>
    </row>
    <row r="1075" spans="1:19">
      <c r="A1075" s="1">
        <v>44317</v>
      </c>
      <c r="B1075" s="1">
        <v>44317</v>
      </c>
      <c r="C1075">
        <v>2021</v>
      </c>
      <c r="D1075">
        <v>5</v>
      </c>
      <c r="E1075" s="2" t="s">
        <v>318</v>
      </c>
      <c r="F1075" s="2" t="s">
        <v>319</v>
      </c>
      <c r="G1075" s="2" t="s">
        <v>21</v>
      </c>
      <c r="H1075" s="2" t="s">
        <v>22</v>
      </c>
      <c r="I1075" s="2" t="s">
        <v>295</v>
      </c>
      <c r="J1075" s="2" t="s">
        <v>24</v>
      </c>
      <c r="K1075">
        <v>3175.54</v>
      </c>
      <c r="L1075">
        <v>14442.43</v>
      </c>
      <c r="M1075">
        <v>454.8</v>
      </c>
      <c r="N1075" s="2" t="s">
        <v>320</v>
      </c>
      <c r="O1075" s="2" t="s">
        <v>321</v>
      </c>
      <c r="P1075" s="2" t="s">
        <v>2195</v>
      </c>
      <c r="Q1075" s="2" t="s">
        <v>2196</v>
      </c>
      <c r="R1075" s="2" t="s">
        <v>29</v>
      </c>
      <c r="S1075" s="2" t="s">
        <v>30</v>
      </c>
    </row>
    <row r="1076" spans="1:19">
      <c r="A1076" s="1">
        <v>44317</v>
      </c>
      <c r="B1076" s="1">
        <v>44317</v>
      </c>
      <c r="C1076">
        <v>2021</v>
      </c>
      <c r="D1076">
        <v>5</v>
      </c>
      <c r="E1076" s="2" t="s">
        <v>324</v>
      </c>
      <c r="F1076" s="2" t="s">
        <v>325</v>
      </c>
      <c r="G1076" s="2" t="s">
        <v>21</v>
      </c>
      <c r="H1076" s="2" t="s">
        <v>22</v>
      </c>
      <c r="I1076" s="2" t="s">
        <v>23</v>
      </c>
      <c r="J1076" s="2" t="s">
        <v>59</v>
      </c>
      <c r="K1076">
        <v>33866.21</v>
      </c>
      <c r="L1076">
        <v>2707637.44</v>
      </c>
      <c r="M1076">
        <v>7995.1</v>
      </c>
      <c r="N1076" s="2" t="s">
        <v>326</v>
      </c>
      <c r="O1076" s="2" t="s">
        <v>327</v>
      </c>
      <c r="P1076" s="2" t="s">
        <v>2197</v>
      </c>
      <c r="Q1076" s="2" t="s">
        <v>2198</v>
      </c>
      <c r="R1076" s="2" t="s">
        <v>29</v>
      </c>
      <c r="S1076" s="2" t="s">
        <v>30</v>
      </c>
    </row>
    <row r="1077" spans="1:19">
      <c r="A1077" s="1">
        <v>44317</v>
      </c>
      <c r="B1077" s="1">
        <v>44317</v>
      </c>
      <c r="C1077">
        <v>2021</v>
      </c>
      <c r="D1077">
        <v>5</v>
      </c>
      <c r="E1077" s="2" t="s">
        <v>330</v>
      </c>
      <c r="F1077" s="2" t="s">
        <v>331</v>
      </c>
      <c r="G1077" s="2" t="s">
        <v>21</v>
      </c>
      <c r="H1077" s="2" t="s">
        <v>332</v>
      </c>
      <c r="I1077" s="2" t="s">
        <v>333</v>
      </c>
      <c r="J1077" s="2" t="s">
        <v>24</v>
      </c>
      <c r="K1077">
        <v>122.28</v>
      </c>
      <c r="L1077">
        <v>7211162.3300000001</v>
      </c>
      <c r="M1077">
        <v>5897254.1100000003</v>
      </c>
      <c r="N1077" s="2" t="s">
        <v>334</v>
      </c>
      <c r="O1077" s="2" t="s">
        <v>335</v>
      </c>
      <c r="P1077" s="2" t="s">
        <v>2199</v>
      </c>
      <c r="Q1077" s="2" t="s">
        <v>2200</v>
      </c>
      <c r="R1077" s="2" t="s">
        <v>29</v>
      </c>
      <c r="S1077" s="2" t="s">
        <v>30</v>
      </c>
    </row>
    <row r="1078" spans="1:19">
      <c r="A1078" s="1">
        <v>44317</v>
      </c>
      <c r="B1078" s="1">
        <v>44317</v>
      </c>
      <c r="C1078">
        <v>2021</v>
      </c>
      <c r="D1078">
        <v>5</v>
      </c>
      <c r="E1078" s="2" t="s">
        <v>338</v>
      </c>
      <c r="F1078" s="2" t="s">
        <v>339</v>
      </c>
      <c r="G1078" s="2" t="s">
        <v>21</v>
      </c>
      <c r="H1078" s="2" t="s">
        <v>332</v>
      </c>
      <c r="I1078" s="2" t="s">
        <v>333</v>
      </c>
      <c r="J1078" s="2" t="s">
        <v>24</v>
      </c>
      <c r="K1078">
        <v>1.07</v>
      </c>
      <c r="L1078">
        <v>1155437.0900000001</v>
      </c>
      <c r="M1078">
        <v>107984774.77</v>
      </c>
      <c r="N1078" s="2" t="s">
        <v>340</v>
      </c>
      <c r="O1078" s="2" t="s">
        <v>341</v>
      </c>
      <c r="P1078" s="2" t="s">
        <v>2201</v>
      </c>
      <c r="Q1078" s="2" t="s">
        <v>2202</v>
      </c>
      <c r="R1078" s="2" t="s">
        <v>29</v>
      </c>
      <c r="S1078" s="2" t="s">
        <v>30</v>
      </c>
    </row>
    <row r="1079" spans="1:19">
      <c r="A1079" s="1">
        <v>44317</v>
      </c>
      <c r="B1079" s="1">
        <v>44317</v>
      </c>
      <c r="C1079">
        <v>2021</v>
      </c>
      <c r="D1079">
        <v>5</v>
      </c>
      <c r="E1079" s="2" t="s">
        <v>344</v>
      </c>
      <c r="F1079" s="2" t="s">
        <v>345</v>
      </c>
      <c r="G1079" s="2" t="s">
        <v>21</v>
      </c>
      <c r="H1079" s="2" t="s">
        <v>332</v>
      </c>
      <c r="I1079" s="2" t="s">
        <v>333</v>
      </c>
      <c r="J1079" s="2" t="s">
        <v>59</v>
      </c>
      <c r="K1079">
        <v>123.34</v>
      </c>
      <c r="L1079">
        <v>8366599.4199999999</v>
      </c>
      <c r="M1079">
        <v>6783362.5899999999</v>
      </c>
      <c r="N1079" s="2" t="s">
        <v>346</v>
      </c>
      <c r="O1079" s="2" t="s">
        <v>347</v>
      </c>
      <c r="P1079" s="2" t="s">
        <v>2203</v>
      </c>
      <c r="Q1079" s="2" t="s">
        <v>2204</v>
      </c>
      <c r="R1079" s="2" t="s">
        <v>29</v>
      </c>
      <c r="S1079" s="2" t="s">
        <v>30</v>
      </c>
    </row>
    <row r="1080" spans="1:19">
      <c r="A1080" s="1">
        <v>44317</v>
      </c>
      <c r="B1080" s="1">
        <v>44317</v>
      </c>
      <c r="C1080">
        <v>2021</v>
      </c>
      <c r="D1080">
        <v>5</v>
      </c>
      <c r="E1080" s="2" t="s">
        <v>350</v>
      </c>
      <c r="F1080" s="2" t="s">
        <v>351</v>
      </c>
      <c r="G1080" s="2" t="s">
        <v>21</v>
      </c>
      <c r="H1080" s="2" t="s">
        <v>22</v>
      </c>
      <c r="I1080" s="2" t="s">
        <v>352</v>
      </c>
      <c r="J1080" s="2" t="s">
        <v>353</v>
      </c>
      <c r="K1080">
        <v>42675.96</v>
      </c>
      <c r="L1080">
        <v>11261479.560000001</v>
      </c>
      <c r="M1080">
        <v>26388.35</v>
      </c>
      <c r="N1080" s="2" t="s">
        <v>354</v>
      </c>
      <c r="O1080" s="2" t="s">
        <v>355</v>
      </c>
      <c r="P1080" s="2" t="s">
        <v>2205</v>
      </c>
      <c r="Q1080" s="2" t="s">
        <v>2206</v>
      </c>
      <c r="R1080" s="2" t="s">
        <v>29</v>
      </c>
      <c r="S1080" s="2" t="s">
        <v>30</v>
      </c>
    </row>
    <row r="1081" spans="1:19">
      <c r="A1081" s="1">
        <v>44317</v>
      </c>
      <c r="B1081" s="1">
        <v>44317</v>
      </c>
      <c r="C1081">
        <v>2021</v>
      </c>
      <c r="D1081">
        <v>5</v>
      </c>
      <c r="E1081" s="2" t="s">
        <v>358</v>
      </c>
      <c r="F1081" s="2" t="s">
        <v>359</v>
      </c>
      <c r="G1081" s="2" t="s">
        <v>21</v>
      </c>
      <c r="H1081" s="2" t="s">
        <v>22</v>
      </c>
      <c r="I1081" s="2" t="s">
        <v>352</v>
      </c>
      <c r="J1081" s="2" t="s">
        <v>353</v>
      </c>
      <c r="K1081">
        <v>43042.65</v>
      </c>
      <c r="L1081">
        <v>11603273.550000001</v>
      </c>
      <c r="M1081">
        <v>26957.62</v>
      </c>
      <c r="N1081" s="2" t="s">
        <v>360</v>
      </c>
      <c r="O1081" s="2" t="s">
        <v>361</v>
      </c>
      <c r="P1081" s="2" t="s">
        <v>2207</v>
      </c>
      <c r="Q1081" s="2" t="s">
        <v>2208</v>
      </c>
      <c r="R1081" s="2" t="s">
        <v>29</v>
      </c>
      <c r="S1081" s="2" t="s">
        <v>30</v>
      </c>
    </row>
    <row r="1082" spans="1:19">
      <c r="A1082" s="1">
        <v>44317</v>
      </c>
      <c r="B1082" s="1">
        <v>44317</v>
      </c>
      <c r="C1082">
        <v>2021</v>
      </c>
      <c r="D1082">
        <v>5</v>
      </c>
      <c r="E1082" s="2" t="s">
        <v>364</v>
      </c>
      <c r="F1082" s="2" t="s">
        <v>365</v>
      </c>
      <c r="G1082" s="2" t="s">
        <v>21</v>
      </c>
      <c r="H1082" s="2" t="s">
        <v>22</v>
      </c>
      <c r="I1082" s="2" t="s">
        <v>352</v>
      </c>
      <c r="J1082" s="2" t="s">
        <v>353</v>
      </c>
      <c r="K1082">
        <v>42919.31</v>
      </c>
      <c r="L1082">
        <v>3236674.12</v>
      </c>
      <c r="M1082">
        <v>7541.3</v>
      </c>
      <c r="N1082" s="2" t="s">
        <v>366</v>
      </c>
      <c r="O1082" s="2" t="s">
        <v>367</v>
      </c>
      <c r="P1082" s="2" t="s">
        <v>2209</v>
      </c>
      <c r="Q1082" s="2" t="s">
        <v>2210</v>
      </c>
      <c r="R1082" s="2" t="s">
        <v>29</v>
      </c>
      <c r="S1082" s="2" t="s">
        <v>30</v>
      </c>
    </row>
    <row r="1083" spans="1:19">
      <c r="A1083" s="1">
        <v>44317</v>
      </c>
      <c r="B1083" s="1">
        <v>44317</v>
      </c>
      <c r="C1083">
        <v>2021</v>
      </c>
      <c r="D1083">
        <v>5</v>
      </c>
      <c r="E1083" s="2" t="s">
        <v>370</v>
      </c>
      <c r="F1083" s="2" t="s">
        <v>371</v>
      </c>
      <c r="G1083" s="2" t="s">
        <v>21</v>
      </c>
      <c r="H1083" s="2" t="s">
        <v>22</v>
      </c>
      <c r="I1083" s="2" t="s">
        <v>23</v>
      </c>
      <c r="J1083" s="2" t="s">
        <v>24</v>
      </c>
      <c r="K1083">
        <v>25291.82</v>
      </c>
      <c r="L1083">
        <v>489105.61</v>
      </c>
      <c r="M1083">
        <v>1933.85</v>
      </c>
      <c r="N1083" s="2" t="s">
        <v>372</v>
      </c>
      <c r="O1083" s="2" t="s">
        <v>373</v>
      </c>
      <c r="P1083" s="2" t="s">
        <v>2211</v>
      </c>
      <c r="Q1083" s="2" t="s">
        <v>2212</v>
      </c>
      <c r="R1083" s="2" t="s">
        <v>29</v>
      </c>
      <c r="S1083" s="2" t="s">
        <v>30</v>
      </c>
    </row>
    <row r="1084" spans="1:19">
      <c r="A1084" s="1">
        <v>44317</v>
      </c>
      <c r="B1084" s="1">
        <v>44317</v>
      </c>
      <c r="C1084">
        <v>2021</v>
      </c>
      <c r="D1084">
        <v>5</v>
      </c>
      <c r="E1084" s="2" t="s">
        <v>376</v>
      </c>
      <c r="F1084" s="2" t="s">
        <v>377</v>
      </c>
      <c r="G1084" s="2" t="s">
        <v>21</v>
      </c>
      <c r="H1084" s="2" t="s">
        <v>22</v>
      </c>
      <c r="I1084" s="2" t="s">
        <v>23</v>
      </c>
      <c r="J1084" s="2" t="s">
        <v>378</v>
      </c>
      <c r="K1084">
        <v>1.01</v>
      </c>
      <c r="L1084">
        <v>16.14</v>
      </c>
      <c r="M1084">
        <v>1598.02</v>
      </c>
      <c r="N1084" s="2" t="s">
        <v>379</v>
      </c>
      <c r="O1084" s="2" t="s">
        <v>380</v>
      </c>
      <c r="P1084" s="2" t="s">
        <v>104</v>
      </c>
      <c r="Q1084" s="2" t="s">
        <v>2213</v>
      </c>
      <c r="R1084" s="2" t="s">
        <v>29</v>
      </c>
      <c r="S1084" s="2" t="s">
        <v>30</v>
      </c>
    </row>
    <row r="1085" spans="1:19">
      <c r="A1085" s="1">
        <v>44348</v>
      </c>
      <c r="B1085" s="1">
        <v>44348</v>
      </c>
      <c r="C1085">
        <v>2021</v>
      </c>
      <c r="D1085">
        <v>6</v>
      </c>
      <c r="E1085" s="2" t="s">
        <v>19</v>
      </c>
      <c r="F1085" s="2" t="s">
        <v>20</v>
      </c>
      <c r="G1085" s="2" t="s">
        <v>21</v>
      </c>
      <c r="H1085" s="2" t="s">
        <v>22</v>
      </c>
      <c r="I1085" s="2" t="s">
        <v>23</v>
      </c>
      <c r="J1085" s="2" t="s">
        <v>24</v>
      </c>
      <c r="K1085">
        <v>1.06</v>
      </c>
      <c r="L1085">
        <v>63.65</v>
      </c>
      <c r="M1085">
        <v>6004.72</v>
      </c>
      <c r="N1085" s="2" t="s">
        <v>25</v>
      </c>
      <c r="O1085" s="2" t="s">
        <v>26</v>
      </c>
      <c r="P1085" s="2" t="s">
        <v>1448</v>
      </c>
      <c r="Q1085" s="2" t="s">
        <v>2214</v>
      </c>
      <c r="R1085" s="2" t="s">
        <v>29</v>
      </c>
      <c r="S1085" s="2" t="s">
        <v>30</v>
      </c>
    </row>
    <row r="1086" spans="1:19">
      <c r="A1086" s="1">
        <v>44348</v>
      </c>
      <c r="B1086" s="1">
        <v>44348</v>
      </c>
      <c r="C1086">
        <v>2021</v>
      </c>
      <c r="D1086">
        <v>6</v>
      </c>
      <c r="E1086" s="2" t="s">
        <v>31</v>
      </c>
      <c r="F1086" s="2" t="s">
        <v>32</v>
      </c>
      <c r="G1086" s="2" t="s">
        <v>21</v>
      </c>
      <c r="H1086" s="2" t="s">
        <v>22</v>
      </c>
      <c r="I1086" s="2" t="s">
        <v>23</v>
      </c>
      <c r="J1086" s="2" t="s">
        <v>24</v>
      </c>
      <c r="K1086">
        <v>1148.3399999999999</v>
      </c>
      <c r="L1086">
        <v>8142.52</v>
      </c>
      <c r="M1086">
        <v>709.07</v>
      </c>
      <c r="N1086" s="2" t="s">
        <v>33</v>
      </c>
      <c r="O1086" s="2" t="s">
        <v>34</v>
      </c>
      <c r="P1086" s="2" t="s">
        <v>2215</v>
      </c>
      <c r="Q1086" s="2" t="s">
        <v>2216</v>
      </c>
      <c r="R1086" s="2" t="s">
        <v>29</v>
      </c>
      <c r="S1086" s="2" t="s">
        <v>30</v>
      </c>
    </row>
    <row r="1087" spans="1:19">
      <c r="A1087" s="1">
        <v>44348</v>
      </c>
      <c r="B1087" s="1">
        <v>44348</v>
      </c>
      <c r="C1087">
        <v>2021</v>
      </c>
      <c r="D1087">
        <v>6</v>
      </c>
      <c r="E1087" s="2" t="s">
        <v>37</v>
      </c>
      <c r="F1087" s="2" t="s">
        <v>38</v>
      </c>
      <c r="G1087" s="2" t="s">
        <v>39</v>
      </c>
      <c r="H1087" s="2" t="s">
        <v>22</v>
      </c>
      <c r="I1087" s="2" t="s">
        <v>40</v>
      </c>
      <c r="J1087" s="2" t="s">
        <v>24</v>
      </c>
      <c r="K1087">
        <v>4.3099999999999996</v>
      </c>
      <c r="L1087">
        <v>218.65</v>
      </c>
      <c r="M1087">
        <v>5073.09</v>
      </c>
      <c r="N1087" s="2" t="s">
        <v>41</v>
      </c>
      <c r="O1087" s="2" t="s">
        <v>42</v>
      </c>
      <c r="P1087" s="2" t="s">
        <v>2217</v>
      </c>
      <c r="Q1087" s="2" t="s">
        <v>2218</v>
      </c>
      <c r="R1087" s="2" t="s">
        <v>29</v>
      </c>
      <c r="S1087" s="2" t="s">
        <v>30</v>
      </c>
    </row>
    <row r="1088" spans="1:19">
      <c r="A1088" s="1">
        <v>44348</v>
      </c>
      <c r="B1088" s="1">
        <v>44348</v>
      </c>
      <c r="C1088">
        <v>2021</v>
      </c>
      <c r="D1088">
        <v>6</v>
      </c>
      <c r="E1088" s="2" t="s">
        <v>45</v>
      </c>
      <c r="F1088" s="2" t="s">
        <v>46</v>
      </c>
      <c r="G1088" s="2" t="s">
        <v>39</v>
      </c>
      <c r="H1088" s="2" t="s">
        <v>22</v>
      </c>
      <c r="I1088" s="2" t="s">
        <v>40</v>
      </c>
      <c r="J1088" s="2" t="s">
        <v>24</v>
      </c>
      <c r="K1088">
        <v>4732.04</v>
      </c>
      <c r="L1088">
        <v>228680.85</v>
      </c>
      <c r="M1088">
        <v>4832.6099999999997</v>
      </c>
      <c r="N1088" s="2" t="s">
        <v>47</v>
      </c>
      <c r="O1088" s="2" t="s">
        <v>48</v>
      </c>
      <c r="P1088" s="2" t="s">
        <v>2219</v>
      </c>
      <c r="Q1088" s="2" t="s">
        <v>2220</v>
      </c>
      <c r="R1088" s="2" t="s">
        <v>29</v>
      </c>
      <c r="S1088" s="2" t="s">
        <v>30</v>
      </c>
    </row>
    <row r="1089" spans="1:19">
      <c r="A1089" s="1">
        <v>44348</v>
      </c>
      <c r="B1089" s="1">
        <v>44348</v>
      </c>
      <c r="C1089">
        <v>2021</v>
      </c>
      <c r="D1089">
        <v>6</v>
      </c>
      <c r="E1089" s="2" t="s">
        <v>51</v>
      </c>
      <c r="F1089" s="2" t="s">
        <v>52</v>
      </c>
      <c r="G1089" s="2" t="s">
        <v>39</v>
      </c>
      <c r="H1089" s="2" t="s">
        <v>22</v>
      </c>
      <c r="I1089" s="2" t="s">
        <v>40</v>
      </c>
      <c r="J1089" s="2" t="s">
        <v>24</v>
      </c>
      <c r="K1089">
        <v>22</v>
      </c>
      <c r="L1089">
        <v>738.49</v>
      </c>
      <c r="M1089">
        <v>3356.77</v>
      </c>
      <c r="N1089" s="2" t="s">
        <v>53</v>
      </c>
      <c r="O1089" s="2" t="s">
        <v>54</v>
      </c>
      <c r="P1089" s="2" t="s">
        <v>2221</v>
      </c>
      <c r="Q1089" s="2" t="s">
        <v>2222</v>
      </c>
      <c r="R1089" s="2" t="s">
        <v>29</v>
      </c>
      <c r="S1089" s="2" t="s">
        <v>30</v>
      </c>
    </row>
    <row r="1090" spans="1:19">
      <c r="A1090" s="1">
        <v>44348</v>
      </c>
      <c r="B1090" s="1">
        <v>44348</v>
      </c>
      <c r="C1090">
        <v>2021</v>
      </c>
      <c r="D1090">
        <v>6</v>
      </c>
      <c r="E1090" s="2" t="s">
        <v>57</v>
      </c>
      <c r="F1090" s="2" t="s">
        <v>58</v>
      </c>
      <c r="G1090" s="2" t="s">
        <v>39</v>
      </c>
      <c r="H1090" s="2" t="s">
        <v>22</v>
      </c>
      <c r="I1090" s="2" t="s">
        <v>40</v>
      </c>
      <c r="J1090" s="2" t="s">
        <v>59</v>
      </c>
      <c r="K1090">
        <v>4758.3500000000004</v>
      </c>
      <c r="L1090">
        <v>229637.99</v>
      </c>
      <c r="M1090">
        <v>4826</v>
      </c>
      <c r="N1090" s="2" t="s">
        <v>60</v>
      </c>
      <c r="O1090" s="2" t="s">
        <v>61</v>
      </c>
      <c r="P1090" s="2" t="s">
        <v>2223</v>
      </c>
      <c r="Q1090" s="2" t="s">
        <v>2224</v>
      </c>
      <c r="R1090" s="2" t="s">
        <v>29</v>
      </c>
      <c r="S1090" s="2" t="s">
        <v>30</v>
      </c>
    </row>
    <row r="1091" spans="1:19">
      <c r="A1091" s="1">
        <v>44348</v>
      </c>
      <c r="B1091" s="1">
        <v>44348</v>
      </c>
      <c r="C1091">
        <v>2021</v>
      </c>
      <c r="D1091">
        <v>6</v>
      </c>
      <c r="E1091" s="2" t="s">
        <v>64</v>
      </c>
      <c r="F1091" s="2" t="s">
        <v>65</v>
      </c>
      <c r="G1091" s="2" t="s">
        <v>21</v>
      </c>
      <c r="H1091" s="2" t="s">
        <v>22</v>
      </c>
      <c r="I1091" s="2" t="s">
        <v>66</v>
      </c>
      <c r="J1091" s="2" t="s">
        <v>24</v>
      </c>
      <c r="K1091">
        <v>17.66</v>
      </c>
      <c r="L1091">
        <v>416.68</v>
      </c>
      <c r="M1091">
        <v>2359.46</v>
      </c>
      <c r="N1091" s="2" t="s">
        <v>67</v>
      </c>
      <c r="O1091" s="2" t="s">
        <v>68</v>
      </c>
      <c r="P1091" s="2" t="s">
        <v>2225</v>
      </c>
      <c r="Q1091" s="2" t="s">
        <v>2226</v>
      </c>
      <c r="R1091" s="2" t="s">
        <v>29</v>
      </c>
      <c r="S1091" s="2" t="s">
        <v>30</v>
      </c>
    </row>
    <row r="1092" spans="1:19">
      <c r="A1092" s="1">
        <v>44348</v>
      </c>
      <c r="B1092" s="1">
        <v>44348</v>
      </c>
      <c r="C1092">
        <v>2021</v>
      </c>
      <c r="D1092">
        <v>6</v>
      </c>
      <c r="E1092" s="2" t="s">
        <v>71</v>
      </c>
      <c r="F1092" s="2" t="s">
        <v>72</v>
      </c>
      <c r="G1092" s="2" t="s">
        <v>21</v>
      </c>
      <c r="H1092" s="2" t="s">
        <v>22</v>
      </c>
      <c r="I1092" s="2" t="s">
        <v>73</v>
      </c>
      <c r="J1092" s="2" t="s">
        <v>59</v>
      </c>
      <c r="K1092">
        <v>4493.75</v>
      </c>
      <c r="L1092">
        <v>113789.59</v>
      </c>
      <c r="M1092">
        <v>2532.17</v>
      </c>
      <c r="N1092" s="2" t="s">
        <v>74</v>
      </c>
      <c r="O1092" s="2" t="s">
        <v>75</v>
      </c>
      <c r="P1092" s="2" t="s">
        <v>2227</v>
      </c>
      <c r="Q1092" s="2" t="s">
        <v>2228</v>
      </c>
      <c r="R1092" s="2" t="s">
        <v>29</v>
      </c>
      <c r="S1092" s="2" t="s">
        <v>30</v>
      </c>
    </row>
    <row r="1093" spans="1:19">
      <c r="A1093" s="1">
        <v>44348</v>
      </c>
      <c r="B1093" s="1">
        <v>44348</v>
      </c>
      <c r="C1093">
        <v>2021</v>
      </c>
      <c r="D1093">
        <v>6</v>
      </c>
      <c r="E1093" s="2" t="s">
        <v>78</v>
      </c>
      <c r="F1093" s="2" t="s">
        <v>79</v>
      </c>
      <c r="G1093" s="2" t="s">
        <v>80</v>
      </c>
      <c r="H1093" s="2" t="s">
        <v>81</v>
      </c>
      <c r="I1093" s="2" t="s">
        <v>82</v>
      </c>
      <c r="J1093" s="2" t="s">
        <v>24</v>
      </c>
      <c r="K1093">
        <v>1.82</v>
      </c>
      <c r="L1093">
        <v>5408998.5800000001</v>
      </c>
      <c r="M1093">
        <v>297197724.18000001</v>
      </c>
      <c r="N1093" s="2" t="s">
        <v>83</v>
      </c>
      <c r="O1093" s="2" t="s">
        <v>84</v>
      </c>
      <c r="P1093" s="2" t="s">
        <v>721</v>
      </c>
      <c r="Q1093" s="2" t="s">
        <v>2229</v>
      </c>
      <c r="R1093" s="2" t="s">
        <v>29</v>
      </c>
      <c r="S1093" s="2" t="s">
        <v>30</v>
      </c>
    </row>
    <row r="1094" spans="1:19">
      <c r="A1094" s="1">
        <v>44348</v>
      </c>
      <c r="B1094" s="1">
        <v>44348</v>
      </c>
      <c r="C1094">
        <v>2021</v>
      </c>
      <c r="D1094">
        <v>6</v>
      </c>
      <c r="E1094" s="2" t="s">
        <v>87</v>
      </c>
      <c r="F1094" s="2" t="s">
        <v>88</v>
      </c>
      <c r="G1094" s="2" t="s">
        <v>80</v>
      </c>
      <c r="H1094" s="2" t="s">
        <v>81</v>
      </c>
      <c r="I1094" s="2" t="s">
        <v>82</v>
      </c>
      <c r="J1094" s="2" t="s">
        <v>24</v>
      </c>
      <c r="K1094">
        <v>0.51</v>
      </c>
      <c r="L1094">
        <v>774291.9</v>
      </c>
      <c r="M1094">
        <v>151821941.18000001</v>
      </c>
      <c r="N1094" s="2" t="s">
        <v>89</v>
      </c>
      <c r="O1094" s="2" t="s">
        <v>90</v>
      </c>
      <c r="P1094" s="2" t="s">
        <v>1646</v>
      </c>
      <c r="Q1094" s="2" t="s">
        <v>2230</v>
      </c>
      <c r="R1094" s="2" t="s">
        <v>29</v>
      </c>
      <c r="S1094" s="2" t="s">
        <v>30</v>
      </c>
    </row>
    <row r="1095" spans="1:19">
      <c r="A1095" s="1">
        <v>44348</v>
      </c>
      <c r="B1095" s="1">
        <v>44348</v>
      </c>
      <c r="C1095">
        <v>2021</v>
      </c>
      <c r="D1095">
        <v>6</v>
      </c>
      <c r="E1095" s="2" t="s">
        <v>93</v>
      </c>
      <c r="F1095" s="2" t="s">
        <v>94</v>
      </c>
      <c r="G1095" s="2" t="s">
        <v>80</v>
      </c>
      <c r="H1095" s="2" t="s">
        <v>81</v>
      </c>
      <c r="I1095" s="2" t="s">
        <v>82</v>
      </c>
      <c r="J1095" s="2" t="s">
        <v>24</v>
      </c>
      <c r="K1095">
        <v>0.27</v>
      </c>
      <c r="L1095">
        <v>4653921.0599999996</v>
      </c>
      <c r="M1095">
        <v>1723674466.6700001</v>
      </c>
      <c r="N1095" s="2" t="s">
        <v>95</v>
      </c>
      <c r="O1095" s="2" t="s">
        <v>96</v>
      </c>
      <c r="P1095" s="2" t="s">
        <v>980</v>
      </c>
      <c r="Q1095" s="2" t="s">
        <v>2231</v>
      </c>
      <c r="R1095" s="2" t="s">
        <v>29</v>
      </c>
      <c r="S1095" s="2" t="s">
        <v>30</v>
      </c>
    </row>
    <row r="1096" spans="1:19">
      <c r="A1096" s="1">
        <v>44348</v>
      </c>
      <c r="B1096" s="1">
        <v>44348</v>
      </c>
      <c r="C1096">
        <v>2021</v>
      </c>
      <c r="D1096">
        <v>6</v>
      </c>
      <c r="E1096" s="2" t="s">
        <v>99</v>
      </c>
      <c r="F1096" s="2" t="s">
        <v>100</v>
      </c>
      <c r="G1096" s="2" t="s">
        <v>80</v>
      </c>
      <c r="H1096" s="2" t="s">
        <v>81</v>
      </c>
      <c r="I1096" s="2" t="s">
        <v>82</v>
      </c>
      <c r="J1096" s="2" t="s">
        <v>101</v>
      </c>
      <c r="K1096">
        <v>1.01</v>
      </c>
      <c r="L1096">
        <v>11317987.560000001</v>
      </c>
      <c r="M1096">
        <v>1120592827.72</v>
      </c>
      <c r="N1096" s="2" t="s">
        <v>102</v>
      </c>
      <c r="O1096" s="2" t="s">
        <v>103</v>
      </c>
      <c r="P1096" s="2" t="s">
        <v>104</v>
      </c>
      <c r="Q1096" s="2" t="s">
        <v>2232</v>
      </c>
      <c r="R1096" s="2" t="s">
        <v>29</v>
      </c>
      <c r="S1096" s="2" t="s">
        <v>30</v>
      </c>
    </row>
    <row r="1097" spans="1:19">
      <c r="A1097" s="1">
        <v>44348</v>
      </c>
      <c r="B1097" s="1">
        <v>44348</v>
      </c>
      <c r="C1097">
        <v>2021</v>
      </c>
      <c r="D1097">
        <v>6</v>
      </c>
      <c r="E1097" s="2" t="s">
        <v>106</v>
      </c>
      <c r="F1097" s="2" t="s">
        <v>107</v>
      </c>
      <c r="G1097" s="2" t="s">
        <v>80</v>
      </c>
      <c r="H1097" s="2" t="s">
        <v>81</v>
      </c>
      <c r="I1097" s="2" t="s">
        <v>82</v>
      </c>
      <c r="J1097" s="2" t="s">
        <v>24</v>
      </c>
      <c r="K1097">
        <v>0.23</v>
      </c>
      <c r="L1097">
        <v>5889774.5999999996</v>
      </c>
      <c r="M1097">
        <v>2560771565.2199998</v>
      </c>
      <c r="N1097" s="2" t="s">
        <v>108</v>
      </c>
      <c r="O1097" s="2" t="s">
        <v>109</v>
      </c>
      <c r="P1097" s="2" t="s">
        <v>725</v>
      </c>
      <c r="Q1097" s="2" t="s">
        <v>2233</v>
      </c>
      <c r="R1097" s="2" t="s">
        <v>29</v>
      </c>
      <c r="S1097" s="2" t="s">
        <v>30</v>
      </c>
    </row>
    <row r="1098" spans="1:19">
      <c r="A1098" s="1">
        <v>44348</v>
      </c>
      <c r="B1098" s="1">
        <v>44348</v>
      </c>
      <c r="C1098">
        <v>2021</v>
      </c>
      <c r="D1098">
        <v>6</v>
      </c>
      <c r="E1098" s="2" t="s">
        <v>111</v>
      </c>
      <c r="F1098" s="2" t="s">
        <v>112</v>
      </c>
      <c r="G1098" s="2" t="s">
        <v>80</v>
      </c>
      <c r="H1098" s="2" t="s">
        <v>81</v>
      </c>
      <c r="I1098" s="2" t="s">
        <v>82</v>
      </c>
      <c r="J1098" s="2" t="s">
        <v>24</v>
      </c>
      <c r="K1098">
        <v>7.0000000000000007E-2</v>
      </c>
      <c r="L1098">
        <v>417541</v>
      </c>
      <c r="M1098">
        <v>596487142.86000001</v>
      </c>
      <c r="N1098" s="2" t="s">
        <v>113</v>
      </c>
      <c r="O1098" s="2" t="s">
        <v>114</v>
      </c>
      <c r="P1098" s="2" t="s">
        <v>2234</v>
      </c>
      <c r="Q1098" s="2" t="s">
        <v>2235</v>
      </c>
      <c r="R1098" s="2" t="s">
        <v>29</v>
      </c>
      <c r="S1098" s="2" t="s">
        <v>30</v>
      </c>
    </row>
    <row r="1099" spans="1:19">
      <c r="A1099" s="1">
        <v>44348</v>
      </c>
      <c r="B1099" s="1">
        <v>44348</v>
      </c>
      <c r="C1099">
        <v>2021</v>
      </c>
      <c r="D1099">
        <v>6</v>
      </c>
      <c r="E1099" s="2" t="s">
        <v>117</v>
      </c>
      <c r="F1099" s="2" t="s">
        <v>118</v>
      </c>
      <c r="G1099" s="2" t="s">
        <v>80</v>
      </c>
      <c r="H1099" s="2" t="s">
        <v>81</v>
      </c>
      <c r="I1099" s="2" t="s">
        <v>82</v>
      </c>
      <c r="J1099" s="2" t="s">
        <v>59</v>
      </c>
      <c r="K1099">
        <v>2.9</v>
      </c>
      <c r="L1099">
        <v>17144527.140000001</v>
      </c>
      <c r="M1099">
        <v>591190591.02999997</v>
      </c>
      <c r="N1099" s="2" t="s">
        <v>119</v>
      </c>
      <c r="O1099" s="2" t="s">
        <v>120</v>
      </c>
      <c r="P1099" s="2" t="s">
        <v>1193</v>
      </c>
      <c r="Q1099" s="2" t="s">
        <v>2236</v>
      </c>
      <c r="R1099" s="2" t="s">
        <v>29</v>
      </c>
      <c r="S1099" s="2" t="s">
        <v>30</v>
      </c>
    </row>
    <row r="1100" spans="1:19">
      <c r="A1100" s="1">
        <v>44348</v>
      </c>
      <c r="B1100" s="1">
        <v>44348</v>
      </c>
      <c r="C1100">
        <v>2021</v>
      </c>
      <c r="D1100">
        <v>6</v>
      </c>
      <c r="E1100" s="2" t="s">
        <v>123</v>
      </c>
      <c r="F1100" s="2" t="s">
        <v>124</v>
      </c>
      <c r="G1100" s="2" t="s">
        <v>21</v>
      </c>
      <c r="H1100" s="2" t="s">
        <v>22</v>
      </c>
      <c r="I1100" s="2" t="s">
        <v>73</v>
      </c>
      <c r="J1100" s="2" t="s">
        <v>24</v>
      </c>
      <c r="K1100">
        <v>856.61</v>
      </c>
      <c r="L1100">
        <v>38769</v>
      </c>
      <c r="M1100">
        <v>4525.8599999999997</v>
      </c>
      <c r="N1100" s="2" t="s">
        <v>125</v>
      </c>
      <c r="O1100" s="2" t="s">
        <v>126</v>
      </c>
      <c r="P1100" s="2" t="s">
        <v>2237</v>
      </c>
      <c r="Q1100" s="2" t="s">
        <v>2238</v>
      </c>
      <c r="R1100" s="2" t="s">
        <v>29</v>
      </c>
      <c r="S1100" s="2" t="s">
        <v>30</v>
      </c>
    </row>
    <row r="1101" spans="1:19">
      <c r="A1101" s="1">
        <v>44348</v>
      </c>
      <c r="B1101" s="1">
        <v>44348</v>
      </c>
      <c r="C1101">
        <v>2021</v>
      </c>
      <c r="D1101">
        <v>6</v>
      </c>
      <c r="E1101" s="2" t="s">
        <v>129</v>
      </c>
      <c r="F1101" s="2" t="s">
        <v>130</v>
      </c>
      <c r="G1101" s="2" t="s">
        <v>21</v>
      </c>
      <c r="H1101" s="2" t="s">
        <v>22</v>
      </c>
      <c r="I1101" s="2" t="s">
        <v>73</v>
      </c>
      <c r="J1101" s="2" t="s">
        <v>24</v>
      </c>
      <c r="K1101">
        <v>690.4</v>
      </c>
      <c r="L1101">
        <v>23977.02</v>
      </c>
      <c r="M1101">
        <v>3472.92</v>
      </c>
      <c r="N1101" s="2" t="s">
        <v>131</v>
      </c>
      <c r="O1101" s="2" t="s">
        <v>132</v>
      </c>
      <c r="P1101" s="2" t="s">
        <v>2239</v>
      </c>
      <c r="Q1101" s="2" t="s">
        <v>2240</v>
      </c>
      <c r="R1101" s="2" t="s">
        <v>29</v>
      </c>
      <c r="S1101" s="2" t="s">
        <v>30</v>
      </c>
    </row>
    <row r="1102" spans="1:19">
      <c r="A1102" s="1">
        <v>44348</v>
      </c>
      <c r="B1102" s="1">
        <v>44348</v>
      </c>
      <c r="C1102">
        <v>2021</v>
      </c>
      <c r="D1102">
        <v>6</v>
      </c>
      <c r="E1102" s="2" t="s">
        <v>135</v>
      </c>
      <c r="F1102" s="2" t="s">
        <v>136</v>
      </c>
      <c r="G1102" s="2" t="s">
        <v>21</v>
      </c>
      <c r="H1102" s="2" t="s">
        <v>22</v>
      </c>
      <c r="I1102" s="2" t="s">
        <v>73</v>
      </c>
      <c r="J1102" s="2" t="s">
        <v>101</v>
      </c>
      <c r="K1102">
        <v>1547.01</v>
      </c>
      <c r="L1102">
        <v>62746.02</v>
      </c>
      <c r="M1102">
        <v>4055.95</v>
      </c>
      <c r="N1102" s="2" t="s">
        <v>137</v>
      </c>
      <c r="O1102" s="2" t="s">
        <v>138</v>
      </c>
      <c r="P1102" s="2" t="s">
        <v>2241</v>
      </c>
      <c r="Q1102" s="2" t="s">
        <v>2242</v>
      </c>
      <c r="R1102" s="2" t="s">
        <v>29</v>
      </c>
      <c r="S1102" s="2" t="s">
        <v>30</v>
      </c>
    </row>
    <row r="1103" spans="1:19">
      <c r="A1103" s="1">
        <v>44348</v>
      </c>
      <c r="B1103" s="1">
        <v>44348</v>
      </c>
      <c r="C1103">
        <v>2021</v>
      </c>
      <c r="D1103">
        <v>6</v>
      </c>
      <c r="E1103" s="2" t="s">
        <v>141</v>
      </c>
      <c r="F1103" s="2" t="s">
        <v>142</v>
      </c>
      <c r="G1103" s="2" t="s">
        <v>21</v>
      </c>
      <c r="H1103" s="2" t="s">
        <v>22</v>
      </c>
      <c r="I1103" s="2" t="s">
        <v>73</v>
      </c>
      <c r="J1103" s="2" t="s">
        <v>24</v>
      </c>
      <c r="K1103">
        <v>1441.65</v>
      </c>
      <c r="L1103">
        <v>22300.29</v>
      </c>
      <c r="M1103">
        <v>1546.86</v>
      </c>
      <c r="N1103" s="2" t="s">
        <v>143</v>
      </c>
      <c r="O1103" s="2" t="s">
        <v>144</v>
      </c>
      <c r="P1103" s="2" t="s">
        <v>2243</v>
      </c>
      <c r="Q1103" s="2" t="s">
        <v>2244</v>
      </c>
      <c r="R1103" s="2" t="s">
        <v>29</v>
      </c>
      <c r="S1103" s="2" t="s">
        <v>30</v>
      </c>
    </row>
    <row r="1104" spans="1:19">
      <c r="A1104" s="1">
        <v>44348</v>
      </c>
      <c r="B1104" s="1">
        <v>44348</v>
      </c>
      <c r="C1104">
        <v>2021</v>
      </c>
      <c r="D1104">
        <v>6</v>
      </c>
      <c r="E1104" s="2" t="s">
        <v>147</v>
      </c>
      <c r="F1104" s="2" t="s">
        <v>148</v>
      </c>
      <c r="G1104" s="2" t="s">
        <v>21</v>
      </c>
      <c r="H1104" s="2" t="s">
        <v>22</v>
      </c>
      <c r="I1104" s="2" t="s">
        <v>73</v>
      </c>
      <c r="J1104" s="2" t="s">
        <v>24</v>
      </c>
      <c r="K1104">
        <v>1505.09</v>
      </c>
      <c r="L1104">
        <v>28743.279999999999</v>
      </c>
      <c r="M1104">
        <v>1909.74</v>
      </c>
      <c r="N1104" s="2" t="s">
        <v>149</v>
      </c>
      <c r="O1104" s="2" t="s">
        <v>150</v>
      </c>
      <c r="P1104" s="2" t="s">
        <v>2245</v>
      </c>
      <c r="Q1104" s="2" t="s">
        <v>2246</v>
      </c>
      <c r="R1104" s="2" t="s">
        <v>29</v>
      </c>
      <c r="S1104" s="2" t="s">
        <v>30</v>
      </c>
    </row>
    <row r="1105" spans="1:19">
      <c r="A1105" s="1">
        <v>44348</v>
      </c>
      <c r="B1105" s="1">
        <v>44348</v>
      </c>
      <c r="C1105">
        <v>2021</v>
      </c>
      <c r="D1105">
        <v>6</v>
      </c>
      <c r="E1105" s="2" t="s">
        <v>153</v>
      </c>
      <c r="F1105" s="2" t="s">
        <v>154</v>
      </c>
      <c r="G1105" s="2" t="s">
        <v>21</v>
      </c>
      <c r="H1105" s="2" t="s">
        <v>22</v>
      </c>
      <c r="I1105" s="2" t="s">
        <v>73</v>
      </c>
      <c r="J1105" s="2" t="s">
        <v>101</v>
      </c>
      <c r="K1105">
        <v>2946.74</v>
      </c>
      <c r="L1105">
        <v>51043.57</v>
      </c>
      <c r="M1105">
        <v>1732.2</v>
      </c>
      <c r="N1105" s="2" t="s">
        <v>155</v>
      </c>
      <c r="O1105" s="2" t="s">
        <v>156</v>
      </c>
      <c r="P1105" s="2" t="s">
        <v>2247</v>
      </c>
      <c r="Q1105" s="2" t="s">
        <v>2248</v>
      </c>
      <c r="R1105" s="2" t="s">
        <v>29</v>
      </c>
      <c r="S1105" s="2" t="s">
        <v>30</v>
      </c>
    </row>
    <row r="1106" spans="1:19">
      <c r="A1106" s="1">
        <v>44348</v>
      </c>
      <c r="B1106" s="1">
        <v>44348</v>
      </c>
      <c r="C1106">
        <v>2021</v>
      </c>
      <c r="D1106">
        <v>6</v>
      </c>
      <c r="E1106" s="2" t="s">
        <v>159</v>
      </c>
      <c r="F1106" s="2" t="s">
        <v>160</v>
      </c>
      <c r="G1106" s="2" t="s">
        <v>21</v>
      </c>
      <c r="H1106" s="2" t="s">
        <v>22</v>
      </c>
      <c r="I1106" s="2" t="s">
        <v>66</v>
      </c>
      <c r="J1106" s="2" t="s">
        <v>59</v>
      </c>
      <c r="K1106">
        <v>981.7</v>
      </c>
      <c r="L1106">
        <v>86759.11</v>
      </c>
      <c r="M1106">
        <v>8837.64</v>
      </c>
      <c r="N1106" s="2" t="s">
        <v>161</v>
      </c>
      <c r="O1106" s="2" t="s">
        <v>162</v>
      </c>
      <c r="P1106" s="2" t="s">
        <v>2249</v>
      </c>
      <c r="Q1106" s="2" t="s">
        <v>2250</v>
      </c>
      <c r="R1106" s="2" t="s">
        <v>29</v>
      </c>
      <c r="S1106" s="2" t="s">
        <v>30</v>
      </c>
    </row>
    <row r="1107" spans="1:19">
      <c r="A1107" s="1">
        <v>44348</v>
      </c>
      <c r="B1107" s="1">
        <v>44348</v>
      </c>
      <c r="C1107">
        <v>2021</v>
      </c>
      <c r="D1107">
        <v>6</v>
      </c>
      <c r="E1107" s="2" t="s">
        <v>165</v>
      </c>
      <c r="F1107" s="2" t="s">
        <v>166</v>
      </c>
      <c r="G1107" s="2" t="s">
        <v>21</v>
      </c>
      <c r="H1107" s="2" t="s">
        <v>22</v>
      </c>
      <c r="I1107" s="2" t="s">
        <v>23</v>
      </c>
      <c r="J1107" s="2" t="s">
        <v>24</v>
      </c>
      <c r="K1107">
        <v>0</v>
      </c>
      <c r="L1107">
        <v>0</v>
      </c>
      <c r="N1107" s="2" t="s">
        <v>167</v>
      </c>
      <c r="O1107" s="2" t="s">
        <v>168</v>
      </c>
      <c r="P1107" s="2" t="s">
        <v>639</v>
      </c>
      <c r="Q1107" s="2" t="s">
        <v>639</v>
      </c>
      <c r="R1107" s="2" t="s">
        <v>29</v>
      </c>
      <c r="S1107" s="2" t="s">
        <v>30</v>
      </c>
    </row>
    <row r="1108" spans="1:19">
      <c r="A1108" s="1">
        <v>44348</v>
      </c>
      <c r="B1108" s="1">
        <v>44348</v>
      </c>
      <c r="C1108">
        <v>2021</v>
      </c>
      <c r="D1108">
        <v>6</v>
      </c>
      <c r="E1108" s="2" t="s">
        <v>171</v>
      </c>
      <c r="F1108" s="2" t="s">
        <v>172</v>
      </c>
      <c r="G1108" s="2" t="s">
        <v>21</v>
      </c>
      <c r="H1108" s="2" t="s">
        <v>22</v>
      </c>
      <c r="I1108" s="2" t="s">
        <v>66</v>
      </c>
      <c r="J1108" s="2" t="s">
        <v>24</v>
      </c>
      <c r="N1108" s="2" t="s">
        <v>173</v>
      </c>
      <c r="O1108" s="2" t="s">
        <v>174</v>
      </c>
      <c r="P1108" s="2" t="s">
        <v>175</v>
      </c>
      <c r="Q1108" s="2" t="s">
        <v>175</v>
      </c>
      <c r="R1108" s="2" t="s">
        <v>640</v>
      </c>
      <c r="S1108" s="2" t="s">
        <v>641</v>
      </c>
    </row>
    <row r="1109" spans="1:19">
      <c r="A1109" s="1">
        <v>44348</v>
      </c>
      <c r="B1109" s="1">
        <v>44348</v>
      </c>
      <c r="C1109">
        <v>2021</v>
      </c>
      <c r="D1109">
        <v>6</v>
      </c>
      <c r="E1109" s="2" t="s">
        <v>177</v>
      </c>
      <c r="F1109" s="2" t="s">
        <v>178</v>
      </c>
      <c r="G1109" s="2" t="s">
        <v>21</v>
      </c>
      <c r="H1109" s="2" t="s">
        <v>22</v>
      </c>
      <c r="I1109" s="2" t="s">
        <v>23</v>
      </c>
      <c r="J1109" s="2" t="s">
        <v>24</v>
      </c>
      <c r="K1109">
        <v>3038.45</v>
      </c>
      <c r="L1109">
        <v>284110.78999999998</v>
      </c>
      <c r="M1109">
        <v>9350.52</v>
      </c>
      <c r="N1109" s="2" t="s">
        <v>179</v>
      </c>
      <c r="O1109" s="2" t="s">
        <v>180</v>
      </c>
      <c r="P1109" s="2" t="s">
        <v>2251</v>
      </c>
      <c r="Q1109" s="2" t="s">
        <v>2252</v>
      </c>
      <c r="R1109" s="2" t="s">
        <v>29</v>
      </c>
      <c r="S1109" s="2" t="s">
        <v>30</v>
      </c>
    </row>
    <row r="1110" spans="1:19">
      <c r="A1110" s="1">
        <v>44348</v>
      </c>
      <c r="B1110" s="1">
        <v>44348</v>
      </c>
      <c r="C1110">
        <v>2021</v>
      </c>
      <c r="D1110">
        <v>6</v>
      </c>
      <c r="E1110" s="2" t="s">
        <v>183</v>
      </c>
      <c r="F1110" s="2" t="s">
        <v>184</v>
      </c>
      <c r="G1110" s="2" t="s">
        <v>185</v>
      </c>
      <c r="H1110" s="2" t="s">
        <v>22</v>
      </c>
      <c r="I1110" s="2" t="s">
        <v>186</v>
      </c>
      <c r="J1110" s="2" t="s">
        <v>24</v>
      </c>
      <c r="K1110">
        <v>2358.36</v>
      </c>
      <c r="L1110">
        <v>2361338.44</v>
      </c>
      <c r="M1110">
        <v>100126.29</v>
      </c>
      <c r="N1110" s="2" t="s">
        <v>187</v>
      </c>
      <c r="O1110" s="2" t="s">
        <v>188</v>
      </c>
      <c r="P1110" s="2" t="s">
        <v>2253</v>
      </c>
      <c r="Q1110" s="2" t="s">
        <v>2254</v>
      </c>
      <c r="R1110" s="2" t="s">
        <v>29</v>
      </c>
      <c r="S1110" s="2" t="s">
        <v>30</v>
      </c>
    </row>
    <row r="1111" spans="1:19">
      <c r="A1111" s="1">
        <v>44348</v>
      </c>
      <c r="B1111" s="1">
        <v>44348</v>
      </c>
      <c r="C1111">
        <v>2021</v>
      </c>
      <c r="D1111">
        <v>6</v>
      </c>
      <c r="E1111" s="2" t="s">
        <v>191</v>
      </c>
      <c r="F1111" s="2" t="s">
        <v>192</v>
      </c>
      <c r="G1111" s="2" t="s">
        <v>185</v>
      </c>
      <c r="H1111" s="2" t="s">
        <v>22</v>
      </c>
      <c r="I1111" s="2" t="s">
        <v>186</v>
      </c>
      <c r="J1111" s="2" t="s">
        <v>24</v>
      </c>
      <c r="K1111">
        <v>704.65</v>
      </c>
      <c r="L1111">
        <v>4355718.59</v>
      </c>
      <c r="M1111">
        <v>618139.30000000005</v>
      </c>
      <c r="N1111" s="2" t="s">
        <v>193</v>
      </c>
      <c r="O1111" s="2" t="s">
        <v>194</v>
      </c>
      <c r="P1111" s="2" t="s">
        <v>2255</v>
      </c>
      <c r="Q1111" s="2" t="s">
        <v>2256</v>
      </c>
      <c r="R1111" s="2" t="s">
        <v>29</v>
      </c>
      <c r="S1111" s="2" t="s">
        <v>30</v>
      </c>
    </row>
    <row r="1112" spans="1:19">
      <c r="A1112" s="1">
        <v>44348</v>
      </c>
      <c r="B1112" s="1">
        <v>44348</v>
      </c>
      <c r="C1112">
        <v>2021</v>
      </c>
      <c r="D1112">
        <v>6</v>
      </c>
      <c r="E1112" s="2" t="s">
        <v>197</v>
      </c>
      <c r="F1112" s="2" t="s">
        <v>198</v>
      </c>
      <c r="G1112" s="2" t="s">
        <v>185</v>
      </c>
      <c r="H1112" s="2" t="s">
        <v>22</v>
      </c>
      <c r="I1112" s="2" t="s">
        <v>186</v>
      </c>
      <c r="J1112" s="2" t="s">
        <v>59</v>
      </c>
      <c r="K1112">
        <v>3063</v>
      </c>
      <c r="L1112">
        <v>6717057.0300000003</v>
      </c>
      <c r="M1112">
        <v>219296.67</v>
      </c>
      <c r="N1112" s="2" t="s">
        <v>199</v>
      </c>
      <c r="O1112" s="2" t="s">
        <v>200</v>
      </c>
      <c r="P1112" s="2" t="s">
        <v>2257</v>
      </c>
      <c r="Q1112" s="2" t="s">
        <v>2258</v>
      </c>
      <c r="R1112" s="2" t="s">
        <v>29</v>
      </c>
      <c r="S1112" s="2" t="s">
        <v>30</v>
      </c>
    </row>
    <row r="1113" spans="1:19">
      <c r="A1113" s="1">
        <v>44348</v>
      </c>
      <c r="B1113" s="1">
        <v>44348</v>
      </c>
      <c r="C1113">
        <v>2021</v>
      </c>
      <c r="D1113">
        <v>6</v>
      </c>
      <c r="E1113" s="2" t="s">
        <v>203</v>
      </c>
      <c r="F1113" s="2" t="s">
        <v>204</v>
      </c>
      <c r="G1113" s="2" t="s">
        <v>39</v>
      </c>
      <c r="H1113" s="2" t="s">
        <v>22</v>
      </c>
      <c r="I1113" s="2" t="s">
        <v>40</v>
      </c>
      <c r="J1113" s="2" t="s">
        <v>24</v>
      </c>
      <c r="K1113">
        <v>856.89</v>
      </c>
      <c r="L1113">
        <v>24186.7</v>
      </c>
      <c r="M1113">
        <v>2822.61</v>
      </c>
      <c r="N1113" s="2" t="s">
        <v>205</v>
      </c>
      <c r="O1113" s="2" t="s">
        <v>206</v>
      </c>
      <c r="P1113" s="2" t="s">
        <v>2259</v>
      </c>
      <c r="Q1113" s="2" t="s">
        <v>2260</v>
      </c>
      <c r="R1113" s="2" t="s">
        <v>29</v>
      </c>
      <c r="S1113" s="2" t="s">
        <v>30</v>
      </c>
    </row>
    <row r="1114" spans="1:19">
      <c r="A1114" s="1">
        <v>44348</v>
      </c>
      <c r="B1114" s="1">
        <v>44348</v>
      </c>
      <c r="C1114">
        <v>2021</v>
      </c>
      <c r="D1114">
        <v>6</v>
      </c>
      <c r="E1114" s="2" t="s">
        <v>209</v>
      </c>
      <c r="F1114" s="2" t="s">
        <v>210</v>
      </c>
      <c r="G1114" s="2" t="s">
        <v>39</v>
      </c>
      <c r="H1114" s="2" t="s">
        <v>22</v>
      </c>
      <c r="I1114" s="2" t="s">
        <v>40</v>
      </c>
      <c r="J1114" s="2" t="s">
        <v>59</v>
      </c>
      <c r="K1114">
        <v>856.89</v>
      </c>
      <c r="L1114">
        <v>24186.7</v>
      </c>
      <c r="M1114">
        <v>2822.61</v>
      </c>
      <c r="N1114" s="2" t="s">
        <v>211</v>
      </c>
      <c r="O1114" s="2" t="s">
        <v>212</v>
      </c>
      <c r="P1114" s="2" t="s">
        <v>2259</v>
      </c>
      <c r="Q1114" s="2" t="s">
        <v>2260</v>
      </c>
      <c r="R1114" s="2" t="s">
        <v>29</v>
      </c>
      <c r="S1114" s="2" t="s">
        <v>30</v>
      </c>
    </row>
    <row r="1115" spans="1:19">
      <c r="A1115" s="1">
        <v>44348</v>
      </c>
      <c r="B1115" s="1">
        <v>44348</v>
      </c>
      <c r="C1115">
        <v>2021</v>
      </c>
      <c r="D1115">
        <v>6</v>
      </c>
      <c r="E1115" s="2" t="s">
        <v>213</v>
      </c>
      <c r="F1115" s="2" t="s">
        <v>214</v>
      </c>
      <c r="G1115" s="2" t="s">
        <v>185</v>
      </c>
      <c r="H1115" s="2" t="s">
        <v>22</v>
      </c>
      <c r="I1115" s="2" t="s">
        <v>215</v>
      </c>
      <c r="J1115" s="2" t="s">
        <v>24</v>
      </c>
      <c r="K1115">
        <v>29297.53</v>
      </c>
      <c r="L1115">
        <v>837471.16</v>
      </c>
      <c r="M1115">
        <v>2858.5</v>
      </c>
      <c r="N1115" s="2" t="s">
        <v>216</v>
      </c>
      <c r="O1115" s="2" t="s">
        <v>217</v>
      </c>
      <c r="P1115" s="2" t="s">
        <v>2261</v>
      </c>
      <c r="Q1115" s="2" t="s">
        <v>2262</v>
      </c>
      <c r="R1115" s="2" t="s">
        <v>29</v>
      </c>
      <c r="S1115" s="2" t="s">
        <v>30</v>
      </c>
    </row>
    <row r="1116" spans="1:19">
      <c r="A1116" s="1">
        <v>44348</v>
      </c>
      <c r="B1116" s="1">
        <v>44348</v>
      </c>
      <c r="C1116">
        <v>2021</v>
      </c>
      <c r="D1116">
        <v>6</v>
      </c>
      <c r="E1116" s="2" t="s">
        <v>220</v>
      </c>
      <c r="F1116" s="2" t="s">
        <v>221</v>
      </c>
      <c r="G1116" s="2" t="s">
        <v>185</v>
      </c>
      <c r="H1116" s="2" t="s">
        <v>22</v>
      </c>
      <c r="I1116" s="2" t="s">
        <v>215</v>
      </c>
      <c r="J1116" s="2" t="s">
        <v>24</v>
      </c>
      <c r="K1116">
        <v>2829.58</v>
      </c>
      <c r="L1116">
        <v>196263.54</v>
      </c>
      <c r="M1116">
        <v>6936.14</v>
      </c>
      <c r="N1116" s="2" t="s">
        <v>222</v>
      </c>
      <c r="O1116" s="2" t="s">
        <v>223</v>
      </c>
      <c r="P1116" s="2" t="s">
        <v>2263</v>
      </c>
      <c r="Q1116" s="2" t="s">
        <v>2264</v>
      </c>
      <c r="R1116" s="2" t="s">
        <v>29</v>
      </c>
      <c r="S1116" s="2" t="s">
        <v>30</v>
      </c>
    </row>
    <row r="1117" spans="1:19">
      <c r="A1117" s="1">
        <v>44348</v>
      </c>
      <c r="B1117" s="1">
        <v>44348</v>
      </c>
      <c r="C1117">
        <v>2021</v>
      </c>
      <c r="D1117">
        <v>6</v>
      </c>
      <c r="E1117" s="2" t="s">
        <v>226</v>
      </c>
      <c r="F1117" s="2" t="s">
        <v>227</v>
      </c>
      <c r="G1117" s="2" t="s">
        <v>185</v>
      </c>
      <c r="H1117" s="2" t="s">
        <v>22</v>
      </c>
      <c r="I1117" s="2" t="s">
        <v>215</v>
      </c>
      <c r="J1117" s="2" t="s">
        <v>59</v>
      </c>
      <c r="K1117">
        <v>32127.11</v>
      </c>
      <c r="L1117">
        <v>1033734.71</v>
      </c>
      <c r="M1117">
        <v>3217.64</v>
      </c>
      <c r="N1117" s="2" t="s">
        <v>228</v>
      </c>
      <c r="O1117" s="2" t="s">
        <v>229</v>
      </c>
      <c r="P1117" s="2" t="s">
        <v>2265</v>
      </c>
      <c r="Q1117" s="2" t="s">
        <v>2266</v>
      </c>
      <c r="R1117" s="2" t="s">
        <v>29</v>
      </c>
      <c r="S1117" s="2" t="s">
        <v>30</v>
      </c>
    </row>
    <row r="1118" spans="1:19">
      <c r="A1118" s="1">
        <v>44348</v>
      </c>
      <c r="B1118" s="1">
        <v>44348</v>
      </c>
      <c r="C1118">
        <v>2021</v>
      </c>
      <c r="D1118">
        <v>6</v>
      </c>
      <c r="E1118" s="2" t="s">
        <v>232</v>
      </c>
      <c r="F1118" s="2" t="s">
        <v>233</v>
      </c>
      <c r="G1118" s="2" t="s">
        <v>21</v>
      </c>
      <c r="H1118" s="2" t="s">
        <v>22</v>
      </c>
      <c r="I1118" s="2" t="s">
        <v>23</v>
      </c>
      <c r="J1118" s="2" t="s">
        <v>24</v>
      </c>
      <c r="K1118">
        <v>1498.12</v>
      </c>
      <c r="L1118">
        <v>92266.35</v>
      </c>
      <c r="M1118">
        <v>6158.81</v>
      </c>
      <c r="N1118" s="2" t="s">
        <v>234</v>
      </c>
      <c r="O1118" s="2" t="s">
        <v>235</v>
      </c>
      <c r="P1118" s="2" t="s">
        <v>2267</v>
      </c>
      <c r="Q1118" s="2" t="s">
        <v>2268</v>
      </c>
      <c r="R1118" s="2" t="s">
        <v>29</v>
      </c>
      <c r="S1118" s="2" t="s">
        <v>30</v>
      </c>
    </row>
    <row r="1119" spans="1:19">
      <c r="A1119" s="1">
        <v>44348</v>
      </c>
      <c r="B1119" s="1">
        <v>44348</v>
      </c>
      <c r="C1119">
        <v>2021</v>
      </c>
      <c r="D1119">
        <v>6</v>
      </c>
      <c r="E1119" s="2" t="s">
        <v>238</v>
      </c>
      <c r="F1119" s="2" t="s">
        <v>239</v>
      </c>
      <c r="G1119" s="2" t="s">
        <v>21</v>
      </c>
      <c r="H1119" s="2" t="s">
        <v>22</v>
      </c>
      <c r="I1119" s="2" t="s">
        <v>66</v>
      </c>
      <c r="J1119" s="2" t="s">
        <v>24</v>
      </c>
      <c r="K1119">
        <v>878.73</v>
      </c>
      <c r="L1119">
        <v>86214.75</v>
      </c>
      <c r="M1119">
        <v>9811.2900000000009</v>
      </c>
      <c r="N1119" s="2" t="s">
        <v>240</v>
      </c>
      <c r="O1119" s="2" t="s">
        <v>241</v>
      </c>
      <c r="P1119" s="2" t="s">
        <v>2269</v>
      </c>
      <c r="Q1119" s="2" t="s">
        <v>2270</v>
      </c>
      <c r="R1119" s="2" t="s">
        <v>29</v>
      </c>
      <c r="S1119" s="2" t="s">
        <v>30</v>
      </c>
    </row>
    <row r="1120" spans="1:19">
      <c r="A1120" s="1">
        <v>44348</v>
      </c>
      <c r="B1120" s="1">
        <v>44348</v>
      </c>
      <c r="C1120">
        <v>2021</v>
      </c>
      <c r="D1120">
        <v>6</v>
      </c>
      <c r="E1120" s="2" t="s">
        <v>244</v>
      </c>
      <c r="F1120" s="2" t="s">
        <v>245</v>
      </c>
      <c r="G1120" s="2" t="s">
        <v>21</v>
      </c>
      <c r="H1120" s="2" t="s">
        <v>22</v>
      </c>
      <c r="I1120" s="2" t="s">
        <v>23</v>
      </c>
      <c r="J1120" s="2" t="s">
        <v>24</v>
      </c>
      <c r="K1120">
        <v>2923.27</v>
      </c>
      <c r="L1120">
        <v>2097771.14</v>
      </c>
      <c r="M1120">
        <v>71761.11</v>
      </c>
      <c r="N1120" s="2" t="s">
        <v>246</v>
      </c>
      <c r="O1120" s="2" t="s">
        <v>247</v>
      </c>
      <c r="P1120" s="2" t="s">
        <v>2271</v>
      </c>
      <c r="Q1120" s="2" t="s">
        <v>2272</v>
      </c>
      <c r="R1120" s="2" t="s">
        <v>29</v>
      </c>
      <c r="S1120" s="2" t="s">
        <v>30</v>
      </c>
    </row>
    <row r="1121" spans="1:19">
      <c r="A1121" s="1">
        <v>44348</v>
      </c>
      <c r="B1121" s="1">
        <v>44348</v>
      </c>
      <c r="C1121">
        <v>2021</v>
      </c>
      <c r="D1121">
        <v>6</v>
      </c>
      <c r="E1121" s="2" t="s">
        <v>250</v>
      </c>
      <c r="F1121" s="2" t="s">
        <v>251</v>
      </c>
      <c r="G1121" s="2" t="s">
        <v>21</v>
      </c>
      <c r="H1121" s="2" t="s">
        <v>22</v>
      </c>
      <c r="I1121" s="2" t="s">
        <v>66</v>
      </c>
      <c r="J1121" s="2" t="s">
        <v>24</v>
      </c>
      <c r="K1121">
        <v>85.31</v>
      </c>
      <c r="L1121">
        <v>127.68</v>
      </c>
      <c r="M1121">
        <v>149.66999999999999</v>
      </c>
      <c r="N1121" s="2" t="s">
        <v>252</v>
      </c>
      <c r="O1121" s="2" t="s">
        <v>253</v>
      </c>
      <c r="P1121" s="2" t="s">
        <v>2273</v>
      </c>
      <c r="Q1121" s="2" t="s">
        <v>2274</v>
      </c>
      <c r="R1121" s="2" t="s">
        <v>29</v>
      </c>
      <c r="S1121" s="2" t="s">
        <v>30</v>
      </c>
    </row>
    <row r="1122" spans="1:19">
      <c r="A1122" s="1">
        <v>44348</v>
      </c>
      <c r="B1122" s="1">
        <v>44348</v>
      </c>
      <c r="C1122">
        <v>2021</v>
      </c>
      <c r="D1122">
        <v>6</v>
      </c>
      <c r="E1122" s="2" t="s">
        <v>256</v>
      </c>
      <c r="F1122" s="2" t="s">
        <v>257</v>
      </c>
      <c r="G1122" s="2" t="s">
        <v>21</v>
      </c>
      <c r="H1122" s="2" t="s">
        <v>22</v>
      </c>
      <c r="I1122" s="2" t="s">
        <v>258</v>
      </c>
      <c r="J1122" s="2" t="s">
        <v>24</v>
      </c>
      <c r="K1122">
        <v>511.38</v>
      </c>
      <c r="L1122">
        <v>477429.95</v>
      </c>
      <c r="M1122">
        <v>93361.09</v>
      </c>
      <c r="N1122" s="2" t="s">
        <v>259</v>
      </c>
      <c r="O1122" s="2" t="s">
        <v>260</v>
      </c>
      <c r="P1122" s="2" t="s">
        <v>2275</v>
      </c>
      <c r="Q1122" s="2" t="s">
        <v>2276</v>
      </c>
      <c r="R1122" s="2" t="s">
        <v>29</v>
      </c>
      <c r="S1122" s="2" t="s">
        <v>30</v>
      </c>
    </row>
    <row r="1123" spans="1:19">
      <c r="A1123" s="1">
        <v>44348</v>
      </c>
      <c r="B1123" s="1">
        <v>44348</v>
      </c>
      <c r="C1123">
        <v>2021</v>
      </c>
      <c r="D1123">
        <v>6</v>
      </c>
      <c r="E1123" s="2" t="s">
        <v>263</v>
      </c>
      <c r="F1123" s="2" t="s">
        <v>264</v>
      </c>
      <c r="G1123" s="2" t="s">
        <v>21</v>
      </c>
      <c r="H1123" s="2" t="s">
        <v>22</v>
      </c>
      <c r="I1123" s="2" t="s">
        <v>258</v>
      </c>
      <c r="J1123" s="2" t="s">
        <v>24</v>
      </c>
      <c r="K1123">
        <v>0</v>
      </c>
      <c r="L1123">
        <v>0</v>
      </c>
      <c r="N1123" s="2" t="s">
        <v>265</v>
      </c>
      <c r="O1123" s="2" t="s">
        <v>266</v>
      </c>
      <c r="P1123" s="2" t="s">
        <v>639</v>
      </c>
      <c r="Q1123" s="2" t="s">
        <v>639</v>
      </c>
      <c r="R1123" s="2" t="s">
        <v>29</v>
      </c>
      <c r="S1123" s="2" t="s">
        <v>30</v>
      </c>
    </row>
    <row r="1124" spans="1:19">
      <c r="A1124" s="1">
        <v>44348</v>
      </c>
      <c r="B1124" s="1">
        <v>44348</v>
      </c>
      <c r="C1124">
        <v>2021</v>
      </c>
      <c r="D1124">
        <v>6</v>
      </c>
      <c r="E1124" s="2" t="s">
        <v>269</v>
      </c>
      <c r="F1124" s="2" t="s">
        <v>270</v>
      </c>
      <c r="G1124" s="2" t="s">
        <v>21</v>
      </c>
      <c r="H1124" s="2" t="s">
        <v>22</v>
      </c>
      <c r="I1124" s="2" t="s">
        <v>258</v>
      </c>
      <c r="J1124" s="2" t="s">
        <v>59</v>
      </c>
      <c r="K1124">
        <v>511.38</v>
      </c>
      <c r="L1124">
        <v>477429.95</v>
      </c>
      <c r="M1124">
        <v>93361.09</v>
      </c>
      <c r="N1124" s="2" t="s">
        <v>271</v>
      </c>
      <c r="O1124" s="2" t="s">
        <v>272</v>
      </c>
      <c r="P1124" s="2" t="s">
        <v>2275</v>
      </c>
      <c r="Q1124" s="2" t="s">
        <v>2276</v>
      </c>
      <c r="R1124" s="2" t="s">
        <v>29</v>
      </c>
      <c r="S1124" s="2" t="s">
        <v>30</v>
      </c>
    </row>
    <row r="1125" spans="1:19">
      <c r="A1125" s="1">
        <v>44348</v>
      </c>
      <c r="B1125" s="1">
        <v>44348</v>
      </c>
      <c r="C1125">
        <v>2021</v>
      </c>
      <c r="D1125">
        <v>6</v>
      </c>
      <c r="E1125" s="2" t="s">
        <v>275</v>
      </c>
      <c r="F1125" s="2" t="s">
        <v>276</v>
      </c>
      <c r="G1125" s="2" t="s">
        <v>39</v>
      </c>
      <c r="H1125" s="2" t="s">
        <v>22</v>
      </c>
      <c r="I1125" s="2" t="s">
        <v>40</v>
      </c>
      <c r="J1125" s="2" t="s">
        <v>24</v>
      </c>
      <c r="K1125">
        <v>7.03</v>
      </c>
      <c r="L1125">
        <v>43.7</v>
      </c>
      <c r="M1125">
        <v>621.62</v>
      </c>
      <c r="N1125" s="2" t="s">
        <v>277</v>
      </c>
      <c r="O1125" s="2" t="s">
        <v>278</v>
      </c>
      <c r="P1125" s="2" t="s">
        <v>2277</v>
      </c>
      <c r="Q1125" s="2" t="s">
        <v>2278</v>
      </c>
      <c r="R1125" s="2" t="s">
        <v>29</v>
      </c>
      <c r="S1125" s="2" t="s">
        <v>30</v>
      </c>
    </row>
    <row r="1126" spans="1:19">
      <c r="A1126" s="1">
        <v>44348</v>
      </c>
      <c r="B1126" s="1">
        <v>44348</v>
      </c>
      <c r="C1126">
        <v>2021</v>
      </c>
      <c r="D1126">
        <v>6</v>
      </c>
      <c r="E1126" s="2" t="s">
        <v>281</v>
      </c>
      <c r="F1126" s="2" t="s">
        <v>282</v>
      </c>
      <c r="G1126" s="2" t="s">
        <v>39</v>
      </c>
      <c r="H1126" s="2" t="s">
        <v>22</v>
      </c>
      <c r="I1126" s="2" t="s">
        <v>40</v>
      </c>
      <c r="J1126" s="2" t="s">
        <v>24</v>
      </c>
      <c r="K1126">
        <v>0.84</v>
      </c>
      <c r="L1126">
        <v>15.23</v>
      </c>
      <c r="M1126">
        <v>1813.1</v>
      </c>
      <c r="N1126" s="2" t="s">
        <v>283</v>
      </c>
      <c r="O1126" s="2" t="s">
        <v>284</v>
      </c>
      <c r="P1126" s="2" t="s">
        <v>383</v>
      </c>
      <c r="Q1126" s="2" t="s">
        <v>2279</v>
      </c>
      <c r="R1126" s="2" t="s">
        <v>29</v>
      </c>
      <c r="S1126" s="2" t="s">
        <v>30</v>
      </c>
    </row>
    <row r="1127" spans="1:19">
      <c r="A1127" s="1">
        <v>44348</v>
      </c>
      <c r="B1127" s="1">
        <v>44348</v>
      </c>
      <c r="C1127">
        <v>2021</v>
      </c>
      <c r="D1127">
        <v>6</v>
      </c>
      <c r="E1127" s="2" t="s">
        <v>287</v>
      </c>
      <c r="F1127" s="2" t="s">
        <v>288</v>
      </c>
      <c r="G1127" s="2" t="s">
        <v>39</v>
      </c>
      <c r="H1127" s="2" t="s">
        <v>22</v>
      </c>
      <c r="I1127" s="2" t="s">
        <v>40</v>
      </c>
      <c r="J1127" s="2" t="s">
        <v>59</v>
      </c>
      <c r="K1127">
        <v>7.87</v>
      </c>
      <c r="L1127">
        <v>58.93</v>
      </c>
      <c r="M1127">
        <v>748.79</v>
      </c>
      <c r="N1127" s="2" t="s">
        <v>289</v>
      </c>
      <c r="O1127" s="2" t="s">
        <v>290</v>
      </c>
      <c r="P1127" s="2" t="s">
        <v>2280</v>
      </c>
      <c r="Q1127" s="2" t="s">
        <v>2281</v>
      </c>
      <c r="R1127" s="2" t="s">
        <v>29</v>
      </c>
      <c r="S1127" s="2" t="s">
        <v>30</v>
      </c>
    </row>
    <row r="1128" spans="1:19">
      <c r="A1128" s="1">
        <v>44348</v>
      </c>
      <c r="B1128" s="1">
        <v>44348</v>
      </c>
      <c r="C1128">
        <v>2021</v>
      </c>
      <c r="D1128">
        <v>6</v>
      </c>
      <c r="E1128" s="2" t="s">
        <v>293</v>
      </c>
      <c r="F1128" s="2" t="s">
        <v>294</v>
      </c>
      <c r="G1128" s="2" t="s">
        <v>21</v>
      </c>
      <c r="H1128" s="2" t="s">
        <v>22</v>
      </c>
      <c r="I1128" s="2" t="s">
        <v>295</v>
      </c>
      <c r="J1128" s="2" t="s">
        <v>24</v>
      </c>
      <c r="K1128">
        <v>629.36</v>
      </c>
      <c r="L1128">
        <v>2140.4899999999998</v>
      </c>
      <c r="M1128">
        <v>340.11</v>
      </c>
      <c r="N1128" s="2" t="s">
        <v>296</v>
      </c>
      <c r="O1128" s="2" t="s">
        <v>297</v>
      </c>
      <c r="P1128" s="2" t="s">
        <v>2282</v>
      </c>
      <c r="Q1128" s="2" t="s">
        <v>2283</v>
      </c>
      <c r="R1128" s="2" t="s">
        <v>29</v>
      </c>
      <c r="S1128" s="2" t="s">
        <v>30</v>
      </c>
    </row>
    <row r="1129" spans="1:19">
      <c r="A1129" s="1">
        <v>44348</v>
      </c>
      <c r="B1129" s="1">
        <v>44348</v>
      </c>
      <c r="C1129">
        <v>2021</v>
      </c>
      <c r="D1129">
        <v>6</v>
      </c>
      <c r="E1129" s="2" t="s">
        <v>300</v>
      </c>
      <c r="F1129" s="2" t="s">
        <v>301</v>
      </c>
      <c r="G1129" s="2" t="s">
        <v>21</v>
      </c>
      <c r="H1129" s="2" t="s">
        <v>22</v>
      </c>
      <c r="I1129" s="2" t="s">
        <v>295</v>
      </c>
      <c r="J1129" s="2" t="s">
        <v>24</v>
      </c>
      <c r="K1129">
        <v>50.54</v>
      </c>
      <c r="L1129">
        <v>667.4</v>
      </c>
      <c r="M1129">
        <v>1320.54</v>
      </c>
      <c r="N1129" s="2" t="s">
        <v>302</v>
      </c>
      <c r="O1129" s="2" t="s">
        <v>303</v>
      </c>
      <c r="P1129" s="2" t="s">
        <v>2284</v>
      </c>
      <c r="Q1129" s="2" t="s">
        <v>2285</v>
      </c>
      <c r="R1129" s="2" t="s">
        <v>29</v>
      </c>
      <c r="S1129" s="2" t="s">
        <v>30</v>
      </c>
    </row>
    <row r="1130" spans="1:19">
      <c r="A1130" s="1">
        <v>44348</v>
      </c>
      <c r="B1130" s="1">
        <v>44348</v>
      </c>
      <c r="C1130">
        <v>2021</v>
      </c>
      <c r="D1130">
        <v>6</v>
      </c>
      <c r="E1130" s="2" t="s">
        <v>306</v>
      </c>
      <c r="F1130" s="2" t="s">
        <v>307</v>
      </c>
      <c r="G1130" s="2" t="s">
        <v>21</v>
      </c>
      <c r="H1130" s="2" t="s">
        <v>22</v>
      </c>
      <c r="I1130" s="2" t="s">
        <v>295</v>
      </c>
      <c r="J1130" s="2" t="s">
        <v>101</v>
      </c>
      <c r="K1130">
        <v>679.91</v>
      </c>
      <c r="L1130">
        <v>2807.89</v>
      </c>
      <c r="M1130">
        <v>412.98</v>
      </c>
      <c r="N1130" s="2" t="s">
        <v>308</v>
      </c>
      <c r="O1130" s="2" t="s">
        <v>309</v>
      </c>
      <c r="P1130" s="2" t="s">
        <v>2286</v>
      </c>
      <c r="Q1130" s="2" t="s">
        <v>2287</v>
      </c>
      <c r="R1130" s="2" t="s">
        <v>29</v>
      </c>
      <c r="S1130" s="2" t="s">
        <v>30</v>
      </c>
    </row>
    <row r="1131" spans="1:19">
      <c r="A1131" s="1">
        <v>44348</v>
      </c>
      <c r="B1131" s="1">
        <v>44348</v>
      </c>
      <c r="C1131">
        <v>2021</v>
      </c>
      <c r="D1131">
        <v>6</v>
      </c>
      <c r="E1131" s="2" t="s">
        <v>312</v>
      </c>
      <c r="F1131" s="2" t="s">
        <v>313</v>
      </c>
      <c r="G1131" s="2" t="s">
        <v>21</v>
      </c>
      <c r="H1131" s="2" t="s">
        <v>22</v>
      </c>
      <c r="I1131" s="2" t="s">
        <v>295</v>
      </c>
      <c r="J1131" s="2" t="s">
        <v>59</v>
      </c>
      <c r="K1131">
        <v>4585.92</v>
      </c>
      <c r="L1131">
        <v>18656.759999999998</v>
      </c>
      <c r="M1131">
        <v>406.83</v>
      </c>
      <c r="N1131" s="2" t="s">
        <v>314</v>
      </c>
      <c r="O1131" s="2" t="s">
        <v>315</v>
      </c>
      <c r="P1131" s="2" t="s">
        <v>2288</v>
      </c>
      <c r="Q1131" s="2" t="s">
        <v>2289</v>
      </c>
      <c r="R1131" s="2" t="s">
        <v>29</v>
      </c>
      <c r="S1131" s="2" t="s">
        <v>30</v>
      </c>
    </row>
    <row r="1132" spans="1:19">
      <c r="A1132" s="1">
        <v>44348</v>
      </c>
      <c r="B1132" s="1">
        <v>44348</v>
      </c>
      <c r="C1132">
        <v>2021</v>
      </c>
      <c r="D1132">
        <v>6</v>
      </c>
      <c r="E1132" s="2" t="s">
        <v>318</v>
      </c>
      <c r="F1132" s="2" t="s">
        <v>319</v>
      </c>
      <c r="G1132" s="2" t="s">
        <v>21</v>
      </c>
      <c r="H1132" s="2" t="s">
        <v>22</v>
      </c>
      <c r="I1132" s="2" t="s">
        <v>295</v>
      </c>
      <c r="J1132" s="2" t="s">
        <v>24</v>
      </c>
      <c r="K1132">
        <v>3906.02</v>
      </c>
      <c r="L1132">
        <v>15848.86</v>
      </c>
      <c r="M1132">
        <v>405.75</v>
      </c>
      <c r="N1132" s="2" t="s">
        <v>320</v>
      </c>
      <c r="O1132" s="2" t="s">
        <v>321</v>
      </c>
      <c r="P1132" s="2" t="s">
        <v>2290</v>
      </c>
      <c r="Q1132" s="2" t="s">
        <v>2291</v>
      </c>
      <c r="R1132" s="2" t="s">
        <v>29</v>
      </c>
      <c r="S1132" s="2" t="s">
        <v>30</v>
      </c>
    </row>
    <row r="1133" spans="1:19">
      <c r="A1133" s="1">
        <v>44348</v>
      </c>
      <c r="B1133" s="1">
        <v>44348</v>
      </c>
      <c r="C1133">
        <v>2021</v>
      </c>
      <c r="D1133">
        <v>6</v>
      </c>
      <c r="E1133" s="2" t="s">
        <v>324</v>
      </c>
      <c r="F1133" s="2" t="s">
        <v>325</v>
      </c>
      <c r="G1133" s="2" t="s">
        <v>21</v>
      </c>
      <c r="H1133" s="2" t="s">
        <v>22</v>
      </c>
      <c r="I1133" s="2" t="s">
        <v>23</v>
      </c>
      <c r="J1133" s="2" t="s">
        <v>59</v>
      </c>
      <c r="K1133">
        <v>36684.400000000001</v>
      </c>
      <c r="L1133">
        <v>3029727.61</v>
      </c>
      <c r="M1133">
        <v>8258.9</v>
      </c>
      <c r="N1133" s="2" t="s">
        <v>326</v>
      </c>
      <c r="O1133" s="2" t="s">
        <v>327</v>
      </c>
      <c r="P1133" s="2" t="s">
        <v>2292</v>
      </c>
      <c r="Q1133" s="2" t="s">
        <v>2293</v>
      </c>
      <c r="R1133" s="2" t="s">
        <v>29</v>
      </c>
      <c r="S1133" s="2" t="s">
        <v>30</v>
      </c>
    </row>
    <row r="1134" spans="1:19">
      <c r="A1134" s="1">
        <v>44348</v>
      </c>
      <c r="B1134" s="1">
        <v>44348</v>
      </c>
      <c r="C1134">
        <v>2021</v>
      </c>
      <c r="D1134">
        <v>6</v>
      </c>
      <c r="E1134" s="2" t="s">
        <v>330</v>
      </c>
      <c r="F1134" s="2" t="s">
        <v>331</v>
      </c>
      <c r="G1134" s="2" t="s">
        <v>21</v>
      </c>
      <c r="H1134" s="2" t="s">
        <v>332</v>
      </c>
      <c r="I1134" s="2" t="s">
        <v>333</v>
      </c>
      <c r="J1134" s="2" t="s">
        <v>24</v>
      </c>
      <c r="K1134">
        <v>152.91999999999999</v>
      </c>
      <c r="L1134">
        <v>8887545.8000000007</v>
      </c>
      <c r="M1134">
        <v>5811892.3600000003</v>
      </c>
      <c r="N1134" s="2" t="s">
        <v>334</v>
      </c>
      <c r="O1134" s="2" t="s">
        <v>335</v>
      </c>
      <c r="P1134" s="2" t="s">
        <v>2294</v>
      </c>
      <c r="Q1134" s="2" t="s">
        <v>2295</v>
      </c>
      <c r="R1134" s="2" t="s">
        <v>29</v>
      </c>
      <c r="S1134" s="2" t="s">
        <v>30</v>
      </c>
    </row>
    <row r="1135" spans="1:19">
      <c r="A1135" s="1">
        <v>44348</v>
      </c>
      <c r="B1135" s="1">
        <v>44348</v>
      </c>
      <c r="C1135">
        <v>2021</v>
      </c>
      <c r="D1135">
        <v>6</v>
      </c>
      <c r="E1135" s="2" t="s">
        <v>338</v>
      </c>
      <c r="F1135" s="2" t="s">
        <v>339</v>
      </c>
      <c r="G1135" s="2" t="s">
        <v>21</v>
      </c>
      <c r="H1135" s="2" t="s">
        <v>332</v>
      </c>
      <c r="I1135" s="2" t="s">
        <v>333</v>
      </c>
      <c r="J1135" s="2" t="s">
        <v>24</v>
      </c>
      <c r="K1135">
        <v>1.22</v>
      </c>
      <c r="L1135">
        <v>1309443.6399999999</v>
      </c>
      <c r="M1135">
        <v>107331445.90000001</v>
      </c>
      <c r="N1135" s="2" t="s">
        <v>340</v>
      </c>
      <c r="O1135" s="2" t="s">
        <v>341</v>
      </c>
      <c r="P1135" s="2" t="s">
        <v>1140</v>
      </c>
      <c r="Q1135" s="2" t="s">
        <v>2296</v>
      </c>
      <c r="R1135" s="2" t="s">
        <v>29</v>
      </c>
      <c r="S1135" s="2" t="s">
        <v>30</v>
      </c>
    </row>
    <row r="1136" spans="1:19">
      <c r="A1136" s="1">
        <v>44348</v>
      </c>
      <c r="B1136" s="1">
        <v>44348</v>
      </c>
      <c r="C1136">
        <v>2021</v>
      </c>
      <c r="D1136">
        <v>6</v>
      </c>
      <c r="E1136" s="2" t="s">
        <v>344</v>
      </c>
      <c r="F1136" s="2" t="s">
        <v>345</v>
      </c>
      <c r="G1136" s="2" t="s">
        <v>21</v>
      </c>
      <c r="H1136" s="2" t="s">
        <v>332</v>
      </c>
      <c r="I1136" s="2" t="s">
        <v>333</v>
      </c>
      <c r="J1136" s="2" t="s">
        <v>59</v>
      </c>
      <c r="K1136">
        <v>154.13999999999999</v>
      </c>
      <c r="L1136">
        <v>10196989.439999999</v>
      </c>
      <c r="M1136">
        <v>6615407.71</v>
      </c>
      <c r="N1136" s="2" t="s">
        <v>346</v>
      </c>
      <c r="O1136" s="2" t="s">
        <v>347</v>
      </c>
      <c r="P1136" s="2" t="s">
        <v>2297</v>
      </c>
      <c r="Q1136" s="2" t="s">
        <v>2298</v>
      </c>
      <c r="R1136" s="2" t="s">
        <v>29</v>
      </c>
      <c r="S1136" s="2" t="s">
        <v>30</v>
      </c>
    </row>
    <row r="1137" spans="1:19">
      <c r="A1137" s="1">
        <v>44348</v>
      </c>
      <c r="B1137" s="1">
        <v>44348</v>
      </c>
      <c r="C1137">
        <v>2021</v>
      </c>
      <c r="D1137">
        <v>6</v>
      </c>
      <c r="E1137" s="2" t="s">
        <v>350</v>
      </c>
      <c r="F1137" s="2" t="s">
        <v>351</v>
      </c>
      <c r="G1137" s="2" t="s">
        <v>21</v>
      </c>
      <c r="H1137" s="2" t="s">
        <v>22</v>
      </c>
      <c r="I1137" s="2" t="s">
        <v>352</v>
      </c>
      <c r="J1137" s="2" t="s">
        <v>353</v>
      </c>
      <c r="K1137">
        <v>46899.91</v>
      </c>
      <c r="L1137">
        <v>13445922.51</v>
      </c>
      <c r="M1137">
        <v>28669.4</v>
      </c>
      <c r="N1137" s="2" t="s">
        <v>354</v>
      </c>
      <c r="O1137" s="2" t="s">
        <v>355</v>
      </c>
      <c r="P1137" s="2" t="s">
        <v>2299</v>
      </c>
      <c r="Q1137" s="2" t="s">
        <v>2300</v>
      </c>
      <c r="R1137" s="2" t="s">
        <v>29</v>
      </c>
      <c r="S1137" s="2" t="s">
        <v>30</v>
      </c>
    </row>
    <row r="1138" spans="1:19">
      <c r="A1138" s="1">
        <v>44348</v>
      </c>
      <c r="B1138" s="1">
        <v>44348</v>
      </c>
      <c r="C1138">
        <v>2021</v>
      </c>
      <c r="D1138">
        <v>6</v>
      </c>
      <c r="E1138" s="2" t="s">
        <v>358</v>
      </c>
      <c r="F1138" s="2" t="s">
        <v>359</v>
      </c>
      <c r="G1138" s="2" t="s">
        <v>21</v>
      </c>
      <c r="H1138" s="2" t="s">
        <v>22</v>
      </c>
      <c r="I1138" s="2" t="s">
        <v>352</v>
      </c>
      <c r="J1138" s="2" t="s">
        <v>353</v>
      </c>
      <c r="K1138">
        <v>47411.29</v>
      </c>
      <c r="L1138">
        <v>13923352.460000001</v>
      </c>
      <c r="M1138">
        <v>29367.17</v>
      </c>
      <c r="N1138" s="2" t="s">
        <v>360</v>
      </c>
      <c r="O1138" s="2" t="s">
        <v>361</v>
      </c>
      <c r="P1138" s="2" t="s">
        <v>2301</v>
      </c>
      <c r="Q1138" s="2" t="s">
        <v>2302</v>
      </c>
      <c r="R1138" s="2" t="s">
        <v>29</v>
      </c>
      <c r="S1138" s="2" t="s">
        <v>30</v>
      </c>
    </row>
    <row r="1139" spans="1:19">
      <c r="A1139" s="1">
        <v>44348</v>
      </c>
      <c r="B1139" s="1">
        <v>44348</v>
      </c>
      <c r="C1139">
        <v>2021</v>
      </c>
      <c r="D1139">
        <v>6</v>
      </c>
      <c r="E1139" s="2" t="s">
        <v>364</v>
      </c>
      <c r="F1139" s="2" t="s">
        <v>365</v>
      </c>
      <c r="G1139" s="2" t="s">
        <v>21</v>
      </c>
      <c r="H1139" s="2" t="s">
        <v>22</v>
      </c>
      <c r="I1139" s="2" t="s">
        <v>352</v>
      </c>
      <c r="J1139" s="2" t="s">
        <v>353</v>
      </c>
      <c r="K1139">
        <v>47257.15</v>
      </c>
      <c r="L1139">
        <v>3726363.02</v>
      </c>
      <c r="M1139">
        <v>7885.29</v>
      </c>
      <c r="N1139" s="2" t="s">
        <v>366</v>
      </c>
      <c r="O1139" s="2" t="s">
        <v>367</v>
      </c>
      <c r="P1139" s="2" t="s">
        <v>2303</v>
      </c>
      <c r="Q1139" s="2" t="s">
        <v>2304</v>
      </c>
      <c r="R1139" s="2" t="s">
        <v>29</v>
      </c>
      <c r="S1139" s="2" t="s">
        <v>30</v>
      </c>
    </row>
    <row r="1140" spans="1:19">
      <c r="A1140" s="1">
        <v>44348</v>
      </c>
      <c r="B1140" s="1">
        <v>44348</v>
      </c>
      <c r="C1140">
        <v>2021</v>
      </c>
      <c r="D1140">
        <v>6</v>
      </c>
      <c r="E1140" s="2" t="s">
        <v>370</v>
      </c>
      <c r="F1140" s="2" t="s">
        <v>371</v>
      </c>
      <c r="G1140" s="2" t="s">
        <v>21</v>
      </c>
      <c r="H1140" s="2" t="s">
        <v>22</v>
      </c>
      <c r="I1140" s="2" t="s">
        <v>23</v>
      </c>
      <c r="J1140" s="2" t="s">
        <v>24</v>
      </c>
      <c r="K1140">
        <v>28075.16</v>
      </c>
      <c r="L1140">
        <v>547373.16</v>
      </c>
      <c r="M1140">
        <v>1949.67</v>
      </c>
      <c r="N1140" s="2" t="s">
        <v>372</v>
      </c>
      <c r="O1140" s="2" t="s">
        <v>373</v>
      </c>
      <c r="P1140" s="2" t="s">
        <v>2305</v>
      </c>
      <c r="Q1140" s="2" t="s">
        <v>2306</v>
      </c>
      <c r="R1140" s="2" t="s">
        <v>29</v>
      </c>
      <c r="S1140" s="2" t="s">
        <v>30</v>
      </c>
    </row>
    <row r="1141" spans="1:19">
      <c r="A1141" s="1">
        <v>44348</v>
      </c>
      <c r="B1141" s="1">
        <v>44348</v>
      </c>
      <c r="C1141">
        <v>2021</v>
      </c>
      <c r="D1141">
        <v>6</v>
      </c>
      <c r="E1141" s="2" t="s">
        <v>376</v>
      </c>
      <c r="F1141" s="2" t="s">
        <v>377</v>
      </c>
      <c r="G1141" s="2" t="s">
        <v>21</v>
      </c>
      <c r="H1141" s="2" t="s">
        <v>22</v>
      </c>
      <c r="I1141" s="2" t="s">
        <v>23</v>
      </c>
      <c r="J1141" s="2" t="s">
        <v>378</v>
      </c>
      <c r="K1141">
        <v>1.03</v>
      </c>
      <c r="L1141">
        <v>16.010000000000002</v>
      </c>
      <c r="M1141">
        <v>1554.37</v>
      </c>
      <c r="N1141" s="2" t="s">
        <v>379</v>
      </c>
      <c r="O1141" s="2" t="s">
        <v>380</v>
      </c>
      <c r="P1141" s="2" t="s">
        <v>1628</v>
      </c>
      <c r="Q1141" s="2" t="s">
        <v>2307</v>
      </c>
      <c r="R1141" s="2" t="s">
        <v>29</v>
      </c>
      <c r="S1141" s="2" t="s">
        <v>30</v>
      </c>
    </row>
    <row r="1142" spans="1:19">
      <c r="A1142" s="1">
        <v>44378</v>
      </c>
      <c r="B1142" s="1">
        <v>44378</v>
      </c>
      <c r="C1142">
        <v>2021</v>
      </c>
      <c r="D1142">
        <v>7</v>
      </c>
      <c r="E1142" s="2" t="s">
        <v>19</v>
      </c>
      <c r="F1142" s="2" t="s">
        <v>20</v>
      </c>
      <c r="G1142" s="2" t="s">
        <v>21</v>
      </c>
      <c r="H1142" s="2" t="s">
        <v>22</v>
      </c>
      <c r="I1142" s="2" t="s">
        <v>23</v>
      </c>
      <c r="J1142" s="2" t="s">
        <v>24</v>
      </c>
      <c r="K1142">
        <v>1.03</v>
      </c>
      <c r="L1142">
        <v>60.78</v>
      </c>
      <c r="M1142">
        <v>5900.97</v>
      </c>
      <c r="N1142" s="2" t="s">
        <v>25</v>
      </c>
      <c r="O1142" s="2" t="s">
        <v>26</v>
      </c>
      <c r="P1142" s="2" t="s">
        <v>1628</v>
      </c>
      <c r="Q1142" s="2" t="s">
        <v>2308</v>
      </c>
      <c r="R1142" s="2" t="s">
        <v>29</v>
      </c>
      <c r="S1142" s="2" t="s">
        <v>30</v>
      </c>
    </row>
    <row r="1143" spans="1:19">
      <c r="A1143" s="1">
        <v>44378</v>
      </c>
      <c r="B1143" s="1">
        <v>44378</v>
      </c>
      <c r="C1143">
        <v>2021</v>
      </c>
      <c r="D1143">
        <v>7</v>
      </c>
      <c r="E1143" s="2" t="s">
        <v>31</v>
      </c>
      <c r="F1143" s="2" t="s">
        <v>32</v>
      </c>
      <c r="G1143" s="2" t="s">
        <v>21</v>
      </c>
      <c r="H1143" s="2" t="s">
        <v>22</v>
      </c>
      <c r="I1143" s="2" t="s">
        <v>23</v>
      </c>
      <c r="J1143" s="2" t="s">
        <v>24</v>
      </c>
      <c r="K1143">
        <v>1047.3399999999999</v>
      </c>
      <c r="L1143">
        <v>7980.68</v>
      </c>
      <c r="M1143">
        <v>762</v>
      </c>
      <c r="N1143" s="2" t="s">
        <v>33</v>
      </c>
      <c r="O1143" s="2" t="s">
        <v>34</v>
      </c>
      <c r="P1143" s="2" t="s">
        <v>2309</v>
      </c>
      <c r="Q1143" s="2" t="s">
        <v>2310</v>
      </c>
      <c r="R1143" s="2" t="s">
        <v>29</v>
      </c>
      <c r="S1143" s="2" t="s">
        <v>30</v>
      </c>
    </row>
    <row r="1144" spans="1:19">
      <c r="A1144" s="1">
        <v>44378</v>
      </c>
      <c r="B1144" s="1">
        <v>44378</v>
      </c>
      <c r="C1144">
        <v>2021</v>
      </c>
      <c r="D1144">
        <v>7</v>
      </c>
      <c r="E1144" s="2" t="s">
        <v>37</v>
      </c>
      <c r="F1144" s="2" t="s">
        <v>38</v>
      </c>
      <c r="G1144" s="2" t="s">
        <v>39</v>
      </c>
      <c r="H1144" s="2" t="s">
        <v>22</v>
      </c>
      <c r="I1144" s="2" t="s">
        <v>40</v>
      </c>
      <c r="J1144" s="2" t="s">
        <v>24</v>
      </c>
      <c r="K1144">
        <v>4.74</v>
      </c>
      <c r="L1144">
        <v>235.17</v>
      </c>
      <c r="M1144">
        <v>4961.3900000000003</v>
      </c>
      <c r="N1144" s="2" t="s">
        <v>41</v>
      </c>
      <c r="O1144" s="2" t="s">
        <v>42</v>
      </c>
      <c r="P1144" s="2" t="s">
        <v>2311</v>
      </c>
      <c r="Q1144" s="2" t="s">
        <v>2312</v>
      </c>
      <c r="R1144" s="2" t="s">
        <v>29</v>
      </c>
      <c r="S1144" s="2" t="s">
        <v>30</v>
      </c>
    </row>
    <row r="1145" spans="1:19">
      <c r="A1145" s="1">
        <v>44378</v>
      </c>
      <c r="B1145" s="1">
        <v>44378</v>
      </c>
      <c r="C1145">
        <v>2021</v>
      </c>
      <c r="D1145">
        <v>7</v>
      </c>
      <c r="E1145" s="2" t="s">
        <v>45</v>
      </c>
      <c r="F1145" s="2" t="s">
        <v>46</v>
      </c>
      <c r="G1145" s="2" t="s">
        <v>39</v>
      </c>
      <c r="H1145" s="2" t="s">
        <v>22</v>
      </c>
      <c r="I1145" s="2" t="s">
        <v>40</v>
      </c>
      <c r="J1145" s="2" t="s">
        <v>24</v>
      </c>
      <c r="K1145">
        <v>5344.7</v>
      </c>
      <c r="L1145">
        <v>253780.2</v>
      </c>
      <c r="M1145">
        <v>4748.26</v>
      </c>
      <c r="N1145" s="2" t="s">
        <v>47</v>
      </c>
      <c r="O1145" s="2" t="s">
        <v>48</v>
      </c>
      <c r="P1145" s="2" t="s">
        <v>2313</v>
      </c>
      <c r="Q1145" s="2" t="s">
        <v>2314</v>
      </c>
      <c r="R1145" s="2" t="s">
        <v>29</v>
      </c>
      <c r="S1145" s="2" t="s">
        <v>30</v>
      </c>
    </row>
    <row r="1146" spans="1:19">
      <c r="A1146" s="1">
        <v>44378</v>
      </c>
      <c r="B1146" s="1">
        <v>44378</v>
      </c>
      <c r="C1146">
        <v>2021</v>
      </c>
      <c r="D1146">
        <v>7</v>
      </c>
      <c r="E1146" s="2" t="s">
        <v>51</v>
      </c>
      <c r="F1146" s="2" t="s">
        <v>52</v>
      </c>
      <c r="G1146" s="2" t="s">
        <v>39</v>
      </c>
      <c r="H1146" s="2" t="s">
        <v>22</v>
      </c>
      <c r="I1146" s="2" t="s">
        <v>40</v>
      </c>
      <c r="J1146" s="2" t="s">
        <v>24</v>
      </c>
      <c r="K1146">
        <v>25.38</v>
      </c>
      <c r="L1146">
        <v>870.92</v>
      </c>
      <c r="M1146">
        <v>3431.52</v>
      </c>
      <c r="N1146" s="2" t="s">
        <v>53</v>
      </c>
      <c r="O1146" s="2" t="s">
        <v>54</v>
      </c>
      <c r="P1146" s="2" t="s">
        <v>2315</v>
      </c>
      <c r="Q1146" s="2" t="s">
        <v>1898</v>
      </c>
      <c r="R1146" s="2" t="s">
        <v>29</v>
      </c>
      <c r="S1146" s="2" t="s">
        <v>30</v>
      </c>
    </row>
    <row r="1147" spans="1:19">
      <c r="A1147" s="1">
        <v>44378</v>
      </c>
      <c r="B1147" s="1">
        <v>44378</v>
      </c>
      <c r="C1147">
        <v>2021</v>
      </c>
      <c r="D1147">
        <v>7</v>
      </c>
      <c r="E1147" s="2" t="s">
        <v>57</v>
      </c>
      <c r="F1147" s="2" t="s">
        <v>58</v>
      </c>
      <c r="G1147" s="2" t="s">
        <v>39</v>
      </c>
      <c r="H1147" s="2" t="s">
        <v>22</v>
      </c>
      <c r="I1147" s="2" t="s">
        <v>40</v>
      </c>
      <c r="J1147" s="2" t="s">
        <v>59</v>
      </c>
      <c r="K1147">
        <v>5374.82</v>
      </c>
      <c r="L1147">
        <v>254886.29</v>
      </c>
      <c r="M1147">
        <v>4742.2299999999996</v>
      </c>
      <c r="N1147" s="2" t="s">
        <v>60</v>
      </c>
      <c r="O1147" s="2" t="s">
        <v>61</v>
      </c>
      <c r="P1147" s="2" t="s">
        <v>2316</v>
      </c>
      <c r="Q1147" s="2" t="s">
        <v>2317</v>
      </c>
      <c r="R1147" s="2" t="s">
        <v>29</v>
      </c>
      <c r="S1147" s="2" t="s">
        <v>30</v>
      </c>
    </row>
    <row r="1148" spans="1:19">
      <c r="A1148" s="1">
        <v>44378</v>
      </c>
      <c r="B1148" s="1">
        <v>44378</v>
      </c>
      <c r="C1148">
        <v>2021</v>
      </c>
      <c r="D1148">
        <v>7</v>
      </c>
      <c r="E1148" s="2" t="s">
        <v>64</v>
      </c>
      <c r="F1148" s="2" t="s">
        <v>65</v>
      </c>
      <c r="G1148" s="2" t="s">
        <v>21</v>
      </c>
      <c r="H1148" s="2" t="s">
        <v>22</v>
      </c>
      <c r="I1148" s="2" t="s">
        <v>66</v>
      </c>
      <c r="J1148" s="2" t="s">
        <v>24</v>
      </c>
      <c r="K1148">
        <v>17.489999999999998</v>
      </c>
      <c r="L1148">
        <v>413.67</v>
      </c>
      <c r="M1148">
        <v>2365.1799999999998</v>
      </c>
      <c r="N1148" s="2" t="s">
        <v>67</v>
      </c>
      <c r="O1148" s="2" t="s">
        <v>68</v>
      </c>
      <c r="P1148" s="2" t="s">
        <v>2318</v>
      </c>
      <c r="Q1148" s="2" t="s">
        <v>2319</v>
      </c>
      <c r="R1148" s="2" t="s">
        <v>29</v>
      </c>
      <c r="S1148" s="2" t="s">
        <v>30</v>
      </c>
    </row>
    <row r="1149" spans="1:19">
      <c r="A1149" s="1">
        <v>44378</v>
      </c>
      <c r="B1149" s="1">
        <v>44378</v>
      </c>
      <c r="C1149">
        <v>2021</v>
      </c>
      <c r="D1149">
        <v>7</v>
      </c>
      <c r="E1149" s="2" t="s">
        <v>71</v>
      </c>
      <c r="F1149" s="2" t="s">
        <v>72</v>
      </c>
      <c r="G1149" s="2" t="s">
        <v>21</v>
      </c>
      <c r="H1149" s="2" t="s">
        <v>22</v>
      </c>
      <c r="I1149" s="2" t="s">
        <v>73</v>
      </c>
      <c r="J1149" s="2" t="s">
        <v>59</v>
      </c>
      <c r="K1149">
        <v>5225.8599999999997</v>
      </c>
      <c r="L1149">
        <v>135972.20000000001</v>
      </c>
      <c r="M1149">
        <v>2601.91</v>
      </c>
      <c r="N1149" s="2" t="s">
        <v>74</v>
      </c>
      <c r="O1149" s="2" t="s">
        <v>75</v>
      </c>
      <c r="P1149" s="2" t="s">
        <v>2320</v>
      </c>
      <c r="Q1149" s="2" t="s">
        <v>2321</v>
      </c>
      <c r="R1149" s="2" t="s">
        <v>29</v>
      </c>
      <c r="S1149" s="2" t="s">
        <v>30</v>
      </c>
    </row>
    <row r="1150" spans="1:19">
      <c r="A1150" s="1">
        <v>44378</v>
      </c>
      <c r="B1150" s="1">
        <v>44378</v>
      </c>
      <c r="C1150">
        <v>2021</v>
      </c>
      <c r="D1150">
        <v>7</v>
      </c>
      <c r="E1150" s="2" t="s">
        <v>78</v>
      </c>
      <c r="F1150" s="2" t="s">
        <v>79</v>
      </c>
      <c r="G1150" s="2" t="s">
        <v>80</v>
      </c>
      <c r="H1150" s="2" t="s">
        <v>81</v>
      </c>
      <c r="I1150" s="2" t="s">
        <v>82</v>
      </c>
      <c r="J1150" s="2" t="s">
        <v>24</v>
      </c>
      <c r="K1150">
        <v>1.64</v>
      </c>
      <c r="L1150">
        <v>5290625.67</v>
      </c>
      <c r="M1150">
        <v>322599126.22000003</v>
      </c>
      <c r="N1150" s="2" t="s">
        <v>83</v>
      </c>
      <c r="O1150" s="2" t="s">
        <v>84</v>
      </c>
      <c r="P1150" s="2" t="s">
        <v>1543</v>
      </c>
      <c r="Q1150" s="2" t="s">
        <v>2322</v>
      </c>
      <c r="R1150" s="2" t="s">
        <v>29</v>
      </c>
      <c r="S1150" s="2" t="s">
        <v>30</v>
      </c>
    </row>
    <row r="1151" spans="1:19">
      <c r="A1151" s="1">
        <v>44378</v>
      </c>
      <c r="B1151" s="1">
        <v>44378</v>
      </c>
      <c r="C1151">
        <v>2021</v>
      </c>
      <c r="D1151">
        <v>7</v>
      </c>
      <c r="E1151" s="2" t="s">
        <v>87</v>
      </c>
      <c r="F1151" s="2" t="s">
        <v>88</v>
      </c>
      <c r="G1151" s="2" t="s">
        <v>80</v>
      </c>
      <c r="H1151" s="2" t="s">
        <v>81</v>
      </c>
      <c r="I1151" s="2" t="s">
        <v>82</v>
      </c>
      <c r="J1151" s="2" t="s">
        <v>24</v>
      </c>
      <c r="K1151">
        <v>0.5</v>
      </c>
      <c r="L1151">
        <v>744620.52</v>
      </c>
      <c r="M1151">
        <v>148924104</v>
      </c>
      <c r="N1151" s="2" t="s">
        <v>89</v>
      </c>
      <c r="O1151" s="2" t="s">
        <v>90</v>
      </c>
      <c r="P1151" s="2" t="s">
        <v>2323</v>
      </c>
      <c r="Q1151" s="2" t="s">
        <v>2324</v>
      </c>
      <c r="R1151" s="2" t="s">
        <v>29</v>
      </c>
      <c r="S1151" s="2" t="s">
        <v>30</v>
      </c>
    </row>
    <row r="1152" spans="1:19">
      <c r="A1152" s="1">
        <v>44378</v>
      </c>
      <c r="B1152" s="1">
        <v>44378</v>
      </c>
      <c r="C1152">
        <v>2021</v>
      </c>
      <c r="D1152">
        <v>7</v>
      </c>
      <c r="E1152" s="2" t="s">
        <v>93</v>
      </c>
      <c r="F1152" s="2" t="s">
        <v>94</v>
      </c>
      <c r="G1152" s="2" t="s">
        <v>80</v>
      </c>
      <c r="H1152" s="2" t="s">
        <v>81</v>
      </c>
      <c r="I1152" s="2" t="s">
        <v>82</v>
      </c>
      <c r="J1152" s="2" t="s">
        <v>24</v>
      </c>
      <c r="K1152">
        <v>0.25</v>
      </c>
      <c r="L1152">
        <v>3802643.94</v>
      </c>
      <c r="M1152">
        <v>1521057576</v>
      </c>
      <c r="N1152" s="2" t="s">
        <v>95</v>
      </c>
      <c r="O1152" s="2" t="s">
        <v>96</v>
      </c>
      <c r="P1152" s="2" t="s">
        <v>876</v>
      </c>
      <c r="Q1152" s="2" t="s">
        <v>2325</v>
      </c>
      <c r="R1152" s="2" t="s">
        <v>29</v>
      </c>
      <c r="S1152" s="2" t="s">
        <v>30</v>
      </c>
    </row>
    <row r="1153" spans="1:19">
      <c r="A1153" s="1">
        <v>44378</v>
      </c>
      <c r="B1153" s="1">
        <v>44378</v>
      </c>
      <c r="C1153">
        <v>2021</v>
      </c>
      <c r="D1153">
        <v>7</v>
      </c>
      <c r="E1153" s="2" t="s">
        <v>99</v>
      </c>
      <c r="F1153" s="2" t="s">
        <v>100</v>
      </c>
      <c r="G1153" s="2" t="s">
        <v>80</v>
      </c>
      <c r="H1153" s="2" t="s">
        <v>81</v>
      </c>
      <c r="I1153" s="2" t="s">
        <v>82</v>
      </c>
      <c r="J1153" s="2" t="s">
        <v>101</v>
      </c>
      <c r="K1153">
        <v>0.98</v>
      </c>
      <c r="L1153">
        <v>11096030.91</v>
      </c>
      <c r="M1153">
        <v>1132248052.04</v>
      </c>
      <c r="N1153" s="2" t="s">
        <v>102</v>
      </c>
      <c r="O1153" s="2" t="s">
        <v>103</v>
      </c>
      <c r="P1153" s="2" t="s">
        <v>2326</v>
      </c>
      <c r="Q1153" s="2" t="s">
        <v>2327</v>
      </c>
      <c r="R1153" s="2" t="s">
        <v>29</v>
      </c>
      <c r="S1153" s="2" t="s">
        <v>30</v>
      </c>
    </row>
    <row r="1154" spans="1:19">
      <c r="A1154" s="1">
        <v>44378</v>
      </c>
      <c r="B1154" s="1">
        <v>44378</v>
      </c>
      <c r="C1154">
        <v>2021</v>
      </c>
      <c r="D1154">
        <v>7</v>
      </c>
      <c r="E1154" s="2" t="s">
        <v>106</v>
      </c>
      <c r="F1154" s="2" t="s">
        <v>107</v>
      </c>
      <c r="G1154" s="2" t="s">
        <v>80</v>
      </c>
      <c r="H1154" s="2" t="s">
        <v>81</v>
      </c>
      <c r="I1154" s="2" t="s">
        <v>82</v>
      </c>
      <c r="J1154" s="2" t="s">
        <v>24</v>
      </c>
      <c r="K1154">
        <v>0.24</v>
      </c>
      <c r="L1154">
        <v>6548766.4500000002</v>
      </c>
      <c r="M1154">
        <v>2728652687.5</v>
      </c>
      <c r="N1154" s="2" t="s">
        <v>108</v>
      </c>
      <c r="O1154" s="2" t="s">
        <v>109</v>
      </c>
      <c r="P1154" s="2" t="s">
        <v>1650</v>
      </c>
      <c r="Q1154" s="2" t="s">
        <v>2328</v>
      </c>
      <c r="R1154" s="2" t="s">
        <v>29</v>
      </c>
      <c r="S1154" s="2" t="s">
        <v>30</v>
      </c>
    </row>
    <row r="1155" spans="1:19">
      <c r="A1155" s="1">
        <v>44378</v>
      </c>
      <c r="B1155" s="1">
        <v>44378</v>
      </c>
      <c r="C1155">
        <v>2021</v>
      </c>
      <c r="D1155">
        <v>7</v>
      </c>
      <c r="E1155" s="2" t="s">
        <v>111</v>
      </c>
      <c r="F1155" s="2" t="s">
        <v>112</v>
      </c>
      <c r="G1155" s="2" t="s">
        <v>80</v>
      </c>
      <c r="H1155" s="2" t="s">
        <v>81</v>
      </c>
      <c r="I1155" s="2" t="s">
        <v>82</v>
      </c>
      <c r="J1155" s="2" t="s">
        <v>24</v>
      </c>
      <c r="K1155">
        <v>7.0000000000000007E-2</v>
      </c>
      <c r="L1155">
        <v>412155</v>
      </c>
      <c r="M1155">
        <v>588792857.13999999</v>
      </c>
      <c r="N1155" s="2" t="s">
        <v>113</v>
      </c>
      <c r="O1155" s="2" t="s">
        <v>114</v>
      </c>
      <c r="P1155" s="2" t="s">
        <v>2234</v>
      </c>
      <c r="Q1155" s="2" t="s">
        <v>2329</v>
      </c>
      <c r="R1155" s="2" t="s">
        <v>29</v>
      </c>
      <c r="S1155" s="2" t="s">
        <v>30</v>
      </c>
    </row>
    <row r="1156" spans="1:19">
      <c r="A1156" s="1">
        <v>44378</v>
      </c>
      <c r="B1156" s="1">
        <v>44378</v>
      </c>
      <c r="C1156">
        <v>2021</v>
      </c>
      <c r="D1156">
        <v>7</v>
      </c>
      <c r="E1156" s="2" t="s">
        <v>117</v>
      </c>
      <c r="F1156" s="2" t="s">
        <v>118</v>
      </c>
      <c r="G1156" s="2" t="s">
        <v>80</v>
      </c>
      <c r="H1156" s="2" t="s">
        <v>81</v>
      </c>
      <c r="I1156" s="2" t="s">
        <v>82</v>
      </c>
      <c r="J1156" s="2" t="s">
        <v>59</v>
      </c>
      <c r="K1156">
        <v>2.68</v>
      </c>
      <c r="L1156">
        <v>16798811.579999998</v>
      </c>
      <c r="M1156">
        <v>626821327.61000001</v>
      </c>
      <c r="N1156" s="2" t="s">
        <v>119</v>
      </c>
      <c r="O1156" s="2" t="s">
        <v>120</v>
      </c>
      <c r="P1156" s="2" t="s">
        <v>2330</v>
      </c>
      <c r="Q1156" s="2" t="s">
        <v>2331</v>
      </c>
      <c r="R1156" s="2" t="s">
        <v>29</v>
      </c>
      <c r="S1156" s="2" t="s">
        <v>30</v>
      </c>
    </row>
    <row r="1157" spans="1:19">
      <c r="A1157" s="1">
        <v>44378</v>
      </c>
      <c r="B1157" s="1">
        <v>44378</v>
      </c>
      <c r="C1157">
        <v>2021</v>
      </c>
      <c r="D1157">
        <v>7</v>
      </c>
      <c r="E1157" s="2" t="s">
        <v>123</v>
      </c>
      <c r="F1157" s="2" t="s">
        <v>124</v>
      </c>
      <c r="G1157" s="2" t="s">
        <v>21</v>
      </c>
      <c r="H1157" s="2" t="s">
        <v>22</v>
      </c>
      <c r="I1157" s="2" t="s">
        <v>73</v>
      </c>
      <c r="J1157" s="2" t="s">
        <v>24</v>
      </c>
      <c r="K1157">
        <v>920.21</v>
      </c>
      <c r="L1157">
        <v>44386.68</v>
      </c>
      <c r="M1157">
        <v>4823.54</v>
      </c>
      <c r="N1157" s="2" t="s">
        <v>125</v>
      </c>
      <c r="O1157" s="2" t="s">
        <v>126</v>
      </c>
      <c r="P1157" s="2" t="s">
        <v>2332</v>
      </c>
      <c r="Q1157" s="2" t="s">
        <v>2333</v>
      </c>
      <c r="R1157" s="2" t="s">
        <v>29</v>
      </c>
      <c r="S1157" s="2" t="s">
        <v>30</v>
      </c>
    </row>
    <row r="1158" spans="1:19">
      <c r="A1158" s="1">
        <v>44378</v>
      </c>
      <c r="B1158" s="1">
        <v>44378</v>
      </c>
      <c r="C1158">
        <v>2021</v>
      </c>
      <c r="D1158">
        <v>7</v>
      </c>
      <c r="E1158" s="2" t="s">
        <v>129</v>
      </c>
      <c r="F1158" s="2" t="s">
        <v>130</v>
      </c>
      <c r="G1158" s="2" t="s">
        <v>21</v>
      </c>
      <c r="H1158" s="2" t="s">
        <v>22</v>
      </c>
      <c r="I1158" s="2" t="s">
        <v>73</v>
      </c>
      <c r="J1158" s="2" t="s">
        <v>24</v>
      </c>
      <c r="K1158">
        <v>900.27</v>
      </c>
      <c r="L1158">
        <v>30498.080000000002</v>
      </c>
      <c r="M1158">
        <v>3387.66</v>
      </c>
      <c r="N1158" s="2" t="s">
        <v>131</v>
      </c>
      <c r="O1158" s="2" t="s">
        <v>132</v>
      </c>
      <c r="P1158" s="2" t="s">
        <v>2334</v>
      </c>
      <c r="Q1158" s="2" t="s">
        <v>2335</v>
      </c>
      <c r="R1158" s="2" t="s">
        <v>29</v>
      </c>
      <c r="S1158" s="2" t="s">
        <v>30</v>
      </c>
    </row>
    <row r="1159" spans="1:19">
      <c r="A1159" s="1">
        <v>44378</v>
      </c>
      <c r="B1159" s="1">
        <v>44378</v>
      </c>
      <c r="C1159">
        <v>2021</v>
      </c>
      <c r="D1159">
        <v>7</v>
      </c>
      <c r="E1159" s="2" t="s">
        <v>135</v>
      </c>
      <c r="F1159" s="2" t="s">
        <v>136</v>
      </c>
      <c r="G1159" s="2" t="s">
        <v>21</v>
      </c>
      <c r="H1159" s="2" t="s">
        <v>22</v>
      </c>
      <c r="I1159" s="2" t="s">
        <v>73</v>
      </c>
      <c r="J1159" s="2" t="s">
        <v>101</v>
      </c>
      <c r="K1159">
        <v>1820.49</v>
      </c>
      <c r="L1159">
        <v>74884.759999999995</v>
      </c>
      <c r="M1159">
        <v>4113.4399999999996</v>
      </c>
      <c r="N1159" s="2" t="s">
        <v>137</v>
      </c>
      <c r="O1159" s="2" t="s">
        <v>138</v>
      </c>
      <c r="P1159" s="2" t="s">
        <v>2336</v>
      </c>
      <c r="Q1159" s="2" t="s">
        <v>2337</v>
      </c>
      <c r="R1159" s="2" t="s">
        <v>29</v>
      </c>
      <c r="S1159" s="2" t="s">
        <v>30</v>
      </c>
    </row>
    <row r="1160" spans="1:19">
      <c r="A1160" s="1">
        <v>44378</v>
      </c>
      <c r="B1160" s="1">
        <v>44378</v>
      </c>
      <c r="C1160">
        <v>2021</v>
      </c>
      <c r="D1160">
        <v>7</v>
      </c>
      <c r="E1160" s="2" t="s">
        <v>141</v>
      </c>
      <c r="F1160" s="2" t="s">
        <v>142</v>
      </c>
      <c r="G1160" s="2" t="s">
        <v>21</v>
      </c>
      <c r="H1160" s="2" t="s">
        <v>22</v>
      </c>
      <c r="I1160" s="2" t="s">
        <v>73</v>
      </c>
      <c r="J1160" s="2" t="s">
        <v>24</v>
      </c>
      <c r="K1160">
        <v>1503.73</v>
      </c>
      <c r="L1160">
        <v>24323.69</v>
      </c>
      <c r="M1160">
        <v>1617.56</v>
      </c>
      <c r="N1160" s="2" t="s">
        <v>143</v>
      </c>
      <c r="O1160" s="2" t="s">
        <v>144</v>
      </c>
      <c r="P1160" s="2" t="s">
        <v>2338</v>
      </c>
      <c r="Q1160" s="2" t="s">
        <v>2339</v>
      </c>
      <c r="R1160" s="2" t="s">
        <v>29</v>
      </c>
      <c r="S1160" s="2" t="s">
        <v>30</v>
      </c>
    </row>
    <row r="1161" spans="1:19">
      <c r="A1161" s="1">
        <v>44378</v>
      </c>
      <c r="B1161" s="1">
        <v>44378</v>
      </c>
      <c r="C1161">
        <v>2021</v>
      </c>
      <c r="D1161">
        <v>7</v>
      </c>
      <c r="E1161" s="2" t="s">
        <v>147</v>
      </c>
      <c r="F1161" s="2" t="s">
        <v>148</v>
      </c>
      <c r="G1161" s="2" t="s">
        <v>21</v>
      </c>
      <c r="H1161" s="2" t="s">
        <v>22</v>
      </c>
      <c r="I1161" s="2" t="s">
        <v>73</v>
      </c>
      <c r="J1161" s="2" t="s">
        <v>24</v>
      </c>
      <c r="K1161">
        <v>1901.64</v>
      </c>
      <c r="L1161">
        <v>36763.75</v>
      </c>
      <c r="M1161">
        <v>1933.27</v>
      </c>
      <c r="N1161" s="2" t="s">
        <v>149</v>
      </c>
      <c r="O1161" s="2" t="s">
        <v>150</v>
      </c>
      <c r="P1161" s="2" t="s">
        <v>2340</v>
      </c>
      <c r="Q1161" s="2" t="s">
        <v>2341</v>
      </c>
      <c r="R1161" s="2" t="s">
        <v>29</v>
      </c>
      <c r="S1161" s="2" t="s">
        <v>30</v>
      </c>
    </row>
    <row r="1162" spans="1:19">
      <c r="A1162" s="1">
        <v>44378</v>
      </c>
      <c r="B1162" s="1">
        <v>44378</v>
      </c>
      <c r="C1162">
        <v>2021</v>
      </c>
      <c r="D1162">
        <v>7</v>
      </c>
      <c r="E1162" s="2" t="s">
        <v>153</v>
      </c>
      <c r="F1162" s="2" t="s">
        <v>154</v>
      </c>
      <c r="G1162" s="2" t="s">
        <v>21</v>
      </c>
      <c r="H1162" s="2" t="s">
        <v>22</v>
      </c>
      <c r="I1162" s="2" t="s">
        <v>73</v>
      </c>
      <c r="J1162" s="2" t="s">
        <v>101</v>
      </c>
      <c r="K1162">
        <v>3405.37</v>
      </c>
      <c r="L1162">
        <v>61087.44</v>
      </c>
      <c r="M1162">
        <v>1793.86</v>
      </c>
      <c r="N1162" s="2" t="s">
        <v>155</v>
      </c>
      <c r="O1162" s="2" t="s">
        <v>156</v>
      </c>
      <c r="P1162" s="2" t="s">
        <v>2342</v>
      </c>
      <c r="Q1162" s="2" t="s">
        <v>2343</v>
      </c>
      <c r="R1162" s="2" t="s">
        <v>29</v>
      </c>
      <c r="S1162" s="2" t="s">
        <v>30</v>
      </c>
    </row>
    <row r="1163" spans="1:19">
      <c r="A1163" s="1">
        <v>44378</v>
      </c>
      <c r="B1163" s="1">
        <v>44378</v>
      </c>
      <c r="C1163">
        <v>2021</v>
      </c>
      <c r="D1163">
        <v>7</v>
      </c>
      <c r="E1163" s="2" t="s">
        <v>159</v>
      </c>
      <c r="F1163" s="2" t="s">
        <v>160</v>
      </c>
      <c r="G1163" s="2" t="s">
        <v>21</v>
      </c>
      <c r="H1163" s="2" t="s">
        <v>22</v>
      </c>
      <c r="I1163" s="2" t="s">
        <v>66</v>
      </c>
      <c r="J1163" s="2" t="s">
        <v>59</v>
      </c>
      <c r="K1163">
        <v>986.32</v>
      </c>
      <c r="L1163">
        <v>86502.66</v>
      </c>
      <c r="M1163">
        <v>8770.24</v>
      </c>
      <c r="N1163" s="2" t="s">
        <v>161</v>
      </c>
      <c r="O1163" s="2" t="s">
        <v>162</v>
      </c>
      <c r="P1163" s="2" t="s">
        <v>2344</v>
      </c>
      <c r="Q1163" s="2" t="s">
        <v>2345</v>
      </c>
      <c r="R1163" s="2" t="s">
        <v>29</v>
      </c>
      <c r="S1163" s="2" t="s">
        <v>30</v>
      </c>
    </row>
    <row r="1164" spans="1:19">
      <c r="A1164" s="1">
        <v>44378</v>
      </c>
      <c r="B1164" s="1">
        <v>44378</v>
      </c>
      <c r="C1164">
        <v>2021</v>
      </c>
      <c r="D1164">
        <v>7</v>
      </c>
      <c r="E1164" s="2" t="s">
        <v>165</v>
      </c>
      <c r="F1164" s="2" t="s">
        <v>166</v>
      </c>
      <c r="G1164" s="2" t="s">
        <v>21</v>
      </c>
      <c r="H1164" s="2" t="s">
        <v>22</v>
      </c>
      <c r="I1164" s="2" t="s">
        <v>23</v>
      </c>
      <c r="J1164" s="2" t="s">
        <v>24</v>
      </c>
      <c r="K1164">
        <v>0</v>
      </c>
      <c r="L1164">
        <v>0</v>
      </c>
      <c r="N1164" s="2" t="s">
        <v>167</v>
      </c>
      <c r="O1164" s="2" t="s">
        <v>168</v>
      </c>
      <c r="P1164" s="2" t="s">
        <v>639</v>
      </c>
      <c r="Q1164" s="2" t="s">
        <v>639</v>
      </c>
      <c r="R1164" s="2" t="s">
        <v>29</v>
      </c>
      <c r="S1164" s="2" t="s">
        <v>30</v>
      </c>
    </row>
    <row r="1165" spans="1:19">
      <c r="A1165" s="1">
        <v>44378</v>
      </c>
      <c r="B1165" s="1">
        <v>44378</v>
      </c>
      <c r="C1165">
        <v>2021</v>
      </c>
      <c r="D1165">
        <v>7</v>
      </c>
      <c r="E1165" s="2" t="s">
        <v>171</v>
      </c>
      <c r="F1165" s="2" t="s">
        <v>172</v>
      </c>
      <c r="G1165" s="2" t="s">
        <v>21</v>
      </c>
      <c r="H1165" s="2" t="s">
        <v>22</v>
      </c>
      <c r="I1165" s="2" t="s">
        <v>66</v>
      </c>
      <c r="J1165" s="2" t="s">
        <v>24</v>
      </c>
      <c r="N1165" s="2" t="s">
        <v>173</v>
      </c>
      <c r="O1165" s="2" t="s">
        <v>174</v>
      </c>
      <c r="P1165" s="2" t="s">
        <v>175</v>
      </c>
      <c r="Q1165" s="2" t="s">
        <v>175</v>
      </c>
      <c r="R1165" s="2" t="s">
        <v>640</v>
      </c>
      <c r="S1165" s="2" t="s">
        <v>641</v>
      </c>
    </row>
    <row r="1166" spans="1:19">
      <c r="A1166" s="1">
        <v>44378</v>
      </c>
      <c r="B1166" s="1">
        <v>44378</v>
      </c>
      <c r="C1166">
        <v>2021</v>
      </c>
      <c r="D1166">
        <v>7</v>
      </c>
      <c r="E1166" s="2" t="s">
        <v>177</v>
      </c>
      <c r="F1166" s="2" t="s">
        <v>178</v>
      </c>
      <c r="G1166" s="2" t="s">
        <v>21</v>
      </c>
      <c r="H1166" s="2" t="s">
        <v>22</v>
      </c>
      <c r="I1166" s="2" t="s">
        <v>23</v>
      </c>
      <c r="J1166" s="2" t="s">
        <v>24</v>
      </c>
      <c r="K1166">
        <v>3524.64</v>
      </c>
      <c r="L1166">
        <v>311310.38</v>
      </c>
      <c r="M1166">
        <v>8832.4</v>
      </c>
      <c r="N1166" s="2" t="s">
        <v>179</v>
      </c>
      <c r="O1166" s="2" t="s">
        <v>180</v>
      </c>
      <c r="P1166" s="2" t="s">
        <v>2346</v>
      </c>
      <c r="Q1166" s="2" t="s">
        <v>2347</v>
      </c>
      <c r="R1166" s="2" t="s">
        <v>29</v>
      </c>
      <c r="S1166" s="2" t="s">
        <v>30</v>
      </c>
    </row>
    <row r="1167" spans="1:19">
      <c r="A1167" s="1">
        <v>44378</v>
      </c>
      <c r="B1167" s="1">
        <v>44378</v>
      </c>
      <c r="C1167">
        <v>2021</v>
      </c>
      <c r="D1167">
        <v>7</v>
      </c>
      <c r="E1167" s="2" t="s">
        <v>183</v>
      </c>
      <c r="F1167" s="2" t="s">
        <v>184</v>
      </c>
      <c r="G1167" s="2" t="s">
        <v>185</v>
      </c>
      <c r="H1167" s="2" t="s">
        <v>22</v>
      </c>
      <c r="I1167" s="2" t="s">
        <v>186</v>
      </c>
      <c r="J1167" s="2" t="s">
        <v>24</v>
      </c>
      <c r="K1167">
        <v>2655.07</v>
      </c>
      <c r="L1167">
        <v>2526751.6</v>
      </c>
      <c r="M1167">
        <v>95167.039999999994</v>
      </c>
      <c r="N1167" s="2" t="s">
        <v>187</v>
      </c>
      <c r="O1167" s="2" t="s">
        <v>188</v>
      </c>
      <c r="P1167" s="2" t="s">
        <v>2348</v>
      </c>
      <c r="Q1167" s="2" t="s">
        <v>2349</v>
      </c>
      <c r="R1167" s="2" t="s">
        <v>29</v>
      </c>
      <c r="S1167" s="2" t="s">
        <v>30</v>
      </c>
    </row>
    <row r="1168" spans="1:19">
      <c r="A1168" s="1">
        <v>44378</v>
      </c>
      <c r="B1168" s="1">
        <v>44378</v>
      </c>
      <c r="C1168">
        <v>2021</v>
      </c>
      <c r="D1168">
        <v>7</v>
      </c>
      <c r="E1168" s="2" t="s">
        <v>191</v>
      </c>
      <c r="F1168" s="2" t="s">
        <v>192</v>
      </c>
      <c r="G1168" s="2" t="s">
        <v>185</v>
      </c>
      <c r="H1168" s="2" t="s">
        <v>22</v>
      </c>
      <c r="I1168" s="2" t="s">
        <v>186</v>
      </c>
      <c r="J1168" s="2" t="s">
        <v>24</v>
      </c>
      <c r="K1168">
        <v>827.98</v>
      </c>
      <c r="L1168">
        <v>4293972.7300000004</v>
      </c>
      <c r="M1168">
        <v>518608.27</v>
      </c>
      <c r="N1168" s="2" t="s">
        <v>193</v>
      </c>
      <c r="O1168" s="2" t="s">
        <v>194</v>
      </c>
      <c r="P1168" s="2" t="s">
        <v>2350</v>
      </c>
      <c r="Q1168" s="2" t="s">
        <v>2351</v>
      </c>
      <c r="R1168" s="2" t="s">
        <v>29</v>
      </c>
      <c r="S1168" s="2" t="s">
        <v>30</v>
      </c>
    </row>
    <row r="1169" spans="1:19">
      <c r="A1169" s="1">
        <v>44378</v>
      </c>
      <c r="B1169" s="1">
        <v>44378</v>
      </c>
      <c r="C1169">
        <v>2021</v>
      </c>
      <c r="D1169">
        <v>7</v>
      </c>
      <c r="E1169" s="2" t="s">
        <v>197</v>
      </c>
      <c r="F1169" s="2" t="s">
        <v>198</v>
      </c>
      <c r="G1169" s="2" t="s">
        <v>185</v>
      </c>
      <c r="H1169" s="2" t="s">
        <v>22</v>
      </c>
      <c r="I1169" s="2" t="s">
        <v>186</v>
      </c>
      <c r="J1169" s="2" t="s">
        <v>59</v>
      </c>
      <c r="K1169">
        <v>3483.06</v>
      </c>
      <c r="L1169">
        <v>6820724.3300000001</v>
      </c>
      <c r="M1169">
        <v>195825.63</v>
      </c>
      <c r="N1169" s="2" t="s">
        <v>199</v>
      </c>
      <c r="O1169" s="2" t="s">
        <v>200</v>
      </c>
      <c r="P1169" s="2" t="s">
        <v>2352</v>
      </c>
      <c r="Q1169" s="2" t="s">
        <v>2353</v>
      </c>
      <c r="R1169" s="2" t="s">
        <v>29</v>
      </c>
      <c r="S1169" s="2" t="s">
        <v>30</v>
      </c>
    </row>
    <row r="1170" spans="1:19">
      <c r="A1170" s="1">
        <v>44378</v>
      </c>
      <c r="B1170" s="1">
        <v>44378</v>
      </c>
      <c r="C1170">
        <v>2021</v>
      </c>
      <c r="D1170">
        <v>7</v>
      </c>
      <c r="E1170" s="2" t="s">
        <v>203</v>
      </c>
      <c r="F1170" s="2" t="s">
        <v>204</v>
      </c>
      <c r="G1170" s="2" t="s">
        <v>39</v>
      </c>
      <c r="H1170" s="2" t="s">
        <v>22</v>
      </c>
      <c r="I1170" s="2" t="s">
        <v>40</v>
      </c>
      <c r="J1170" s="2" t="s">
        <v>24</v>
      </c>
      <c r="K1170">
        <v>869.89</v>
      </c>
      <c r="L1170">
        <v>22972.73</v>
      </c>
      <c r="M1170">
        <v>2640.88</v>
      </c>
      <c r="N1170" s="2" t="s">
        <v>205</v>
      </c>
      <c r="O1170" s="2" t="s">
        <v>206</v>
      </c>
      <c r="P1170" s="2" t="s">
        <v>2354</v>
      </c>
      <c r="Q1170" s="2" t="s">
        <v>2355</v>
      </c>
      <c r="R1170" s="2" t="s">
        <v>29</v>
      </c>
      <c r="S1170" s="2" t="s">
        <v>30</v>
      </c>
    </row>
    <row r="1171" spans="1:19">
      <c r="A1171" s="1">
        <v>44378</v>
      </c>
      <c r="B1171" s="1">
        <v>44378</v>
      </c>
      <c r="C1171">
        <v>2021</v>
      </c>
      <c r="D1171">
        <v>7</v>
      </c>
      <c r="E1171" s="2" t="s">
        <v>209</v>
      </c>
      <c r="F1171" s="2" t="s">
        <v>210</v>
      </c>
      <c r="G1171" s="2" t="s">
        <v>39</v>
      </c>
      <c r="H1171" s="2" t="s">
        <v>22</v>
      </c>
      <c r="I1171" s="2" t="s">
        <v>40</v>
      </c>
      <c r="J1171" s="2" t="s">
        <v>59</v>
      </c>
      <c r="K1171">
        <v>869.89</v>
      </c>
      <c r="L1171">
        <v>22972.73</v>
      </c>
      <c r="M1171">
        <v>2640.88</v>
      </c>
      <c r="N1171" s="2" t="s">
        <v>211</v>
      </c>
      <c r="O1171" s="2" t="s">
        <v>212</v>
      </c>
      <c r="P1171" s="2" t="s">
        <v>2354</v>
      </c>
      <c r="Q1171" s="2" t="s">
        <v>2355</v>
      </c>
      <c r="R1171" s="2" t="s">
        <v>29</v>
      </c>
      <c r="S1171" s="2" t="s">
        <v>30</v>
      </c>
    </row>
    <row r="1172" spans="1:19">
      <c r="A1172" s="1">
        <v>44378</v>
      </c>
      <c r="B1172" s="1">
        <v>44378</v>
      </c>
      <c r="C1172">
        <v>2021</v>
      </c>
      <c r="D1172">
        <v>7</v>
      </c>
      <c r="E1172" s="2" t="s">
        <v>213</v>
      </c>
      <c r="F1172" s="2" t="s">
        <v>214</v>
      </c>
      <c r="G1172" s="2" t="s">
        <v>185</v>
      </c>
      <c r="H1172" s="2" t="s">
        <v>22</v>
      </c>
      <c r="I1172" s="2" t="s">
        <v>215</v>
      </c>
      <c r="J1172" s="2" t="s">
        <v>24</v>
      </c>
      <c r="K1172">
        <v>33703.120000000003</v>
      </c>
      <c r="L1172">
        <v>926547.5</v>
      </c>
      <c r="M1172">
        <v>2749.14</v>
      </c>
      <c r="N1172" s="2" t="s">
        <v>216</v>
      </c>
      <c r="O1172" s="2" t="s">
        <v>217</v>
      </c>
      <c r="P1172" s="2" t="s">
        <v>2356</v>
      </c>
      <c r="Q1172" s="2" t="s">
        <v>2357</v>
      </c>
      <c r="R1172" s="2" t="s">
        <v>29</v>
      </c>
      <c r="S1172" s="2" t="s">
        <v>30</v>
      </c>
    </row>
    <row r="1173" spans="1:19">
      <c r="A1173" s="1">
        <v>44378</v>
      </c>
      <c r="B1173" s="1">
        <v>44378</v>
      </c>
      <c r="C1173">
        <v>2021</v>
      </c>
      <c r="D1173">
        <v>7</v>
      </c>
      <c r="E1173" s="2" t="s">
        <v>220</v>
      </c>
      <c r="F1173" s="2" t="s">
        <v>221</v>
      </c>
      <c r="G1173" s="2" t="s">
        <v>185</v>
      </c>
      <c r="H1173" s="2" t="s">
        <v>22</v>
      </c>
      <c r="I1173" s="2" t="s">
        <v>215</v>
      </c>
      <c r="J1173" s="2" t="s">
        <v>24</v>
      </c>
      <c r="K1173">
        <v>3133.94</v>
      </c>
      <c r="L1173">
        <v>210685.39</v>
      </c>
      <c r="M1173">
        <v>6722.7</v>
      </c>
      <c r="N1173" s="2" t="s">
        <v>222</v>
      </c>
      <c r="O1173" s="2" t="s">
        <v>223</v>
      </c>
      <c r="P1173" s="2" t="s">
        <v>2358</v>
      </c>
      <c r="Q1173" s="2" t="s">
        <v>2359</v>
      </c>
      <c r="R1173" s="2" t="s">
        <v>29</v>
      </c>
      <c r="S1173" s="2" t="s">
        <v>30</v>
      </c>
    </row>
    <row r="1174" spans="1:19">
      <c r="A1174" s="1">
        <v>44378</v>
      </c>
      <c r="B1174" s="1">
        <v>44378</v>
      </c>
      <c r="C1174">
        <v>2021</v>
      </c>
      <c r="D1174">
        <v>7</v>
      </c>
      <c r="E1174" s="2" t="s">
        <v>226</v>
      </c>
      <c r="F1174" s="2" t="s">
        <v>227</v>
      </c>
      <c r="G1174" s="2" t="s">
        <v>185</v>
      </c>
      <c r="H1174" s="2" t="s">
        <v>22</v>
      </c>
      <c r="I1174" s="2" t="s">
        <v>215</v>
      </c>
      <c r="J1174" s="2" t="s">
        <v>59</v>
      </c>
      <c r="K1174">
        <v>36837.050000000003</v>
      </c>
      <c r="L1174">
        <v>1137232.8899999999</v>
      </c>
      <c r="M1174">
        <v>3087.2</v>
      </c>
      <c r="N1174" s="2" t="s">
        <v>228</v>
      </c>
      <c r="O1174" s="2" t="s">
        <v>229</v>
      </c>
      <c r="P1174" s="2" t="s">
        <v>2360</v>
      </c>
      <c r="Q1174" s="2" t="s">
        <v>2361</v>
      </c>
      <c r="R1174" s="2" t="s">
        <v>29</v>
      </c>
      <c r="S1174" s="2" t="s">
        <v>30</v>
      </c>
    </row>
    <row r="1175" spans="1:19">
      <c r="A1175" s="1">
        <v>44378</v>
      </c>
      <c r="B1175" s="1">
        <v>44378</v>
      </c>
      <c r="C1175">
        <v>2021</v>
      </c>
      <c r="D1175">
        <v>7</v>
      </c>
      <c r="E1175" s="2" t="s">
        <v>232</v>
      </c>
      <c r="F1175" s="2" t="s">
        <v>233</v>
      </c>
      <c r="G1175" s="2" t="s">
        <v>21</v>
      </c>
      <c r="H1175" s="2" t="s">
        <v>22</v>
      </c>
      <c r="I1175" s="2" t="s">
        <v>23</v>
      </c>
      <c r="J1175" s="2" t="s">
        <v>24</v>
      </c>
      <c r="K1175">
        <v>1174.68</v>
      </c>
      <c r="L1175">
        <v>85696.639999999999</v>
      </c>
      <c r="M1175">
        <v>7295.32</v>
      </c>
      <c r="N1175" s="2" t="s">
        <v>234</v>
      </c>
      <c r="O1175" s="2" t="s">
        <v>235</v>
      </c>
      <c r="P1175" s="2" t="s">
        <v>2362</v>
      </c>
      <c r="Q1175" s="2" t="s">
        <v>2363</v>
      </c>
      <c r="R1175" s="2" t="s">
        <v>29</v>
      </c>
      <c r="S1175" s="2" t="s">
        <v>30</v>
      </c>
    </row>
    <row r="1176" spans="1:19">
      <c r="A1176" s="1">
        <v>44378</v>
      </c>
      <c r="B1176" s="1">
        <v>44378</v>
      </c>
      <c r="C1176">
        <v>2021</v>
      </c>
      <c r="D1176">
        <v>7</v>
      </c>
      <c r="E1176" s="2" t="s">
        <v>238</v>
      </c>
      <c r="F1176" s="2" t="s">
        <v>239</v>
      </c>
      <c r="G1176" s="2" t="s">
        <v>21</v>
      </c>
      <c r="H1176" s="2" t="s">
        <v>22</v>
      </c>
      <c r="I1176" s="2" t="s">
        <v>66</v>
      </c>
      <c r="J1176" s="2" t="s">
        <v>24</v>
      </c>
      <c r="K1176">
        <v>877.08</v>
      </c>
      <c r="L1176">
        <v>85979.98</v>
      </c>
      <c r="M1176">
        <v>9802.98</v>
      </c>
      <c r="N1176" s="2" t="s">
        <v>240</v>
      </c>
      <c r="O1176" s="2" t="s">
        <v>241</v>
      </c>
      <c r="P1176" s="2" t="s">
        <v>2364</v>
      </c>
      <c r="Q1176" s="2" t="s">
        <v>2365</v>
      </c>
      <c r="R1176" s="2" t="s">
        <v>29</v>
      </c>
      <c r="S1176" s="2" t="s">
        <v>30</v>
      </c>
    </row>
    <row r="1177" spans="1:19">
      <c r="A1177" s="1">
        <v>44378</v>
      </c>
      <c r="B1177" s="1">
        <v>44378</v>
      </c>
      <c r="C1177">
        <v>2021</v>
      </c>
      <c r="D1177">
        <v>7</v>
      </c>
      <c r="E1177" s="2" t="s">
        <v>244</v>
      </c>
      <c r="F1177" s="2" t="s">
        <v>245</v>
      </c>
      <c r="G1177" s="2" t="s">
        <v>21</v>
      </c>
      <c r="H1177" s="2" t="s">
        <v>22</v>
      </c>
      <c r="I1177" s="2" t="s">
        <v>23</v>
      </c>
      <c r="J1177" s="2" t="s">
        <v>24</v>
      </c>
      <c r="K1177">
        <v>3170</v>
      </c>
      <c r="L1177">
        <v>2204302.7799999998</v>
      </c>
      <c r="M1177">
        <v>69536.37</v>
      </c>
      <c r="N1177" s="2" t="s">
        <v>246</v>
      </c>
      <c r="O1177" s="2" t="s">
        <v>247</v>
      </c>
      <c r="P1177" s="2" t="s">
        <v>2366</v>
      </c>
      <c r="Q1177" s="2" t="s">
        <v>2367</v>
      </c>
      <c r="R1177" s="2" t="s">
        <v>29</v>
      </c>
      <c r="S1177" s="2" t="s">
        <v>30</v>
      </c>
    </row>
    <row r="1178" spans="1:19">
      <c r="A1178" s="1">
        <v>44378</v>
      </c>
      <c r="B1178" s="1">
        <v>44378</v>
      </c>
      <c r="C1178">
        <v>2021</v>
      </c>
      <c r="D1178">
        <v>7</v>
      </c>
      <c r="E1178" s="2" t="s">
        <v>250</v>
      </c>
      <c r="F1178" s="2" t="s">
        <v>251</v>
      </c>
      <c r="G1178" s="2" t="s">
        <v>21</v>
      </c>
      <c r="H1178" s="2" t="s">
        <v>22</v>
      </c>
      <c r="I1178" s="2" t="s">
        <v>66</v>
      </c>
      <c r="J1178" s="2" t="s">
        <v>24</v>
      </c>
      <c r="K1178">
        <v>91.75</v>
      </c>
      <c r="L1178">
        <v>109.01</v>
      </c>
      <c r="M1178">
        <v>118.81</v>
      </c>
      <c r="N1178" s="2" t="s">
        <v>252</v>
      </c>
      <c r="O1178" s="2" t="s">
        <v>253</v>
      </c>
      <c r="P1178" s="2" t="s">
        <v>2368</v>
      </c>
      <c r="Q1178" s="2" t="s">
        <v>2369</v>
      </c>
      <c r="R1178" s="2" t="s">
        <v>29</v>
      </c>
      <c r="S1178" s="2" t="s">
        <v>30</v>
      </c>
    </row>
    <row r="1179" spans="1:19">
      <c r="A1179" s="1">
        <v>44378</v>
      </c>
      <c r="B1179" s="1">
        <v>44378</v>
      </c>
      <c r="C1179">
        <v>2021</v>
      </c>
      <c r="D1179">
        <v>7</v>
      </c>
      <c r="E1179" s="2" t="s">
        <v>256</v>
      </c>
      <c r="F1179" s="2" t="s">
        <v>257</v>
      </c>
      <c r="G1179" s="2" t="s">
        <v>21</v>
      </c>
      <c r="H1179" s="2" t="s">
        <v>22</v>
      </c>
      <c r="I1179" s="2" t="s">
        <v>258</v>
      </c>
      <c r="J1179" s="2" t="s">
        <v>24</v>
      </c>
      <c r="K1179">
        <v>596.11</v>
      </c>
      <c r="L1179">
        <v>553256.39</v>
      </c>
      <c r="M1179">
        <v>92811.12</v>
      </c>
      <c r="N1179" s="2" t="s">
        <v>259</v>
      </c>
      <c r="O1179" s="2" t="s">
        <v>260</v>
      </c>
      <c r="P1179" s="2" t="s">
        <v>2370</v>
      </c>
      <c r="Q1179" s="2" t="s">
        <v>2371</v>
      </c>
      <c r="R1179" s="2" t="s">
        <v>29</v>
      </c>
      <c r="S1179" s="2" t="s">
        <v>30</v>
      </c>
    </row>
    <row r="1180" spans="1:19">
      <c r="A1180" s="1">
        <v>44378</v>
      </c>
      <c r="B1180" s="1">
        <v>44378</v>
      </c>
      <c r="C1180">
        <v>2021</v>
      </c>
      <c r="D1180">
        <v>7</v>
      </c>
      <c r="E1180" s="2" t="s">
        <v>263</v>
      </c>
      <c r="F1180" s="2" t="s">
        <v>264</v>
      </c>
      <c r="G1180" s="2" t="s">
        <v>21</v>
      </c>
      <c r="H1180" s="2" t="s">
        <v>22</v>
      </c>
      <c r="I1180" s="2" t="s">
        <v>258</v>
      </c>
      <c r="J1180" s="2" t="s">
        <v>24</v>
      </c>
      <c r="K1180">
        <v>0</v>
      </c>
      <c r="L1180">
        <v>0</v>
      </c>
      <c r="N1180" s="2" t="s">
        <v>265</v>
      </c>
      <c r="O1180" s="2" t="s">
        <v>266</v>
      </c>
      <c r="P1180" s="2" t="s">
        <v>639</v>
      </c>
      <c r="Q1180" s="2" t="s">
        <v>639</v>
      </c>
      <c r="R1180" s="2" t="s">
        <v>29</v>
      </c>
      <c r="S1180" s="2" t="s">
        <v>30</v>
      </c>
    </row>
    <row r="1181" spans="1:19">
      <c r="A1181" s="1">
        <v>44378</v>
      </c>
      <c r="B1181" s="1">
        <v>44378</v>
      </c>
      <c r="C1181">
        <v>2021</v>
      </c>
      <c r="D1181">
        <v>7</v>
      </c>
      <c r="E1181" s="2" t="s">
        <v>269</v>
      </c>
      <c r="F1181" s="2" t="s">
        <v>270</v>
      </c>
      <c r="G1181" s="2" t="s">
        <v>21</v>
      </c>
      <c r="H1181" s="2" t="s">
        <v>22</v>
      </c>
      <c r="I1181" s="2" t="s">
        <v>258</v>
      </c>
      <c r="J1181" s="2" t="s">
        <v>59</v>
      </c>
      <c r="K1181">
        <v>596.11</v>
      </c>
      <c r="L1181">
        <v>553256.39</v>
      </c>
      <c r="M1181">
        <v>92811.12</v>
      </c>
      <c r="N1181" s="2" t="s">
        <v>271</v>
      </c>
      <c r="O1181" s="2" t="s">
        <v>272</v>
      </c>
      <c r="P1181" s="2" t="s">
        <v>2370</v>
      </c>
      <c r="Q1181" s="2" t="s">
        <v>2371</v>
      </c>
      <c r="R1181" s="2" t="s">
        <v>29</v>
      </c>
      <c r="S1181" s="2" t="s">
        <v>30</v>
      </c>
    </row>
    <row r="1182" spans="1:19">
      <c r="A1182" s="1">
        <v>44378</v>
      </c>
      <c r="B1182" s="1">
        <v>44378</v>
      </c>
      <c r="C1182">
        <v>2021</v>
      </c>
      <c r="D1182">
        <v>7</v>
      </c>
      <c r="E1182" s="2" t="s">
        <v>275</v>
      </c>
      <c r="F1182" s="2" t="s">
        <v>276</v>
      </c>
      <c r="G1182" s="2" t="s">
        <v>39</v>
      </c>
      <c r="H1182" s="2" t="s">
        <v>22</v>
      </c>
      <c r="I1182" s="2" t="s">
        <v>40</v>
      </c>
      <c r="J1182" s="2" t="s">
        <v>24</v>
      </c>
      <c r="K1182">
        <v>6.15</v>
      </c>
      <c r="L1182">
        <v>43.27</v>
      </c>
      <c r="M1182">
        <v>703.58</v>
      </c>
      <c r="N1182" s="2" t="s">
        <v>277</v>
      </c>
      <c r="O1182" s="2" t="s">
        <v>278</v>
      </c>
      <c r="P1182" s="2" t="s">
        <v>2372</v>
      </c>
      <c r="Q1182" s="2" t="s">
        <v>2373</v>
      </c>
      <c r="R1182" s="2" t="s">
        <v>29</v>
      </c>
      <c r="S1182" s="2" t="s">
        <v>30</v>
      </c>
    </row>
    <row r="1183" spans="1:19">
      <c r="A1183" s="1">
        <v>44378</v>
      </c>
      <c r="B1183" s="1">
        <v>44378</v>
      </c>
      <c r="C1183">
        <v>2021</v>
      </c>
      <c r="D1183">
        <v>7</v>
      </c>
      <c r="E1183" s="2" t="s">
        <v>281</v>
      </c>
      <c r="F1183" s="2" t="s">
        <v>282</v>
      </c>
      <c r="G1183" s="2" t="s">
        <v>39</v>
      </c>
      <c r="H1183" s="2" t="s">
        <v>22</v>
      </c>
      <c r="I1183" s="2" t="s">
        <v>40</v>
      </c>
      <c r="J1183" s="2" t="s">
        <v>24</v>
      </c>
      <c r="K1183">
        <v>1.3</v>
      </c>
      <c r="L1183">
        <v>18.96</v>
      </c>
      <c r="M1183">
        <v>1458.46</v>
      </c>
      <c r="N1183" s="2" t="s">
        <v>283</v>
      </c>
      <c r="O1183" s="2" t="s">
        <v>284</v>
      </c>
      <c r="P1183" s="2" t="s">
        <v>2374</v>
      </c>
      <c r="Q1183" s="2" t="s">
        <v>2375</v>
      </c>
      <c r="R1183" s="2" t="s">
        <v>29</v>
      </c>
      <c r="S1183" s="2" t="s">
        <v>30</v>
      </c>
    </row>
    <row r="1184" spans="1:19">
      <c r="A1184" s="1">
        <v>44378</v>
      </c>
      <c r="B1184" s="1">
        <v>44378</v>
      </c>
      <c r="C1184">
        <v>2021</v>
      </c>
      <c r="D1184">
        <v>7</v>
      </c>
      <c r="E1184" s="2" t="s">
        <v>287</v>
      </c>
      <c r="F1184" s="2" t="s">
        <v>288</v>
      </c>
      <c r="G1184" s="2" t="s">
        <v>39</v>
      </c>
      <c r="H1184" s="2" t="s">
        <v>22</v>
      </c>
      <c r="I1184" s="2" t="s">
        <v>40</v>
      </c>
      <c r="J1184" s="2" t="s">
        <v>59</v>
      </c>
      <c r="K1184">
        <v>7.45</v>
      </c>
      <c r="L1184">
        <v>62.23</v>
      </c>
      <c r="M1184">
        <v>835.3</v>
      </c>
      <c r="N1184" s="2" t="s">
        <v>289</v>
      </c>
      <c r="O1184" s="2" t="s">
        <v>290</v>
      </c>
      <c r="P1184" s="2" t="s">
        <v>2376</v>
      </c>
      <c r="Q1184" s="2" t="s">
        <v>2377</v>
      </c>
      <c r="R1184" s="2" t="s">
        <v>29</v>
      </c>
      <c r="S1184" s="2" t="s">
        <v>30</v>
      </c>
    </row>
    <row r="1185" spans="1:19">
      <c r="A1185" s="1">
        <v>44378</v>
      </c>
      <c r="B1185" s="1">
        <v>44378</v>
      </c>
      <c r="C1185">
        <v>2021</v>
      </c>
      <c r="D1185">
        <v>7</v>
      </c>
      <c r="E1185" s="2" t="s">
        <v>293</v>
      </c>
      <c r="F1185" s="2" t="s">
        <v>294</v>
      </c>
      <c r="G1185" s="2" t="s">
        <v>21</v>
      </c>
      <c r="H1185" s="2" t="s">
        <v>22</v>
      </c>
      <c r="I1185" s="2" t="s">
        <v>295</v>
      </c>
      <c r="J1185" s="2" t="s">
        <v>24</v>
      </c>
      <c r="K1185">
        <v>816.64</v>
      </c>
      <c r="L1185">
        <v>3069.73</v>
      </c>
      <c r="M1185">
        <v>375.9</v>
      </c>
      <c r="N1185" s="2" t="s">
        <v>296</v>
      </c>
      <c r="O1185" s="2" t="s">
        <v>297</v>
      </c>
      <c r="P1185" s="2" t="s">
        <v>2378</v>
      </c>
      <c r="Q1185" s="2" t="s">
        <v>2379</v>
      </c>
      <c r="R1185" s="2" t="s">
        <v>29</v>
      </c>
      <c r="S1185" s="2" t="s">
        <v>30</v>
      </c>
    </row>
    <row r="1186" spans="1:19">
      <c r="A1186" s="1">
        <v>44378</v>
      </c>
      <c r="B1186" s="1">
        <v>44378</v>
      </c>
      <c r="C1186">
        <v>2021</v>
      </c>
      <c r="D1186">
        <v>7</v>
      </c>
      <c r="E1186" s="2" t="s">
        <v>300</v>
      </c>
      <c r="F1186" s="2" t="s">
        <v>301</v>
      </c>
      <c r="G1186" s="2" t="s">
        <v>21</v>
      </c>
      <c r="H1186" s="2" t="s">
        <v>22</v>
      </c>
      <c r="I1186" s="2" t="s">
        <v>295</v>
      </c>
      <c r="J1186" s="2" t="s">
        <v>24</v>
      </c>
      <c r="K1186">
        <v>73.489999999999995</v>
      </c>
      <c r="L1186">
        <v>893.25</v>
      </c>
      <c r="M1186">
        <v>1215.47</v>
      </c>
      <c r="N1186" s="2" t="s">
        <v>302</v>
      </c>
      <c r="O1186" s="2" t="s">
        <v>303</v>
      </c>
      <c r="P1186" s="2" t="s">
        <v>2380</v>
      </c>
      <c r="Q1186" s="2" t="s">
        <v>2381</v>
      </c>
      <c r="R1186" s="2" t="s">
        <v>29</v>
      </c>
      <c r="S1186" s="2" t="s">
        <v>30</v>
      </c>
    </row>
    <row r="1187" spans="1:19">
      <c r="A1187" s="1">
        <v>44378</v>
      </c>
      <c r="B1187" s="1">
        <v>44378</v>
      </c>
      <c r="C1187">
        <v>2021</v>
      </c>
      <c r="D1187">
        <v>7</v>
      </c>
      <c r="E1187" s="2" t="s">
        <v>306</v>
      </c>
      <c r="F1187" s="2" t="s">
        <v>307</v>
      </c>
      <c r="G1187" s="2" t="s">
        <v>21</v>
      </c>
      <c r="H1187" s="2" t="s">
        <v>22</v>
      </c>
      <c r="I1187" s="2" t="s">
        <v>295</v>
      </c>
      <c r="J1187" s="2" t="s">
        <v>101</v>
      </c>
      <c r="K1187">
        <v>890.14</v>
      </c>
      <c r="L1187">
        <v>3962.98</v>
      </c>
      <c r="M1187">
        <v>445.21</v>
      </c>
      <c r="N1187" s="2" t="s">
        <v>308</v>
      </c>
      <c r="O1187" s="2" t="s">
        <v>309</v>
      </c>
      <c r="P1187" s="2" t="s">
        <v>2382</v>
      </c>
      <c r="Q1187" s="2" t="s">
        <v>2383</v>
      </c>
      <c r="R1187" s="2" t="s">
        <v>29</v>
      </c>
      <c r="S1187" s="2" t="s">
        <v>30</v>
      </c>
    </row>
    <row r="1188" spans="1:19">
      <c r="A1188" s="1">
        <v>44378</v>
      </c>
      <c r="B1188" s="1">
        <v>44378</v>
      </c>
      <c r="C1188">
        <v>2021</v>
      </c>
      <c r="D1188">
        <v>7</v>
      </c>
      <c r="E1188" s="2" t="s">
        <v>312</v>
      </c>
      <c r="F1188" s="2" t="s">
        <v>313</v>
      </c>
      <c r="G1188" s="2" t="s">
        <v>21</v>
      </c>
      <c r="H1188" s="2" t="s">
        <v>22</v>
      </c>
      <c r="I1188" s="2" t="s">
        <v>295</v>
      </c>
      <c r="J1188" s="2" t="s">
        <v>59</v>
      </c>
      <c r="K1188">
        <v>4958.99</v>
      </c>
      <c r="L1188">
        <v>20587.169999999998</v>
      </c>
      <c r="M1188">
        <v>415.15</v>
      </c>
      <c r="N1188" s="2" t="s">
        <v>314</v>
      </c>
      <c r="O1188" s="2" t="s">
        <v>315</v>
      </c>
      <c r="P1188" s="2" t="s">
        <v>2384</v>
      </c>
      <c r="Q1188" s="2" t="s">
        <v>2385</v>
      </c>
      <c r="R1188" s="2" t="s">
        <v>29</v>
      </c>
      <c r="S1188" s="2" t="s">
        <v>30</v>
      </c>
    </row>
    <row r="1189" spans="1:19">
      <c r="A1189" s="1">
        <v>44378</v>
      </c>
      <c r="B1189" s="1">
        <v>44378</v>
      </c>
      <c r="C1189">
        <v>2021</v>
      </c>
      <c r="D1189">
        <v>7</v>
      </c>
      <c r="E1189" s="2" t="s">
        <v>318</v>
      </c>
      <c r="F1189" s="2" t="s">
        <v>319</v>
      </c>
      <c r="G1189" s="2" t="s">
        <v>21</v>
      </c>
      <c r="H1189" s="2" t="s">
        <v>22</v>
      </c>
      <c r="I1189" s="2" t="s">
        <v>295</v>
      </c>
      <c r="J1189" s="2" t="s">
        <v>24</v>
      </c>
      <c r="K1189">
        <v>4068.85</v>
      </c>
      <c r="L1189">
        <v>16624.18</v>
      </c>
      <c r="M1189">
        <v>408.57</v>
      </c>
      <c r="N1189" s="2" t="s">
        <v>320</v>
      </c>
      <c r="O1189" s="2" t="s">
        <v>321</v>
      </c>
      <c r="P1189" s="2" t="s">
        <v>2386</v>
      </c>
      <c r="Q1189" s="2" t="s">
        <v>2387</v>
      </c>
      <c r="R1189" s="2" t="s">
        <v>29</v>
      </c>
      <c r="S1189" s="2" t="s">
        <v>30</v>
      </c>
    </row>
    <row r="1190" spans="1:19">
      <c r="A1190" s="1">
        <v>44378</v>
      </c>
      <c r="B1190" s="1">
        <v>44378</v>
      </c>
      <c r="C1190">
        <v>2021</v>
      </c>
      <c r="D1190">
        <v>7</v>
      </c>
      <c r="E1190" s="2" t="s">
        <v>324</v>
      </c>
      <c r="F1190" s="2" t="s">
        <v>325</v>
      </c>
      <c r="G1190" s="2" t="s">
        <v>21</v>
      </c>
      <c r="H1190" s="2" t="s">
        <v>22</v>
      </c>
      <c r="I1190" s="2" t="s">
        <v>23</v>
      </c>
      <c r="J1190" s="2" t="s">
        <v>59</v>
      </c>
      <c r="K1190">
        <v>41372.720000000001</v>
      </c>
      <c r="L1190">
        <v>3215234.46</v>
      </c>
      <c r="M1190">
        <v>7771.39</v>
      </c>
      <c r="N1190" s="2" t="s">
        <v>326</v>
      </c>
      <c r="O1190" s="2" t="s">
        <v>327</v>
      </c>
      <c r="P1190" s="2" t="s">
        <v>2388</v>
      </c>
      <c r="Q1190" s="2" t="s">
        <v>2389</v>
      </c>
      <c r="R1190" s="2" t="s">
        <v>29</v>
      </c>
      <c r="S1190" s="2" t="s">
        <v>30</v>
      </c>
    </row>
    <row r="1191" spans="1:19">
      <c r="A1191" s="1">
        <v>44378</v>
      </c>
      <c r="B1191" s="1">
        <v>44378</v>
      </c>
      <c r="C1191">
        <v>2021</v>
      </c>
      <c r="D1191">
        <v>7</v>
      </c>
      <c r="E1191" s="2" t="s">
        <v>330</v>
      </c>
      <c r="F1191" s="2" t="s">
        <v>331</v>
      </c>
      <c r="G1191" s="2" t="s">
        <v>21</v>
      </c>
      <c r="H1191" s="2" t="s">
        <v>332</v>
      </c>
      <c r="I1191" s="2" t="s">
        <v>333</v>
      </c>
      <c r="J1191" s="2" t="s">
        <v>24</v>
      </c>
      <c r="K1191">
        <v>166.43</v>
      </c>
      <c r="L1191">
        <v>9288983.5700000003</v>
      </c>
      <c r="M1191">
        <v>5581315.6100000003</v>
      </c>
      <c r="N1191" s="2" t="s">
        <v>334</v>
      </c>
      <c r="O1191" s="2" t="s">
        <v>335</v>
      </c>
      <c r="P1191" s="2" t="s">
        <v>2390</v>
      </c>
      <c r="Q1191" s="2" t="s">
        <v>2391</v>
      </c>
      <c r="R1191" s="2" t="s">
        <v>29</v>
      </c>
      <c r="S1191" s="2" t="s">
        <v>30</v>
      </c>
    </row>
    <row r="1192" spans="1:19">
      <c r="A1192" s="1">
        <v>44378</v>
      </c>
      <c r="B1192" s="1">
        <v>44378</v>
      </c>
      <c r="C1192">
        <v>2021</v>
      </c>
      <c r="D1192">
        <v>7</v>
      </c>
      <c r="E1192" s="2" t="s">
        <v>338</v>
      </c>
      <c r="F1192" s="2" t="s">
        <v>339</v>
      </c>
      <c r="G1192" s="2" t="s">
        <v>21</v>
      </c>
      <c r="H1192" s="2" t="s">
        <v>332</v>
      </c>
      <c r="I1192" s="2" t="s">
        <v>333</v>
      </c>
      <c r="J1192" s="2" t="s">
        <v>24</v>
      </c>
      <c r="K1192">
        <v>1.22</v>
      </c>
      <c r="L1192">
        <v>1452330.54</v>
      </c>
      <c r="M1192">
        <v>119043486.89</v>
      </c>
      <c r="N1192" s="2" t="s">
        <v>340</v>
      </c>
      <c r="O1192" s="2" t="s">
        <v>341</v>
      </c>
      <c r="P1192" s="2" t="s">
        <v>1140</v>
      </c>
      <c r="Q1192" s="2" t="s">
        <v>2392</v>
      </c>
      <c r="R1192" s="2" t="s">
        <v>29</v>
      </c>
      <c r="S1192" s="2" t="s">
        <v>30</v>
      </c>
    </row>
    <row r="1193" spans="1:19">
      <c r="A1193" s="1">
        <v>44378</v>
      </c>
      <c r="B1193" s="1">
        <v>44378</v>
      </c>
      <c r="C1193">
        <v>2021</v>
      </c>
      <c r="D1193">
        <v>7</v>
      </c>
      <c r="E1193" s="2" t="s">
        <v>344</v>
      </c>
      <c r="F1193" s="2" t="s">
        <v>345</v>
      </c>
      <c r="G1193" s="2" t="s">
        <v>21</v>
      </c>
      <c r="H1193" s="2" t="s">
        <v>332</v>
      </c>
      <c r="I1193" s="2" t="s">
        <v>333</v>
      </c>
      <c r="J1193" s="2" t="s">
        <v>59</v>
      </c>
      <c r="K1193">
        <v>167.65</v>
      </c>
      <c r="L1193">
        <v>10741314.109999999</v>
      </c>
      <c r="M1193">
        <v>6406987.2400000002</v>
      </c>
      <c r="N1193" s="2" t="s">
        <v>346</v>
      </c>
      <c r="O1193" s="2" t="s">
        <v>347</v>
      </c>
      <c r="P1193" s="2" t="s">
        <v>2393</v>
      </c>
      <c r="Q1193" s="2" t="s">
        <v>2394</v>
      </c>
      <c r="R1193" s="2" t="s">
        <v>29</v>
      </c>
      <c r="S1193" s="2" t="s">
        <v>30</v>
      </c>
    </row>
    <row r="1194" spans="1:19">
      <c r="A1194" s="1">
        <v>44378</v>
      </c>
      <c r="B1194" s="1">
        <v>44378</v>
      </c>
      <c r="C1194">
        <v>2021</v>
      </c>
      <c r="D1194">
        <v>7</v>
      </c>
      <c r="E1194" s="2" t="s">
        <v>350</v>
      </c>
      <c r="F1194" s="2" t="s">
        <v>351</v>
      </c>
      <c r="G1194" s="2" t="s">
        <v>21</v>
      </c>
      <c r="H1194" s="2" t="s">
        <v>22</v>
      </c>
      <c r="I1194" s="2" t="s">
        <v>352</v>
      </c>
      <c r="J1194" s="2" t="s">
        <v>353</v>
      </c>
      <c r="K1194">
        <v>52711.53</v>
      </c>
      <c r="L1194">
        <v>14199610.6</v>
      </c>
      <c r="M1194">
        <v>26938.34</v>
      </c>
      <c r="N1194" s="2" t="s">
        <v>354</v>
      </c>
      <c r="O1194" s="2" t="s">
        <v>355</v>
      </c>
      <c r="P1194" s="2" t="s">
        <v>2395</v>
      </c>
      <c r="Q1194" s="2" t="s">
        <v>2396</v>
      </c>
      <c r="R1194" s="2" t="s">
        <v>29</v>
      </c>
      <c r="S1194" s="2" t="s">
        <v>30</v>
      </c>
    </row>
    <row r="1195" spans="1:19">
      <c r="A1195" s="1">
        <v>44378</v>
      </c>
      <c r="B1195" s="1">
        <v>44378</v>
      </c>
      <c r="C1195">
        <v>2021</v>
      </c>
      <c r="D1195">
        <v>7</v>
      </c>
      <c r="E1195" s="2" t="s">
        <v>358</v>
      </c>
      <c r="F1195" s="2" t="s">
        <v>359</v>
      </c>
      <c r="G1195" s="2" t="s">
        <v>21</v>
      </c>
      <c r="H1195" s="2" t="s">
        <v>22</v>
      </c>
      <c r="I1195" s="2" t="s">
        <v>352</v>
      </c>
      <c r="J1195" s="2" t="s">
        <v>353</v>
      </c>
      <c r="K1195">
        <v>53307.64</v>
      </c>
      <c r="L1195">
        <v>14752866.99</v>
      </c>
      <c r="M1195">
        <v>27674.959999999999</v>
      </c>
      <c r="N1195" s="2" t="s">
        <v>360</v>
      </c>
      <c r="O1195" s="2" t="s">
        <v>361</v>
      </c>
      <c r="P1195" s="2" t="s">
        <v>2397</v>
      </c>
      <c r="Q1195" s="2" t="s">
        <v>2398</v>
      </c>
      <c r="R1195" s="2" t="s">
        <v>29</v>
      </c>
      <c r="S1195" s="2" t="s">
        <v>30</v>
      </c>
    </row>
    <row r="1196" spans="1:19">
      <c r="A1196" s="1">
        <v>44378</v>
      </c>
      <c r="B1196" s="1">
        <v>44378</v>
      </c>
      <c r="C1196">
        <v>2021</v>
      </c>
      <c r="D1196">
        <v>7</v>
      </c>
      <c r="E1196" s="2" t="s">
        <v>364</v>
      </c>
      <c r="F1196" s="2" t="s">
        <v>365</v>
      </c>
      <c r="G1196" s="2" t="s">
        <v>21</v>
      </c>
      <c r="H1196" s="2" t="s">
        <v>22</v>
      </c>
      <c r="I1196" s="2" t="s">
        <v>352</v>
      </c>
      <c r="J1196" s="2" t="s">
        <v>353</v>
      </c>
      <c r="K1196">
        <v>53139.99</v>
      </c>
      <c r="L1196">
        <v>4011552.88</v>
      </c>
      <c r="M1196">
        <v>7549.03</v>
      </c>
      <c r="N1196" s="2" t="s">
        <v>366</v>
      </c>
      <c r="O1196" s="2" t="s">
        <v>367</v>
      </c>
      <c r="P1196" s="2" t="s">
        <v>2399</v>
      </c>
      <c r="Q1196" s="2" t="s">
        <v>2400</v>
      </c>
      <c r="R1196" s="2" t="s">
        <v>29</v>
      </c>
      <c r="S1196" s="2" t="s">
        <v>30</v>
      </c>
    </row>
    <row r="1197" spans="1:19">
      <c r="A1197" s="1">
        <v>44378</v>
      </c>
      <c r="B1197" s="1">
        <v>44378</v>
      </c>
      <c r="C1197">
        <v>2021</v>
      </c>
      <c r="D1197">
        <v>7</v>
      </c>
      <c r="E1197" s="2" t="s">
        <v>370</v>
      </c>
      <c r="F1197" s="2" t="s">
        <v>371</v>
      </c>
      <c r="G1197" s="2" t="s">
        <v>21</v>
      </c>
      <c r="H1197" s="2" t="s">
        <v>22</v>
      </c>
      <c r="I1197" s="2" t="s">
        <v>23</v>
      </c>
      <c r="J1197" s="2" t="s">
        <v>24</v>
      </c>
      <c r="K1197">
        <v>32455.02</v>
      </c>
      <c r="L1197">
        <v>605883.19999999995</v>
      </c>
      <c r="M1197">
        <v>1866.84</v>
      </c>
      <c r="N1197" s="2" t="s">
        <v>372</v>
      </c>
      <c r="O1197" s="2" t="s">
        <v>373</v>
      </c>
      <c r="P1197" s="2" t="s">
        <v>2401</v>
      </c>
      <c r="Q1197" s="2" t="s">
        <v>2402</v>
      </c>
      <c r="R1197" s="2" t="s">
        <v>29</v>
      </c>
      <c r="S1197" s="2" t="s">
        <v>30</v>
      </c>
    </row>
    <row r="1198" spans="1:19">
      <c r="A1198" s="1">
        <v>44378</v>
      </c>
      <c r="B1198" s="1">
        <v>44378</v>
      </c>
      <c r="C1198">
        <v>2021</v>
      </c>
      <c r="D1198">
        <v>7</v>
      </c>
      <c r="E1198" s="2" t="s">
        <v>376</v>
      </c>
      <c r="F1198" s="2" t="s">
        <v>377</v>
      </c>
      <c r="G1198" s="2" t="s">
        <v>21</v>
      </c>
      <c r="H1198" s="2" t="s">
        <v>22</v>
      </c>
      <c r="I1198" s="2" t="s">
        <v>23</v>
      </c>
      <c r="J1198" s="2" t="s">
        <v>378</v>
      </c>
      <c r="K1198">
        <v>1.08</v>
      </c>
      <c r="L1198">
        <v>16.329999999999998</v>
      </c>
      <c r="M1198">
        <v>1512.04</v>
      </c>
      <c r="N1198" s="2" t="s">
        <v>379</v>
      </c>
      <c r="O1198" s="2" t="s">
        <v>380</v>
      </c>
      <c r="P1198" s="2" t="s">
        <v>1347</v>
      </c>
      <c r="Q1198" s="2" t="s">
        <v>2403</v>
      </c>
      <c r="R1198" s="2" t="s">
        <v>29</v>
      </c>
      <c r="S1198" s="2" t="s">
        <v>30</v>
      </c>
    </row>
    <row r="1199" spans="1:19">
      <c r="A1199" s="1">
        <v>44409</v>
      </c>
      <c r="B1199" s="1">
        <v>44409</v>
      </c>
      <c r="C1199">
        <v>2021</v>
      </c>
      <c r="D1199">
        <v>8</v>
      </c>
      <c r="E1199" s="2" t="s">
        <v>19</v>
      </c>
      <c r="F1199" s="2" t="s">
        <v>20</v>
      </c>
      <c r="G1199" s="2" t="s">
        <v>21</v>
      </c>
      <c r="H1199" s="2" t="s">
        <v>22</v>
      </c>
      <c r="I1199" s="2" t="s">
        <v>23</v>
      </c>
      <c r="J1199" s="2" t="s">
        <v>24</v>
      </c>
      <c r="K1199">
        <v>1.05</v>
      </c>
      <c r="L1199">
        <v>61.48</v>
      </c>
      <c r="M1199">
        <v>5855.24</v>
      </c>
      <c r="N1199" s="2" t="s">
        <v>25</v>
      </c>
      <c r="O1199" s="2" t="s">
        <v>26</v>
      </c>
      <c r="P1199" s="2" t="s">
        <v>2404</v>
      </c>
      <c r="Q1199" s="2" t="s">
        <v>2405</v>
      </c>
      <c r="R1199" s="2" t="s">
        <v>29</v>
      </c>
      <c r="S1199" s="2" t="s">
        <v>30</v>
      </c>
    </row>
    <row r="1200" spans="1:19">
      <c r="A1200" s="1">
        <v>44409</v>
      </c>
      <c r="B1200" s="1">
        <v>44409</v>
      </c>
      <c r="C1200">
        <v>2021</v>
      </c>
      <c r="D1200">
        <v>8</v>
      </c>
      <c r="E1200" s="2" t="s">
        <v>31</v>
      </c>
      <c r="F1200" s="2" t="s">
        <v>32</v>
      </c>
      <c r="G1200" s="2" t="s">
        <v>21</v>
      </c>
      <c r="H1200" s="2" t="s">
        <v>22</v>
      </c>
      <c r="I1200" s="2" t="s">
        <v>23</v>
      </c>
      <c r="J1200" s="2" t="s">
        <v>24</v>
      </c>
      <c r="K1200">
        <v>722.32</v>
      </c>
      <c r="L1200">
        <v>10305.11</v>
      </c>
      <c r="M1200">
        <v>1426.67</v>
      </c>
      <c r="N1200" s="2" t="s">
        <v>33</v>
      </c>
      <c r="O1200" s="2" t="s">
        <v>34</v>
      </c>
      <c r="P1200" s="2" t="s">
        <v>2406</v>
      </c>
      <c r="Q1200" s="2" t="s">
        <v>2407</v>
      </c>
      <c r="R1200" s="2" t="s">
        <v>29</v>
      </c>
      <c r="S1200" s="2" t="s">
        <v>30</v>
      </c>
    </row>
    <row r="1201" spans="1:19">
      <c r="A1201" s="1">
        <v>44409</v>
      </c>
      <c r="B1201" s="1">
        <v>44409</v>
      </c>
      <c r="C1201">
        <v>2021</v>
      </c>
      <c r="D1201">
        <v>8</v>
      </c>
      <c r="E1201" s="2" t="s">
        <v>37</v>
      </c>
      <c r="F1201" s="2" t="s">
        <v>38</v>
      </c>
      <c r="G1201" s="2" t="s">
        <v>39</v>
      </c>
      <c r="H1201" s="2" t="s">
        <v>22</v>
      </c>
      <c r="I1201" s="2" t="s">
        <v>40</v>
      </c>
      <c r="J1201" s="2" t="s">
        <v>24</v>
      </c>
      <c r="K1201">
        <v>5.0199999999999996</v>
      </c>
      <c r="L1201">
        <v>248.15</v>
      </c>
      <c r="M1201">
        <v>4943.2299999999996</v>
      </c>
      <c r="N1201" s="2" t="s">
        <v>41</v>
      </c>
      <c r="O1201" s="2" t="s">
        <v>42</v>
      </c>
      <c r="P1201" s="2" t="s">
        <v>2408</v>
      </c>
      <c r="Q1201" s="2" t="s">
        <v>2409</v>
      </c>
      <c r="R1201" s="2" t="s">
        <v>29</v>
      </c>
      <c r="S1201" s="2" t="s">
        <v>30</v>
      </c>
    </row>
    <row r="1202" spans="1:19">
      <c r="A1202" s="1">
        <v>44409</v>
      </c>
      <c r="B1202" s="1">
        <v>44409</v>
      </c>
      <c r="C1202">
        <v>2021</v>
      </c>
      <c r="D1202">
        <v>8</v>
      </c>
      <c r="E1202" s="2" t="s">
        <v>45</v>
      </c>
      <c r="F1202" s="2" t="s">
        <v>46</v>
      </c>
      <c r="G1202" s="2" t="s">
        <v>39</v>
      </c>
      <c r="H1202" s="2" t="s">
        <v>22</v>
      </c>
      <c r="I1202" s="2" t="s">
        <v>40</v>
      </c>
      <c r="J1202" s="2" t="s">
        <v>24</v>
      </c>
      <c r="K1202">
        <v>5652.37</v>
      </c>
      <c r="L1202">
        <v>261683.23</v>
      </c>
      <c r="M1202">
        <v>4629.62</v>
      </c>
      <c r="N1202" s="2" t="s">
        <v>47</v>
      </c>
      <c r="O1202" s="2" t="s">
        <v>48</v>
      </c>
      <c r="P1202" s="2" t="s">
        <v>2410</v>
      </c>
      <c r="Q1202" s="2" t="s">
        <v>2411</v>
      </c>
      <c r="R1202" s="2" t="s">
        <v>29</v>
      </c>
      <c r="S1202" s="2" t="s">
        <v>30</v>
      </c>
    </row>
    <row r="1203" spans="1:19">
      <c r="A1203" s="1">
        <v>44409</v>
      </c>
      <c r="B1203" s="1">
        <v>44409</v>
      </c>
      <c r="C1203">
        <v>2021</v>
      </c>
      <c r="D1203">
        <v>8</v>
      </c>
      <c r="E1203" s="2" t="s">
        <v>51</v>
      </c>
      <c r="F1203" s="2" t="s">
        <v>52</v>
      </c>
      <c r="G1203" s="2" t="s">
        <v>39</v>
      </c>
      <c r="H1203" s="2" t="s">
        <v>22</v>
      </c>
      <c r="I1203" s="2" t="s">
        <v>40</v>
      </c>
      <c r="J1203" s="2" t="s">
        <v>24</v>
      </c>
      <c r="K1203">
        <v>27.35</v>
      </c>
      <c r="L1203">
        <v>949.45</v>
      </c>
      <c r="M1203">
        <v>3471.48</v>
      </c>
      <c r="N1203" s="2" t="s">
        <v>53</v>
      </c>
      <c r="O1203" s="2" t="s">
        <v>54</v>
      </c>
      <c r="P1203" s="2" t="s">
        <v>2412</v>
      </c>
      <c r="Q1203" s="2" t="s">
        <v>2413</v>
      </c>
      <c r="R1203" s="2" t="s">
        <v>29</v>
      </c>
      <c r="S1203" s="2" t="s">
        <v>30</v>
      </c>
    </row>
    <row r="1204" spans="1:19">
      <c r="A1204" s="1">
        <v>44409</v>
      </c>
      <c r="B1204" s="1">
        <v>44409</v>
      </c>
      <c r="C1204">
        <v>2021</v>
      </c>
      <c r="D1204">
        <v>8</v>
      </c>
      <c r="E1204" s="2" t="s">
        <v>57</v>
      </c>
      <c r="F1204" s="2" t="s">
        <v>58</v>
      </c>
      <c r="G1204" s="2" t="s">
        <v>39</v>
      </c>
      <c r="H1204" s="2" t="s">
        <v>22</v>
      </c>
      <c r="I1204" s="2" t="s">
        <v>40</v>
      </c>
      <c r="J1204" s="2" t="s">
        <v>59</v>
      </c>
      <c r="K1204">
        <v>5684.73</v>
      </c>
      <c r="L1204">
        <v>262880.83</v>
      </c>
      <c r="M1204">
        <v>4624.33</v>
      </c>
      <c r="N1204" s="2" t="s">
        <v>60</v>
      </c>
      <c r="O1204" s="2" t="s">
        <v>61</v>
      </c>
      <c r="P1204" s="2" t="s">
        <v>2414</v>
      </c>
      <c r="Q1204" s="2" t="s">
        <v>2415</v>
      </c>
      <c r="R1204" s="2" t="s">
        <v>29</v>
      </c>
      <c r="S1204" s="2" t="s">
        <v>30</v>
      </c>
    </row>
    <row r="1205" spans="1:19">
      <c r="A1205" s="1">
        <v>44409</v>
      </c>
      <c r="B1205" s="1">
        <v>44409</v>
      </c>
      <c r="C1205">
        <v>2021</v>
      </c>
      <c r="D1205">
        <v>8</v>
      </c>
      <c r="E1205" s="2" t="s">
        <v>64</v>
      </c>
      <c r="F1205" s="2" t="s">
        <v>65</v>
      </c>
      <c r="G1205" s="2" t="s">
        <v>21</v>
      </c>
      <c r="H1205" s="2" t="s">
        <v>22</v>
      </c>
      <c r="I1205" s="2" t="s">
        <v>66</v>
      </c>
      <c r="J1205" s="2" t="s">
        <v>24</v>
      </c>
      <c r="K1205">
        <v>21.99</v>
      </c>
      <c r="L1205">
        <v>462.3</v>
      </c>
      <c r="M1205">
        <v>2102.3200000000002</v>
      </c>
      <c r="N1205" s="2" t="s">
        <v>67</v>
      </c>
      <c r="O1205" s="2" t="s">
        <v>68</v>
      </c>
      <c r="P1205" s="2" t="s">
        <v>2416</v>
      </c>
      <c r="Q1205" s="2" t="s">
        <v>2417</v>
      </c>
      <c r="R1205" s="2" t="s">
        <v>29</v>
      </c>
      <c r="S1205" s="2" t="s">
        <v>30</v>
      </c>
    </row>
    <row r="1206" spans="1:19">
      <c r="A1206" s="1">
        <v>44409</v>
      </c>
      <c r="B1206" s="1">
        <v>44409</v>
      </c>
      <c r="C1206">
        <v>2021</v>
      </c>
      <c r="D1206">
        <v>8</v>
      </c>
      <c r="E1206" s="2" t="s">
        <v>71</v>
      </c>
      <c r="F1206" s="2" t="s">
        <v>72</v>
      </c>
      <c r="G1206" s="2" t="s">
        <v>21</v>
      </c>
      <c r="H1206" s="2" t="s">
        <v>22</v>
      </c>
      <c r="I1206" s="2" t="s">
        <v>73</v>
      </c>
      <c r="J1206" s="2" t="s">
        <v>59</v>
      </c>
      <c r="K1206">
        <v>5493</v>
      </c>
      <c r="L1206">
        <v>142599.76</v>
      </c>
      <c r="M1206">
        <v>2596.0300000000002</v>
      </c>
      <c r="N1206" s="2" t="s">
        <v>74</v>
      </c>
      <c r="O1206" s="2" t="s">
        <v>75</v>
      </c>
      <c r="P1206" s="2" t="s">
        <v>2418</v>
      </c>
      <c r="Q1206" s="2" t="s">
        <v>2419</v>
      </c>
      <c r="R1206" s="2" t="s">
        <v>29</v>
      </c>
      <c r="S1206" s="2" t="s">
        <v>30</v>
      </c>
    </row>
    <row r="1207" spans="1:19">
      <c r="A1207" s="1">
        <v>44409</v>
      </c>
      <c r="B1207" s="1">
        <v>44409</v>
      </c>
      <c r="C1207">
        <v>2021</v>
      </c>
      <c r="D1207">
        <v>8</v>
      </c>
      <c r="E1207" s="2" t="s">
        <v>78</v>
      </c>
      <c r="F1207" s="2" t="s">
        <v>79</v>
      </c>
      <c r="G1207" s="2" t="s">
        <v>80</v>
      </c>
      <c r="H1207" s="2" t="s">
        <v>81</v>
      </c>
      <c r="I1207" s="2" t="s">
        <v>82</v>
      </c>
      <c r="J1207" s="2" t="s">
        <v>24</v>
      </c>
      <c r="K1207">
        <v>1.48</v>
      </c>
      <c r="L1207">
        <v>4599544.82</v>
      </c>
      <c r="M1207">
        <v>310780055.41000003</v>
      </c>
      <c r="N1207" s="2" t="s">
        <v>83</v>
      </c>
      <c r="O1207" s="2" t="s">
        <v>84</v>
      </c>
      <c r="P1207" s="2" t="s">
        <v>2420</v>
      </c>
      <c r="Q1207" s="2" t="s">
        <v>2421</v>
      </c>
      <c r="R1207" s="2" t="s">
        <v>29</v>
      </c>
      <c r="S1207" s="2" t="s">
        <v>30</v>
      </c>
    </row>
    <row r="1208" spans="1:19">
      <c r="A1208" s="1">
        <v>44409</v>
      </c>
      <c r="B1208" s="1">
        <v>44409</v>
      </c>
      <c r="C1208">
        <v>2021</v>
      </c>
      <c r="D1208">
        <v>8</v>
      </c>
      <c r="E1208" s="2" t="s">
        <v>87</v>
      </c>
      <c r="F1208" s="2" t="s">
        <v>88</v>
      </c>
      <c r="G1208" s="2" t="s">
        <v>80</v>
      </c>
      <c r="H1208" s="2" t="s">
        <v>81</v>
      </c>
      <c r="I1208" s="2" t="s">
        <v>82</v>
      </c>
      <c r="J1208" s="2" t="s">
        <v>24</v>
      </c>
      <c r="K1208">
        <v>0.5</v>
      </c>
      <c r="L1208">
        <v>730532.13</v>
      </c>
      <c r="M1208">
        <v>146106426</v>
      </c>
      <c r="N1208" s="2" t="s">
        <v>89</v>
      </c>
      <c r="O1208" s="2" t="s">
        <v>90</v>
      </c>
      <c r="P1208" s="2" t="s">
        <v>2323</v>
      </c>
      <c r="Q1208" s="2" t="s">
        <v>2422</v>
      </c>
      <c r="R1208" s="2" t="s">
        <v>29</v>
      </c>
      <c r="S1208" s="2" t="s">
        <v>30</v>
      </c>
    </row>
    <row r="1209" spans="1:19">
      <c r="A1209" s="1">
        <v>44409</v>
      </c>
      <c r="B1209" s="1">
        <v>44409</v>
      </c>
      <c r="C1209">
        <v>2021</v>
      </c>
      <c r="D1209">
        <v>8</v>
      </c>
      <c r="E1209" s="2" t="s">
        <v>93</v>
      </c>
      <c r="F1209" s="2" t="s">
        <v>94</v>
      </c>
      <c r="G1209" s="2" t="s">
        <v>80</v>
      </c>
      <c r="H1209" s="2" t="s">
        <v>81</v>
      </c>
      <c r="I1209" s="2" t="s">
        <v>82</v>
      </c>
      <c r="J1209" s="2" t="s">
        <v>24</v>
      </c>
      <c r="K1209">
        <v>0.24</v>
      </c>
      <c r="L1209">
        <v>3479766.03</v>
      </c>
      <c r="M1209">
        <v>1449902512.5</v>
      </c>
      <c r="N1209" s="2" t="s">
        <v>95</v>
      </c>
      <c r="O1209" s="2" t="s">
        <v>96</v>
      </c>
      <c r="P1209" s="2" t="s">
        <v>1650</v>
      </c>
      <c r="Q1209" s="2" t="s">
        <v>2423</v>
      </c>
      <c r="R1209" s="2" t="s">
        <v>29</v>
      </c>
      <c r="S1209" s="2" t="s">
        <v>30</v>
      </c>
    </row>
    <row r="1210" spans="1:19">
      <c r="A1210" s="1">
        <v>44409</v>
      </c>
      <c r="B1210" s="1">
        <v>44409</v>
      </c>
      <c r="C1210">
        <v>2021</v>
      </c>
      <c r="D1210">
        <v>8</v>
      </c>
      <c r="E1210" s="2" t="s">
        <v>99</v>
      </c>
      <c r="F1210" s="2" t="s">
        <v>100</v>
      </c>
      <c r="G1210" s="2" t="s">
        <v>80</v>
      </c>
      <c r="H1210" s="2" t="s">
        <v>81</v>
      </c>
      <c r="I1210" s="2" t="s">
        <v>82</v>
      </c>
      <c r="J1210" s="2" t="s">
        <v>101</v>
      </c>
      <c r="K1210">
        <v>0.96</v>
      </c>
      <c r="L1210">
        <v>10388877.16</v>
      </c>
      <c r="M1210">
        <v>1082174704.1700001</v>
      </c>
      <c r="N1210" s="2" t="s">
        <v>102</v>
      </c>
      <c r="O1210" s="2" t="s">
        <v>103</v>
      </c>
      <c r="P1210" s="2" t="s">
        <v>1244</v>
      </c>
      <c r="Q1210" s="2" t="s">
        <v>2424</v>
      </c>
      <c r="R1210" s="2" t="s">
        <v>29</v>
      </c>
      <c r="S1210" s="2" t="s">
        <v>30</v>
      </c>
    </row>
    <row r="1211" spans="1:19">
      <c r="A1211" s="1">
        <v>44409</v>
      </c>
      <c r="B1211" s="1">
        <v>44409</v>
      </c>
      <c r="C1211">
        <v>2021</v>
      </c>
      <c r="D1211">
        <v>8</v>
      </c>
      <c r="E1211" s="2" t="s">
        <v>106</v>
      </c>
      <c r="F1211" s="2" t="s">
        <v>107</v>
      </c>
      <c r="G1211" s="2" t="s">
        <v>80</v>
      </c>
      <c r="H1211" s="2" t="s">
        <v>81</v>
      </c>
      <c r="I1211" s="2" t="s">
        <v>82</v>
      </c>
      <c r="J1211" s="2" t="s">
        <v>24</v>
      </c>
      <c r="K1211">
        <v>0.22</v>
      </c>
      <c r="L1211">
        <v>6178579</v>
      </c>
      <c r="M1211">
        <v>2808445000</v>
      </c>
      <c r="N1211" s="2" t="s">
        <v>108</v>
      </c>
      <c r="O1211" s="2" t="s">
        <v>109</v>
      </c>
      <c r="P1211" s="2" t="s">
        <v>514</v>
      </c>
      <c r="Q1211" s="2" t="s">
        <v>2425</v>
      </c>
      <c r="R1211" s="2" t="s">
        <v>29</v>
      </c>
      <c r="S1211" s="2" t="s">
        <v>30</v>
      </c>
    </row>
    <row r="1212" spans="1:19">
      <c r="A1212" s="1">
        <v>44409</v>
      </c>
      <c r="B1212" s="1">
        <v>44409</v>
      </c>
      <c r="C1212">
        <v>2021</v>
      </c>
      <c r="D1212">
        <v>8</v>
      </c>
      <c r="E1212" s="2" t="s">
        <v>111</v>
      </c>
      <c r="F1212" s="2" t="s">
        <v>112</v>
      </c>
      <c r="G1212" s="2" t="s">
        <v>80</v>
      </c>
      <c r="H1212" s="2" t="s">
        <v>81</v>
      </c>
      <c r="I1212" s="2" t="s">
        <v>82</v>
      </c>
      <c r="J1212" s="2" t="s">
        <v>24</v>
      </c>
      <c r="K1212">
        <v>0.06</v>
      </c>
      <c r="L1212">
        <v>374530</v>
      </c>
      <c r="M1212">
        <v>624216666.66999996</v>
      </c>
      <c r="N1212" s="2" t="s">
        <v>113</v>
      </c>
      <c r="O1212" s="2" t="s">
        <v>114</v>
      </c>
      <c r="P1212" s="2" t="s">
        <v>1945</v>
      </c>
      <c r="Q1212" s="2" t="s">
        <v>2426</v>
      </c>
      <c r="R1212" s="2" t="s">
        <v>29</v>
      </c>
      <c r="S1212" s="2" t="s">
        <v>30</v>
      </c>
    </row>
    <row r="1213" spans="1:19">
      <c r="A1213" s="1">
        <v>44409</v>
      </c>
      <c r="B1213" s="1">
        <v>44409</v>
      </c>
      <c r="C1213">
        <v>2021</v>
      </c>
      <c r="D1213">
        <v>8</v>
      </c>
      <c r="E1213" s="2" t="s">
        <v>117</v>
      </c>
      <c r="F1213" s="2" t="s">
        <v>118</v>
      </c>
      <c r="G1213" s="2" t="s">
        <v>80</v>
      </c>
      <c r="H1213" s="2" t="s">
        <v>81</v>
      </c>
      <c r="I1213" s="2" t="s">
        <v>82</v>
      </c>
      <c r="J1213" s="2" t="s">
        <v>59</v>
      </c>
      <c r="K1213">
        <v>2.5099999999999998</v>
      </c>
      <c r="L1213">
        <v>15362951.98</v>
      </c>
      <c r="M1213">
        <v>612069800</v>
      </c>
      <c r="N1213" s="2" t="s">
        <v>119</v>
      </c>
      <c r="O1213" s="2" t="s">
        <v>120</v>
      </c>
      <c r="P1213" s="2" t="s">
        <v>1090</v>
      </c>
      <c r="Q1213" s="2" t="s">
        <v>2427</v>
      </c>
      <c r="R1213" s="2" t="s">
        <v>29</v>
      </c>
      <c r="S1213" s="2" t="s">
        <v>30</v>
      </c>
    </row>
    <row r="1214" spans="1:19">
      <c r="A1214" s="1">
        <v>44409</v>
      </c>
      <c r="B1214" s="1">
        <v>44409</v>
      </c>
      <c r="C1214">
        <v>2021</v>
      </c>
      <c r="D1214">
        <v>8</v>
      </c>
      <c r="E1214" s="2" t="s">
        <v>123</v>
      </c>
      <c r="F1214" s="2" t="s">
        <v>124</v>
      </c>
      <c r="G1214" s="2" t="s">
        <v>21</v>
      </c>
      <c r="H1214" s="2" t="s">
        <v>22</v>
      </c>
      <c r="I1214" s="2" t="s">
        <v>73</v>
      </c>
      <c r="J1214" s="2" t="s">
        <v>24</v>
      </c>
      <c r="K1214">
        <v>920.08</v>
      </c>
      <c r="L1214">
        <v>44764.13</v>
      </c>
      <c r="M1214">
        <v>4865.24</v>
      </c>
      <c r="N1214" s="2" t="s">
        <v>125</v>
      </c>
      <c r="O1214" s="2" t="s">
        <v>126</v>
      </c>
      <c r="P1214" s="2" t="s">
        <v>2428</v>
      </c>
      <c r="Q1214" s="2" t="s">
        <v>2429</v>
      </c>
      <c r="R1214" s="2" t="s">
        <v>29</v>
      </c>
      <c r="S1214" s="2" t="s">
        <v>30</v>
      </c>
    </row>
    <row r="1215" spans="1:19">
      <c r="A1215" s="1">
        <v>44409</v>
      </c>
      <c r="B1215" s="1">
        <v>44409</v>
      </c>
      <c r="C1215">
        <v>2021</v>
      </c>
      <c r="D1215">
        <v>8</v>
      </c>
      <c r="E1215" s="2" t="s">
        <v>129</v>
      </c>
      <c r="F1215" s="2" t="s">
        <v>130</v>
      </c>
      <c r="G1215" s="2" t="s">
        <v>21</v>
      </c>
      <c r="H1215" s="2" t="s">
        <v>22</v>
      </c>
      <c r="I1215" s="2" t="s">
        <v>73</v>
      </c>
      <c r="J1215" s="2" t="s">
        <v>24</v>
      </c>
      <c r="K1215">
        <v>984.62</v>
      </c>
      <c r="L1215">
        <v>32968.89</v>
      </c>
      <c r="M1215">
        <v>3348.39</v>
      </c>
      <c r="N1215" s="2" t="s">
        <v>131</v>
      </c>
      <c r="O1215" s="2" t="s">
        <v>132</v>
      </c>
      <c r="P1215" s="2" t="s">
        <v>2430</v>
      </c>
      <c r="Q1215" s="2" t="s">
        <v>2431</v>
      </c>
      <c r="R1215" s="2" t="s">
        <v>29</v>
      </c>
      <c r="S1215" s="2" t="s">
        <v>30</v>
      </c>
    </row>
    <row r="1216" spans="1:19">
      <c r="A1216" s="1">
        <v>44409</v>
      </c>
      <c r="B1216" s="1">
        <v>44409</v>
      </c>
      <c r="C1216">
        <v>2021</v>
      </c>
      <c r="D1216">
        <v>8</v>
      </c>
      <c r="E1216" s="2" t="s">
        <v>135</v>
      </c>
      <c r="F1216" s="2" t="s">
        <v>136</v>
      </c>
      <c r="G1216" s="2" t="s">
        <v>21</v>
      </c>
      <c r="H1216" s="2" t="s">
        <v>22</v>
      </c>
      <c r="I1216" s="2" t="s">
        <v>73</v>
      </c>
      <c r="J1216" s="2" t="s">
        <v>101</v>
      </c>
      <c r="K1216">
        <v>1904.71</v>
      </c>
      <c r="L1216">
        <v>77733.02</v>
      </c>
      <c r="M1216">
        <v>4081.09</v>
      </c>
      <c r="N1216" s="2" t="s">
        <v>137</v>
      </c>
      <c r="O1216" s="2" t="s">
        <v>138</v>
      </c>
      <c r="P1216" s="2" t="s">
        <v>2432</v>
      </c>
      <c r="Q1216" s="2" t="s">
        <v>2433</v>
      </c>
      <c r="R1216" s="2" t="s">
        <v>29</v>
      </c>
      <c r="S1216" s="2" t="s">
        <v>30</v>
      </c>
    </row>
    <row r="1217" spans="1:19">
      <c r="A1217" s="1">
        <v>44409</v>
      </c>
      <c r="B1217" s="1">
        <v>44409</v>
      </c>
      <c r="C1217">
        <v>2021</v>
      </c>
      <c r="D1217">
        <v>8</v>
      </c>
      <c r="E1217" s="2" t="s">
        <v>141</v>
      </c>
      <c r="F1217" s="2" t="s">
        <v>142</v>
      </c>
      <c r="G1217" s="2" t="s">
        <v>21</v>
      </c>
      <c r="H1217" s="2" t="s">
        <v>22</v>
      </c>
      <c r="I1217" s="2" t="s">
        <v>73</v>
      </c>
      <c r="J1217" s="2" t="s">
        <v>24</v>
      </c>
      <c r="K1217">
        <v>1468.66</v>
      </c>
      <c r="L1217">
        <v>23689.61</v>
      </c>
      <c r="M1217">
        <v>1613.01</v>
      </c>
      <c r="N1217" s="2" t="s">
        <v>143</v>
      </c>
      <c r="O1217" s="2" t="s">
        <v>144</v>
      </c>
      <c r="P1217" s="2" t="s">
        <v>2434</v>
      </c>
      <c r="Q1217" s="2" t="s">
        <v>2435</v>
      </c>
      <c r="R1217" s="2" t="s">
        <v>29</v>
      </c>
      <c r="S1217" s="2" t="s">
        <v>30</v>
      </c>
    </row>
    <row r="1218" spans="1:19">
      <c r="A1218" s="1">
        <v>44409</v>
      </c>
      <c r="B1218" s="1">
        <v>44409</v>
      </c>
      <c r="C1218">
        <v>2021</v>
      </c>
      <c r="D1218">
        <v>8</v>
      </c>
      <c r="E1218" s="2" t="s">
        <v>147</v>
      </c>
      <c r="F1218" s="2" t="s">
        <v>148</v>
      </c>
      <c r="G1218" s="2" t="s">
        <v>21</v>
      </c>
      <c r="H1218" s="2" t="s">
        <v>22</v>
      </c>
      <c r="I1218" s="2" t="s">
        <v>73</v>
      </c>
      <c r="J1218" s="2" t="s">
        <v>24</v>
      </c>
      <c r="K1218">
        <v>2119.63</v>
      </c>
      <c r="L1218">
        <v>41177.14</v>
      </c>
      <c r="M1218">
        <v>1942.66</v>
      </c>
      <c r="N1218" s="2" t="s">
        <v>149</v>
      </c>
      <c r="O1218" s="2" t="s">
        <v>150</v>
      </c>
      <c r="P1218" s="2" t="s">
        <v>2436</v>
      </c>
      <c r="Q1218" s="2" t="s">
        <v>2437</v>
      </c>
      <c r="R1218" s="2" t="s">
        <v>29</v>
      </c>
      <c r="S1218" s="2" t="s">
        <v>30</v>
      </c>
    </row>
    <row r="1219" spans="1:19">
      <c r="A1219" s="1">
        <v>44409</v>
      </c>
      <c r="B1219" s="1">
        <v>44409</v>
      </c>
      <c r="C1219">
        <v>2021</v>
      </c>
      <c r="D1219">
        <v>8</v>
      </c>
      <c r="E1219" s="2" t="s">
        <v>153</v>
      </c>
      <c r="F1219" s="2" t="s">
        <v>154</v>
      </c>
      <c r="G1219" s="2" t="s">
        <v>21</v>
      </c>
      <c r="H1219" s="2" t="s">
        <v>22</v>
      </c>
      <c r="I1219" s="2" t="s">
        <v>73</v>
      </c>
      <c r="J1219" s="2" t="s">
        <v>101</v>
      </c>
      <c r="K1219">
        <v>3588.29</v>
      </c>
      <c r="L1219">
        <v>64866.75</v>
      </c>
      <c r="M1219">
        <v>1807.73</v>
      </c>
      <c r="N1219" s="2" t="s">
        <v>155</v>
      </c>
      <c r="O1219" s="2" t="s">
        <v>156</v>
      </c>
      <c r="P1219" s="2" t="s">
        <v>2438</v>
      </c>
      <c r="Q1219" s="2" t="s">
        <v>2439</v>
      </c>
      <c r="R1219" s="2" t="s">
        <v>29</v>
      </c>
      <c r="S1219" s="2" t="s">
        <v>30</v>
      </c>
    </row>
    <row r="1220" spans="1:19">
      <c r="A1220" s="1">
        <v>44409</v>
      </c>
      <c r="B1220" s="1">
        <v>44409</v>
      </c>
      <c r="C1220">
        <v>2021</v>
      </c>
      <c r="D1220">
        <v>8</v>
      </c>
      <c r="E1220" s="2" t="s">
        <v>159</v>
      </c>
      <c r="F1220" s="2" t="s">
        <v>160</v>
      </c>
      <c r="G1220" s="2" t="s">
        <v>21</v>
      </c>
      <c r="H1220" s="2" t="s">
        <v>22</v>
      </c>
      <c r="I1220" s="2" t="s">
        <v>66</v>
      </c>
      <c r="J1220" s="2" t="s">
        <v>59</v>
      </c>
      <c r="K1220">
        <v>1008.32</v>
      </c>
      <c r="L1220">
        <v>85435.87</v>
      </c>
      <c r="M1220">
        <v>8473.09</v>
      </c>
      <c r="N1220" s="2" t="s">
        <v>161</v>
      </c>
      <c r="O1220" s="2" t="s">
        <v>162</v>
      </c>
      <c r="P1220" s="2" t="s">
        <v>2440</v>
      </c>
      <c r="Q1220" s="2" t="s">
        <v>2441</v>
      </c>
      <c r="R1220" s="2" t="s">
        <v>29</v>
      </c>
      <c r="S1220" s="2" t="s">
        <v>30</v>
      </c>
    </row>
    <row r="1221" spans="1:19">
      <c r="A1221" s="1">
        <v>44409</v>
      </c>
      <c r="B1221" s="1">
        <v>44409</v>
      </c>
      <c r="C1221">
        <v>2021</v>
      </c>
      <c r="D1221">
        <v>8</v>
      </c>
      <c r="E1221" s="2" t="s">
        <v>165</v>
      </c>
      <c r="F1221" s="2" t="s">
        <v>166</v>
      </c>
      <c r="G1221" s="2" t="s">
        <v>21</v>
      </c>
      <c r="H1221" s="2" t="s">
        <v>22</v>
      </c>
      <c r="I1221" s="2" t="s">
        <v>23</v>
      </c>
      <c r="J1221" s="2" t="s">
        <v>24</v>
      </c>
      <c r="K1221">
        <v>0</v>
      </c>
      <c r="L1221">
        <v>0</v>
      </c>
      <c r="N1221" s="2" t="s">
        <v>167</v>
      </c>
      <c r="O1221" s="2" t="s">
        <v>168</v>
      </c>
      <c r="P1221" s="2" t="s">
        <v>639</v>
      </c>
      <c r="Q1221" s="2" t="s">
        <v>639</v>
      </c>
      <c r="R1221" s="2" t="s">
        <v>29</v>
      </c>
      <c r="S1221" s="2" t="s">
        <v>30</v>
      </c>
    </row>
    <row r="1222" spans="1:19">
      <c r="A1222" s="1">
        <v>44409</v>
      </c>
      <c r="B1222" s="1">
        <v>44409</v>
      </c>
      <c r="C1222">
        <v>2021</v>
      </c>
      <c r="D1222">
        <v>8</v>
      </c>
      <c r="E1222" s="2" t="s">
        <v>171</v>
      </c>
      <c r="F1222" s="2" t="s">
        <v>172</v>
      </c>
      <c r="G1222" s="2" t="s">
        <v>21</v>
      </c>
      <c r="H1222" s="2" t="s">
        <v>22</v>
      </c>
      <c r="I1222" s="2" t="s">
        <v>66</v>
      </c>
      <c r="J1222" s="2" t="s">
        <v>24</v>
      </c>
      <c r="N1222" s="2" t="s">
        <v>173</v>
      </c>
      <c r="O1222" s="2" t="s">
        <v>174</v>
      </c>
      <c r="P1222" s="2" t="s">
        <v>175</v>
      </c>
      <c r="Q1222" s="2" t="s">
        <v>175</v>
      </c>
      <c r="R1222" s="2" t="s">
        <v>640</v>
      </c>
      <c r="S1222" s="2" t="s">
        <v>641</v>
      </c>
    </row>
    <row r="1223" spans="1:19">
      <c r="A1223" s="1">
        <v>44409</v>
      </c>
      <c r="B1223" s="1">
        <v>44409</v>
      </c>
      <c r="C1223">
        <v>2021</v>
      </c>
      <c r="D1223">
        <v>8</v>
      </c>
      <c r="E1223" s="2" t="s">
        <v>177</v>
      </c>
      <c r="F1223" s="2" t="s">
        <v>178</v>
      </c>
      <c r="G1223" s="2" t="s">
        <v>21</v>
      </c>
      <c r="H1223" s="2" t="s">
        <v>22</v>
      </c>
      <c r="I1223" s="2" t="s">
        <v>23</v>
      </c>
      <c r="J1223" s="2" t="s">
        <v>24</v>
      </c>
      <c r="K1223">
        <v>3797.12</v>
      </c>
      <c r="L1223">
        <v>320203.03999999998</v>
      </c>
      <c r="M1223">
        <v>8432.7900000000009</v>
      </c>
      <c r="N1223" s="2" t="s">
        <v>179</v>
      </c>
      <c r="O1223" s="2" t="s">
        <v>180</v>
      </c>
      <c r="P1223" s="2" t="s">
        <v>2442</v>
      </c>
      <c r="Q1223" s="2" t="s">
        <v>2443</v>
      </c>
      <c r="R1223" s="2" t="s">
        <v>29</v>
      </c>
      <c r="S1223" s="2" t="s">
        <v>30</v>
      </c>
    </row>
    <row r="1224" spans="1:19">
      <c r="A1224" s="1">
        <v>44409</v>
      </c>
      <c r="B1224" s="1">
        <v>44409</v>
      </c>
      <c r="C1224">
        <v>2021</v>
      </c>
      <c r="D1224">
        <v>8</v>
      </c>
      <c r="E1224" s="2" t="s">
        <v>183</v>
      </c>
      <c r="F1224" s="2" t="s">
        <v>184</v>
      </c>
      <c r="G1224" s="2" t="s">
        <v>185</v>
      </c>
      <c r="H1224" s="2" t="s">
        <v>22</v>
      </c>
      <c r="I1224" s="2" t="s">
        <v>186</v>
      </c>
      <c r="J1224" s="2" t="s">
        <v>24</v>
      </c>
      <c r="K1224">
        <v>2756.02</v>
      </c>
      <c r="L1224">
        <v>2457008.42</v>
      </c>
      <c r="M1224">
        <v>89150.6</v>
      </c>
      <c r="N1224" s="2" t="s">
        <v>187</v>
      </c>
      <c r="O1224" s="2" t="s">
        <v>188</v>
      </c>
      <c r="P1224" s="2" t="s">
        <v>2444</v>
      </c>
      <c r="Q1224" s="2" t="s">
        <v>2445</v>
      </c>
      <c r="R1224" s="2" t="s">
        <v>29</v>
      </c>
      <c r="S1224" s="2" t="s">
        <v>30</v>
      </c>
    </row>
    <row r="1225" spans="1:19">
      <c r="A1225" s="1">
        <v>44409</v>
      </c>
      <c r="B1225" s="1">
        <v>44409</v>
      </c>
      <c r="C1225">
        <v>2021</v>
      </c>
      <c r="D1225">
        <v>8</v>
      </c>
      <c r="E1225" s="2" t="s">
        <v>191</v>
      </c>
      <c r="F1225" s="2" t="s">
        <v>192</v>
      </c>
      <c r="G1225" s="2" t="s">
        <v>185</v>
      </c>
      <c r="H1225" s="2" t="s">
        <v>22</v>
      </c>
      <c r="I1225" s="2" t="s">
        <v>186</v>
      </c>
      <c r="J1225" s="2" t="s">
        <v>24</v>
      </c>
      <c r="K1225">
        <v>813.52</v>
      </c>
      <c r="L1225">
        <v>4087354.27</v>
      </c>
      <c r="M1225">
        <v>502428.25</v>
      </c>
      <c r="N1225" s="2" t="s">
        <v>193</v>
      </c>
      <c r="O1225" s="2" t="s">
        <v>194</v>
      </c>
      <c r="P1225" s="2" t="s">
        <v>2446</v>
      </c>
      <c r="Q1225" s="2" t="s">
        <v>2447</v>
      </c>
      <c r="R1225" s="2" t="s">
        <v>29</v>
      </c>
      <c r="S1225" s="2" t="s">
        <v>30</v>
      </c>
    </row>
    <row r="1226" spans="1:19">
      <c r="A1226" s="1">
        <v>44409</v>
      </c>
      <c r="B1226" s="1">
        <v>44409</v>
      </c>
      <c r="C1226">
        <v>2021</v>
      </c>
      <c r="D1226">
        <v>8</v>
      </c>
      <c r="E1226" s="2" t="s">
        <v>197</v>
      </c>
      <c r="F1226" s="2" t="s">
        <v>198</v>
      </c>
      <c r="G1226" s="2" t="s">
        <v>185</v>
      </c>
      <c r="H1226" s="2" t="s">
        <v>22</v>
      </c>
      <c r="I1226" s="2" t="s">
        <v>186</v>
      </c>
      <c r="J1226" s="2" t="s">
        <v>59</v>
      </c>
      <c r="K1226">
        <v>3569.54</v>
      </c>
      <c r="L1226">
        <v>6544362.6900000004</v>
      </c>
      <c r="M1226">
        <v>183339.11</v>
      </c>
      <c r="N1226" s="2" t="s">
        <v>199</v>
      </c>
      <c r="O1226" s="2" t="s">
        <v>200</v>
      </c>
      <c r="P1226" s="2" t="s">
        <v>2448</v>
      </c>
      <c r="Q1226" s="2" t="s">
        <v>2449</v>
      </c>
      <c r="R1226" s="2" t="s">
        <v>29</v>
      </c>
      <c r="S1226" s="2" t="s">
        <v>30</v>
      </c>
    </row>
    <row r="1227" spans="1:19">
      <c r="A1227" s="1">
        <v>44409</v>
      </c>
      <c r="B1227" s="1">
        <v>44409</v>
      </c>
      <c r="C1227">
        <v>2021</v>
      </c>
      <c r="D1227">
        <v>8</v>
      </c>
      <c r="E1227" s="2" t="s">
        <v>203</v>
      </c>
      <c r="F1227" s="2" t="s">
        <v>204</v>
      </c>
      <c r="G1227" s="2" t="s">
        <v>39</v>
      </c>
      <c r="H1227" s="2" t="s">
        <v>22</v>
      </c>
      <c r="I1227" s="2" t="s">
        <v>40</v>
      </c>
      <c r="J1227" s="2" t="s">
        <v>24</v>
      </c>
      <c r="K1227">
        <v>1061.82</v>
      </c>
      <c r="L1227">
        <v>26830.11</v>
      </c>
      <c r="M1227">
        <v>2526.8000000000002</v>
      </c>
      <c r="N1227" s="2" t="s">
        <v>205</v>
      </c>
      <c r="O1227" s="2" t="s">
        <v>206</v>
      </c>
      <c r="P1227" s="2" t="s">
        <v>2450</v>
      </c>
      <c r="Q1227" s="2" t="s">
        <v>2451</v>
      </c>
      <c r="R1227" s="2" t="s">
        <v>29</v>
      </c>
      <c r="S1227" s="2" t="s">
        <v>30</v>
      </c>
    </row>
    <row r="1228" spans="1:19">
      <c r="A1228" s="1">
        <v>44409</v>
      </c>
      <c r="B1228" s="1">
        <v>44409</v>
      </c>
      <c r="C1228">
        <v>2021</v>
      </c>
      <c r="D1228">
        <v>8</v>
      </c>
      <c r="E1228" s="2" t="s">
        <v>209</v>
      </c>
      <c r="F1228" s="2" t="s">
        <v>210</v>
      </c>
      <c r="G1228" s="2" t="s">
        <v>39</v>
      </c>
      <c r="H1228" s="2" t="s">
        <v>22</v>
      </c>
      <c r="I1228" s="2" t="s">
        <v>40</v>
      </c>
      <c r="J1228" s="2" t="s">
        <v>59</v>
      </c>
      <c r="K1228">
        <v>1061.82</v>
      </c>
      <c r="L1228">
        <v>26830.11</v>
      </c>
      <c r="M1228">
        <v>2526.8000000000002</v>
      </c>
      <c r="N1228" s="2" t="s">
        <v>211</v>
      </c>
      <c r="O1228" s="2" t="s">
        <v>212</v>
      </c>
      <c r="P1228" s="2" t="s">
        <v>2450</v>
      </c>
      <c r="Q1228" s="2" t="s">
        <v>2451</v>
      </c>
      <c r="R1228" s="2" t="s">
        <v>29</v>
      </c>
      <c r="S1228" s="2" t="s">
        <v>30</v>
      </c>
    </row>
    <row r="1229" spans="1:19">
      <c r="A1229" s="1">
        <v>44409</v>
      </c>
      <c r="B1229" s="1">
        <v>44409</v>
      </c>
      <c r="C1229">
        <v>2021</v>
      </c>
      <c r="D1229">
        <v>8</v>
      </c>
      <c r="E1229" s="2" t="s">
        <v>213</v>
      </c>
      <c r="F1229" s="2" t="s">
        <v>214</v>
      </c>
      <c r="G1229" s="2" t="s">
        <v>185</v>
      </c>
      <c r="H1229" s="2" t="s">
        <v>22</v>
      </c>
      <c r="I1229" s="2" t="s">
        <v>215</v>
      </c>
      <c r="J1229" s="2" t="s">
        <v>24</v>
      </c>
      <c r="K1229">
        <v>35785.120000000003</v>
      </c>
      <c r="L1229">
        <v>934729.05</v>
      </c>
      <c r="M1229">
        <v>2612.06</v>
      </c>
      <c r="N1229" s="2" t="s">
        <v>216</v>
      </c>
      <c r="O1229" s="2" t="s">
        <v>217</v>
      </c>
      <c r="P1229" s="2" t="s">
        <v>2452</v>
      </c>
      <c r="Q1229" s="2" t="s">
        <v>2453</v>
      </c>
      <c r="R1229" s="2" t="s">
        <v>29</v>
      </c>
      <c r="S1229" s="2" t="s">
        <v>30</v>
      </c>
    </row>
    <row r="1230" spans="1:19">
      <c r="A1230" s="1">
        <v>44409</v>
      </c>
      <c r="B1230" s="1">
        <v>44409</v>
      </c>
      <c r="C1230">
        <v>2021</v>
      </c>
      <c r="D1230">
        <v>8</v>
      </c>
      <c r="E1230" s="2" t="s">
        <v>220</v>
      </c>
      <c r="F1230" s="2" t="s">
        <v>221</v>
      </c>
      <c r="G1230" s="2" t="s">
        <v>185</v>
      </c>
      <c r="H1230" s="2" t="s">
        <v>22</v>
      </c>
      <c r="I1230" s="2" t="s">
        <v>215</v>
      </c>
      <c r="J1230" s="2" t="s">
        <v>24</v>
      </c>
      <c r="K1230">
        <v>3244.29</v>
      </c>
      <c r="L1230">
        <v>201774.42</v>
      </c>
      <c r="M1230">
        <v>6219.37</v>
      </c>
      <c r="N1230" s="2" t="s">
        <v>222</v>
      </c>
      <c r="O1230" s="2" t="s">
        <v>223</v>
      </c>
      <c r="P1230" s="2" t="s">
        <v>2454</v>
      </c>
      <c r="Q1230" s="2" t="s">
        <v>2455</v>
      </c>
      <c r="R1230" s="2" t="s">
        <v>29</v>
      </c>
      <c r="S1230" s="2" t="s">
        <v>30</v>
      </c>
    </row>
    <row r="1231" spans="1:19">
      <c r="A1231" s="1">
        <v>44409</v>
      </c>
      <c r="B1231" s="1">
        <v>44409</v>
      </c>
      <c r="C1231">
        <v>2021</v>
      </c>
      <c r="D1231">
        <v>8</v>
      </c>
      <c r="E1231" s="2" t="s">
        <v>226</v>
      </c>
      <c r="F1231" s="2" t="s">
        <v>227</v>
      </c>
      <c r="G1231" s="2" t="s">
        <v>185</v>
      </c>
      <c r="H1231" s="2" t="s">
        <v>22</v>
      </c>
      <c r="I1231" s="2" t="s">
        <v>215</v>
      </c>
      <c r="J1231" s="2" t="s">
        <v>59</v>
      </c>
      <c r="K1231">
        <v>39029.4</v>
      </c>
      <c r="L1231">
        <v>1136503.46</v>
      </c>
      <c r="M1231">
        <v>2911.92</v>
      </c>
      <c r="N1231" s="2" t="s">
        <v>228</v>
      </c>
      <c r="O1231" s="2" t="s">
        <v>229</v>
      </c>
      <c r="P1231" s="2" t="s">
        <v>2456</v>
      </c>
      <c r="Q1231" s="2" t="s">
        <v>2457</v>
      </c>
      <c r="R1231" s="2" t="s">
        <v>29</v>
      </c>
      <c r="S1231" s="2" t="s">
        <v>30</v>
      </c>
    </row>
    <row r="1232" spans="1:19">
      <c r="A1232" s="1">
        <v>44409</v>
      </c>
      <c r="B1232" s="1">
        <v>44409</v>
      </c>
      <c r="C1232">
        <v>2021</v>
      </c>
      <c r="D1232">
        <v>8</v>
      </c>
      <c r="E1232" s="2" t="s">
        <v>232</v>
      </c>
      <c r="F1232" s="2" t="s">
        <v>233</v>
      </c>
      <c r="G1232" s="2" t="s">
        <v>21</v>
      </c>
      <c r="H1232" s="2" t="s">
        <v>22</v>
      </c>
      <c r="I1232" s="2" t="s">
        <v>23</v>
      </c>
      <c r="J1232" s="2" t="s">
        <v>24</v>
      </c>
      <c r="K1232">
        <v>2075.9899999999998</v>
      </c>
      <c r="L1232">
        <v>98119.06</v>
      </c>
      <c r="M1232">
        <v>4726.37</v>
      </c>
      <c r="N1232" s="2" t="s">
        <v>234</v>
      </c>
      <c r="O1232" s="2" t="s">
        <v>235</v>
      </c>
      <c r="P1232" s="2" t="s">
        <v>2458</v>
      </c>
      <c r="Q1232" s="2" t="s">
        <v>2459</v>
      </c>
      <c r="R1232" s="2" t="s">
        <v>29</v>
      </c>
      <c r="S1232" s="2" t="s">
        <v>30</v>
      </c>
    </row>
    <row r="1233" spans="1:19">
      <c r="A1233" s="1">
        <v>44409</v>
      </c>
      <c r="B1233" s="1">
        <v>44409</v>
      </c>
      <c r="C1233">
        <v>2021</v>
      </c>
      <c r="D1233">
        <v>8</v>
      </c>
      <c r="E1233" s="2" t="s">
        <v>238</v>
      </c>
      <c r="F1233" s="2" t="s">
        <v>239</v>
      </c>
      <c r="G1233" s="2" t="s">
        <v>21</v>
      </c>
      <c r="H1233" s="2" t="s">
        <v>22</v>
      </c>
      <c r="I1233" s="2" t="s">
        <v>66</v>
      </c>
      <c r="J1233" s="2" t="s">
        <v>24</v>
      </c>
      <c r="K1233">
        <v>876.81</v>
      </c>
      <c r="L1233">
        <v>84818.43</v>
      </c>
      <c r="M1233">
        <v>9673.52</v>
      </c>
      <c r="N1233" s="2" t="s">
        <v>240</v>
      </c>
      <c r="O1233" s="2" t="s">
        <v>241</v>
      </c>
      <c r="P1233" s="2" t="s">
        <v>2460</v>
      </c>
      <c r="Q1233" s="2" t="s">
        <v>2461</v>
      </c>
      <c r="R1233" s="2" t="s">
        <v>29</v>
      </c>
      <c r="S1233" s="2" t="s">
        <v>30</v>
      </c>
    </row>
    <row r="1234" spans="1:19">
      <c r="A1234" s="1">
        <v>44409</v>
      </c>
      <c r="B1234" s="1">
        <v>44409</v>
      </c>
      <c r="C1234">
        <v>2021</v>
      </c>
      <c r="D1234">
        <v>8</v>
      </c>
      <c r="E1234" s="2" t="s">
        <v>244</v>
      </c>
      <c r="F1234" s="2" t="s">
        <v>245</v>
      </c>
      <c r="G1234" s="2" t="s">
        <v>21</v>
      </c>
      <c r="H1234" s="2" t="s">
        <v>22</v>
      </c>
      <c r="I1234" s="2" t="s">
        <v>23</v>
      </c>
      <c r="J1234" s="2" t="s">
        <v>24</v>
      </c>
      <c r="K1234">
        <v>3218.73</v>
      </c>
      <c r="L1234">
        <v>2209817.88</v>
      </c>
      <c r="M1234">
        <v>68654.960000000006</v>
      </c>
      <c r="N1234" s="2" t="s">
        <v>246</v>
      </c>
      <c r="O1234" s="2" t="s">
        <v>247</v>
      </c>
      <c r="P1234" s="2" t="s">
        <v>2462</v>
      </c>
      <c r="Q1234" s="2" t="s">
        <v>2463</v>
      </c>
      <c r="R1234" s="2" t="s">
        <v>29</v>
      </c>
      <c r="S1234" s="2" t="s">
        <v>30</v>
      </c>
    </row>
    <row r="1235" spans="1:19">
      <c r="A1235" s="1">
        <v>44409</v>
      </c>
      <c r="B1235" s="1">
        <v>44409</v>
      </c>
      <c r="C1235">
        <v>2021</v>
      </c>
      <c r="D1235">
        <v>8</v>
      </c>
      <c r="E1235" s="2" t="s">
        <v>250</v>
      </c>
      <c r="F1235" s="2" t="s">
        <v>251</v>
      </c>
      <c r="G1235" s="2" t="s">
        <v>21</v>
      </c>
      <c r="H1235" s="2" t="s">
        <v>22</v>
      </c>
      <c r="I1235" s="2" t="s">
        <v>66</v>
      </c>
      <c r="J1235" s="2" t="s">
        <v>24</v>
      </c>
      <c r="K1235">
        <v>109.52</v>
      </c>
      <c r="L1235">
        <v>155.13999999999999</v>
      </c>
      <c r="M1235">
        <v>141.65</v>
      </c>
      <c r="N1235" s="2" t="s">
        <v>252</v>
      </c>
      <c r="O1235" s="2" t="s">
        <v>253</v>
      </c>
      <c r="P1235" s="2" t="s">
        <v>2464</v>
      </c>
      <c r="Q1235" s="2" t="s">
        <v>2465</v>
      </c>
      <c r="R1235" s="2" t="s">
        <v>29</v>
      </c>
      <c r="S1235" s="2" t="s">
        <v>30</v>
      </c>
    </row>
    <row r="1236" spans="1:19">
      <c r="A1236" s="1">
        <v>44409</v>
      </c>
      <c r="B1236" s="1">
        <v>44409</v>
      </c>
      <c r="C1236">
        <v>2021</v>
      </c>
      <c r="D1236">
        <v>8</v>
      </c>
      <c r="E1236" s="2" t="s">
        <v>256</v>
      </c>
      <c r="F1236" s="2" t="s">
        <v>257</v>
      </c>
      <c r="G1236" s="2" t="s">
        <v>21</v>
      </c>
      <c r="H1236" s="2" t="s">
        <v>22</v>
      </c>
      <c r="I1236" s="2" t="s">
        <v>258</v>
      </c>
      <c r="J1236" s="2" t="s">
        <v>24</v>
      </c>
      <c r="K1236">
        <v>588.62</v>
      </c>
      <c r="L1236">
        <v>533902.54</v>
      </c>
      <c r="M1236">
        <v>90704.11</v>
      </c>
      <c r="N1236" s="2" t="s">
        <v>259</v>
      </c>
      <c r="O1236" s="2" t="s">
        <v>260</v>
      </c>
      <c r="P1236" s="2" t="s">
        <v>2466</v>
      </c>
      <c r="Q1236" s="2" t="s">
        <v>2467</v>
      </c>
      <c r="R1236" s="2" t="s">
        <v>29</v>
      </c>
      <c r="S1236" s="2" t="s">
        <v>30</v>
      </c>
    </row>
    <row r="1237" spans="1:19">
      <c r="A1237" s="1">
        <v>44409</v>
      </c>
      <c r="B1237" s="1">
        <v>44409</v>
      </c>
      <c r="C1237">
        <v>2021</v>
      </c>
      <c r="D1237">
        <v>8</v>
      </c>
      <c r="E1237" s="2" t="s">
        <v>263</v>
      </c>
      <c r="F1237" s="2" t="s">
        <v>264</v>
      </c>
      <c r="G1237" s="2" t="s">
        <v>21</v>
      </c>
      <c r="H1237" s="2" t="s">
        <v>22</v>
      </c>
      <c r="I1237" s="2" t="s">
        <v>258</v>
      </c>
      <c r="J1237" s="2" t="s">
        <v>24</v>
      </c>
      <c r="K1237">
        <v>0</v>
      </c>
      <c r="L1237">
        <v>0</v>
      </c>
      <c r="N1237" s="2" t="s">
        <v>265</v>
      </c>
      <c r="O1237" s="2" t="s">
        <v>266</v>
      </c>
      <c r="P1237" s="2" t="s">
        <v>639</v>
      </c>
      <c r="Q1237" s="2" t="s">
        <v>639</v>
      </c>
      <c r="R1237" s="2" t="s">
        <v>29</v>
      </c>
      <c r="S1237" s="2" t="s">
        <v>30</v>
      </c>
    </row>
    <row r="1238" spans="1:19">
      <c r="A1238" s="1">
        <v>44409</v>
      </c>
      <c r="B1238" s="1">
        <v>44409</v>
      </c>
      <c r="C1238">
        <v>2021</v>
      </c>
      <c r="D1238">
        <v>8</v>
      </c>
      <c r="E1238" s="2" t="s">
        <v>269</v>
      </c>
      <c r="F1238" s="2" t="s">
        <v>270</v>
      </c>
      <c r="G1238" s="2" t="s">
        <v>21</v>
      </c>
      <c r="H1238" s="2" t="s">
        <v>22</v>
      </c>
      <c r="I1238" s="2" t="s">
        <v>258</v>
      </c>
      <c r="J1238" s="2" t="s">
        <v>59</v>
      </c>
      <c r="K1238">
        <v>588.62</v>
      </c>
      <c r="L1238">
        <v>533902.54</v>
      </c>
      <c r="M1238">
        <v>90704.11</v>
      </c>
      <c r="N1238" s="2" t="s">
        <v>271</v>
      </c>
      <c r="O1238" s="2" t="s">
        <v>272</v>
      </c>
      <c r="P1238" s="2" t="s">
        <v>2466</v>
      </c>
      <c r="Q1238" s="2" t="s">
        <v>2467</v>
      </c>
      <c r="R1238" s="2" t="s">
        <v>29</v>
      </c>
      <c r="S1238" s="2" t="s">
        <v>30</v>
      </c>
    </row>
    <row r="1239" spans="1:19">
      <c r="A1239" s="1">
        <v>44409</v>
      </c>
      <c r="B1239" s="1">
        <v>44409</v>
      </c>
      <c r="C1239">
        <v>2021</v>
      </c>
      <c r="D1239">
        <v>8</v>
      </c>
      <c r="E1239" s="2" t="s">
        <v>275</v>
      </c>
      <c r="F1239" s="2" t="s">
        <v>276</v>
      </c>
      <c r="G1239" s="2" t="s">
        <v>39</v>
      </c>
      <c r="H1239" s="2" t="s">
        <v>22</v>
      </c>
      <c r="I1239" s="2" t="s">
        <v>40</v>
      </c>
      <c r="J1239" s="2" t="s">
        <v>24</v>
      </c>
      <c r="K1239">
        <v>5.5</v>
      </c>
      <c r="L1239">
        <v>42.28</v>
      </c>
      <c r="M1239">
        <v>768.73</v>
      </c>
      <c r="N1239" s="2" t="s">
        <v>277</v>
      </c>
      <c r="O1239" s="2" t="s">
        <v>278</v>
      </c>
      <c r="P1239" s="2" t="s">
        <v>2468</v>
      </c>
      <c r="Q1239" s="2" t="s">
        <v>2469</v>
      </c>
      <c r="R1239" s="2" t="s">
        <v>29</v>
      </c>
      <c r="S1239" s="2" t="s">
        <v>30</v>
      </c>
    </row>
    <row r="1240" spans="1:19">
      <c r="A1240" s="1">
        <v>44409</v>
      </c>
      <c r="B1240" s="1">
        <v>44409</v>
      </c>
      <c r="C1240">
        <v>2021</v>
      </c>
      <c r="D1240">
        <v>8</v>
      </c>
      <c r="E1240" s="2" t="s">
        <v>281</v>
      </c>
      <c r="F1240" s="2" t="s">
        <v>282</v>
      </c>
      <c r="G1240" s="2" t="s">
        <v>39</v>
      </c>
      <c r="H1240" s="2" t="s">
        <v>22</v>
      </c>
      <c r="I1240" s="2" t="s">
        <v>40</v>
      </c>
      <c r="J1240" s="2" t="s">
        <v>24</v>
      </c>
      <c r="K1240">
        <v>1.02</v>
      </c>
      <c r="L1240">
        <v>22.2</v>
      </c>
      <c r="M1240">
        <v>2176.4699999999998</v>
      </c>
      <c r="N1240" s="2" t="s">
        <v>283</v>
      </c>
      <c r="O1240" s="2" t="s">
        <v>284</v>
      </c>
      <c r="P1240" s="2" t="s">
        <v>453</v>
      </c>
      <c r="Q1240" s="2" t="s">
        <v>2470</v>
      </c>
      <c r="R1240" s="2" t="s">
        <v>29</v>
      </c>
      <c r="S1240" s="2" t="s">
        <v>30</v>
      </c>
    </row>
    <row r="1241" spans="1:19">
      <c r="A1241" s="1">
        <v>44409</v>
      </c>
      <c r="B1241" s="1">
        <v>44409</v>
      </c>
      <c r="C1241">
        <v>2021</v>
      </c>
      <c r="D1241">
        <v>8</v>
      </c>
      <c r="E1241" s="2" t="s">
        <v>287</v>
      </c>
      <c r="F1241" s="2" t="s">
        <v>288</v>
      </c>
      <c r="G1241" s="2" t="s">
        <v>39</v>
      </c>
      <c r="H1241" s="2" t="s">
        <v>22</v>
      </c>
      <c r="I1241" s="2" t="s">
        <v>40</v>
      </c>
      <c r="J1241" s="2" t="s">
        <v>59</v>
      </c>
      <c r="K1241">
        <v>6.52</v>
      </c>
      <c r="L1241">
        <v>64.48</v>
      </c>
      <c r="M1241">
        <v>988.96</v>
      </c>
      <c r="N1241" s="2" t="s">
        <v>289</v>
      </c>
      <c r="O1241" s="2" t="s">
        <v>290</v>
      </c>
      <c r="P1241" s="2" t="s">
        <v>2471</v>
      </c>
      <c r="Q1241" s="2" t="s">
        <v>2472</v>
      </c>
      <c r="R1241" s="2" t="s">
        <v>29</v>
      </c>
      <c r="S1241" s="2" t="s">
        <v>30</v>
      </c>
    </row>
    <row r="1242" spans="1:19">
      <c r="A1242" s="1">
        <v>44409</v>
      </c>
      <c r="B1242" s="1">
        <v>44409</v>
      </c>
      <c r="C1242">
        <v>2021</v>
      </c>
      <c r="D1242">
        <v>8</v>
      </c>
      <c r="E1242" s="2" t="s">
        <v>293</v>
      </c>
      <c r="F1242" s="2" t="s">
        <v>294</v>
      </c>
      <c r="G1242" s="2" t="s">
        <v>21</v>
      </c>
      <c r="H1242" s="2" t="s">
        <v>22</v>
      </c>
      <c r="I1242" s="2" t="s">
        <v>295</v>
      </c>
      <c r="J1242" s="2" t="s">
        <v>24</v>
      </c>
      <c r="K1242">
        <v>900.54</v>
      </c>
      <c r="L1242">
        <v>3506.82</v>
      </c>
      <c r="M1242">
        <v>389.41</v>
      </c>
      <c r="N1242" s="2" t="s">
        <v>296</v>
      </c>
      <c r="O1242" s="2" t="s">
        <v>297</v>
      </c>
      <c r="P1242" s="2" t="s">
        <v>2473</v>
      </c>
      <c r="Q1242" s="2" t="s">
        <v>2474</v>
      </c>
      <c r="R1242" s="2" t="s">
        <v>29</v>
      </c>
      <c r="S1242" s="2" t="s">
        <v>30</v>
      </c>
    </row>
    <row r="1243" spans="1:19">
      <c r="A1243" s="1">
        <v>44409</v>
      </c>
      <c r="B1243" s="1">
        <v>44409</v>
      </c>
      <c r="C1243">
        <v>2021</v>
      </c>
      <c r="D1243">
        <v>8</v>
      </c>
      <c r="E1243" s="2" t="s">
        <v>300</v>
      </c>
      <c r="F1243" s="2" t="s">
        <v>301</v>
      </c>
      <c r="G1243" s="2" t="s">
        <v>21</v>
      </c>
      <c r="H1243" s="2" t="s">
        <v>22</v>
      </c>
      <c r="I1243" s="2" t="s">
        <v>295</v>
      </c>
      <c r="J1243" s="2" t="s">
        <v>24</v>
      </c>
      <c r="K1243">
        <v>132.27000000000001</v>
      </c>
      <c r="L1243">
        <v>1109.77</v>
      </c>
      <c r="M1243">
        <v>839.02</v>
      </c>
      <c r="N1243" s="2" t="s">
        <v>302</v>
      </c>
      <c r="O1243" s="2" t="s">
        <v>303</v>
      </c>
      <c r="P1243" s="2" t="s">
        <v>2475</v>
      </c>
      <c r="Q1243" s="2" t="s">
        <v>2476</v>
      </c>
      <c r="R1243" s="2" t="s">
        <v>29</v>
      </c>
      <c r="S1243" s="2" t="s">
        <v>30</v>
      </c>
    </row>
    <row r="1244" spans="1:19">
      <c r="A1244" s="1">
        <v>44409</v>
      </c>
      <c r="B1244" s="1">
        <v>44409</v>
      </c>
      <c r="C1244">
        <v>2021</v>
      </c>
      <c r="D1244">
        <v>8</v>
      </c>
      <c r="E1244" s="2" t="s">
        <v>306</v>
      </c>
      <c r="F1244" s="2" t="s">
        <v>307</v>
      </c>
      <c r="G1244" s="2" t="s">
        <v>21</v>
      </c>
      <c r="H1244" s="2" t="s">
        <v>22</v>
      </c>
      <c r="I1244" s="2" t="s">
        <v>295</v>
      </c>
      <c r="J1244" s="2" t="s">
        <v>101</v>
      </c>
      <c r="K1244">
        <v>1032.82</v>
      </c>
      <c r="L1244">
        <v>4616.6000000000004</v>
      </c>
      <c r="M1244">
        <v>446.99</v>
      </c>
      <c r="N1244" s="2" t="s">
        <v>308</v>
      </c>
      <c r="O1244" s="2" t="s">
        <v>309</v>
      </c>
      <c r="P1244" s="2" t="s">
        <v>2477</v>
      </c>
      <c r="Q1244" s="2" t="s">
        <v>2478</v>
      </c>
      <c r="R1244" s="2" t="s">
        <v>29</v>
      </c>
      <c r="S1244" s="2" t="s">
        <v>30</v>
      </c>
    </row>
    <row r="1245" spans="1:19">
      <c r="A1245" s="1">
        <v>44409</v>
      </c>
      <c r="B1245" s="1">
        <v>44409</v>
      </c>
      <c r="C1245">
        <v>2021</v>
      </c>
      <c r="D1245">
        <v>8</v>
      </c>
      <c r="E1245" s="2" t="s">
        <v>312</v>
      </c>
      <c r="F1245" s="2" t="s">
        <v>313</v>
      </c>
      <c r="G1245" s="2" t="s">
        <v>21</v>
      </c>
      <c r="H1245" s="2" t="s">
        <v>22</v>
      </c>
      <c r="I1245" s="2" t="s">
        <v>295</v>
      </c>
      <c r="J1245" s="2" t="s">
        <v>59</v>
      </c>
      <c r="K1245">
        <v>5259.9</v>
      </c>
      <c r="L1245">
        <v>22362.32</v>
      </c>
      <c r="M1245">
        <v>425.15</v>
      </c>
      <c r="N1245" s="2" t="s">
        <v>314</v>
      </c>
      <c r="O1245" s="2" t="s">
        <v>315</v>
      </c>
      <c r="P1245" s="2" t="s">
        <v>2479</v>
      </c>
      <c r="Q1245" s="2" t="s">
        <v>2480</v>
      </c>
      <c r="R1245" s="2" t="s">
        <v>29</v>
      </c>
      <c r="S1245" s="2" t="s">
        <v>30</v>
      </c>
    </row>
    <row r="1246" spans="1:19">
      <c r="A1246" s="1">
        <v>44409</v>
      </c>
      <c r="B1246" s="1">
        <v>44409</v>
      </c>
      <c r="C1246">
        <v>2021</v>
      </c>
      <c r="D1246">
        <v>8</v>
      </c>
      <c r="E1246" s="2" t="s">
        <v>318</v>
      </c>
      <c r="F1246" s="2" t="s">
        <v>319</v>
      </c>
      <c r="G1246" s="2" t="s">
        <v>21</v>
      </c>
      <c r="H1246" s="2" t="s">
        <v>22</v>
      </c>
      <c r="I1246" s="2" t="s">
        <v>295</v>
      </c>
      <c r="J1246" s="2" t="s">
        <v>24</v>
      </c>
      <c r="K1246">
        <v>4227.08</v>
      </c>
      <c r="L1246">
        <v>17745.72</v>
      </c>
      <c r="M1246">
        <v>419.81</v>
      </c>
      <c r="N1246" s="2" t="s">
        <v>320</v>
      </c>
      <c r="O1246" s="2" t="s">
        <v>321</v>
      </c>
      <c r="P1246" s="2" t="s">
        <v>2481</v>
      </c>
      <c r="Q1246" s="2" t="s">
        <v>2482</v>
      </c>
      <c r="R1246" s="2" t="s">
        <v>29</v>
      </c>
      <c r="S1246" s="2" t="s">
        <v>30</v>
      </c>
    </row>
    <row r="1247" spans="1:19">
      <c r="A1247" s="1">
        <v>44409</v>
      </c>
      <c r="B1247" s="1">
        <v>44409</v>
      </c>
      <c r="C1247">
        <v>2021</v>
      </c>
      <c r="D1247">
        <v>8</v>
      </c>
      <c r="E1247" s="2" t="s">
        <v>324</v>
      </c>
      <c r="F1247" s="2" t="s">
        <v>325</v>
      </c>
      <c r="G1247" s="2" t="s">
        <v>21</v>
      </c>
      <c r="H1247" s="2" t="s">
        <v>22</v>
      </c>
      <c r="I1247" s="2" t="s">
        <v>23</v>
      </c>
      <c r="J1247" s="2" t="s">
        <v>59</v>
      </c>
      <c r="K1247">
        <v>45370.66</v>
      </c>
      <c r="L1247">
        <v>3277623.53</v>
      </c>
      <c r="M1247">
        <v>7224.1</v>
      </c>
      <c r="N1247" s="2" t="s">
        <v>326</v>
      </c>
      <c r="O1247" s="2" t="s">
        <v>327</v>
      </c>
      <c r="P1247" s="2" t="s">
        <v>2483</v>
      </c>
      <c r="Q1247" s="2" t="s">
        <v>2484</v>
      </c>
      <c r="R1247" s="2" t="s">
        <v>29</v>
      </c>
      <c r="S1247" s="2" t="s">
        <v>30</v>
      </c>
    </row>
    <row r="1248" spans="1:19">
      <c r="A1248" s="1">
        <v>44409</v>
      </c>
      <c r="B1248" s="1">
        <v>44409</v>
      </c>
      <c r="C1248">
        <v>2021</v>
      </c>
      <c r="D1248">
        <v>8</v>
      </c>
      <c r="E1248" s="2" t="s">
        <v>330</v>
      </c>
      <c r="F1248" s="2" t="s">
        <v>331</v>
      </c>
      <c r="G1248" s="2" t="s">
        <v>21</v>
      </c>
      <c r="H1248" s="2" t="s">
        <v>332</v>
      </c>
      <c r="I1248" s="2" t="s">
        <v>333</v>
      </c>
      <c r="J1248" s="2" t="s">
        <v>24</v>
      </c>
      <c r="K1248">
        <v>165.34</v>
      </c>
      <c r="L1248">
        <v>8940379.6300000008</v>
      </c>
      <c r="M1248">
        <v>5407269.6399999997</v>
      </c>
      <c r="N1248" s="2" t="s">
        <v>334</v>
      </c>
      <c r="O1248" s="2" t="s">
        <v>335</v>
      </c>
      <c r="P1248" s="2" t="s">
        <v>2485</v>
      </c>
      <c r="Q1248" s="2" t="s">
        <v>2486</v>
      </c>
      <c r="R1248" s="2" t="s">
        <v>29</v>
      </c>
      <c r="S1248" s="2" t="s">
        <v>30</v>
      </c>
    </row>
    <row r="1249" spans="1:19">
      <c r="A1249" s="1">
        <v>44409</v>
      </c>
      <c r="B1249" s="1">
        <v>44409</v>
      </c>
      <c r="C1249">
        <v>2021</v>
      </c>
      <c r="D1249">
        <v>8</v>
      </c>
      <c r="E1249" s="2" t="s">
        <v>338</v>
      </c>
      <c r="F1249" s="2" t="s">
        <v>339</v>
      </c>
      <c r="G1249" s="2" t="s">
        <v>21</v>
      </c>
      <c r="H1249" s="2" t="s">
        <v>332</v>
      </c>
      <c r="I1249" s="2" t="s">
        <v>333</v>
      </c>
      <c r="J1249" s="2" t="s">
        <v>24</v>
      </c>
      <c r="K1249">
        <v>1.18</v>
      </c>
      <c r="L1249">
        <v>1223916.02</v>
      </c>
      <c r="M1249">
        <v>103721696.61</v>
      </c>
      <c r="N1249" s="2" t="s">
        <v>340</v>
      </c>
      <c r="O1249" s="2" t="s">
        <v>341</v>
      </c>
      <c r="P1249" s="2" t="s">
        <v>2487</v>
      </c>
      <c r="Q1249" s="2" t="s">
        <v>2488</v>
      </c>
      <c r="R1249" s="2" t="s">
        <v>29</v>
      </c>
      <c r="S1249" s="2" t="s">
        <v>30</v>
      </c>
    </row>
    <row r="1250" spans="1:19">
      <c r="A1250" s="1">
        <v>44409</v>
      </c>
      <c r="B1250" s="1">
        <v>44409</v>
      </c>
      <c r="C1250">
        <v>2021</v>
      </c>
      <c r="D1250">
        <v>8</v>
      </c>
      <c r="E1250" s="2" t="s">
        <v>344</v>
      </c>
      <c r="F1250" s="2" t="s">
        <v>345</v>
      </c>
      <c r="G1250" s="2" t="s">
        <v>21</v>
      </c>
      <c r="H1250" s="2" t="s">
        <v>332</v>
      </c>
      <c r="I1250" s="2" t="s">
        <v>333</v>
      </c>
      <c r="J1250" s="2" t="s">
        <v>59</v>
      </c>
      <c r="K1250">
        <v>166.52</v>
      </c>
      <c r="L1250">
        <v>10164295.640000001</v>
      </c>
      <c r="M1250">
        <v>6103948.8600000003</v>
      </c>
      <c r="N1250" s="2" t="s">
        <v>346</v>
      </c>
      <c r="O1250" s="2" t="s">
        <v>347</v>
      </c>
      <c r="P1250" s="2" t="s">
        <v>2489</v>
      </c>
      <c r="Q1250" s="2" t="s">
        <v>2490</v>
      </c>
      <c r="R1250" s="2" t="s">
        <v>29</v>
      </c>
      <c r="S1250" s="2" t="s">
        <v>30</v>
      </c>
    </row>
    <row r="1251" spans="1:19">
      <c r="A1251" s="1">
        <v>44409</v>
      </c>
      <c r="B1251" s="1">
        <v>44409</v>
      </c>
      <c r="C1251">
        <v>2021</v>
      </c>
      <c r="D1251">
        <v>8</v>
      </c>
      <c r="E1251" s="2" t="s">
        <v>350</v>
      </c>
      <c r="F1251" s="2" t="s">
        <v>351</v>
      </c>
      <c r="G1251" s="2" t="s">
        <v>21</v>
      </c>
      <c r="H1251" s="2" t="s">
        <v>22</v>
      </c>
      <c r="I1251" s="2" t="s">
        <v>352</v>
      </c>
      <c r="J1251" s="2" t="s">
        <v>353</v>
      </c>
      <c r="K1251">
        <v>57298.400000000001</v>
      </c>
      <c r="L1251">
        <v>13692317.119999999</v>
      </c>
      <c r="M1251">
        <v>23896.51</v>
      </c>
      <c r="N1251" s="2" t="s">
        <v>354</v>
      </c>
      <c r="O1251" s="2" t="s">
        <v>355</v>
      </c>
      <c r="P1251" s="2" t="s">
        <v>2491</v>
      </c>
      <c r="Q1251" s="2" t="s">
        <v>2492</v>
      </c>
      <c r="R1251" s="2" t="s">
        <v>29</v>
      </c>
      <c r="S1251" s="2" t="s">
        <v>30</v>
      </c>
    </row>
    <row r="1252" spans="1:19">
      <c r="A1252" s="1">
        <v>44409</v>
      </c>
      <c r="B1252" s="1">
        <v>44409</v>
      </c>
      <c r="C1252">
        <v>2021</v>
      </c>
      <c r="D1252">
        <v>8</v>
      </c>
      <c r="E1252" s="2" t="s">
        <v>358</v>
      </c>
      <c r="F1252" s="2" t="s">
        <v>359</v>
      </c>
      <c r="G1252" s="2" t="s">
        <v>21</v>
      </c>
      <c r="H1252" s="2" t="s">
        <v>22</v>
      </c>
      <c r="I1252" s="2" t="s">
        <v>352</v>
      </c>
      <c r="J1252" s="2" t="s">
        <v>353</v>
      </c>
      <c r="K1252">
        <v>57887.02</v>
      </c>
      <c r="L1252">
        <v>14226219.66</v>
      </c>
      <c r="M1252">
        <v>24575.84</v>
      </c>
      <c r="N1252" s="2" t="s">
        <v>360</v>
      </c>
      <c r="O1252" s="2" t="s">
        <v>361</v>
      </c>
      <c r="P1252" s="2" t="s">
        <v>2493</v>
      </c>
      <c r="Q1252" s="2" t="s">
        <v>2494</v>
      </c>
      <c r="R1252" s="2" t="s">
        <v>29</v>
      </c>
      <c r="S1252" s="2" t="s">
        <v>30</v>
      </c>
    </row>
    <row r="1253" spans="1:19">
      <c r="A1253" s="1">
        <v>44409</v>
      </c>
      <c r="B1253" s="1">
        <v>44409</v>
      </c>
      <c r="C1253">
        <v>2021</v>
      </c>
      <c r="D1253">
        <v>8</v>
      </c>
      <c r="E1253" s="2" t="s">
        <v>364</v>
      </c>
      <c r="F1253" s="2" t="s">
        <v>365</v>
      </c>
      <c r="G1253" s="2" t="s">
        <v>21</v>
      </c>
      <c r="H1253" s="2" t="s">
        <v>22</v>
      </c>
      <c r="I1253" s="2" t="s">
        <v>352</v>
      </c>
      <c r="J1253" s="2" t="s">
        <v>353</v>
      </c>
      <c r="K1253">
        <v>57720.5</v>
      </c>
      <c r="L1253">
        <v>4061924.01</v>
      </c>
      <c r="M1253">
        <v>7037.23</v>
      </c>
      <c r="N1253" s="2" t="s">
        <v>366</v>
      </c>
      <c r="O1253" s="2" t="s">
        <v>367</v>
      </c>
      <c r="P1253" s="2" t="s">
        <v>2495</v>
      </c>
      <c r="Q1253" s="2" t="s">
        <v>2496</v>
      </c>
      <c r="R1253" s="2" t="s">
        <v>29</v>
      </c>
      <c r="S1253" s="2" t="s">
        <v>30</v>
      </c>
    </row>
    <row r="1254" spans="1:19">
      <c r="A1254" s="1">
        <v>44409</v>
      </c>
      <c r="B1254" s="1">
        <v>44409</v>
      </c>
      <c r="C1254">
        <v>2021</v>
      </c>
      <c r="D1254">
        <v>8</v>
      </c>
      <c r="E1254" s="2" t="s">
        <v>370</v>
      </c>
      <c r="F1254" s="2" t="s">
        <v>371</v>
      </c>
      <c r="G1254" s="2" t="s">
        <v>21</v>
      </c>
      <c r="H1254" s="2" t="s">
        <v>22</v>
      </c>
      <c r="I1254" s="2" t="s">
        <v>23</v>
      </c>
      <c r="J1254" s="2" t="s">
        <v>24</v>
      </c>
      <c r="K1254">
        <v>35555.449999999997</v>
      </c>
      <c r="L1254">
        <v>639116.94999999995</v>
      </c>
      <c r="M1254">
        <v>1797.52</v>
      </c>
      <c r="N1254" s="2" t="s">
        <v>372</v>
      </c>
      <c r="O1254" s="2" t="s">
        <v>373</v>
      </c>
      <c r="P1254" s="2" t="s">
        <v>2497</v>
      </c>
      <c r="Q1254" s="2" t="s">
        <v>2498</v>
      </c>
      <c r="R1254" s="2" t="s">
        <v>29</v>
      </c>
      <c r="S1254" s="2" t="s">
        <v>30</v>
      </c>
    </row>
    <row r="1255" spans="1:19">
      <c r="A1255" s="1">
        <v>44409</v>
      </c>
      <c r="B1255" s="1">
        <v>44409</v>
      </c>
      <c r="C1255">
        <v>2021</v>
      </c>
      <c r="D1255">
        <v>8</v>
      </c>
      <c r="E1255" s="2" t="s">
        <v>376</v>
      </c>
      <c r="F1255" s="2" t="s">
        <v>377</v>
      </c>
      <c r="G1255" s="2" t="s">
        <v>21</v>
      </c>
      <c r="H1255" s="2" t="s">
        <v>22</v>
      </c>
      <c r="I1255" s="2" t="s">
        <v>23</v>
      </c>
      <c r="J1255" s="2" t="s">
        <v>378</v>
      </c>
      <c r="K1255">
        <v>1.1399999999999999</v>
      </c>
      <c r="L1255">
        <v>16.98</v>
      </c>
      <c r="M1255">
        <v>1489.47</v>
      </c>
      <c r="N1255" s="2" t="s">
        <v>379</v>
      </c>
      <c r="O1255" s="2" t="s">
        <v>380</v>
      </c>
      <c r="P1255" s="2" t="s">
        <v>2133</v>
      </c>
      <c r="Q1255" s="2" t="s">
        <v>2499</v>
      </c>
      <c r="R1255" s="2" t="s">
        <v>29</v>
      </c>
      <c r="S1255" s="2" t="s">
        <v>30</v>
      </c>
    </row>
    <row r="1256" spans="1:19">
      <c r="A1256" s="1">
        <v>44440</v>
      </c>
      <c r="B1256" s="1">
        <v>44440</v>
      </c>
      <c r="C1256">
        <v>2021</v>
      </c>
      <c r="D1256">
        <v>9</v>
      </c>
      <c r="E1256" s="2" t="s">
        <v>19</v>
      </c>
      <c r="F1256" s="2" t="s">
        <v>20</v>
      </c>
      <c r="G1256" s="2" t="s">
        <v>21</v>
      </c>
      <c r="H1256" s="2" t="s">
        <v>22</v>
      </c>
      <c r="I1256" s="2" t="s">
        <v>23</v>
      </c>
      <c r="J1256" s="2" t="s">
        <v>24</v>
      </c>
      <c r="K1256">
        <v>0.98</v>
      </c>
      <c r="L1256">
        <v>57.3</v>
      </c>
      <c r="M1256">
        <v>5846.94</v>
      </c>
      <c r="N1256" s="2" t="s">
        <v>25</v>
      </c>
      <c r="O1256" s="2" t="s">
        <v>26</v>
      </c>
      <c r="P1256" s="2" t="s">
        <v>2326</v>
      </c>
      <c r="Q1256" s="2" t="s">
        <v>2500</v>
      </c>
      <c r="R1256" s="2" t="s">
        <v>29</v>
      </c>
      <c r="S1256" s="2" t="s">
        <v>30</v>
      </c>
    </row>
    <row r="1257" spans="1:19">
      <c r="A1257" s="1">
        <v>44440</v>
      </c>
      <c r="B1257" s="1">
        <v>44440</v>
      </c>
      <c r="C1257">
        <v>2021</v>
      </c>
      <c r="D1257">
        <v>9</v>
      </c>
      <c r="E1257" s="2" t="s">
        <v>31</v>
      </c>
      <c r="F1257" s="2" t="s">
        <v>32</v>
      </c>
      <c r="G1257" s="2" t="s">
        <v>21</v>
      </c>
      <c r="H1257" s="2" t="s">
        <v>22</v>
      </c>
      <c r="I1257" s="2" t="s">
        <v>23</v>
      </c>
      <c r="J1257" s="2" t="s">
        <v>24</v>
      </c>
      <c r="K1257">
        <v>781.62</v>
      </c>
      <c r="L1257">
        <v>6198.78</v>
      </c>
      <c r="M1257">
        <v>793.07</v>
      </c>
      <c r="N1257" s="2" t="s">
        <v>33</v>
      </c>
      <c r="O1257" s="2" t="s">
        <v>34</v>
      </c>
      <c r="P1257" s="2" t="s">
        <v>2501</v>
      </c>
      <c r="Q1257" s="2" t="s">
        <v>2502</v>
      </c>
      <c r="R1257" s="2" t="s">
        <v>29</v>
      </c>
      <c r="S1257" s="2" t="s">
        <v>30</v>
      </c>
    </row>
    <row r="1258" spans="1:19">
      <c r="A1258" s="1">
        <v>44440</v>
      </c>
      <c r="B1258" s="1">
        <v>44440</v>
      </c>
      <c r="C1258">
        <v>2021</v>
      </c>
      <c r="D1258">
        <v>9</v>
      </c>
      <c r="E1258" s="2" t="s">
        <v>37</v>
      </c>
      <c r="F1258" s="2" t="s">
        <v>38</v>
      </c>
      <c r="G1258" s="2" t="s">
        <v>39</v>
      </c>
      <c r="H1258" s="2" t="s">
        <v>22</v>
      </c>
      <c r="I1258" s="2" t="s">
        <v>40</v>
      </c>
      <c r="J1258" s="2" t="s">
        <v>24</v>
      </c>
      <c r="K1258">
        <v>4.9800000000000004</v>
      </c>
      <c r="L1258">
        <v>249.44</v>
      </c>
      <c r="M1258">
        <v>5008.84</v>
      </c>
      <c r="N1258" s="2" t="s">
        <v>41</v>
      </c>
      <c r="O1258" s="2" t="s">
        <v>42</v>
      </c>
      <c r="P1258" s="2" t="s">
        <v>1826</v>
      </c>
      <c r="Q1258" s="2" t="s">
        <v>2503</v>
      </c>
      <c r="R1258" s="2" t="s">
        <v>29</v>
      </c>
      <c r="S1258" s="2" t="s">
        <v>30</v>
      </c>
    </row>
    <row r="1259" spans="1:19">
      <c r="A1259" s="1">
        <v>44440</v>
      </c>
      <c r="B1259" s="1">
        <v>44440</v>
      </c>
      <c r="C1259">
        <v>2021</v>
      </c>
      <c r="D1259">
        <v>9</v>
      </c>
      <c r="E1259" s="2" t="s">
        <v>45</v>
      </c>
      <c r="F1259" s="2" t="s">
        <v>46</v>
      </c>
      <c r="G1259" s="2" t="s">
        <v>39</v>
      </c>
      <c r="H1259" s="2" t="s">
        <v>22</v>
      </c>
      <c r="I1259" s="2" t="s">
        <v>40</v>
      </c>
      <c r="J1259" s="2" t="s">
        <v>24</v>
      </c>
      <c r="K1259">
        <v>5508.82</v>
      </c>
      <c r="L1259">
        <v>256766.62</v>
      </c>
      <c r="M1259">
        <v>4661.01</v>
      </c>
      <c r="N1259" s="2" t="s">
        <v>47</v>
      </c>
      <c r="O1259" s="2" t="s">
        <v>48</v>
      </c>
      <c r="P1259" s="2" t="s">
        <v>2504</v>
      </c>
      <c r="Q1259" s="2" t="s">
        <v>2505</v>
      </c>
      <c r="R1259" s="2" t="s">
        <v>29</v>
      </c>
      <c r="S1259" s="2" t="s">
        <v>30</v>
      </c>
    </row>
    <row r="1260" spans="1:19">
      <c r="A1260" s="1">
        <v>44440</v>
      </c>
      <c r="B1260" s="1">
        <v>44440</v>
      </c>
      <c r="C1260">
        <v>2021</v>
      </c>
      <c r="D1260">
        <v>9</v>
      </c>
      <c r="E1260" s="2" t="s">
        <v>51</v>
      </c>
      <c r="F1260" s="2" t="s">
        <v>52</v>
      </c>
      <c r="G1260" s="2" t="s">
        <v>39</v>
      </c>
      <c r="H1260" s="2" t="s">
        <v>22</v>
      </c>
      <c r="I1260" s="2" t="s">
        <v>40</v>
      </c>
      <c r="J1260" s="2" t="s">
        <v>24</v>
      </c>
      <c r="K1260">
        <v>26.86</v>
      </c>
      <c r="L1260">
        <v>924.71</v>
      </c>
      <c r="M1260">
        <v>3442.7</v>
      </c>
      <c r="N1260" s="2" t="s">
        <v>53</v>
      </c>
      <c r="O1260" s="2" t="s">
        <v>54</v>
      </c>
      <c r="P1260" s="2" t="s">
        <v>2506</v>
      </c>
      <c r="Q1260" s="2" t="s">
        <v>2507</v>
      </c>
      <c r="R1260" s="2" t="s">
        <v>29</v>
      </c>
      <c r="S1260" s="2" t="s">
        <v>30</v>
      </c>
    </row>
    <row r="1261" spans="1:19">
      <c r="A1261" s="1">
        <v>44440</v>
      </c>
      <c r="B1261" s="1">
        <v>44440</v>
      </c>
      <c r="C1261">
        <v>2021</v>
      </c>
      <c r="D1261">
        <v>9</v>
      </c>
      <c r="E1261" s="2" t="s">
        <v>57</v>
      </c>
      <c r="F1261" s="2" t="s">
        <v>58</v>
      </c>
      <c r="G1261" s="2" t="s">
        <v>39</v>
      </c>
      <c r="H1261" s="2" t="s">
        <v>22</v>
      </c>
      <c r="I1261" s="2" t="s">
        <v>40</v>
      </c>
      <c r="J1261" s="2" t="s">
        <v>59</v>
      </c>
      <c r="K1261">
        <v>5540.66</v>
      </c>
      <c r="L1261">
        <v>257940.78</v>
      </c>
      <c r="M1261">
        <v>4655.42</v>
      </c>
      <c r="N1261" s="2" t="s">
        <v>60</v>
      </c>
      <c r="O1261" s="2" t="s">
        <v>61</v>
      </c>
      <c r="P1261" s="2" t="s">
        <v>2508</v>
      </c>
      <c r="Q1261" s="2" t="s">
        <v>2509</v>
      </c>
      <c r="R1261" s="2" t="s">
        <v>29</v>
      </c>
      <c r="S1261" s="2" t="s">
        <v>30</v>
      </c>
    </row>
    <row r="1262" spans="1:19">
      <c r="A1262" s="1">
        <v>44440</v>
      </c>
      <c r="B1262" s="1">
        <v>44440</v>
      </c>
      <c r="C1262">
        <v>2021</v>
      </c>
      <c r="D1262">
        <v>9</v>
      </c>
      <c r="E1262" s="2" t="s">
        <v>64</v>
      </c>
      <c r="F1262" s="2" t="s">
        <v>65</v>
      </c>
      <c r="G1262" s="2" t="s">
        <v>21</v>
      </c>
      <c r="H1262" s="2" t="s">
        <v>22</v>
      </c>
      <c r="I1262" s="2" t="s">
        <v>66</v>
      </c>
      <c r="J1262" s="2" t="s">
        <v>24</v>
      </c>
      <c r="K1262">
        <v>19.39</v>
      </c>
      <c r="L1262">
        <v>440.37</v>
      </c>
      <c r="M1262">
        <v>2271.12</v>
      </c>
      <c r="N1262" s="2" t="s">
        <v>67</v>
      </c>
      <c r="O1262" s="2" t="s">
        <v>68</v>
      </c>
      <c r="P1262" s="2" t="s">
        <v>2510</v>
      </c>
      <c r="Q1262" s="2" t="s">
        <v>2511</v>
      </c>
      <c r="R1262" s="2" t="s">
        <v>29</v>
      </c>
      <c r="S1262" s="2" t="s">
        <v>30</v>
      </c>
    </row>
    <row r="1263" spans="1:19">
      <c r="A1263" s="1">
        <v>44440</v>
      </c>
      <c r="B1263" s="1">
        <v>44440</v>
      </c>
      <c r="C1263">
        <v>2021</v>
      </c>
      <c r="D1263">
        <v>9</v>
      </c>
      <c r="E1263" s="2" t="s">
        <v>71</v>
      </c>
      <c r="F1263" s="2" t="s">
        <v>72</v>
      </c>
      <c r="G1263" s="2" t="s">
        <v>21</v>
      </c>
      <c r="H1263" s="2" t="s">
        <v>22</v>
      </c>
      <c r="I1263" s="2" t="s">
        <v>73</v>
      </c>
      <c r="J1263" s="2" t="s">
        <v>59</v>
      </c>
      <c r="K1263">
        <v>5337.5</v>
      </c>
      <c r="L1263">
        <v>142816.79999999999</v>
      </c>
      <c r="M1263">
        <v>2675.72</v>
      </c>
      <c r="N1263" s="2" t="s">
        <v>74</v>
      </c>
      <c r="O1263" s="2" t="s">
        <v>75</v>
      </c>
      <c r="P1263" s="2" t="s">
        <v>2512</v>
      </c>
      <c r="Q1263" s="2" t="s">
        <v>2513</v>
      </c>
      <c r="R1263" s="2" t="s">
        <v>29</v>
      </c>
      <c r="S1263" s="2" t="s">
        <v>30</v>
      </c>
    </row>
    <row r="1264" spans="1:19">
      <c r="A1264" s="1">
        <v>44440</v>
      </c>
      <c r="B1264" s="1">
        <v>44440</v>
      </c>
      <c r="C1264">
        <v>2021</v>
      </c>
      <c r="D1264">
        <v>9</v>
      </c>
      <c r="E1264" s="2" t="s">
        <v>78</v>
      </c>
      <c r="F1264" s="2" t="s">
        <v>79</v>
      </c>
      <c r="G1264" s="2" t="s">
        <v>80</v>
      </c>
      <c r="H1264" s="2" t="s">
        <v>81</v>
      </c>
      <c r="I1264" s="2" t="s">
        <v>82</v>
      </c>
      <c r="J1264" s="2" t="s">
        <v>24</v>
      </c>
      <c r="K1264">
        <v>1.77</v>
      </c>
      <c r="L1264">
        <v>4826169.95</v>
      </c>
      <c r="M1264">
        <v>272664968.93000001</v>
      </c>
      <c r="N1264" s="2" t="s">
        <v>83</v>
      </c>
      <c r="O1264" s="2" t="s">
        <v>84</v>
      </c>
      <c r="P1264" s="2" t="s">
        <v>254</v>
      </c>
      <c r="Q1264" s="2" t="s">
        <v>2514</v>
      </c>
      <c r="R1264" s="2" t="s">
        <v>29</v>
      </c>
      <c r="S1264" s="2" t="s">
        <v>30</v>
      </c>
    </row>
    <row r="1265" spans="1:19">
      <c r="A1265" s="1">
        <v>44440</v>
      </c>
      <c r="B1265" s="1">
        <v>44440</v>
      </c>
      <c r="C1265">
        <v>2021</v>
      </c>
      <c r="D1265">
        <v>9</v>
      </c>
      <c r="E1265" s="2" t="s">
        <v>87</v>
      </c>
      <c r="F1265" s="2" t="s">
        <v>88</v>
      </c>
      <c r="G1265" s="2" t="s">
        <v>80</v>
      </c>
      <c r="H1265" s="2" t="s">
        <v>81</v>
      </c>
      <c r="I1265" s="2" t="s">
        <v>82</v>
      </c>
      <c r="J1265" s="2" t="s">
        <v>24</v>
      </c>
      <c r="K1265">
        <v>0.9</v>
      </c>
      <c r="L1265">
        <v>1127485.1399999999</v>
      </c>
      <c r="M1265">
        <v>125276126.67</v>
      </c>
      <c r="N1265" s="2" t="s">
        <v>89</v>
      </c>
      <c r="O1265" s="2" t="s">
        <v>90</v>
      </c>
      <c r="P1265" s="2" t="s">
        <v>2515</v>
      </c>
      <c r="Q1265" s="2" t="s">
        <v>2516</v>
      </c>
      <c r="R1265" s="2" t="s">
        <v>29</v>
      </c>
      <c r="S1265" s="2" t="s">
        <v>30</v>
      </c>
    </row>
    <row r="1266" spans="1:19">
      <c r="A1266" s="1">
        <v>44440</v>
      </c>
      <c r="B1266" s="1">
        <v>44440</v>
      </c>
      <c r="C1266">
        <v>2021</v>
      </c>
      <c r="D1266">
        <v>9</v>
      </c>
      <c r="E1266" s="2" t="s">
        <v>93</v>
      </c>
      <c r="F1266" s="2" t="s">
        <v>94</v>
      </c>
      <c r="G1266" s="2" t="s">
        <v>80</v>
      </c>
      <c r="H1266" s="2" t="s">
        <v>81</v>
      </c>
      <c r="I1266" s="2" t="s">
        <v>82</v>
      </c>
      <c r="J1266" s="2" t="s">
        <v>24</v>
      </c>
      <c r="K1266">
        <v>0.25</v>
      </c>
      <c r="L1266">
        <v>3885955.85</v>
      </c>
      <c r="M1266">
        <v>1554382340</v>
      </c>
      <c r="N1266" s="2" t="s">
        <v>95</v>
      </c>
      <c r="O1266" s="2" t="s">
        <v>96</v>
      </c>
      <c r="P1266" s="2" t="s">
        <v>876</v>
      </c>
      <c r="Q1266" s="2" t="s">
        <v>2517</v>
      </c>
      <c r="R1266" s="2" t="s">
        <v>29</v>
      </c>
      <c r="S1266" s="2" t="s">
        <v>30</v>
      </c>
    </row>
    <row r="1267" spans="1:19">
      <c r="A1267" s="1">
        <v>44440</v>
      </c>
      <c r="B1267" s="1">
        <v>44440</v>
      </c>
      <c r="C1267">
        <v>2021</v>
      </c>
      <c r="D1267">
        <v>9</v>
      </c>
      <c r="E1267" s="2" t="s">
        <v>99</v>
      </c>
      <c r="F1267" s="2" t="s">
        <v>100</v>
      </c>
      <c r="G1267" s="2" t="s">
        <v>80</v>
      </c>
      <c r="H1267" s="2" t="s">
        <v>81</v>
      </c>
      <c r="I1267" s="2" t="s">
        <v>82</v>
      </c>
      <c r="J1267" s="2" t="s">
        <v>101</v>
      </c>
      <c r="K1267">
        <v>1.37</v>
      </c>
      <c r="L1267">
        <v>11404583.789999999</v>
      </c>
      <c r="M1267">
        <v>832451371.52999997</v>
      </c>
      <c r="N1267" s="2" t="s">
        <v>102</v>
      </c>
      <c r="O1267" s="2" t="s">
        <v>103</v>
      </c>
      <c r="P1267" s="2" t="s">
        <v>2518</v>
      </c>
      <c r="Q1267" s="2" t="s">
        <v>2519</v>
      </c>
      <c r="R1267" s="2" t="s">
        <v>29</v>
      </c>
      <c r="S1267" s="2" t="s">
        <v>30</v>
      </c>
    </row>
    <row r="1268" spans="1:19">
      <c r="A1268" s="1">
        <v>44440</v>
      </c>
      <c r="B1268" s="1">
        <v>44440</v>
      </c>
      <c r="C1268">
        <v>2021</v>
      </c>
      <c r="D1268">
        <v>9</v>
      </c>
      <c r="E1268" s="2" t="s">
        <v>106</v>
      </c>
      <c r="F1268" s="2" t="s">
        <v>107</v>
      </c>
      <c r="G1268" s="2" t="s">
        <v>80</v>
      </c>
      <c r="H1268" s="2" t="s">
        <v>81</v>
      </c>
      <c r="I1268" s="2" t="s">
        <v>82</v>
      </c>
      <c r="J1268" s="2" t="s">
        <v>24</v>
      </c>
      <c r="K1268">
        <v>0.22</v>
      </c>
      <c r="L1268">
        <v>6391142.7999999998</v>
      </c>
      <c r="M1268">
        <v>2905064909.0900002</v>
      </c>
      <c r="N1268" s="2" t="s">
        <v>108</v>
      </c>
      <c r="O1268" s="2" t="s">
        <v>109</v>
      </c>
      <c r="P1268" s="2" t="s">
        <v>514</v>
      </c>
      <c r="Q1268" s="2" t="s">
        <v>2520</v>
      </c>
      <c r="R1268" s="2" t="s">
        <v>29</v>
      </c>
      <c r="S1268" s="2" t="s">
        <v>30</v>
      </c>
    </row>
    <row r="1269" spans="1:19">
      <c r="A1269" s="1">
        <v>44440</v>
      </c>
      <c r="B1269" s="1">
        <v>44440</v>
      </c>
      <c r="C1269">
        <v>2021</v>
      </c>
      <c r="D1269">
        <v>9</v>
      </c>
      <c r="E1269" s="2" t="s">
        <v>111</v>
      </c>
      <c r="F1269" s="2" t="s">
        <v>112</v>
      </c>
      <c r="G1269" s="2" t="s">
        <v>80</v>
      </c>
      <c r="H1269" s="2" t="s">
        <v>81</v>
      </c>
      <c r="I1269" s="2" t="s">
        <v>82</v>
      </c>
      <c r="J1269" s="2" t="s">
        <v>24</v>
      </c>
      <c r="K1269">
        <v>7.0000000000000007E-2</v>
      </c>
      <c r="L1269">
        <v>452340</v>
      </c>
      <c r="M1269">
        <v>646200000</v>
      </c>
      <c r="N1269" s="2" t="s">
        <v>113</v>
      </c>
      <c r="O1269" s="2" t="s">
        <v>114</v>
      </c>
      <c r="P1269" s="2" t="s">
        <v>2234</v>
      </c>
      <c r="Q1269" s="2" t="s">
        <v>2521</v>
      </c>
      <c r="R1269" s="2" t="s">
        <v>29</v>
      </c>
      <c r="S1269" s="2" t="s">
        <v>30</v>
      </c>
    </row>
    <row r="1270" spans="1:19">
      <c r="A1270" s="1">
        <v>44440</v>
      </c>
      <c r="B1270" s="1">
        <v>44440</v>
      </c>
      <c r="C1270">
        <v>2021</v>
      </c>
      <c r="D1270">
        <v>9</v>
      </c>
      <c r="E1270" s="2" t="s">
        <v>117</v>
      </c>
      <c r="F1270" s="2" t="s">
        <v>118</v>
      </c>
      <c r="G1270" s="2" t="s">
        <v>80</v>
      </c>
      <c r="H1270" s="2" t="s">
        <v>81</v>
      </c>
      <c r="I1270" s="2" t="s">
        <v>82</v>
      </c>
      <c r="J1270" s="2" t="s">
        <v>59</v>
      </c>
      <c r="K1270">
        <v>3.21</v>
      </c>
      <c r="L1270">
        <v>16683093.74</v>
      </c>
      <c r="M1270">
        <v>519722546.42000002</v>
      </c>
      <c r="N1270" s="2" t="s">
        <v>119</v>
      </c>
      <c r="O1270" s="2" t="s">
        <v>120</v>
      </c>
      <c r="P1270" s="2" t="s">
        <v>2522</v>
      </c>
      <c r="Q1270" s="2" t="s">
        <v>2523</v>
      </c>
      <c r="R1270" s="2" t="s">
        <v>29</v>
      </c>
      <c r="S1270" s="2" t="s">
        <v>30</v>
      </c>
    </row>
    <row r="1271" spans="1:19">
      <c r="A1271" s="1">
        <v>44440</v>
      </c>
      <c r="B1271" s="1">
        <v>44440</v>
      </c>
      <c r="C1271">
        <v>2021</v>
      </c>
      <c r="D1271">
        <v>9</v>
      </c>
      <c r="E1271" s="2" t="s">
        <v>123</v>
      </c>
      <c r="F1271" s="2" t="s">
        <v>124</v>
      </c>
      <c r="G1271" s="2" t="s">
        <v>21</v>
      </c>
      <c r="H1271" s="2" t="s">
        <v>22</v>
      </c>
      <c r="I1271" s="2" t="s">
        <v>73</v>
      </c>
      <c r="J1271" s="2" t="s">
        <v>24</v>
      </c>
      <c r="K1271">
        <v>885.68</v>
      </c>
      <c r="L1271">
        <v>48484.85</v>
      </c>
      <c r="M1271">
        <v>5474.31</v>
      </c>
      <c r="N1271" s="2" t="s">
        <v>125</v>
      </c>
      <c r="O1271" s="2" t="s">
        <v>126</v>
      </c>
      <c r="P1271" s="2" t="s">
        <v>2524</v>
      </c>
      <c r="Q1271" s="2" t="s">
        <v>2525</v>
      </c>
      <c r="R1271" s="2" t="s">
        <v>29</v>
      </c>
      <c r="S1271" s="2" t="s">
        <v>30</v>
      </c>
    </row>
    <row r="1272" spans="1:19">
      <c r="A1272" s="1">
        <v>44440</v>
      </c>
      <c r="B1272" s="1">
        <v>44440</v>
      </c>
      <c r="C1272">
        <v>2021</v>
      </c>
      <c r="D1272">
        <v>9</v>
      </c>
      <c r="E1272" s="2" t="s">
        <v>129</v>
      </c>
      <c r="F1272" s="2" t="s">
        <v>130</v>
      </c>
      <c r="G1272" s="2" t="s">
        <v>21</v>
      </c>
      <c r="H1272" s="2" t="s">
        <v>22</v>
      </c>
      <c r="I1272" s="2" t="s">
        <v>73</v>
      </c>
      <c r="J1272" s="2" t="s">
        <v>24</v>
      </c>
      <c r="K1272">
        <v>961.53</v>
      </c>
      <c r="L1272">
        <v>31742.9</v>
      </c>
      <c r="M1272">
        <v>3301.29</v>
      </c>
      <c r="N1272" s="2" t="s">
        <v>131</v>
      </c>
      <c r="O1272" s="2" t="s">
        <v>132</v>
      </c>
      <c r="P1272" s="2" t="s">
        <v>2526</v>
      </c>
      <c r="Q1272" s="2" t="s">
        <v>2527</v>
      </c>
      <c r="R1272" s="2" t="s">
        <v>29</v>
      </c>
      <c r="S1272" s="2" t="s">
        <v>30</v>
      </c>
    </row>
    <row r="1273" spans="1:19">
      <c r="A1273" s="1">
        <v>44440</v>
      </c>
      <c r="B1273" s="1">
        <v>44440</v>
      </c>
      <c r="C1273">
        <v>2021</v>
      </c>
      <c r="D1273">
        <v>9</v>
      </c>
      <c r="E1273" s="2" t="s">
        <v>135</v>
      </c>
      <c r="F1273" s="2" t="s">
        <v>136</v>
      </c>
      <c r="G1273" s="2" t="s">
        <v>21</v>
      </c>
      <c r="H1273" s="2" t="s">
        <v>22</v>
      </c>
      <c r="I1273" s="2" t="s">
        <v>73</v>
      </c>
      <c r="J1273" s="2" t="s">
        <v>101</v>
      </c>
      <c r="K1273">
        <v>1847.21</v>
      </c>
      <c r="L1273">
        <v>80227.75</v>
      </c>
      <c r="M1273">
        <v>4343.1899999999996</v>
      </c>
      <c r="N1273" s="2" t="s">
        <v>137</v>
      </c>
      <c r="O1273" s="2" t="s">
        <v>138</v>
      </c>
      <c r="P1273" s="2" t="s">
        <v>2528</v>
      </c>
      <c r="Q1273" s="2" t="s">
        <v>2529</v>
      </c>
      <c r="R1273" s="2" t="s">
        <v>29</v>
      </c>
      <c r="S1273" s="2" t="s">
        <v>30</v>
      </c>
    </row>
    <row r="1274" spans="1:19">
      <c r="A1274" s="1">
        <v>44440</v>
      </c>
      <c r="B1274" s="1">
        <v>44440</v>
      </c>
      <c r="C1274">
        <v>2021</v>
      </c>
      <c r="D1274">
        <v>9</v>
      </c>
      <c r="E1274" s="2" t="s">
        <v>141</v>
      </c>
      <c r="F1274" s="2" t="s">
        <v>142</v>
      </c>
      <c r="G1274" s="2" t="s">
        <v>21</v>
      </c>
      <c r="H1274" s="2" t="s">
        <v>22</v>
      </c>
      <c r="I1274" s="2" t="s">
        <v>73</v>
      </c>
      <c r="J1274" s="2" t="s">
        <v>24</v>
      </c>
      <c r="K1274">
        <v>1437.29</v>
      </c>
      <c r="L1274">
        <v>23998.06</v>
      </c>
      <c r="M1274">
        <v>1669.67</v>
      </c>
      <c r="N1274" s="2" t="s">
        <v>143</v>
      </c>
      <c r="O1274" s="2" t="s">
        <v>144</v>
      </c>
      <c r="P1274" s="2" t="s">
        <v>2530</v>
      </c>
      <c r="Q1274" s="2" t="s">
        <v>2531</v>
      </c>
      <c r="R1274" s="2" t="s">
        <v>29</v>
      </c>
      <c r="S1274" s="2" t="s">
        <v>30</v>
      </c>
    </row>
    <row r="1275" spans="1:19">
      <c r="A1275" s="1">
        <v>44440</v>
      </c>
      <c r="B1275" s="1">
        <v>44440</v>
      </c>
      <c r="C1275">
        <v>2021</v>
      </c>
      <c r="D1275">
        <v>9</v>
      </c>
      <c r="E1275" s="2" t="s">
        <v>147</v>
      </c>
      <c r="F1275" s="2" t="s">
        <v>148</v>
      </c>
      <c r="G1275" s="2" t="s">
        <v>21</v>
      </c>
      <c r="H1275" s="2" t="s">
        <v>22</v>
      </c>
      <c r="I1275" s="2" t="s">
        <v>73</v>
      </c>
      <c r="J1275" s="2" t="s">
        <v>24</v>
      </c>
      <c r="K1275">
        <v>2053</v>
      </c>
      <c r="L1275">
        <v>38590.99</v>
      </c>
      <c r="M1275">
        <v>1879.74</v>
      </c>
      <c r="N1275" s="2" t="s">
        <v>149</v>
      </c>
      <c r="O1275" s="2" t="s">
        <v>150</v>
      </c>
      <c r="P1275" s="2" t="s">
        <v>2532</v>
      </c>
      <c r="Q1275" s="2" t="s">
        <v>2533</v>
      </c>
      <c r="R1275" s="2" t="s">
        <v>29</v>
      </c>
      <c r="S1275" s="2" t="s">
        <v>30</v>
      </c>
    </row>
    <row r="1276" spans="1:19">
      <c r="A1276" s="1">
        <v>44440</v>
      </c>
      <c r="B1276" s="1">
        <v>44440</v>
      </c>
      <c r="C1276">
        <v>2021</v>
      </c>
      <c r="D1276">
        <v>9</v>
      </c>
      <c r="E1276" s="2" t="s">
        <v>153</v>
      </c>
      <c r="F1276" s="2" t="s">
        <v>154</v>
      </c>
      <c r="G1276" s="2" t="s">
        <v>21</v>
      </c>
      <c r="H1276" s="2" t="s">
        <v>22</v>
      </c>
      <c r="I1276" s="2" t="s">
        <v>73</v>
      </c>
      <c r="J1276" s="2" t="s">
        <v>101</v>
      </c>
      <c r="K1276">
        <v>3490.29</v>
      </c>
      <c r="L1276">
        <v>62589.05</v>
      </c>
      <c r="M1276">
        <v>1793.23</v>
      </c>
      <c r="N1276" s="2" t="s">
        <v>155</v>
      </c>
      <c r="O1276" s="2" t="s">
        <v>156</v>
      </c>
      <c r="P1276" s="2" t="s">
        <v>2534</v>
      </c>
      <c r="Q1276" s="2" t="s">
        <v>2535</v>
      </c>
      <c r="R1276" s="2" t="s">
        <v>29</v>
      </c>
      <c r="S1276" s="2" t="s">
        <v>30</v>
      </c>
    </row>
    <row r="1277" spans="1:19">
      <c r="A1277" s="1">
        <v>44440</v>
      </c>
      <c r="B1277" s="1">
        <v>44440</v>
      </c>
      <c r="C1277">
        <v>2021</v>
      </c>
      <c r="D1277">
        <v>9</v>
      </c>
      <c r="E1277" s="2" t="s">
        <v>159</v>
      </c>
      <c r="F1277" s="2" t="s">
        <v>160</v>
      </c>
      <c r="G1277" s="2" t="s">
        <v>21</v>
      </c>
      <c r="H1277" s="2" t="s">
        <v>22</v>
      </c>
      <c r="I1277" s="2" t="s">
        <v>66</v>
      </c>
      <c r="J1277" s="2" t="s">
        <v>59</v>
      </c>
      <c r="K1277">
        <v>987.44</v>
      </c>
      <c r="L1277">
        <v>84660.46</v>
      </c>
      <c r="M1277">
        <v>8573.73</v>
      </c>
      <c r="N1277" s="2" t="s">
        <v>161</v>
      </c>
      <c r="O1277" s="2" t="s">
        <v>162</v>
      </c>
      <c r="P1277" s="2" t="s">
        <v>2536</v>
      </c>
      <c r="Q1277" s="2" t="s">
        <v>2537</v>
      </c>
      <c r="R1277" s="2" t="s">
        <v>29</v>
      </c>
      <c r="S1277" s="2" t="s">
        <v>30</v>
      </c>
    </row>
    <row r="1278" spans="1:19">
      <c r="A1278" s="1">
        <v>44440</v>
      </c>
      <c r="B1278" s="1">
        <v>44440</v>
      </c>
      <c r="C1278">
        <v>2021</v>
      </c>
      <c r="D1278">
        <v>9</v>
      </c>
      <c r="E1278" s="2" t="s">
        <v>165</v>
      </c>
      <c r="F1278" s="2" t="s">
        <v>166</v>
      </c>
      <c r="G1278" s="2" t="s">
        <v>21</v>
      </c>
      <c r="H1278" s="2" t="s">
        <v>22</v>
      </c>
      <c r="I1278" s="2" t="s">
        <v>23</v>
      </c>
      <c r="J1278" s="2" t="s">
        <v>24</v>
      </c>
      <c r="K1278">
        <v>0</v>
      </c>
      <c r="L1278">
        <v>0</v>
      </c>
      <c r="N1278" s="2" t="s">
        <v>167</v>
      </c>
      <c r="O1278" s="2" t="s">
        <v>168</v>
      </c>
      <c r="P1278" s="2" t="s">
        <v>639</v>
      </c>
      <c r="Q1278" s="2" t="s">
        <v>639</v>
      </c>
      <c r="R1278" s="2" t="s">
        <v>29</v>
      </c>
      <c r="S1278" s="2" t="s">
        <v>30</v>
      </c>
    </row>
    <row r="1279" spans="1:19">
      <c r="A1279" s="1">
        <v>44440</v>
      </c>
      <c r="B1279" s="1">
        <v>44440</v>
      </c>
      <c r="C1279">
        <v>2021</v>
      </c>
      <c r="D1279">
        <v>9</v>
      </c>
      <c r="E1279" s="2" t="s">
        <v>171</v>
      </c>
      <c r="F1279" s="2" t="s">
        <v>172</v>
      </c>
      <c r="G1279" s="2" t="s">
        <v>21</v>
      </c>
      <c r="H1279" s="2" t="s">
        <v>22</v>
      </c>
      <c r="I1279" s="2" t="s">
        <v>66</v>
      </c>
      <c r="J1279" s="2" t="s">
        <v>24</v>
      </c>
      <c r="N1279" s="2" t="s">
        <v>173</v>
      </c>
      <c r="O1279" s="2" t="s">
        <v>174</v>
      </c>
      <c r="P1279" s="2" t="s">
        <v>175</v>
      </c>
      <c r="Q1279" s="2" t="s">
        <v>175</v>
      </c>
      <c r="R1279" s="2" t="s">
        <v>640</v>
      </c>
      <c r="S1279" s="2" t="s">
        <v>641</v>
      </c>
    </row>
    <row r="1280" spans="1:19">
      <c r="A1280" s="1">
        <v>44440</v>
      </c>
      <c r="B1280" s="1">
        <v>44440</v>
      </c>
      <c r="C1280">
        <v>2021</v>
      </c>
      <c r="D1280">
        <v>9</v>
      </c>
      <c r="E1280" s="2" t="s">
        <v>177</v>
      </c>
      <c r="F1280" s="2" t="s">
        <v>178</v>
      </c>
      <c r="G1280" s="2" t="s">
        <v>21</v>
      </c>
      <c r="H1280" s="2" t="s">
        <v>22</v>
      </c>
      <c r="I1280" s="2" t="s">
        <v>23</v>
      </c>
      <c r="J1280" s="2" t="s">
        <v>24</v>
      </c>
      <c r="K1280">
        <v>3848.84</v>
      </c>
      <c r="L1280">
        <v>324095.96999999997</v>
      </c>
      <c r="M1280">
        <v>8420.61</v>
      </c>
      <c r="N1280" s="2" t="s">
        <v>179</v>
      </c>
      <c r="O1280" s="2" t="s">
        <v>180</v>
      </c>
      <c r="P1280" s="2" t="s">
        <v>2538</v>
      </c>
      <c r="Q1280" s="2" t="s">
        <v>2539</v>
      </c>
      <c r="R1280" s="2" t="s">
        <v>29</v>
      </c>
      <c r="S1280" s="2" t="s">
        <v>30</v>
      </c>
    </row>
    <row r="1281" spans="1:19">
      <c r="A1281" s="1">
        <v>44440</v>
      </c>
      <c r="B1281" s="1">
        <v>44440</v>
      </c>
      <c r="C1281">
        <v>2021</v>
      </c>
      <c r="D1281">
        <v>9</v>
      </c>
      <c r="E1281" s="2" t="s">
        <v>183</v>
      </c>
      <c r="F1281" s="2" t="s">
        <v>184</v>
      </c>
      <c r="G1281" s="2" t="s">
        <v>185</v>
      </c>
      <c r="H1281" s="2" t="s">
        <v>22</v>
      </c>
      <c r="I1281" s="2" t="s">
        <v>186</v>
      </c>
      <c r="J1281" s="2" t="s">
        <v>24</v>
      </c>
      <c r="K1281">
        <v>2810.47</v>
      </c>
      <c r="L1281">
        <v>2621443.52</v>
      </c>
      <c r="M1281">
        <v>93274.2</v>
      </c>
      <c r="N1281" s="2" t="s">
        <v>187</v>
      </c>
      <c r="O1281" s="2" t="s">
        <v>188</v>
      </c>
      <c r="P1281" s="2" t="s">
        <v>2540</v>
      </c>
      <c r="Q1281" s="2" t="s">
        <v>2541</v>
      </c>
      <c r="R1281" s="2" t="s">
        <v>29</v>
      </c>
      <c r="S1281" s="2" t="s">
        <v>30</v>
      </c>
    </row>
    <row r="1282" spans="1:19">
      <c r="A1282" s="1">
        <v>44440</v>
      </c>
      <c r="B1282" s="1">
        <v>44440</v>
      </c>
      <c r="C1282">
        <v>2021</v>
      </c>
      <c r="D1282">
        <v>9</v>
      </c>
      <c r="E1282" s="2" t="s">
        <v>191</v>
      </c>
      <c r="F1282" s="2" t="s">
        <v>192</v>
      </c>
      <c r="G1282" s="2" t="s">
        <v>185</v>
      </c>
      <c r="H1282" s="2" t="s">
        <v>22</v>
      </c>
      <c r="I1282" s="2" t="s">
        <v>186</v>
      </c>
      <c r="J1282" s="2" t="s">
        <v>24</v>
      </c>
      <c r="K1282">
        <v>844.23</v>
      </c>
      <c r="L1282">
        <v>4213809.41</v>
      </c>
      <c r="M1282">
        <v>499130.5</v>
      </c>
      <c r="N1282" s="2" t="s">
        <v>193</v>
      </c>
      <c r="O1282" s="2" t="s">
        <v>194</v>
      </c>
      <c r="P1282" s="2" t="s">
        <v>2542</v>
      </c>
      <c r="Q1282" s="2" t="s">
        <v>2543</v>
      </c>
      <c r="R1282" s="2" t="s">
        <v>29</v>
      </c>
      <c r="S1282" s="2" t="s">
        <v>30</v>
      </c>
    </row>
    <row r="1283" spans="1:19">
      <c r="A1283" s="1">
        <v>44440</v>
      </c>
      <c r="B1283" s="1">
        <v>44440</v>
      </c>
      <c r="C1283">
        <v>2021</v>
      </c>
      <c r="D1283">
        <v>9</v>
      </c>
      <c r="E1283" s="2" t="s">
        <v>197</v>
      </c>
      <c r="F1283" s="2" t="s">
        <v>198</v>
      </c>
      <c r="G1283" s="2" t="s">
        <v>185</v>
      </c>
      <c r="H1283" s="2" t="s">
        <v>22</v>
      </c>
      <c r="I1283" s="2" t="s">
        <v>186</v>
      </c>
      <c r="J1283" s="2" t="s">
        <v>59</v>
      </c>
      <c r="K1283">
        <v>3654.7</v>
      </c>
      <c r="L1283">
        <v>6835252.9400000004</v>
      </c>
      <c r="M1283">
        <v>187026.38</v>
      </c>
      <c r="N1283" s="2" t="s">
        <v>199</v>
      </c>
      <c r="O1283" s="2" t="s">
        <v>200</v>
      </c>
      <c r="P1283" s="2" t="s">
        <v>2544</v>
      </c>
      <c r="Q1283" s="2" t="s">
        <v>2545</v>
      </c>
      <c r="R1283" s="2" t="s">
        <v>29</v>
      </c>
      <c r="S1283" s="2" t="s">
        <v>30</v>
      </c>
    </row>
    <row r="1284" spans="1:19">
      <c r="A1284" s="1">
        <v>44440</v>
      </c>
      <c r="B1284" s="1">
        <v>44440</v>
      </c>
      <c r="C1284">
        <v>2021</v>
      </c>
      <c r="D1284">
        <v>9</v>
      </c>
      <c r="E1284" s="2" t="s">
        <v>203</v>
      </c>
      <c r="F1284" s="2" t="s">
        <v>204</v>
      </c>
      <c r="G1284" s="2" t="s">
        <v>39</v>
      </c>
      <c r="H1284" s="2" t="s">
        <v>22</v>
      </c>
      <c r="I1284" s="2" t="s">
        <v>40</v>
      </c>
      <c r="J1284" s="2" t="s">
        <v>24</v>
      </c>
      <c r="K1284">
        <v>888.88</v>
      </c>
      <c r="L1284">
        <v>22793.31</v>
      </c>
      <c r="M1284">
        <v>2564.27</v>
      </c>
      <c r="N1284" s="2" t="s">
        <v>205</v>
      </c>
      <c r="O1284" s="2" t="s">
        <v>206</v>
      </c>
      <c r="P1284" s="2" t="s">
        <v>2546</v>
      </c>
      <c r="Q1284" s="2" t="s">
        <v>2547</v>
      </c>
      <c r="R1284" s="2" t="s">
        <v>29</v>
      </c>
      <c r="S1284" s="2" t="s">
        <v>30</v>
      </c>
    </row>
    <row r="1285" spans="1:19">
      <c r="A1285" s="1">
        <v>44440</v>
      </c>
      <c r="B1285" s="1">
        <v>44440</v>
      </c>
      <c r="C1285">
        <v>2021</v>
      </c>
      <c r="D1285">
        <v>9</v>
      </c>
      <c r="E1285" s="2" t="s">
        <v>209</v>
      </c>
      <c r="F1285" s="2" t="s">
        <v>210</v>
      </c>
      <c r="G1285" s="2" t="s">
        <v>39</v>
      </c>
      <c r="H1285" s="2" t="s">
        <v>22</v>
      </c>
      <c r="I1285" s="2" t="s">
        <v>40</v>
      </c>
      <c r="J1285" s="2" t="s">
        <v>59</v>
      </c>
      <c r="K1285">
        <v>888.88</v>
      </c>
      <c r="L1285">
        <v>22793.31</v>
      </c>
      <c r="M1285">
        <v>2564.27</v>
      </c>
      <c r="N1285" s="2" t="s">
        <v>211</v>
      </c>
      <c r="O1285" s="2" t="s">
        <v>212</v>
      </c>
      <c r="P1285" s="2" t="s">
        <v>2546</v>
      </c>
      <c r="Q1285" s="2" t="s">
        <v>2547</v>
      </c>
      <c r="R1285" s="2" t="s">
        <v>29</v>
      </c>
      <c r="S1285" s="2" t="s">
        <v>30</v>
      </c>
    </row>
    <row r="1286" spans="1:19">
      <c r="A1286" s="1">
        <v>44440</v>
      </c>
      <c r="B1286" s="1">
        <v>44440</v>
      </c>
      <c r="C1286">
        <v>2021</v>
      </c>
      <c r="D1286">
        <v>9</v>
      </c>
      <c r="E1286" s="2" t="s">
        <v>213</v>
      </c>
      <c r="F1286" s="2" t="s">
        <v>214</v>
      </c>
      <c r="G1286" s="2" t="s">
        <v>185</v>
      </c>
      <c r="H1286" s="2" t="s">
        <v>22</v>
      </c>
      <c r="I1286" s="2" t="s">
        <v>215</v>
      </c>
      <c r="J1286" s="2" t="s">
        <v>24</v>
      </c>
      <c r="K1286">
        <v>36630.99</v>
      </c>
      <c r="L1286">
        <v>960832.27</v>
      </c>
      <c r="M1286">
        <v>2623</v>
      </c>
      <c r="N1286" s="2" t="s">
        <v>216</v>
      </c>
      <c r="O1286" s="2" t="s">
        <v>217</v>
      </c>
      <c r="P1286" s="2" t="s">
        <v>2548</v>
      </c>
      <c r="Q1286" s="2" t="s">
        <v>2549</v>
      </c>
      <c r="R1286" s="2" t="s">
        <v>29</v>
      </c>
      <c r="S1286" s="2" t="s">
        <v>30</v>
      </c>
    </row>
    <row r="1287" spans="1:19">
      <c r="A1287" s="1">
        <v>44440</v>
      </c>
      <c r="B1287" s="1">
        <v>44440</v>
      </c>
      <c r="C1287">
        <v>2021</v>
      </c>
      <c r="D1287">
        <v>9</v>
      </c>
      <c r="E1287" s="2" t="s">
        <v>220</v>
      </c>
      <c r="F1287" s="2" t="s">
        <v>221</v>
      </c>
      <c r="G1287" s="2" t="s">
        <v>185</v>
      </c>
      <c r="H1287" s="2" t="s">
        <v>22</v>
      </c>
      <c r="I1287" s="2" t="s">
        <v>215</v>
      </c>
      <c r="J1287" s="2" t="s">
        <v>24</v>
      </c>
      <c r="K1287">
        <v>3358.5</v>
      </c>
      <c r="L1287">
        <v>218049.35</v>
      </c>
      <c r="M1287">
        <v>6492.46</v>
      </c>
      <c r="N1287" s="2" t="s">
        <v>222</v>
      </c>
      <c r="O1287" s="2" t="s">
        <v>223</v>
      </c>
      <c r="P1287" s="2" t="s">
        <v>2550</v>
      </c>
      <c r="Q1287" s="2" t="s">
        <v>2551</v>
      </c>
      <c r="R1287" s="2" t="s">
        <v>29</v>
      </c>
      <c r="S1287" s="2" t="s">
        <v>30</v>
      </c>
    </row>
    <row r="1288" spans="1:19">
      <c r="A1288" s="1">
        <v>44440</v>
      </c>
      <c r="B1288" s="1">
        <v>44440</v>
      </c>
      <c r="C1288">
        <v>2021</v>
      </c>
      <c r="D1288">
        <v>9</v>
      </c>
      <c r="E1288" s="2" t="s">
        <v>226</v>
      </c>
      <c r="F1288" s="2" t="s">
        <v>227</v>
      </c>
      <c r="G1288" s="2" t="s">
        <v>185</v>
      </c>
      <c r="H1288" s="2" t="s">
        <v>22</v>
      </c>
      <c r="I1288" s="2" t="s">
        <v>215</v>
      </c>
      <c r="J1288" s="2" t="s">
        <v>59</v>
      </c>
      <c r="K1288">
        <v>39989.49</v>
      </c>
      <c r="L1288">
        <v>1178881.6200000001</v>
      </c>
      <c r="M1288">
        <v>2947.98</v>
      </c>
      <c r="N1288" s="2" t="s">
        <v>228</v>
      </c>
      <c r="O1288" s="2" t="s">
        <v>229</v>
      </c>
      <c r="P1288" s="2" t="s">
        <v>2552</v>
      </c>
      <c r="Q1288" s="2" t="s">
        <v>2553</v>
      </c>
      <c r="R1288" s="2" t="s">
        <v>29</v>
      </c>
      <c r="S1288" s="2" t="s">
        <v>30</v>
      </c>
    </row>
    <row r="1289" spans="1:19">
      <c r="A1289" s="1">
        <v>44440</v>
      </c>
      <c r="B1289" s="1">
        <v>44440</v>
      </c>
      <c r="C1289">
        <v>2021</v>
      </c>
      <c r="D1289">
        <v>9</v>
      </c>
      <c r="E1289" s="2" t="s">
        <v>232</v>
      </c>
      <c r="F1289" s="2" t="s">
        <v>233</v>
      </c>
      <c r="G1289" s="2" t="s">
        <v>21</v>
      </c>
      <c r="H1289" s="2" t="s">
        <v>22</v>
      </c>
      <c r="I1289" s="2" t="s">
        <v>23</v>
      </c>
      <c r="J1289" s="2" t="s">
        <v>24</v>
      </c>
      <c r="K1289">
        <v>1171.57</v>
      </c>
      <c r="L1289">
        <v>91280.8</v>
      </c>
      <c r="M1289">
        <v>7791.32</v>
      </c>
      <c r="N1289" s="2" t="s">
        <v>234</v>
      </c>
      <c r="O1289" s="2" t="s">
        <v>235</v>
      </c>
      <c r="P1289" s="2" t="s">
        <v>2554</v>
      </c>
      <c r="Q1289" s="2" t="s">
        <v>2555</v>
      </c>
      <c r="R1289" s="2" t="s">
        <v>29</v>
      </c>
      <c r="S1289" s="2" t="s">
        <v>30</v>
      </c>
    </row>
    <row r="1290" spans="1:19">
      <c r="A1290" s="1">
        <v>44440</v>
      </c>
      <c r="B1290" s="1">
        <v>44440</v>
      </c>
      <c r="C1290">
        <v>2021</v>
      </c>
      <c r="D1290">
        <v>9</v>
      </c>
      <c r="E1290" s="2" t="s">
        <v>238</v>
      </c>
      <c r="F1290" s="2" t="s">
        <v>239</v>
      </c>
      <c r="G1290" s="2" t="s">
        <v>21</v>
      </c>
      <c r="H1290" s="2" t="s">
        <v>22</v>
      </c>
      <c r="I1290" s="2" t="s">
        <v>66</v>
      </c>
      <c r="J1290" s="2" t="s">
        <v>24</v>
      </c>
      <c r="K1290">
        <v>878.31</v>
      </c>
      <c r="L1290">
        <v>84068.43</v>
      </c>
      <c r="M1290">
        <v>9571.61</v>
      </c>
      <c r="N1290" s="2" t="s">
        <v>240</v>
      </c>
      <c r="O1290" s="2" t="s">
        <v>241</v>
      </c>
      <c r="P1290" s="2" t="s">
        <v>2556</v>
      </c>
      <c r="Q1290" s="2" t="s">
        <v>2557</v>
      </c>
      <c r="R1290" s="2" t="s">
        <v>29</v>
      </c>
      <c r="S1290" s="2" t="s">
        <v>30</v>
      </c>
    </row>
    <row r="1291" spans="1:19">
      <c r="A1291" s="1">
        <v>44440</v>
      </c>
      <c r="B1291" s="1">
        <v>44440</v>
      </c>
      <c r="C1291">
        <v>2021</v>
      </c>
      <c r="D1291">
        <v>9</v>
      </c>
      <c r="E1291" s="2" t="s">
        <v>244</v>
      </c>
      <c r="F1291" s="2" t="s">
        <v>245</v>
      </c>
      <c r="G1291" s="2" t="s">
        <v>21</v>
      </c>
      <c r="H1291" s="2" t="s">
        <v>22</v>
      </c>
      <c r="I1291" s="2" t="s">
        <v>23</v>
      </c>
      <c r="J1291" s="2" t="s">
        <v>24</v>
      </c>
      <c r="K1291">
        <v>3359.54</v>
      </c>
      <c r="L1291">
        <v>2419688.1800000002</v>
      </c>
      <c r="M1291">
        <v>72024.39</v>
      </c>
      <c r="N1291" s="2" t="s">
        <v>246</v>
      </c>
      <c r="O1291" s="2" t="s">
        <v>247</v>
      </c>
      <c r="P1291" s="2" t="s">
        <v>2558</v>
      </c>
      <c r="Q1291" s="2" t="s">
        <v>2559</v>
      </c>
      <c r="R1291" s="2" t="s">
        <v>29</v>
      </c>
      <c r="S1291" s="2" t="s">
        <v>30</v>
      </c>
    </row>
    <row r="1292" spans="1:19">
      <c r="A1292" s="1">
        <v>44440</v>
      </c>
      <c r="B1292" s="1">
        <v>44440</v>
      </c>
      <c r="C1292">
        <v>2021</v>
      </c>
      <c r="D1292">
        <v>9</v>
      </c>
      <c r="E1292" s="2" t="s">
        <v>250</v>
      </c>
      <c r="F1292" s="2" t="s">
        <v>251</v>
      </c>
      <c r="G1292" s="2" t="s">
        <v>21</v>
      </c>
      <c r="H1292" s="2" t="s">
        <v>22</v>
      </c>
      <c r="I1292" s="2" t="s">
        <v>66</v>
      </c>
      <c r="J1292" s="2" t="s">
        <v>24</v>
      </c>
      <c r="K1292">
        <v>89.74</v>
      </c>
      <c r="L1292">
        <v>151.66</v>
      </c>
      <c r="M1292">
        <v>169</v>
      </c>
      <c r="N1292" s="2" t="s">
        <v>252</v>
      </c>
      <c r="O1292" s="2" t="s">
        <v>253</v>
      </c>
      <c r="P1292" s="2" t="s">
        <v>2560</v>
      </c>
      <c r="Q1292" s="2" t="s">
        <v>2561</v>
      </c>
      <c r="R1292" s="2" t="s">
        <v>29</v>
      </c>
      <c r="S1292" s="2" t="s">
        <v>30</v>
      </c>
    </row>
    <row r="1293" spans="1:19">
      <c r="A1293" s="1">
        <v>44440</v>
      </c>
      <c r="B1293" s="1">
        <v>44440</v>
      </c>
      <c r="C1293">
        <v>2021</v>
      </c>
      <c r="D1293">
        <v>9</v>
      </c>
      <c r="E1293" s="2" t="s">
        <v>256</v>
      </c>
      <c r="F1293" s="2" t="s">
        <v>257</v>
      </c>
      <c r="G1293" s="2" t="s">
        <v>21</v>
      </c>
      <c r="H1293" s="2" t="s">
        <v>22</v>
      </c>
      <c r="I1293" s="2" t="s">
        <v>258</v>
      </c>
      <c r="J1293" s="2" t="s">
        <v>24</v>
      </c>
      <c r="K1293">
        <v>624.1</v>
      </c>
      <c r="L1293">
        <v>566467.76</v>
      </c>
      <c r="M1293">
        <v>90765.54</v>
      </c>
      <c r="N1293" s="2" t="s">
        <v>259</v>
      </c>
      <c r="O1293" s="2" t="s">
        <v>260</v>
      </c>
      <c r="P1293" s="2" t="s">
        <v>2562</v>
      </c>
      <c r="Q1293" s="2" t="s">
        <v>2563</v>
      </c>
      <c r="R1293" s="2" t="s">
        <v>29</v>
      </c>
      <c r="S1293" s="2" t="s">
        <v>30</v>
      </c>
    </row>
    <row r="1294" spans="1:19">
      <c r="A1294" s="1">
        <v>44440</v>
      </c>
      <c r="B1294" s="1">
        <v>44440</v>
      </c>
      <c r="C1294">
        <v>2021</v>
      </c>
      <c r="D1294">
        <v>9</v>
      </c>
      <c r="E1294" s="2" t="s">
        <v>263</v>
      </c>
      <c r="F1294" s="2" t="s">
        <v>264</v>
      </c>
      <c r="G1294" s="2" t="s">
        <v>21</v>
      </c>
      <c r="H1294" s="2" t="s">
        <v>22</v>
      </c>
      <c r="I1294" s="2" t="s">
        <v>258</v>
      </c>
      <c r="J1294" s="2" t="s">
        <v>24</v>
      </c>
      <c r="K1294">
        <v>0</v>
      </c>
      <c r="L1294">
        <v>0</v>
      </c>
      <c r="N1294" s="2" t="s">
        <v>265</v>
      </c>
      <c r="O1294" s="2" t="s">
        <v>266</v>
      </c>
      <c r="P1294" s="2" t="s">
        <v>639</v>
      </c>
      <c r="Q1294" s="2" t="s">
        <v>639</v>
      </c>
      <c r="R1294" s="2" t="s">
        <v>29</v>
      </c>
      <c r="S1294" s="2" t="s">
        <v>30</v>
      </c>
    </row>
    <row r="1295" spans="1:19">
      <c r="A1295" s="1">
        <v>44440</v>
      </c>
      <c r="B1295" s="1">
        <v>44440</v>
      </c>
      <c r="C1295">
        <v>2021</v>
      </c>
      <c r="D1295">
        <v>9</v>
      </c>
      <c r="E1295" s="2" t="s">
        <v>269</v>
      </c>
      <c r="F1295" s="2" t="s">
        <v>270</v>
      </c>
      <c r="G1295" s="2" t="s">
        <v>21</v>
      </c>
      <c r="H1295" s="2" t="s">
        <v>22</v>
      </c>
      <c r="I1295" s="2" t="s">
        <v>258</v>
      </c>
      <c r="J1295" s="2" t="s">
        <v>59</v>
      </c>
      <c r="K1295">
        <v>624.1</v>
      </c>
      <c r="L1295">
        <v>566467.76</v>
      </c>
      <c r="M1295">
        <v>90765.54</v>
      </c>
      <c r="N1295" s="2" t="s">
        <v>271</v>
      </c>
      <c r="O1295" s="2" t="s">
        <v>272</v>
      </c>
      <c r="P1295" s="2" t="s">
        <v>2562</v>
      </c>
      <c r="Q1295" s="2" t="s">
        <v>2563</v>
      </c>
      <c r="R1295" s="2" t="s">
        <v>29</v>
      </c>
      <c r="S1295" s="2" t="s">
        <v>30</v>
      </c>
    </row>
    <row r="1296" spans="1:19">
      <c r="A1296" s="1">
        <v>44440</v>
      </c>
      <c r="B1296" s="1">
        <v>44440</v>
      </c>
      <c r="C1296">
        <v>2021</v>
      </c>
      <c r="D1296">
        <v>9</v>
      </c>
      <c r="E1296" s="2" t="s">
        <v>275</v>
      </c>
      <c r="F1296" s="2" t="s">
        <v>276</v>
      </c>
      <c r="G1296" s="2" t="s">
        <v>39</v>
      </c>
      <c r="H1296" s="2" t="s">
        <v>22</v>
      </c>
      <c r="I1296" s="2" t="s">
        <v>40</v>
      </c>
      <c r="J1296" s="2" t="s">
        <v>24</v>
      </c>
      <c r="K1296">
        <v>5.08</v>
      </c>
      <c r="L1296">
        <v>40.270000000000003</v>
      </c>
      <c r="M1296">
        <v>792.72</v>
      </c>
      <c r="N1296" s="2" t="s">
        <v>277</v>
      </c>
      <c r="O1296" s="2" t="s">
        <v>278</v>
      </c>
      <c r="P1296" s="2" t="s">
        <v>2564</v>
      </c>
      <c r="Q1296" s="2" t="s">
        <v>2565</v>
      </c>
      <c r="R1296" s="2" t="s">
        <v>29</v>
      </c>
      <c r="S1296" s="2" t="s">
        <v>30</v>
      </c>
    </row>
    <row r="1297" spans="1:19">
      <c r="A1297" s="1">
        <v>44440</v>
      </c>
      <c r="B1297" s="1">
        <v>44440</v>
      </c>
      <c r="C1297">
        <v>2021</v>
      </c>
      <c r="D1297">
        <v>9</v>
      </c>
      <c r="E1297" s="2" t="s">
        <v>281</v>
      </c>
      <c r="F1297" s="2" t="s">
        <v>282</v>
      </c>
      <c r="G1297" s="2" t="s">
        <v>39</v>
      </c>
      <c r="H1297" s="2" t="s">
        <v>22</v>
      </c>
      <c r="I1297" s="2" t="s">
        <v>40</v>
      </c>
      <c r="J1297" s="2" t="s">
        <v>24</v>
      </c>
      <c r="K1297">
        <v>0.82</v>
      </c>
      <c r="L1297">
        <v>23.42</v>
      </c>
      <c r="M1297">
        <v>2856.1</v>
      </c>
      <c r="N1297" s="2" t="s">
        <v>283</v>
      </c>
      <c r="O1297" s="2" t="s">
        <v>284</v>
      </c>
      <c r="P1297" s="2" t="s">
        <v>615</v>
      </c>
      <c r="Q1297" s="2" t="s">
        <v>2566</v>
      </c>
      <c r="R1297" s="2" t="s">
        <v>29</v>
      </c>
      <c r="S1297" s="2" t="s">
        <v>30</v>
      </c>
    </row>
    <row r="1298" spans="1:19">
      <c r="A1298" s="1">
        <v>44440</v>
      </c>
      <c r="B1298" s="1">
        <v>44440</v>
      </c>
      <c r="C1298">
        <v>2021</v>
      </c>
      <c r="D1298">
        <v>9</v>
      </c>
      <c r="E1298" s="2" t="s">
        <v>287</v>
      </c>
      <c r="F1298" s="2" t="s">
        <v>288</v>
      </c>
      <c r="G1298" s="2" t="s">
        <v>39</v>
      </c>
      <c r="H1298" s="2" t="s">
        <v>22</v>
      </c>
      <c r="I1298" s="2" t="s">
        <v>40</v>
      </c>
      <c r="J1298" s="2" t="s">
        <v>59</v>
      </c>
      <c r="K1298">
        <v>5.9</v>
      </c>
      <c r="L1298">
        <v>63.7</v>
      </c>
      <c r="M1298">
        <v>1079.6600000000001</v>
      </c>
      <c r="N1298" s="2" t="s">
        <v>289</v>
      </c>
      <c r="O1298" s="2" t="s">
        <v>290</v>
      </c>
      <c r="P1298" s="2" t="s">
        <v>2567</v>
      </c>
      <c r="Q1298" s="2" t="s">
        <v>2568</v>
      </c>
      <c r="R1298" s="2" t="s">
        <v>29</v>
      </c>
      <c r="S1298" s="2" t="s">
        <v>30</v>
      </c>
    </row>
    <row r="1299" spans="1:19">
      <c r="A1299" s="1">
        <v>44440</v>
      </c>
      <c r="B1299" s="1">
        <v>44440</v>
      </c>
      <c r="C1299">
        <v>2021</v>
      </c>
      <c r="D1299">
        <v>9</v>
      </c>
      <c r="E1299" s="2" t="s">
        <v>293</v>
      </c>
      <c r="F1299" s="2" t="s">
        <v>294</v>
      </c>
      <c r="G1299" s="2" t="s">
        <v>21</v>
      </c>
      <c r="H1299" s="2" t="s">
        <v>22</v>
      </c>
      <c r="I1299" s="2" t="s">
        <v>295</v>
      </c>
      <c r="J1299" s="2" t="s">
        <v>24</v>
      </c>
      <c r="K1299">
        <v>916.15</v>
      </c>
      <c r="L1299">
        <v>3257.16</v>
      </c>
      <c r="M1299">
        <v>355.53</v>
      </c>
      <c r="N1299" s="2" t="s">
        <v>296</v>
      </c>
      <c r="O1299" s="2" t="s">
        <v>297</v>
      </c>
      <c r="P1299" s="2" t="s">
        <v>2569</v>
      </c>
      <c r="Q1299" s="2" t="s">
        <v>2570</v>
      </c>
      <c r="R1299" s="2" t="s">
        <v>29</v>
      </c>
      <c r="S1299" s="2" t="s">
        <v>30</v>
      </c>
    </row>
    <row r="1300" spans="1:19">
      <c r="A1300" s="1">
        <v>44440</v>
      </c>
      <c r="B1300" s="1">
        <v>44440</v>
      </c>
      <c r="C1300">
        <v>2021</v>
      </c>
      <c r="D1300">
        <v>9</v>
      </c>
      <c r="E1300" s="2" t="s">
        <v>300</v>
      </c>
      <c r="F1300" s="2" t="s">
        <v>301</v>
      </c>
      <c r="G1300" s="2" t="s">
        <v>21</v>
      </c>
      <c r="H1300" s="2" t="s">
        <v>22</v>
      </c>
      <c r="I1300" s="2" t="s">
        <v>295</v>
      </c>
      <c r="J1300" s="2" t="s">
        <v>24</v>
      </c>
      <c r="K1300">
        <v>133.71</v>
      </c>
      <c r="L1300">
        <v>994.53</v>
      </c>
      <c r="M1300">
        <v>743.8</v>
      </c>
      <c r="N1300" s="2" t="s">
        <v>302</v>
      </c>
      <c r="O1300" s="2" t="s">
        <v>303</v>
      </c>
      <c r="P1300" s="2" t="s">
        <v>2571</v>
      </c>
      <c r="Q1300" s="2" t="s">
        <v>2572</v>
      </c>
      <c r="R1300" s="2" t="s">
        <v>29</v>
      </c>
      <c r="S1300" s="2" t="s">
        <v>30</v>
      </c>
    </row>
    <row r="1301" spans="1:19">
      <c r="A1301" s="1">
        <v>44440</v>
      </c>
      <c r="B1301" s="1">
        <v>44440</v>
      </c>
      <c r="C1301">
        <v>2021</v>
      </c>
      <c r="D1301">
        <v>9</v>
      </c>
      <c r="E1301" s="2" t="s">
        <v>306</v>
      </c>
      <c r="F1301" s="2" t="s">
        <v>307</v>
      </c>
      <c r="G1301" s="2" t="s">
        <v>21</v>
      </c>
      <c r="H1301" s="2" t="s">
        <v>22</v>
      </c>
      <c r="I1301" s="2" t="s">
        <v>295</v>
      </c>
      <c r="J1301" s="2" t="s">
        <v>101</v>
      </c>
      <c r="K1301">
        <v>1049.8599999999999</v>
      </c>
      <c r="L1301">
        <v>4251.6899999999996</v>
      </c>
      <c r="M1301">
        <v>404.98</v>
      </c>
      <c r="N1301" s="2" t="s">
        <v>308</v>
      </c>
      <c r="O1301" s="2" t="s">
        <v>309</v>
      </c>
      <c r="P1301" s="2" t="s">
        <v>2573</v>
      </c>
      <c r="Q1301" s="2" t="s">
        <v>2574</v>
      </c>
      <c r="R1301" s="2" t="s">
        <v>29</v>
      </c>
      <c r="S1301" s="2" t="s">
        <v>30</v>
      </c>
    </row>
    <row r="1302" spans="1:19">
      <c r="A1302" s="1">
        <v>44440</v>
      </c>
      <c r="B1302" s="1">
        <v>44440</v>
      </c>
      <c r="C1302">
        <v>2021</v>
      </c>
      <c r="D1302">
        <v>9</v>
      </c>
      <c r="E1302" s="2" t="s">
        <v>312</v>
      </c>
      <c r="F1302" s="2" t="s">
        <v>313</v>
      </c>
      <c r="G1302" s="2" t="s">
        <v>21</v>
      </c>
      <c r="H1302" s="2" t="s">
        <v>22</v>
      </c>
      <c r="I1302" s="2" t="s">
        <v>295</v>
      </c>
      <c r="J1302" s="2" t="s">
        <v>59</v>
      </c>
      <c r="K1302">
        <v>5292.53</v>
      </c>
      <c r="L1302">
        <v>24481.73</v>
      </c>
      <c r="M1302">
        <v>462.57</v>
      </c>
      <c r="N1302" s="2" t="s">
        <v>314</v>
      </c>
      <c r="O1302" s="2" t="s">
        <v>315</v>
      </c>
      <c r="P1302" s="2" t="s">
        <v>2575</v>
      </c>
      <c r="Q1302" s="2" t="s">
        <v>2576</v>
      </c>
      <c r="R1302" s="2" t="s">
        <v>29</v>
      </c>
      <c r="S1302" s="2" t="s">
        <v>30</v>
      </c>
    </row>
    <row r="1303" spans="1:19">
      <c r="A1303" s="1">
        <v>44440</v>
      </c>
      <c r="B1303" s="1">
        <v>44440</v>
      </c>
      <c r="C1303">
        <v>2021</v>
      </c>
      <c r="D1303">
        <v>9</v>
      </c>
      <c r="E1303" s="2" t="s">
        <v>318</v>
      </c>
      <c r="F1303" s="2" t="s">
        <v>319</v>
      </c>
      <c r="G1303" s="2" t="s">
        <v>21</v>
      </c>
      <c r="H1303" s="2" t="s">
        <v>22</v>
      </c>
      <c r="I1303" s="2" t="s">
        <v>295</v>
      </c>
      <c r="J1303" s="2" t="s">
        <v>24</v>
      </c>
      <c r="K1303">
        <v>4242.67</v>
      </c>
      <c r="L1303">
        <v>20230.04</v>
      </c>
      <c r="M1303">
        <v>476.82</v>
      </c>
      <c r="N1303" s="2" t="s">
        <v>320</v>
      </c>
      <c r="O1303" s="2" t="s">
        <v>321</v>
      </c>
      <c r="P1303" s="2" t="s">
        <v>2577</v>
      </c>
      <c r="Q1303" s="2" t="s">
        <v>2578</v>
      </c>
      <c r="R1303" s="2" t="s">
        <v>29</v>
      </c>
      <c r="S1303" s="2" t="s">
        <v>30</v>
      </c>
    </row>
    <row r="1304" spans="1:19">
      <c r="A1304" s="1">
        <v>44440</v>
      </c>
      <c r="B1304" s="1">
        <v>44440</v>
      </c>
      <c r="C1304">
        <v>2021</v>
      </c>
      <c r="D1304">
        <v>9</v>
      </c>
      <c r="E1304" s="2" t="s">
        <v>324</v>
      </c>
      <c r="F1304" s="2" t="s">
        <v>325</v>
      </c>
      <c r="G1304" s="2" t="s">
        <v>21</v>
      </c>
      <c r="H1304" s="2" t="s">
        <v>22</v>
      </c>
      <c r="I1304" s="2" t="s">
        <v>23</v>
      </c>
      <c r="J1304" s="2" t="s">
        <v>59</v>
      </c>
      <c r="K1304">
        <v>45720.72</v>
      </c>
      <c r="L1304">
        <v>3495969.31</v>
      </c>
      <c r="M1304">
        <v>7646.36</v>
      </c>
      <c r="N1304" s="2" t="s">
        <v>326</v>
      </c>
      <c r="O1304" s="2" t="s">
        <v>327</v>
      </c>
      <c r="P1304" s="2" t="s">
        <v>2579</v>
      </c>
      <c r="Q1304" s="2" t="s">
        <v>2580</v>
      </c>
      <c r="R1304" s="2" t="s">
        <v>29</v>
      </c>
      <c r="S1304" s="2" t="s">
        <v>30</v>
      </c>
    </row>
    <row r="1305" spans="1:19">
      <c r="A1305" s="1">
        <v>44440</v>
      </c>
      <c r="B1305" s="1">
        <v>44440</v>
      </c>
      <c r="C1305">
        <v>2021</v>
      </c>
      <c r="D1305">
        <v>9</v>
      </c>
      <c r="E1305" s="2" t="s">
        <v>330</v>
      </c>
      <c r="F1305" s="2" t="s">
        <v>331</v>
      </c>
      <c r="G1305" s="2" t="s">
        <v>21</v>
      </c>
      <c r="H1305" s="2" t="s">
        <v>332</v>
      </c>
      <c r="I1305" s="2" t="s">
        <v>333</v>
      </c>
      <c r="J1305" s="2" t="s">
        <v>24</v>
      </c>
      <c r="K1305">
        <v>173.33</v>
      </c>
      <c r="L1305">
        <v>9838857.9800000004</v>
      </c>
      <c r="M1305">
        <v>5676373.3799999999</v>
      </c>
      <c r="N1305" s="2" t="s">
        <v>334</v>
      </c>
      <c r="O1305" s="2" t="s">
        <v>335</v>
      </c>
      <c r="P1305" s="2" t="s">
        <v>2581</v>
      </c>
      <c r="Q1305" s="2" t="s">
        <v>2582</v>
      </c>
      <c r="R1305" s="2" t="s">
        <v>29</v>
      </c>
      <c r="S1305" s="2" t="s">
        <v>30</v>
      </c>
    </row>
    <row r="1306" spans="1:19">
      <c r="A1306" s="1">
        <v>44440</v>
      </c>
      <c r="B1306" s="1">
        <v>44440</v>
      </c>
      <c r="C1306">
        <v>2021</v>
      </c>
      <c r="D1306">
        <v>9</v>
      </c>
      <c r="E1306" s="2" t="s">
        <v>338</v>
      </c>
      <c r="F1306" s="2" t="s">
        <v>339</v>
      </c>
      <c r="G1306" s="2" t="s">
        <v>21</v>
      </c>
      <c r="H1306" s="2" t="s">
        <v>332</v>
      </c>
      <c r="I1306" s="2" t="s">
        <v>333</v>
      </c>
      <c r="J1306" s="2" t="s">
        <v>24</v>
      </c>
      <c r="K1306">
        <v>1.24</v>
      </c>
      <c r="L1306">
        <v>1230773.04</v>
      </c>
      <c r="M1306">
        <v>99255890.319999993</v>
      </c>
      <c r="N1306" s="2" t="s">
        <v>340</v>
      </c>
      <c r="O1306" s="2" t="s">
        <v>341</v>
      </c>
      <c r="P1306" s="2" t="s">
        <v>2583</v>
      </c>
      <c r="Q1306" s="2" t="s">
        <v>2584</v>
      </c>
      <c r="R1306" s="2" t="s">
        <v>29</v>
      </c>
      <c r="S1306" s="2" t="s">
        <v>30</v>
      </c>
    </row>
    <row r="1307" spans="1:19">
      <c r="A1307" s="1">
        <v>44440</v>
      </c>
      <c r="B1307" s="1">
        <v>44440</v>
      </c>
      <c r="C1307">
        <v>2021</v>
      </c>
      <c r="D1307">
        <v>9</v>
      </c>
      <c r="E1307" s="2" t="s">
        <v>344</v>
      </c>
      <c r="F1307" s="2" t="s">
        <v>345</v>
      </c>
      <c r="G1307" s="2" t="s">
        <v>21</v>
      </c>
      <c r="H1307" s="2" t="s">
        <v>332</v>
      </c>
      <c r="I1307" s="2" t="s">
        <v>333</v>
      </c>
      <c r="J1307" s="2" t="s">
        <v>59</v>
      </c>
      <c r="K1307">
        <v>174.57</v>
      </c>
      <c r="L1307">
        <v>11069631.02</v>
      </c>
      <c r="M1307">
        <v>6341084.3899999997</v>
      </c>
      <c r="N1307" s="2" t="s">
        <v>346</v>
      </c>
      <c r="O1307" s="2" t="s">
        <v>347</v>
      </c>
      <c r="P1307" s="2" t="s">
        <v>2585</v>
      </c>
      <c r="Q1307" s="2" t="s">
        <v>2586</v>
      </c>
      <c r="R1307" s="2" t="s">
        <v>29</v>
      </c>
      <c r="S1307" s="2" t="s">
        <v>30</v>
      </c>
    </row>
    <row r="1308" spans="1:19">
      <c r="A1308" s="1">
        <v>44440</v>
      </c>
      <c r="B1308" s="1">
        <v>44440</v>
      </c>
      <c r="C1308">
        <v>2021</v>
      </c>
      <c r="D1308">
        <v>9</v>
      </c>
      <c r="E1308" s="2" t="s">
        <v>350</v>
      </c>
      <c r="F1308" s="2" t="s">
        <v>351</v>
      </c>
      <c r="G1308" s="2" t="s">
        <v>21</v>
      </c>
      <c r="H1308" s="2" t="s">
        <v>22</v>
      </c>
      <c r="I1308" s="2" t="s">
        <v>352</v>
      </c>
      <c r="J1308" s="2" t="s">
        <v>353</v>
      </c>
      <c r="K1308">
        <v>57512.75</v>
      </c>
      <c r="L1308">
        <v>14817559.33</v>
      </c>
      <c r="M1308">
        <v>25763.96</v>
      </c>
      <c r="N1308" s="2" t="s">
        <v>354</v>
      </c>
      <c r="O1308" s="2" t="s">
        <v>355</v>
      </c>
      <c r="P1308" s="2" t="s">
        <v>2587</v>
      </c>
      <c r="Q1308" s="2" t="s">
        <v>2588</v>
      </c>
      <c r="R1308" s="2" t="s">
        <v>29</v>
      </c>
      <c r="S1308" s="2" t="s">
        <v>30</v>
      </c>
    </row>
    <row r="1309" spans="1:19">
      <c r="A1309" s="1">
        <v>44440</v>
      </c>
      <c r="B1309" s="1">
        <v>44440</v>
      </c>
      <c r="C1309">
        <v>2021</v>
      </c>
      <c r="D1309">
        <v>9</v>
      </c>
      <c r="E1309" s="2" t="s">
        <v>358</v>
      </c>
      <c r="F1309" s="2" t="s">
        <v>359</v>
      </c>
      <c r="G1309" s="2" t="s">
        <v>21</v>
      </c>
      <c r="H1309" s="2" t="s">
        <v>22</v>
      </c>
      <c r="I1309" s="2" t="s">
        <v>352</v>
      </c>
      <c r="J1309" s="2" t="s">
        <v>353</v>
      </c>
      <c r="K1309">
        <v>58136.85</v>
      </c>
      <c r="L1309">
        <v>15384027.09</v>
      </c>
      <c r="M1309">
        <v>26461.75</v>
      </c>
      <c r="N1309" s="2" t="s">
        <v>360</v>
      </c>
      <c r="O1309" s="2" t="s">
        <v>361</v>
      </c>
      <c r="P1309" s="2" t="s">
        <v>2589</v>
      </c>
      <c r="Q1309" s="2" t="s">
        <v>2590</v>
      </c>
      <c r="R1309" s="2" t="s">
        <v>29</v>
      </c>
      <c r="S1309" s="2" t="s">
        <v>30</v>
      </c>
    </row>
    <row r="1310" spans="1:19">
      <c r="A1310" s="1">
        <v>44440</v>
      </c>
      <c r="B1310" s="1">
        <v>44440</v>
      </c>
      <c r="C1310">
        <v>2021</v>
      </c>
      <c r="D1310">
        <v>9</v>
      </c>
      <c r="E1310" s="2" t="s">
        <v>364</v>
      </c>
      <c r="F1310" s="2" t="s">
        <v>365</v>
      </c>
      <c r="G1310" s="2" t="s">
        <v>21</v>
      </c>
      <c r="H1310" s="2" t="s">
        <v>22</v>
      </c>
      <c r="I1310" s="2" t="s">
        <v>352</v>
      </c>
      <c r="J1310" s="2" t="s">
        <v>353</v>
      </c>
      <c r="K1310">
        <v>57962.28</v>
      </c>
      <c r="L1310">
        <v>4314396.07</v>
      </c>
      <c r="M1310">
        <v>7443.45</v>
      </c>
      <c r="N1310" s="2" t="s">
        <v>366</v>
      </c>
      <c r="O1310" s="2" t="s">
        <v>367</v>
      </c>
      <c r="P1310" s="2" t="s">
        <v>2591</v>
      </c>
      <c r="Q1310" s="2" t="s">
        <v>2592</v>
      </c>
      <c r="R1310" s="2" t="s">
        <v>29</v>
      </c>
      <c r="S1310" s="2" t="s">
        <v>30</v>
      </c>
    </row>
    <row r="1311" spans="1:19">
      <c r="A1311" s="1">
        <v>44440</v>
      </c>
      <c r="B1311" s="1">
        <v>44440</v>
      </c>
      <c r="C1311">
        <v>2021</v>
      </c>
      <c r="D1311">
        <v>9</v>
      </c>
      <c r="E1311" s="2" t="s">
        <v>370</v>
      </c>
      <c r="F1311" s="2" t="s">
        <v>371</v>
      </c>
      <c r="G1311" s="2" t="s">
        <v>21</v>
      </c>
      <c r="H1311" s="2" t="s">
        <v>22</v>
      </c>
      <c r="I1311" s="2" t="s">
        <v>23</v>
      </c>
      <c r="J1311" s="2" t="s">
        <v>24</v>
      </c>
      <c r="K1311">
        <v>36558.17</v>
      </c>
      <c r="L1311">
        <v>654648.28</v>
      </c>
      <c r="M1311">
        <v>1790.7</v>
      </c>
      <c r="N1311" s="2" t="s">
        <v>372</v>
      </c>
      <c r="O1311" s="2" t="s">
        <v>373</v>
      </c>
      <c r="P1311" s="2" t="s">
        <v>2593</v>
      </c>
      <c r="Q1311" s="2" t="s">
        <v>2594</v>
      </c>
      <c r="R1311" s="2" t="s">
        <v>29</v>
      </c>
      <c r="S1311" s="2" t="s">
        <v>30</v>
      </c>
    </row>
    <row r="1312" spans="1:19">
      <c r="A1312" s="1">
        <v>44440</v>
      </c>
      <c r="B1312" s="1">
        <v>44440</v>
      </c>
      <c r="C1312">
        <v>2021</v>
      </c>
      <c r="D1312">
        <v>9</v>
      </c>
      <c r="E1312" s="2" t="s">
        <v>376</v>
      </c>
      <c r="F1312" s="2" t="s">
        <v>377</v>
      </c>
      <c r="G1312" s="2" t="s">
        <v>21</v>
      </c>
      <c r="H1312" s="2" t="s">
        <v>22</v>
      </c>
      <c r="I1312" s="2" t="s">
        <v>23</v>
      </c>
      <c r="J1312" s="2" t="s">
        <v>378</v>
      </c>
      <c r="K1312">
        <v>1.1399999999999999</v>
      </c>
      <c r="L1312">
        <v>16.02</v>
      </c>
      <c r="M1312">
        <v>1405.26</v>
      </c>
      <c r="N1312" s="2" t="s">
        <v>379</v>
      </c>
      <c r="O1312" s="2" t="s">
        <v>380</v>
      </c>
      <c r="P1312" s="2" t="s">
        <v>2133</v>
      </c>
      <c r="Q1312" s="2" t="s">
        <v>2595</v>
      </c>
      <c r="R1312" s="2" t="s">
        <v>29</v>
      </c>
      <c r="S1312" s="2" t="s">
        <v>30</v>
      </c>
    </row>
    <row r="1313" spans="1:19">
      <c r="A1313" s="1">
        <v>44470</v>
      </c>
      <c r="B1313" s="1">
        <v>44470</v>
      </c>
      <c r="C1313">
        <v>2021</v>
      </c>
      <c r="D1313">
        <v>10</v>
      </c>
      <c r="E1313" s="2" t="s">
        <v>19</v>
      </c>
      <c r="F1313" s="2" t="s">
        <v>20</v>
      </c>
      <c r="G1313" s="2" t="s">
        <v>21</v>
      </c>
      <c r="H1313" s="2" t="s">
        <v>22</v>
      </c>
      <c r="I1313" s="2" t="s">
        <v>23</v>
      </c>
      <c r="J1313" s="2" t="s">
        <v>24</v>
      </c>
      <c r="K1313">
        <v>0.86</v>
      </c>
      <c r="L1313">
        <v>48.74</v>
      </c>
      <c r="M1313">
        <v>5667.44</v>
      </c>
      <c r="N1313" s="2" t="s">
        <v>25</v>
      </c>
      <c r="O1313" s="2" t="s">
        <v>26</v>
      </c>
      <c r="P1313" s="2" t="s">
        <v>723</v>
      </c>
      <c r="Q1313" s="2" t="s">
        <v>2596</v>
      </c>
      <c r="R1313" s="2" t="s">
        <v>29</v>
      </c>
      <c r="S1313" s="2" t="s">
        <v>30</v>
      </c>
    </row>
    <row r="1314" spans="1:19">
      <c r="A1314" s="1">
        <v>44470</v>
      </c>
      <c r="B1314" s="1">
        <v>44470</v>
      </c>
      <c r="C1314">
        <v>2021</v>
      </c>
      <c r="D1314">
        <v>10</v>
      </c>
      <c r="E1314" s="2" t="s">
        <v>31</v>
      </c>
      <c r="F1314" s="2" t="s">
        <v>32</v>
      </c>
      <c r="G1314" s="2" t="s">
        <v>21</v>
      </c>
      <c r="H1314" s="2" t="s">
        <v>22</v>
      </c>
      <c r="I1314" s="2" t="s">
        <v>23</v>
      </c>
      <c r="J1314" s="2" t="s">
        <v>24</v>
      </c>
      <c r="K1314">
        <v>1192.9100000000001</v>
      </c>
      <c r="L1314">
        <v>7518.73</v>
      </c>
      <c r="M1314">
        <v>630.28</v>
      </c>
      <c r="N1314" s="2" t="s">
        <v>33</v>
      </c>
      <c r="O1314" s="2" t="s">
        <v>34</v>
      </c>
      <c r="P1314" s="2" t="s">
        <v>2597</v>
      </c>
      <c r="Q1314" s="2" t="s">
        <v>2598</v>
      </c>
      <c r="R1314" s="2" t="s">
        <v>29</v>
      </c>
      <c r="S1314" s="2" t="s">
        <v>30</v>
      </c>
    </row>
    <row r="1315" spans="1:19">
      <c r="A1315" s="1">
        <v>44470</v>
      </c>
      <c r="B1315" s="1">
        <v>44470</v>
      </c>
      <c r="C1315">
        <v>2021</v>
      </c>
      <c r="D1315">
        <v>10</v>
      </c>
      <c r="E1315" s="2" t="s">
        <v>37</v>
      </c>
      <c r="F1315" s="2" t="s">
        <v>38</v>
      </c>
      <c r="G1315" s="2" t="s">
        <v>39</v>
      </c>
      <c r="H1315" s="2" t="s">
        <v>22</v>
      </c>
      <c r="I1315" s="2" t="s">
        <v>40</v>
      </c>
      <c r="J1315" s="2" t="s">
        <v>24</v>
      </c>
      <c r="K1315">
        <v>5.64</v>
      </c>
      <c r="L1315">
        <v>285.86</v>
      </c>
      <c r="M1315">
        <v>5068.4399999999996</v>
      </c>
      <c r="N1315" s="2" t="s">
        <v>41</v>
      </c>
      <c r="O1315" s="2" t="s">
        <v>42</v>
      </c>
      <c r="P1315" s="2" t="s">
        <v>2599</v>
      </c>
      <c r="Q1315" s="2" t="s">
        <v>2600</v>
      </c>
      <c r="R1315" s="2" t="s">
        <v>29</v>
      </c>
      <c r="S1315" s="2" t="s">
        <v>30</v>
      </c>
    </row>
    <row r="1316" spans="1:19">
      <c r="A1316" s="1">
        <v>44470</v>
      </c>
      <c r="B1316" s="1">
        <v>44470</v>
      </c>
      <c r="C1316">
        <v>2021</v>
      </c>
      <c r="D1316">
        <v>10</v>
      </c>
      <c r="E1316" s="2" t="s">
        <v>45</v>
      </c>
      <c r="F1316" s="2" t="s">
        <v>46</v>
      </c>
      <c r="G1316" s="2" t="s">
        <v>39</v>
      </c>
      <c r="H1316" s="2" t="s">
        <v>22</v>
      </c>
      <c r="I1316" s="2" t="s">
        <v>40</v>
      </c>
      <c r="J1316" s="2" t="s">
        <v>24</v>
      </c>
      <c r="K1316">
        <v>5998.03</v>
      </c>
      <c r="L1316">
        <v>288604.73</v>
      </c>
      <c r="M1316">
        <v>4811.66</v>
      </c>
      <c r="N1316" s="2" t="s">
        <v>47</v>
      </c>
      <c r="O1316" s="2" t="s">
        <v>48</v>
      </c>
      <c r="P1316" s="2" t="s">
        <v>2601</v>
      </c>
      <c r="Q1316" s="2" t="s">
        <v>2602</v>
      </c>
      <c r="R1316" s="2" t="s">
        <v>29</v>
      </c>
      <c r="S1316" s="2" t="s">
        <v>30</v>
      </c>
    </row>
    <row r="1317" spans="1:19">
      <c r="A1317" s="1">
        <v>44470</v>
      </c>
      <c r="B1317" s="1">
        <v>44470</v>
      </c>
      <c r="C1317">
        <v>2021</v>
      </c>
      <c r="D1317">
        <v>10</v>
      </c>
      <c r="E1317" s="2" t="s">
        <v>51</v>
      </c>
      <c r="F1317" s="2" t="s">
        <v>52</v>
      </c>
      <c r="G1317" s="2" t="s">
        <v>39</v>
      </c>
      <c r="H1317" s="2" t="s">
        <v>22</v>
      </c>
      <c r="I1317" s="2" t="s">
        <v>40</v>
      </c>
      <c r="J1317" s="2" t="s">
        <v>24</v>
      </c>
      <c r="K1317">
        <v>29.07</v>
      </c>
      <c r="L1317">
        <v>996.83</v>
      </c>
      <c r="M1317">
        <v>3429.07</v>
      </c>
      <c r="N1317" s="2" t="s">
        <v>53</v>
      </c>
      <c r="O1317" s="2" t="s">
        <v>54</v>
      </c>
      <c r="P1317" s="2" t="s">
        <v>2603</v>
      </c>
      <c r="Q1317" s="2" t="s">
        <v>2604</v>
      </c>
      <c r="R1317" s="2" t="s">
        <v>29</v>
      </c>
      <c r="S1317" s="2" t="s">
        <v>30</v>
      </c>
    </row>
    <row r="1318" spans="1:19">
      <c r="A1318" s="1">
        <v>44470</v>
      </c>
      <c r="B1318" s="1">
        <v>44470</v>
      </c>
      <c r="C1318">
        <v>2021</v>
      </c>
      <c r="D1318">
        <v>10</v>
      </c>
      <c r="E1318" s="2" t="s">
        <v>57</v>
      </c>
      <c r="F1318" s="2" t="s">
        <v>58</v>
      </c>
      <c r="G1318" s="2" t="s">
        <v>39</v>
      </c>
      <c r="H1318" s="2" t="s">
        <v>22</v>
      </c>
      <c r="I1318" s="2" t="s">
        <v>40</v>
      </c>
      <c r="J1318" s="2" t="s">
        <v>59</v>
      </c>
      <c r="K1318">
        <v>6032.74</v>
      </c>
      <c r="L1318">
        <v>289887.40999999997</v>
      </c>
      <c r="M1318">
        <v>4805.24</v>
      </c>
      <c r="N1318" s="2" t="s">
        <v>60</v>
      </c>
      <c r="O1318" s="2" t="s">
        <v>61</v>
      </c>
      <c r="P1318" s="2" t="s">
        <v>2605</v>
      </c>
      <c r="Q1318" s="2" t="s">
        <v>2606</v>
      </c>
      <c r="R1318" s="2" t="s">
        <v>29</v>
      </c>
      <c r="S1318" s="2" t="s">
        <v>30</v>
      </c>
    </row>
    <row r="1319" spans="1:19">
      <c r="A1319" s="1">
        <v>44470</v>
      </c>
      <c r="B1319" s="1">
        <v>44470</v>
      </c>
      <c r="C1319">
        <v>2021</v>
      </c>
      <c r="D1319">
        <v>10</v>
      </c>
      <c r="E1319" s="2" t="s">
        <v>64</v>
      </c>
      <c r="F1319" s="2" t="s">
        <v>65</v>
      </c>
      <c r="G1319" s="2" t="s">
        <v>21</v>
      </c>
      <c r="H1319" s="2" t="s">
        <v>22</v>
      </c>
      <c r="I1319" s="2" t="s">
        <v>66</v>
      </c>
      <c r="J1319" s="2" t="s">
        <v>24</v>
      </c>
      <c r="K1319">
        <v>21.49</v>
      </c>
      <c r="L1319">
        <v>559.55999999999995</v>
      </c>
      <c r="M1319">
        <v>2603.8200000000002</v>
      </c>
      <c r="N1319" s="2" t="s">
        <v>67</v>
      </c>
      <c r="O1319" s="2" t="s">
        <v>68</v>
      </c>
      <c r="P1319" s="2" t="s">
        <v>2607</v>
      </c>
      <c r="Q1319" s="2" t="s">
        <v>2608</v>
      </c>
      <c r="R1319" s="2" t="s">
        <v>29</v>
      </c>
      <c r="S1319" s="2" t="s">
        <v>30</v>
      </c>
    </row>
    <row r="1320" spans="1:19">
      <c r="A1320" s="1">
        <v>44470</v>
      </c>
      <c r="B1320" s="1">
        <v>44470</v>
      </c>
      <c r="C1320">
        <v>2021</v>
      </c>
      <c r="D1320">
        <v>10</v>
      </c>
      <c r="E1320" s="2" t="s">
        <v>71</v>
      </c>
      <c r="F1320" s="2" t="s">
        <v>72</v>
      </c>
      <c r="G1320" s="2" t="s">
        <v>21</v>
      </c>
      <c r="H1320" s="2" t="s">
        <v>22</v>
      </c>
      <c r="I1320" s="2" t="s">
        <v>73</v>
      </c>
      <c r="J1320" s="2" t="s">
        <v>59</v>
      </c>
      <c r="K1320">
        <v>6008.76</v>
      </c>
      <c r="L1320">
        <v>177413.29</v>
      </c>
      <c r="M1320">
        <v>2952.58</v>
      </c>
      <c r="N1320" s="2" t="s">
        <v>74</v>
      </c>
      <c r="O1320" s="2" t="s">
        <v>75</v>
      </c>
      <c r="P1320" s="2" t="s">
        <v>2609</v>
      </c>
      <c r="Q1320" s="2" t="s">
        <v>2610</v>
      </c>
      <c r="R1320" s="2" t="s">
        <v>29</v>
      </c>
      <c r="S1320" s="2" t="s">
        <v>30</v>
      </c>
    </row>
    <row r="1321" spans="1:19">
      <c r="A1321" s="1">
        <v>44470</v>
      </c>
      <c r="B1321" s="1">
        <v>44470</v>
      </c>
      <c r="C1321">
        <v>2021</v>
      </c>
      <c r="D1321">
        <v>10</v>
      </c>
      <c r="E1321" s="2" t="s">
        <v>78</v>
      </c>
      <c r="F1321" s="2" t="s">
        <v>79</v>
      </c>
      <c r="G1321" s="2" t="s">
        <v>80</v>
      </c>
      <c r="H1321" s="2" t="s">
        <v>81</v>
      </c>
      <c r="I1321" s="2" t="s">
        <v>82</v>
      </c>
      <c r="J1321" s="2" t="s">
        <v>24</v>
      </c>
      <c r="K1321">
        <v>1.73</v>
      </c>
      <c r="L1321">
        <v>4736039.75</v>
      </c>
      <c r="M1321">
        <v>273759523.12</v>
      </c>
      <c r="N1321" s="2" t="s">
        <v>83</v>
      </c>
      <c r="O1321" s="2" t="s">
        <v>84</v>
      </c>
      <c r="P1321" s="2" t="s">
        <v>2611</v>
      </c>
      <c r="Q1321" s="2" t="s">
        <v>2612</v>
      </c>
      <c r="R1321" s="2" t="s">
        <v>29</v>
      </c>
      <c r="S1321" s="2" t="s">
        <v>30</v>
      </c>
    </row>
    <row r="1322" spans="1:19">
      <c r="A1322" s="1">
        <v>44470</v>
      </c>
      <c r="B1322" s="1">
        <v>44470</v>
      </c>
      <c r="C1322">
        <v>2021</v>
      </c>
      <c r="D1322">
        <v>10</v>
      </c>
      <c r="E1322" s="2" t="s">
        <v>87</v>
      </c>
      <c r="F1322" s="2" t="s">
        <v>88</v>
      </c>
      <c r="G1322" s="2" t="s">
        <v>80</v>
      </c>
      <c r="H1322" s="2" t="s">
        <v>81</v>
      </c>
      <c r="I1322" s="2" t="s">
        <v>82</v>
      </c>
      <c r="J1322" s="2" t="s">
        <v>24</v>
      </c>
      <c r="K1322">
        <v>0.55000000000000004</v>
      </c>
      <c r="L1322">
        <v>745937.1</v>
      </c>
      <c r="M1322">
        <v>135624927.27000001</v>
      </c>
      <c r="N1322" s="2" t="s">
        <v>89</v>
      </c>
      <c r="O1322" s="2" t="s">
        <v>90</v>
      </c>
      <c r="P1322" s="2" t="s">
        <v>2613</v>
      </c>
      <c r="Q1322" s="2" t="s">
        <v>2614</v>
      </c>
      <c r="R1322" s="2" t="s">
        <v>29</v>
      </c>
      <c r="S1322" s="2" t="s">
        <v>30</v>
      </c>
    </row>
    <row r="1323" spans="1:19">
      <c r="A1323" s="1">
        <v>44470</v>
      </c>
      <c r="B1323" s="1">
        <v>44470</v>
      </c>
      <c r="C1323">
        <v>2021</v>
      </c>
      <c r="D1323">
        <v>10</v>
      </c>
      <c r="E1323" s="2" t="s">
        <v>93</v>
      </c>
      <c r="F1323" s="2" t="s">
        <v>94</v>
      </c>
      <c r="G1323" s="2" t="s">
        <v>80</v>
      </c>
      <c r="H1323" s="2" t="s">
        <v>81</v>
      </c>
      <c r="I1323" s="2" t="s">
        <v>82</v>
      </c>
      <c r="J1323" s="2" t="s">
        <v>24</v>
      </c>
      <c r="K1323">
        <v>0.25</v>
      </c>
      <c r="L1323">
        <v>3822008.63</v>
      </c>
      <c r="M1323">
        <v>1528803452</v>
      </c>
      <c r="N1323" s="2" t="s">
        <v>95</v>
      </c>
      <c r="O1323" s="2" t="s">
        <v>96</v>
      </c>
      <c r="P1323" s="2" t="s">
        <v>876</v>
      </c>
      <c r="Q1323" s="2" t="s">
        <v>2615</v>
      </c>
      <c r="R1323" s="2" t="s">
        <v>29</v>
      </c>
      <c r="S1323" s="2" t="s">
        <v>30</v>
      </c>
    </row>
    <row r="1324" spans="1:19">
      <c r="A1324" s="1">
        <v>44470</v>
      </c>
      <c r="B1324" s="1">
        <v>44470</v>
      </c>
      <c r="C1324">
        <v>2021</v>
      </c>
      <c r="D1324">
        <v>10</v>
      </c>
      <c r="E1324" s="2" t="s">
        <v>99</v>
      </c>
      <c r="F1324" s="2" t="s">
        <v>100</v>
      </c>
      <c r="G1324" s="2" t="s">
        <v>80</v>
      </c>
      <c r="H1324" s="2" t="s">
        <v>81</v>
      </c>
      <c r="I1324" s="2" t="s">
        <v>82</v>
      </c>
      <c r="J1324" s="2" t="s">
        <v>101</v>
      </c>
      <c r="K1324">
        <v>1.04</v>
      </c>
      <c r="L1324">
        <v>11415738.58</v>
      </c>
      <c r="M1324">
        <v>1097667171.1500001</v>
      </c>
      <c r="N1324" s="2" t="s">
        <v>102</v>
      </c>
      <c r="O1324" s="2" t="s">
        <v>103</v>
      </c>
      <c r="P1324" s="2" t="s">
        <v>405</v>
      </c>
      <c r="Q1324" s="2" t="s">
        <v>2616</v>
      </c>
      <c r="R1324" s="2" t="s">
        <v>29</v>
      </c>
      <c r="S1324" s="2" t="s">
        <v>30</v>
      </c>
    </row>
    <row r="1325" spans="1:19">
      <c r="A1325" s="1">
        <v>44470</v>
      </c>
      <c r="B1325" s="1">
        <v>44470</v>
      </c>
      <c r="C1325">
        <v>2021</v>
      </c>
      <c r="D1325">
        <v>10</v>
      </c>
      <c r="E1325" s="2" t="s">
        <v>106</v>
      </c>
      <c r="F1325" s="2" t="s">
        <v>107</v>
      </c>
      <c r="G1325" s="2" t="s">
        <v>80</v>
      </c>
      <c r="H1325" s="2" t="s">
        <v>81</v>
      </c>
      <c r="I1325" s="2" t="s">
        <v>82</v>
      </c>
      <c r="J1325" s="2" t="s">
        <v>24</v>
      </c>
      <c r="K1325">
        <v>0.23</v>
      </c>
      <c r="L1325">
        <v>6847792.8499999996</v>
      </c>
      <c r="M1325">
        <v>2977301239.1300001</v>
      </c>
      <c r="N1325" s="2" t="s">
        <v>108</v>
      </c>
      <c r="O1325" s="2" t="s">
        <v>109</v>
      </c>
      <c r="P1325" s="2" t="s">
        <v>725</v>
      </c>
      <c r="Q1325" s="2" t="s">
        <v>2617</v>
      </c>
      <c r="R1325" s="2" t="s">
        <v>29</v>
      </c>
      <c r="S1325" s="2" t="s">
        <v>30</v>
      </c>
    </row>
    <row r="1326" spans="1:19">
      <c r="A1326" s="1">
        <v>44470</v>
      </c>
      <c r="B1326" s="1">
        <v>44470</v>
      </c>
      <c r="C1326">
        <v>2021</v>
      </c>
      <c r="D1326">
        <v>10</v>
      </c>
      <c r="E1326" s="2" t="s">
        <v>111</v>
      </c>
      <c r="F1326" s="2" t="s">
        <v>112</v>
      </c>
      <c r="G1326" s="2" t="s">
        <v>80</v>
      </c>
      <c r="H1326" s="2" t="s">
        <v>81</v>
      </c>
      <c r="I1326" s="2" t="s">
        <v>82</v>
      </c>
      <c r="J1326" s="2" t="s">
        <v>24</v>
      </c>
      <c r="K1326">
        <v>0.08</v>
      </c>
      <c r="L1326">
        <v>449200</v>
      </c>
      <c r="M1326">
        <v>561500000</v>
      </c>
      <c r="N1326" s="2" t="s">
        <v>113</v>
      </c>
      <c r="O1326" s="2" t="s">
        <v>114</v>
      </c>
      <c r="P1326" s="2" t="s">
        <v>1393</v>
      </c>
      <c r="Q1326" s="2" t="s">
        <v>2618</v>
      </c>
      <c r="R1326" s="2" t="s">
        <v>29</v>
      </c>
      <c r="S1326" s="2" t="s">
        <v>30</v>
      </c>
    </row>
    <row r="1327" spans="1:19">
      <c r="A1327" s="1">
        <v>44470</v>
      </c>
      <c r="B1327" s="1">
        <v>44470</v>
      </c>
      <c r="C1327">
        <v>2021</v>
      </c>
      <c r="D1327">
        <v>10</v>
      </c>
      <c r="E1327" s="2" t="s">
        <v>117</v>
      </c>
      <c r="F1327" s="2" t="s">
        <v>118</v>
      </c>
      <c r="G1327" s="2" t="s">
        <v>80</v>
      </c>
      <c r="H1327" s="2" t="s">
        <v>81</v>
      </c>
      <c r="I1327" s="2" t="s">
        <v>82</v>
      </c>
      <c r="J1327" s="2" t="s">
        <v>59</v>
      </c>
      <c r="K1327">
        <v>2.85</v>
      </c>
      <c r="L1327">
        <v>16600978.33</v>
      </c>
      <c r="M1327">
        <v>582490467.72000003</v>
      </c>
      <c r="N1327" s="2" t="s">
        <v>119</v>
      </c>
      <c r="O1327" s="2" t="s">
        <v>120</v>
      </c>
      <c r="P1327" s="2" t="s">
        <v>2619</v>
      </c>
      <c r="Q1327" s="2" t="s">
        <v>2620</v>
      </c>
      <c r="R1327" s="2" t="s">
        <v>29</v>
      </c>
      <c r="S1327" s="2" t="s">
        <v>30</v>
      </c>
    </row>
    <row r="1328" spans="1:19">
      <c r="A1328" s="1">
        <v>44470</v>
      </c>
      <c r="B1328" s="1">
        <v>44470</v>
      </c>
      <c r="C1328">
        <v>2021</v>
      </c>
      <c r="D1328">
        <v>10</v>
      </c>
      <c r="E1328" s="2" t="s">
        <v>123</v>
      </c>
      <c r="F1328" s="2" t="s">
        <v>124</v>
      </c>
      <c r="G1328" s="2" t="s">
        <v>21</v>
      </c>
      <c r="H1328" s="2" t="s">
        <v>22</v>
      </c>
      <c r="I1328" s="2" t="s">
        <v>73</v>
      </c>
      <c r="J1328" s="2" t="s">
        <v>24</v>
      </c>
      <c r="K1328">
        <v>1080.58</v>
      </c>
      <c r="L1328">
        <v>62500.41</v>
      </c>
      <c r="M1328">
        <v>5783.97</v>
      </c>
      <c r="N1328" s="2" t="s">
        <v>125</v>
      </c>
      <c r="O1328" s="2" t="s">
        <v>126</v>
      </c>
      <c r="P1328" s="2" t="s">
        <v>2621</v>
      </c>
      <c r="Q1328" s="2" t="s">
        <v>2622</v>
      </c>
      <c r="R1328" s="2" t="s">
        <v>29</v>
      </c>
      <c r="S1328" s="2" t="s">
        <v>30</v>
      </c>
    </row>
    <row r="1329" spans="1:19">
      <c r="A1329" s="1">
        <v>44470</v>
      </c>
      <c r="B1329" s="1">
        <v>44470</v>
      </c>
      <c r="C1329">
        <v>2021</v>
      </c>
      <c r="D1329">
        <v>10</v>
      </c>
      <c r="E1329" s="2" t="s">
        <v>129</v>
      </c>
      <c r="F1329" s="2" t="s">
        <v>130</v>
      </c>
      <c r="G1329" s="2" t="s">
        <v>21</v>
      </c>
      <c r="H1329" s="2" t="s">
        <v>22</v>
      </c>
      <c r="I1329" s="2" t="s">
        <v>73</v>
      </c>
      <c r="J1329" s="2" t="s">
        <v>24</v>
      </c>
      <c r="K1329">
        <v>1075.23</v>
      </c>
      <c r="L1329">
        <v>38442.370000000003</v>
      </c>
      <c r="M1329">
        <v>3575.27</v>
      </c>
      <c r="N1329" s="2" t="s">
        <v>131</v>
      </c>
      <c r="O1329" s="2" t="s">
        <v>132</v>
      </c>
      <c r="P1329" s="2" t="s">
        <v>2623</v>
      </c>
      <c r="Q1329" s="2" t="s">
        <v>2624</v>
      </c>
      <c r="R1329" s="2" t="s">
        <v>29</v>
      </c>
      <c r="S1329" s="2" t="s">
        <v>30</v>
      </c>
    </row>
    <row r="1330" spans="1:19">
      <c r="A1330" s="1">
        <v>44470</v>
      </c>
      <c r="B1330" s="1">
        <v>44470</v>
      </c>
      <c r="C1330">
        <v>2021</v>
      </c>
      <c r="D1330">
        <v>10</v>
      </c>
      <c r="E1330" s="2" t="s">
        <v>135</v>
      </c>
      <c r="F1330" s="2" t="s">
        <v>136</v>
      </c>
      <c r="G1330" s="2" t="s">
        <v>21</v>
      </c>
      <c r="H1330" s="2" t="s">
        <v>22</v>
      </c>
      <c r="I1330" s="2" t="s">
        <v>73</v>
      </c>
      <c r="J1330" s="2" t="s">
        <v>101</v>
      </c>
      <c r="K1330">
        <v>2155.81</v>
      </c>
      <c r="L1330">
        <v>100942.78</v>
      </c>
      <c r="M1330">
        <v>4682.3599999999997</v>
      </c>
      <c r="N1330" s="2" t="s">
        <v>137</v>
      </c>
      <c r="O1330" s="2" t="s">
        <v>138</v>
      </c>
      <c r="P1330" s="2" t="s">
        <v>2625</v>
      </c>
      <c r="Q1330" s="2" t="s">
        <v>2626</v>
      </c>
      <c r="R1330" s="2" t="s">
        <v>29</v>
      </c>
      <c r="S1330" s="2" t="s">
        <v>30</v>
      </c>
    </row>
    <row r="1331" spans="1:19">
      <c r="A1331" s="1">
        <v>44470</v>
      </c>
      <c r="B1331" s="1">
        <v>44470</v>
      </c>
      <c r="C1331">
        <v>2021</v>
      </c>
      <c r="D1331">
        <v>10</v>
      </c>
      <c r="E1331" s="2" t="s">
        <v>141</v>
      </c>
      <c r="F1331" s="2" t="s">
        <v>142</v>
      </c>
      <c r="G1331" s="2" t="s">
        <v>21</v>
      </c>
      <c r="H1331" s="2" t="s">
        <v>22</v>
      </c>
      <c r="I1331" s="2" t="s">
        <v>73</v>
      </c>
      <c r="J1331" s="2" t="s">
        <v>24</v>
      </c>
      <c r="K1331">
        <v>1550.39</v>
      </c>
      <c r="L1331">
        <v>29244.9</v>
      </c>
      <c r="M1331">
        <v>1886.29</v>
      </c>
      <c r="N1331" s="2" t="s">
        <v>143</v>
      </c>
      <c r="O1331" s="2" t="s">
        <v>144</v>
      </c>
      <c r="P1331" s="2" t="s">
        <v>2627</v>
      </c>
      <c r="Q1331" s="2" t="s">
        <v>2628</v>
      </c>
      <c r="R1331" s="2" t="s">
        <v>29</v>
      </c>
      <c r="S1331" s="2" t="s">
        <v>30</v>
      </c>
    </row>
    <row r="1332" spans="1:19">
      <c r="A1332" s="1">
        <v>44470</v>
      </c>
      <c r="B1332" s="1">
        <v>44470</v>
      </c>
      <c r="C1332">
        <v>2021</v>
      </c>
      <c r="D1332">
        <v>10</v>
      </c>
      <c r="E1332" s="2" t="s">
        <v>147</v>
      </c>
      <c r="F1332" s="2" t="s">
        <v>148</v>
      </c>
      <c r="G1332" s="2" t="s">
        <v>21</v>
      </c>
      <c r="H1332" s="2" t="s">
        <v>22</v>
      </c>
      <c r="I1332" s="2" t="s">
        <v>73</v>
      </c>
      <c r="J1332" s="2" t="s">
        <v>24</v>
      </c>
      <c r="K1332">
        <v>2302.56</v>
      </c>
      <c r="L1332">
        <v>47225.61</v>
      </c>
      <c r="M1332">
        <v>2051</v>
      </c>
      <c r="N1332" s="2" t="s">
        <v>149</v>
      </c>
      <c r="O1332" s="2" t="s">
        <v>150</v>
      </c>
      <c r="P1332" s="2" t="s">
        <v>2629</v>
      </c>
      <c r="Q1332" s="2" t="s">
        <v>2630</v>
      </c>
      <c r="R1332" s="2" t="s">
        <v>29</v>
      </c>
      <c r="S1332" s="2" t="s">
        <v>30</v>
      </c>
    </row>
    <row r="1333" spans="1:19">
      <c r="A1333" s="1">
        <v>44470</v>
      </c>
      <c r="B1333" s="1">
        <v>44470</v>
      </c>
      <c r="C1333">
        <v>2021</v>
      </c>
      <c r="D1333">
        <v>10</v>
      </c>
      <c r="E1333" s="2" t="s">
        <v>153</v>
      </c>
      <c r="F1333" s="2" t="s">
        <v>154</v>
      </c>
      <c r="G1333" s="2" t="s">
        <v>21</v>
      </c>
      <c r="H1333" s="2" t="s">
        <v>22</v>
      </c>
      <c r="I1333" s="2" t="s">
        <v>73</v>
      </c>
      <c r="J1333" s="2" t="s">
        <v>101</v>
      </c>
      <c r="K1333">
        <v>3852.95</v>
      </c>
      <c r="L1333">
        <v>76470.509999999995</v>
      </c>
      <c r="M1333">
        <v>1984.73</v>
      </c>
      <c r="N1333" s="2" t="s">
        <v>155</v>
      </c>
      <c r="O1333" s="2" t="s">
        <v>156</v>
      </c>
      <c r="P1333" s="2" t="s">
        <v>2631</v>
      </c>
      <c r="Q1333" s="2" t="s">
        <v>2632</v>
      </c>
      <c r="R1333" s="2" t="s">
        <v>29</v>
      </c>
      <c r="S1333" s="2" t="s">
        <v>30</v>
      </c>
    </row>
    <row r="1334" spans="1:19">
      <c r="A1334" s="1">
        <v>44470</v>
      </c>
      <c r="B1334" s="1">
        <v>44470</v>
      </c>
      <c r="C1334">
        <v>2021</v>
      </c>
      <c r="D1334">
        <v>10</v>
      </c>
      <c r="E1334" s="2" t="s">
        <v>159</v>
      </c>
      <c r="F1334" s="2" t="s">
        <v>160</v>
      </c>
      <c r="G1334" s="2" t="s">
        <v>21</v>
      </c>
      <c r="H1334" s="2" t="s">
        <v>22</v>
      </c>
      <c r="I1334" s="2" t="s">
        <v>66</v>
      </c>
      <c r="J1334" s="2" t="s">
        <v>59</v>
      </c>
      <c r="K1334">
        <v>979.36</v>
      </c>
      <c r="L1334">
        <v>85776.42</v>
      </c>
      <c r="M1334">
        <v>8758.42</v>
      </c>
      <c r="N1334" s="2" t="s">
        <v>161</v>
      </c>
      <c r="O1334" s="2" t="s">
        <v>162</v>
      </c>
      <c r="P1334" s="2" t="s">
        <v>2633</v>
      </c>
      <c r="Q1334" s="2" t="s">
        <v>2634</v>
      </c>
      <c r="R1334" s="2" t="s">
        <v>29</v>
      </c>
      <c r="S1334" s="2" t="s">
        <v>30</v>
      </c>
    </row>
    <row r="1335" spans="1:19">
      <c r="A1335" s="1">
        <v>44470</v>
      </c>
      <c r="B1335" s="1">
        <v>44470</v>
      </c>
      <c r="C1335">
        <v>2021</v>
      </c>
      <c r="D1335">
        <v>10</v>
      </c>
      <c r="E1335" s="2" t="s">
        <v>165</v>
      </c>
      <c r="F1335" s="2" t="s">
        <v>166</v>
      </c>
      <c r="G1335" s="2" t="s">
        <v>21</v>
      </c>
      <c r="H1335" s="2" t="s">
        <v>22</v>
      </c>
      <c r="I1335" s="2" t="s">
        <v>23</v>
      </c>
      <c r="J1335" s="2" t="s">
        <v>24</v>
      </c>
      <c r="K1335">
        <v>0</v>
      </c>
      <c r="L1335">
        <v>0</v>
      </c>
      <c r="N1335" s="2" t="s">
        <v>167</v>
      </c>
      <c r="O1335" s="2" t="s">
        <v>168</v>
      </c>
      <c r="P1335" s="2" t="s">
        <v>639</v>
      </c>
      <c r="Q1335" s="2" t="s">
        <v>639</v>
      </c>
      <c r="R1335" s="2" t="s">
        <v>29</v>
      </c>
      <c r="S1335" s="2" t="s">
        <v>30</v>
      </c>
    </row>
    <row r="1336" spans="1:19">
      <c r="A1336" s="1">
        <v>44470</v>
      </c>
      <c r="B1336" s="1">
        <v>44470</v>
      </c>
      <c r="C1336">
        <v>2021</v>
      </c>
      <c r="D1336">
        <v>10</v>
      </c>
      <c r="E1336" s="2" t="s">
        <v>171</v>
      </c>
      <c r="F1336" s="2" t="s">
        <v>172</v>
      </c>
      <c r="G1336" s="2" t="s">
        <v>21</v>
      </c>
      <c r="H1336" s="2" t="s">
        <v>22</v>
      </c>
      <c r="I1336" s="2" t="s">
        <v>66</v>
      </c>
      <c r="J1336" s="2" t="s">
        <v>24</v>
      </c>
      <c r="N1336" s="2" t="s">
        <v>173</v>
      </c>
      <c r="O1336" s="2" t="s">
        <v>174</v>
      </c>
      <c r="P1336" s="2" t="s">
        <v>175</v>
      </c>
      <c r="Q1336" s="2" t="s">
        <v>175</v>
      </c>
      <c r="R1336" s="2" t="s">
        <v>640</v>
      </c>
      <c r="S1336" s="2" t="s">
        <v>641</v>
      </c>
    </row>
    <row r="1337" spans="1:19">
      <c r="A1337" s="1">
        <v>44470</v>
      </c>
      <c r="B1337" s="1">
        <v>44470</v>
      </c>
      <c r="C1337">
        <v>2021</v>
      </c>
      <c r="D1337">
        <v>10</v>
      </c>
      <c r="E1337" s="2" t="s">
        <v>177</v>
      </c>
      <c r="F1337" s="2" t="s">
        <v>178</v>
      </c>
      <c r="G1337" s="2" t="s">
        <v>21</v>
      </c>
      <c r="H1337" s="2" t="s">
        <v>22</v>
      </c>
      <c r="I1337" s="2" t="s">
        <v>23</v>
      </c>
      <c r="J1337" s="2" t="s">
        <v>24</v>
      </c>
      <c r="K1337">
        <v>4306.71</v>
      </c>
      <c r="L1337">
        <v>370712.48</v>
      </c>
      <c r="M1337">
        <v>8607.7900000000009</v>
      </c>
      <c r="N1337" s="2" t="s">
        <v>179</v>
      </c>
      <c r="O1337" s="2" t="s">
        <v>180</v>
      </c>
      <c r="P1337" s="2" t="s">
        <v>2635</v>
      </c>
      <c r="Q1337" s="2" t="s">
        <v>2636</v>
      </c>
      <c r="R1337" s="2" t="s">
        <v>29</v>
      </c>
      <c r="S1337" s="2" t="s">
        <v>30</v>
      </c>
    </row>
    <row r="1338" spans="1:19">
      <c r="A1338" s="1">
        <v>44470</v>
      </c>
      <c r="B1338" s="1">
        <v>44470</v>
      </c>
      <c r="C1338">
        <v>2021</v>
      </c>
      <c r="D1338">
        <v>10</v>
      </c>
      <c r="E1338" s="2" t="s">
        <v>183</v>
      </c>
      <c r="F1338" s="2" t="s">
        <v>184</v>
      </c>
      <c r="G1338" s="2" t="s">
        <v>185</v>
      </c>
      <c r="H1338" s="2" t="s">
        <v>22</v>
      </c>
      <c r="I1338" s="2" t="s">
        <v>186</v>
      </c>
      <c r="J1338" s="2" t="s">
        <v>24</v>
      </c>
      <c r="K1338">
        <v>2836.52</v>
      </c>
      <c r="L1338">
        <v>2655381.6</v>
      </c>
      <c r="M1338">
        <v>93614.06</v>
      </c>
      <c r="N1338" s="2" t="s">
        <v>187</v>
      </c>
      <c r="O1338" s="2" t="s">
        <v>188</v>
      </c>
      <c r="P1338" s="2" t="s">
        <v>2637</v>
      </c>
      <c r="Q1338" s="2" t="s">
        <v>2638</v>
      </c>
      <c r="R1338" s="2" t="s">
        <v>29</v>
      </c>
      <c r="S1338" s="2" t="s">
        <v>30</v>
      </c>
    </row>
    <row r="1339" spans="1:19">
      <c r="A1339" s="1">
        <v>44470</v>
      </c>
      <c r="B1339" s="1">
        <v>44470</v>
      </c>
      <c r="C1339">
        <v>2021</v>
      </c>
      <c r="D1339">
        <v>10</v>
      </c>
      <c r="E1339" s="2" t="s">
        <v>191</v>
      </c>
      <c r="F1339" s="2" t="s">
        <v>192</v>
      </c>
      <c r="G1339" s="2" t="s">
        <v>185</v>
      </c>
      <c r="H1339" s="2" t="s">
        <v>22</v>
      </c>
      <c r="I1339" s="2" t="s">
        <v>186</v>
      </c>
      <c r="J1339" s="2" t="s">
        <v>24</v>
      </c>
      <c r="K1339">
        <v>861.85</v>
      </c>
      <c r="L1339">
        <v>3969764.6</v>
      </c>
      <c r="M1339">
        <v>460609.69</v>
      </c>
      <c r="N1339" s="2" t="s">
        <v>193</v>
      </c>
      <c r="O1339" s="2" t="s">
        <v>194</v>
      </c>
      <c r="P1339" s="2" t="s">
        <v>2639</v>
      </c>
      <c r="Q1339" s="2" t="s">
        <v>2640</v>
      </c>
      <c r="R1339" s="2" t="s">
        <v>29</v>
      </c>
      <c r="S1339" s="2" t="s">
        <v>30</v>
      </c>
    </row>
    <row r="1340" spans="1:19">
      <c r="A1340" s="1">
        <v>44470</v>
      </c>
      <c r="B1340" s="1">
        <v>44470</v>
      </c>
      <c r="C1340">
        <v>2021</v>
      </c>
      <c r="D1340">
        <v>10</v>
      </c>
      <c r="E1340" s="2" t="s">
        <v>197</v>
      </c>
      <c r="F1340" s="2" t="s">
        <v>198</v>
      </c>
      <c r="G1340" s="2" t="s">
        <v>185</v>
      </c>
      <c r="H1340" s="2" t="s">
        <v>22</v>
      </c>
      <c r="I1340" s="2" t="s">
        <v>186</v>
      </c>
      <c r="J1340" s="2" t="s">
        <v>59</v>
      </c>
      <c r="K1340">
        <v>3698.37</v>
      </c>
      <c r="L1340">
        <v>6625146.1900000004</v>
      </c>
      <c r="M1340">
        <v>179136.92</v>
      </c>
      <c r="N1340" s="2" t="s">
        <v>199</v>
      </c>
      <c r="O1340" s="2" t="s">
        <v>200</v>
      </c>
      <c r="P1340" s="2" t="s">
        <v>2641</v>
      </c>
      <c r="Q1340" s="2" t="s">
        <v>2642</v>
      </c>
      <c r="R1340" s="2" t="s">
        <v>29</v>
      </c>
      <c r="S1340" s="2" t="s">
        <v>30</v>
      </c>
    </row>
    <row r="1341" spans="1:19">
      <c r="A1341" s="1">
        <v>44470</v>
      </c>
      <c r="B1341" s="1">
        <v>44470</v>
      </c>
      <c r="C1341">
        <v>2021</v>
      </c>
      <c r="D1341">
        <v>10</v>
      </c>
      <c r="E1341" s="2" t="s">
        <v>203</v>
      </c>
      <c r="F1341" s="2" t="s">
        <v>204</v>
      </c>
      <c r="G1341" s="2" t="s">
        <v>39</v>
      </c>
      <c r="H1341" s="2" t="s">
        <v>22</v>
      </c>
      <c r="I1341" s="2" t="s">
        <v>40</v>
      </c>
      <c r="J1341" s="2" t="s">
        <v>24</v>
      </c>
      <c r="K1341">
        <v>946.33</v>
      </c>
      <c r="L1341">
        <v>24799.22</v>
      </c>
      <c r="M1341">
        <v>2620.5700000000002</v>
      </c>
      <c r="N1341" s="2" t="s">
        <v>205</v>
      </c>
      <c r="O1341" s="2" t="s">
        <v>206</v>
      </c>
      <c r="P1341" s="2" t="s">
        <v>2643</v>
      </c>
      <c r="Q1341" s="2" t="s">
        <v>2644</v>
      </c>
      <c r="R1341" s="2" t="s">
        <v>29</v>
      </c>
      <c r="S1341" s="2" t="s">
        <v>30</v>
      </c>
    </row>
    <row r="1342" spans="1:19">
      <c r="A1342" s="1">
        <v>44470</v>
      </c>
      <c r="B1342" s="1">
        <v>44470</v>
      </c>
      <c r="C1342">
        <v>2021</v>
      </c>
      <c r="D1342">
        <v>10</v>
      </c>
      <c r="E1342" s="2" t="s">
        <v>209</v>
      </c>
      <c r="F1342" s="2" t="s">
        <v>210</v>
      </c>
      <c r="G1342" s="2" t="s">
        <v>39</v>
      </c>
      <c r="H1342" s="2" t="s">
        <v>22</v>
      </c>
      <c r="I1342" s="2" t="s">
        <v>40</v>
      </c>
      <c r="J1342" s="2" t="s">
        <v>59</v>
      </c>
      <c r="K1342">
        <v>946.33</v>
      </c>
      <c r="L1342">
        <v>24799.22</v>
      </c>
      <c r="M1342">
        <v>2620.5700000000002</v>
      </c>
      <c r="N1342" s="2" t="s">
        <v>211</v>
      </c>
      <c r="O1342" s="2" t="s">
        <v>212</v>
      </c>
      <c r="P1342" s="2" t="s">
        <v>2643</v>
      </c>
      <c r="Q1342" s="2" t="s">
        <v>2644</v>
      </c>
      <c r="R1342" s="2" t="s">
        <v>29</v>
      </c>
      <c r="S1342" s="2" t="s">
        <v>30</v>
      </c>
    </row>
    <row r="1343" spans="1:19">
      <c r="A1343" s="1">
        <v>44470</v>
      </c>
      <c r="B1343" s="1">
        <v>44470</v>
      </c>
      <c r="C1343">
        <v>2021</v>
      </c>
      <c r="D1343">
        <v>10</v>
      </c>
      <c r="E1343" s="2" t="s">
        <v>213</v>
      </c>
      <c r="F1343" s="2" t="s">
        <v>214</v>
      </c>
      <c r="G1343" s="2" t="s">
        <v>185</v>
      </c>
      <c r="H1343" s="2" t="s">
        <v>22</v>
      </c>
      <c r="I1343" s="2" t="s">
        <v>215</v>
      </c>
      <c r="J1343" s="2" t="s">
        <v>24</v>
      </c>
      <c r="K1343">
        <v>42122.8</v>
      </c>
      <c r="L1343">
        <v>1110104.5</v>
      </c>
      <c r="M1343">
        <v>2635.4</v>
      </c>
      <c r="N1343" s="2" t="s">
        <v>216</v>
      </c>
      <c r="O1343" s="2" t="s">
        <v>217</v>
      </c>
      <c r="P1343" s="2" t="s">
        <v>2645</v>
      </c>
      <c r="Q1343" s="2" t="s">
        <v>2646</v>
      </c>
      <c r="R1343" s="2" t="s">
        <v>29</v>
      </c>
      <c r="S1343" s="2" t="s">
        <v>30</v>
      </c>
    </row>
    <row r="1344" spans="1:19">
      <c r="A1344" s="1">
        <v>44470</v>
      </c>
      <c r="B1344" s="1">
        <v>44470</v>
      </c>
      <c r="C1344">
        <v>2021</v>
      </c>
      <c r="D1344">
        <v>10</v>
      </c>
      <c r="E1344" s="2" t="s">
        <v>220</v>
      </c>
      <c r="F1344" s="2" t="s">
        <v>221</v>
      </c>
      <c r="G1344" s="2" t="s">
        <v>185</v>
      </c>
      <c r="H1344" s="2" t="s">
        <v>22</v>
      </c>
      <c r="I1344" s="2" t="s">
        <v>215</v>
      </c>
      <c r="J1344" s="2" t="s">
        <v>24</v>
      </c>
      <c r="K1344">
        <v>3761.4</v>
      </c>
      <c r="L1344">
        <v>243728.3</v>
      </c>
      <c r="M1344">
        <v>6479.72</v>
      </c>
      <c r="N1344" s="2" t="s">
        <v>222</v>
      </c>
      <c r="O1344" s="2" t="s">
        <v>223</v>
      </c>
      <c r="P1344" s="2" t="s">
        <v>2647</v>
      </c>
      <c r="Q1344" s="2" t="s">
        <v>2648</v>
      </c>
      <c r="R1344" s="2" t="s">
        <v>29</v>
      </c>
      <c r="S1344" s="2" t="s">
        <v>30</v>
      </c>
    </row>
    <row r="1345" spans="1:19">
      <c r="A1345" s="1">
        <v>44470</v>
      </c>
      <c r="B1345" s="1">
        <v>44470</v>
      </c>
      <c r="C1345">
        <v>2021</v>
      </c>
      <c r="D1345">
        <v>10</v>
      </c>
      <c r="E1345" s="2" t="s">
        <v>226</v>
      </c>
      <c r="F1345" s="2" t="s">
        <v>227</v>
      </c>
      <c r="G1345" s="2" t="s">
        <v>185</v>
      </c>
      <c r="H1345" s="2" t="s">
        <v>22</v>
      </c>
      <c r="I1345" s="2" t="s">
        <v>215</v>
      </c>
      <c r="J1345" s="2" t="s">
        <v>59</v>
      </c>
      <c r="K1345">
        <v>45884.2</v>
      </c>
      <c r="L1345">
        <v>1353832.8</v>
      </c>
      <c r="M1345">
        <v>2950.54</v>
      </c>
      <c r="N1345" s="2" t="s">
        <v>228</v>
      </c>
      <c r="O1345" s="2" t="s">
        <v>229</v>
      </c>
      <c r="P1345" s="2" t="s">
        <v>2649</v>
      </c>
      <c r="Q1345" s="2" t="s">
        <v>2650</v>
      </c>
      <c r="R1345" s="2" t="s">
        <v>29</v>
      </c>
      <c r="S1345" s="2" t="s">
        <v>30</v>
      </c>
    </row>
    <row r="1346" spans="1:19">
      <c r="A1346" s="1">
        <v>44470</v>
      </c>
      <c r="B1346" s="1">
        <v>44470</v>
      </c>
      <c r="C1346">
        <v>2021</v>
      </c>
      <c r="D1346">
        <v>10</v>
      </c>
      <c r="E1346" s="2" t="s">
        <v>232</v>
      </c>
      <c r="F1346" s="2" t="s">
        <v>233</v>
      </c>
      <c r="G1346" s="2" t="s">
        <v>21</v>
      </c>
      <c r="H1346" s="2" t="s">
        <v>22</v>
      </c>
      <c r="I1346" s="2" t="s">
        <v>23</v>
      </c>
      <c r="J1346" s="2" t="s">
        <v>24</v>
      </c>
      <c r="K1346">
        <v>1660.26</v>
      </c>
      <c r="L1346">
        <v>122518.87</v>
      </c>
      <c r="M1346">
        <v>7379.5</v>
      </c>
      <c r="N1346" s="2" t="s">
        <v>234</v>
      </c>
      <c r="O1346" s="2" t="s">
        <v>235</v>
      </c>
      <c r="P1346" s="2" t="s">
        <v>2651</v>
      </c>
      <c r="Q1346" s="2" t="s">
        <v>2652</v>
      </c>
      <c r="R1346" s="2" t="s">
        <v>29</v>
      </c>
      <c r="S1346" s="2" t="s">
        <v>30</v>
      </c>
    </row>
    <row r="1347" spans="1:19">
      <c r="A1347" s="1">
        <v>44470</v>
      </c>
      <c r="B1347" s="1">
        <v>44470</v>
      </c>
      <c r="C1347">
        <v>2021</v>
      </c>
      <c r="D1347">
        <v>10</v>
      </c>
      <c r="E1347" s="2" t="s">
        <v>238</v>
      </c>
      <c r="F1347" s="2" t="s">
        <v>239</v>
      </c>
      <c r="G1347" s="2" t="s">
        <v>21</v>
      </c>
      <c r="H1347" s="2" t="s">
        <v>22</v>
      </c>
      <c r="I1347" s="2" t="s">
        <v>66</v>
      </c>
      <c r="J1347" s="2" t="s">
        <v>24</v>
      </c>
      <c r="K1347">
        <v>865.69</v>
      </c>
      <c r="L1347">
        <v>85102.71</v>
      </c>
      <c r="M1347">
        <v>9830.6200000000008</v>
      </c>
      <c r="N1347" s="2" t="s">
        <v>240</v>
      </c>
      <c r="O1347" s="2" t="s">
        <v>241</v>
      </c>
      <c r="P1347" s="2" t="s">
        <v>2653</v>
      </c>
      <c r="Q1347" s="2" t="s">
        <v>2654</v>
      </c>
      <c r="R1347" s="2" t="s">
        <v>29</v>
      </c>
      <c r="S1347" s="2" t="s">
        <v>30</v>
      </c>
    </row>
    <row r="1348" spans="1:19">
      <c r="A1348" s="1">
        <v>44470</v>
      </c>
      <c r="B1348" s="1">
        <v>44470</v>
      </c>
      <c r="C1348">
        <v>2021</v>
      </c>
      <c r="D1348">
        <v>10</v>
      </c>
      <c r="E1348" s="2" t="s">
        <v>244</v>
      </c>
      <c r="F1348" s="2" t="s">
        <v>245</v>
      </c>
      <c r="G1348" s="2" t="s">
        <v>21</v>
      </c>
      <c r="H1348" s="2" t="s">
        <v>22</v>
      </c>
      <c r="I1348" s="2" t="s">
        <v>23</v>
      </c>
      <c r="J1348" s="2" t="s">
        <v>24</v>
      </c>
      <c r="K1348">
        <v>3574.46</v>
      </c>
      <c r="L1348">
        <v>2476396.56</v>
      </c>
      <c r="M1348">
        <v>69280.3</v>
      </c>
      <c r="N1348" s="2" t="s">
        <v>246</v>
      </c>
      <c r="O1348" s="2" t="s">
        <v>247</v>
      </c>
      <c r="P1348" s="2" t="s">
        <v>2655</v>
      </c>
      <c r="Q1348" s="2" t="s">
        <v>2656</v>
      </c>
      <c r="R1348" s="2" t="s">
        <v>29</v>
      </c>
      <c r="S1348" s="2" t="s">
        <v>30</v>
      </c>
    </row>
    <row r="1349" spans="1:19">
      <c r="A1349" s="1">
        <v>44470</v>
      </c>
      <c r="B1349" s="1">
        <v>44470</v>
      </c>
      <c r="C1349">
        <v>2021</v>
      </c>
      <c r="D1349">
        <v>10</v>
      </c>
      <c r="E1349" s="2" t="s">
        <v>250</v>
      </c>
      <c r="F1349" s="2" t="s">
        <v>251</v>
      </c>
      <c r="G1349" s="2" t="s">
        <v>21</v>
      </c>
      <c r="H1349" s="2" t="s">
        <v>22</v>
      </c>
      <c r="I1349" s="2" t="s">
        <v>66</v>
      </c>
      <c r="J1349" s="2" t="s">
        <v>24</v>
      </c>
      <c r="K1349">
        <v>92.18</v>
      </c>
      <c r="L1349">
        <v>114.15</v>
      </c>
      <c r="M1349">
        <v>123.83</v>
      </c>
      <c r="N1349" s="2" t="s">
        <v>252</v>
      </c>
      <c r="O1349" s="2" t="s">
        <v>253</v>
      </c>
      <c r="P1349" s="2" t="s">
        <v>2657</v>
      </c>
      <c r="Q1349" s="2" t="s">
        <v>2658</v>
      </c>
      <c r="R1349" s="2" t="s">
        <v>29</v>
      </c>
      <c r="S1349" s="2" t="s">
        <v>30</v>
      </c>
    </row>
    <row r="1350" spans="1:19">
      <c r="A1350" s="1">
        <v>44470</v>
      </c>
      <c r="B1350" s="1">
        <v>44470</v>
      </c>
      <c r="C1350">
        <v>2021</v>
      </c>
      <c r="D1350">
        <v>10</v>
      </c>
      <c r="E1350" s="2" t="s">
        <v>256</v>
      </c>
      <c r="F1350" s="2" t="s">
        <v>257</v>
      </c>
      <c r="G1350" s="2" t="s">
        <v>21</v>
      </c>
      <c r="H1350" s="2" t="s">
        <v>22</v>
      </c>
      <c r="I1350" s="2" t="s">
        <v>258</v>
      </c>
      <c r="J1350" s="2" t="s">
        <v>24</v>
      </c>
      <c r="K1350">
        <v>635.20000000000005</v>
      </c>
      <c r="L1350">
        <v>582603.87</v>
      </c>
      <c r="M1350">
        <v>91719.75</v>
      </c>
      <c r="N1350" s="2" t="s">
        <v>259</v>
      </c>
      <c r="O1350" s="2" t="s">
        <v>260</v>
      </c>
      <c r="P1350" s="2" t="s">
        <v>2659</v>
      </c>
      <c r="Q1350" s="2" t="s">
        <v>2660</v>
      </c>
      <c r="R1350" s="2" t="s">
        <v>29</v>
      </c>
      <c r="S1350" s="2" t="s">
        <v>30</v>
      </c>
    </row>
    <row r="1351" spans="1:19">
      <c r="A1351" s="1">
        <v>44470</v>
      </c>
      <c r="B1351" s="1">
        <v>44470</v>
      </c>
      <c r="C1351">
        <v>2021</v>
      </c>
      <c r="D1351">
        <v>10</v>
      </c>
      <c r="E1351" s="2" t="s">
        <v>263</v>
      </c>
      <c r="F1351" s="2" t="s">
        <v>264</v>
      </c>
      <c r="G1351" s="2" t="s">
        <v>21</v>
      </c>
      <c r="H1351" s="2" t="s">
        <v>22</v>
      </c>
      <c r="I1351" s="2" t="s">
        <v>258</v>
      </c>
      <c r="J1351" s="2" t="s">
        <v>24</v>
      </c>
      <c r="K1351">
        <v>0</v>
      </c>
      <c r="L1351">
        <v>0</v>
      </c>
      <c r="N1351" s="2" t="s">
        <v>265</v>
      </c>
      <c r="O1351" s="2" t="s">
        <v>266</v>
      </c>
      <c r="P1351" s="2" t="s">
        <v>639</v>
      </c>
      <c r="Q1351" s="2" t="s">
        <v>639</v>
      </c>
      <c r="R1351" s="2" t="s">
        <v>29</v>
      </c>
      <c r="S1351" s="2" t="s">
        <v>30</v>
      </c>
    </row>
    <row r="1352" spans="1:19">
      <c r="A1352" s="1">
        <v>44470</v>
      </c>
      <c r="B1352" s="1">
        <v>44470</v>
      </c>
      <c r="C1352">
        <v>2021</v>
      </c>
      <c r="D1352">
        <v>10</v>
      </c>
      <c r="E1352" s="2" t="s">
        <v>269</v>
      </c>
      <c r="F1352" s="2" t="s">
        <v>270</v>
      </c>
      <c r="G1352" s="2" t="s">
        <v>21</v>
      </c>
      <c r="H1352" s="2" t="s">
        <v>22</v>
      </c>
      <c r="I1352" s="2" t="s">
        <v>258</v>
      </c>
      <c r="J1352" s="2" t="s">
        <v>59</v>
      </c>
      <c r="K1352">
        <v>635.20000000000005</v>
      </c>
      <c r="L1352">
        <v>582603.87</v>
      </c>
      <c r="M1352">
        <v>91719.75</v>
      </c>
      <c r="N1352" s="2" t="s">
        <v>271</v>
      </c>
      <c r="O1352" s="2" t="s">
        <v>272</v>
      </c>
      <c r="P1352" s="2" t="s">
        <v>2659</v>
      </c>
      <c r="Q1352" s="2" t="s">
        <v>2660</v>
      </c>
      <c r="R1352" s="2" t="s">
        <v>29</v>
      </c>
      <c r="S1352" s="2" t="s">
        <v>30</v>
      </c>
    </row>
    <row r="1353" spans="1:19">
      <c r="A1353" s="1">
        <v>44470</v>
      </c>
      <c r="B1353" s="1">
        <v>44470</v>
      </c>
      <c r="C1353">
        <v>2021</v>
      </c>
      <c r="D1353">
        <v>10</v>
      </c>
      <c r="E1353" s="2" t="s">
        <v>275</v>
      </c>
      <c r="F1353" s="2" t="s">
        <v>276</v>
      </c>
      <c r="G1353" s="2" t="s">
        <v>39</v>
      </c>
      <c r="H1353" s="2" t="s">
        <v>22</v>
      </c>
      <c r="I1353" s="2" t="s">
        <v>40</v>
      </c>
      <c r="J1353" s="2" t="s">
        <v>24</v>
      </c>
      <c r="K1353">
        <v>4.4400000000000004</v>
      </c>
      <c r="L1353">
        <v>39.159999999999997</v>
      </c>
      <c r="M1353">
        <v>881.98</v>
      </c>
      <c r="N1353" s="2" t="s">
        <v>277</v>
      </c>
      <c r="O1353" s="2" t="s">
        <v>278</v>
      </c>
      <c r="P1353" s="2" t="s">
        <v>2661</v>
      </c>
      <c r="Q1353" s="2" t="s">
        <v>2662</v>
      </c>
      <c r="R1353" s="2" t="s">
        <v>29</v>
      </c>
      <c r="S1353" s="2" t="s">
        <v>30</v>
      </c>
    </row>
    <row r="1354" spans="1:19">
      <c r="A1354" s="1">
        <v>44470</v>
      </c>
      <c r="B1354" s="1">
        <v>44470</v>
      </c>
      <c r="C1354">
        <v>2021</v>
      </c>
      <c r="D1354">
        <v>10</v>
      </c>
      <c r="E1354" s="2" t="s">
        <v>281</v>
      </c>
      <c r="F1354" s="2" t="s">
        <v>282</v>
      </c>
      <c r="G1354" s="2" t="s">
        <v>39</v>
      </c>
      <c r="H1354" s="2" t="s">
        <v>22</v>
      </c>
      <c r="I1354" s="2" t="s">
        <v>40</v>
      </c>
      <c r="J1354" s="2" t="s">
        <v>24</v>
      </c>
      <c r="K1354">
        <v>0.9</v>
      </c>
      <c r="L1354">
        <v>25.15</v>
      </c>
      <c r="M1354">
        <v>2794.44</v>
      </c>
      <c r="N1354" s="2" t="s">
        <v>283</v>
      </c>
      <c r="O1354" s="2" t="s">
        <v>284</v>
      </c>
      <c r="P1354" s="2" t="s">
        <v>2515</v>
      </c>
      <c r="Q1354" s="2" t="s">
        <v>2663</v>
      </c>
      <c r="R1354" s="2" t="s">
        <v>29</v>
      </c>
      <c r="S1354" s="2" t="s">
        <v>30</v>
      </c>
    </row>
    <row r="1355" spans="1:19">
      <c r="A1355" s="1">
        <v>44470</v>
      </c>
      <c r="B1355" s="1">
        <v>44470</v>
      </c>
      <c r="C1355">
        <v>2021</v>
      </c>
      <c r="D1355">
        <v>10</v>
      </c>
      <c r="E1355" s="2" t="s">
        <v>287</v>
      </c>
      <c r="F1355" s="2" t="s">
        <v>288</v>
      </c>
      <c r="G1355" s="2" t="s">
        <v>39</v>
      </c>
      <c r="H1355" s="2" t="s">
        <v>22</v>
      </c>
      <c r="I1355" s="2" t="s">
        <v>40</v>
      </c>
      <c r="J1355" s="2" t="s">
        <v>59</v>
      </c>
      <c r="K1355">
        <v>5.34</v>
      </c>
      <c r="L1355">
        <v>64.3</v>
      </c>
      <c r="M1355">
        <v>1204.1199999999999</v>
      </c>
      <c r="N1355" s="2" t="s">
        <v>289</v>
      </c>
      <c r="O1355" s="2" t="s">
        <v>290</v>
      </c>
      <c r="P1355" s="2" t="s">
        <v>2664</v>
      </c>
      <c r="Q1355" s="2" t="s">
        <v>2665</v>
      </c>
      <c r="R1355" s="2" t="s">
        <v>29</v>
      </c>
      <c r="S1355" s="2" t="s">
        <v>30</v>
      </c>
    </row>
    <row r="1356" spans="1:19">
      <c r="A1356" s="1">
        <v>44470</v>
      </c>
      <c r="B1356" s="1">
        <v>44470</v>
      </c>
      <c r="C1356">
        <v>2021</v>
      </c>
      <c r="D1356">
        <v>10</v>
      </c>
      <c r="E1356" s="2" t="s">
        <v>293</v>
      </c>
      <c r="F1356" s="2" t="s">
        <v>294</v>
      </c>
      <c r="G1356" s="2" t="s">
        <v>21</v>
      </c>
      <c r="H1356" s="2" t="s">
        <v>22</v>
      </c>
      <c r="I1356" s="2" t="s">
        <v>295</v>
      </c>
      <c r="J1356" s="2" t="s">
        <v>24</v>
      </c>
      <c r="K1356">
        <v>1177.3499999999999</v>
      </c>
      <c r="L1356">
        <v>3056.61</v>
      </c>
      <c r="M1356">
        <v>259.62</v>
      </c>
      <c r="N1356" s="2" t="s">
        <v>296</v>
      </c>
      <c r="O1356" s="2" t="s">
        <v>297</v>
      </c>
      <c r="P1356" s="2" t="s">
        <v>2666</v>
      </c>
      <c r="Q1356" s="2" t="s">
        <v>2667</v>
      </c>
      <c r="R1356" s="2" t="s">
        <v>29</v>
      </c>
      <c r="S1356" s="2" t="s">
        <v>30</v>
      </c>
    </row>
    <row r="1357" spans="1:19">
      <c r="A1357" s="1">
        <v>44470</v>
      </c>
      <c r="B1357" s="1">
        <v>44470</v>
      </c>
      <c r="C1357">
        <v>2021</v>
      </c>
      <c r="D1357">
        <v>10</v>
      </c>
      <c r="E1357" s="2" t="s">
        <v>300</v>
      </c>
      <c r="F1357" s="2" t="s">
        <v>301</v>
      </c>
      <c r="G1357" s="2" t="s">
        <v>21</v>
      </c>
      <c r="H1357" s="2" t="s">
        <v>22</v>
      </c>
      <c r="I1357" s="2" t="s">
        <v>295</v>
      </c>
      <c r="J1357" s="2" t="s">
        <v>24</v>
      </c>
      <c r="K1357">
        <v>64.58</v>
      </c>
      <c r="L1357">
        <v>998.25</v>
      </c>
      <c r="M1357">
        <v>1545.76</v>
      </c>
      <c r="N1357" s="2" t="s">
        <v>302</v>
      </c>
      <c r="O1357" s="2" t="s">
        <v>303</v>
      </c>
      <c r="P1357" s="2" t="s">
        <v>2668</v>
      </c>
      <c r="Q1357" s="2" t="s">
        <v>2669</v>
      </c>
      <c r="R1357" s="2" t="s">
        <v>29</v>
      </c>
      <c r="S1357" s="2" t="s">
        <v>30</v>
      </c>
    </row>
    <row r="1358" spans="1:19">
      <c r="A1358" s="1">
        <v>44470</v>
      </c>
      <c r="B1358" s="1">
        <v>44470</v>
      </c>
      <c r="C1358">
        <v>2021</v>
      </c>
      <c r="D1358">
        <v>10</v>
      </c>
      <c r="E1358" s="2" t="s">
        <v>306</v>
      </c>
      <c r="F1358" s="2" t="s">
        <v>307</v>
      </c>
      <c r="G1358" s="2" t="s">
        <v>21</v>
      </c>
      <c r="H1358" s="2" t="s">
        <v>22</v>
      </c>
      <c r="I1358" s="2" t="s">
        <v>295</v>
      </c>
      <c r="J1358" s="2" t="s">
        <v>101</v>
      </c>
      <c r="K1358">
        <v>1241.93</v>
      </c>
      <c r="L1358">
        <v>4054.87</v>
      </c>
      <c r="M1358">
        <v>326.5</v>
      </c>
      <c r="N1358" s="2" t="s">
        <v>308</v>
      </c>
      <c r="O1358" s="2" t="s">
        <v>309</v>
      </c>
      <c r="P1358" s="2" t="s">
        <v>2670</v>
      </c>
      <c r="Q1358" s="2" t="s">
        <v>2671</v>
      </c>
      <c r="R1358" s="2" t="s">
        <v>29</v>
      </c>
      <c r="S1358" s="2" t="s">
        <v>30</v>
      </c>
    </row>
    <row r="1359" spans="1:19">
      <c r="A1359" s="1">
        <v>44470</v>
      </c>
      <c r="B1359" s="1">
        <v>44470</v>
      </c>
      <c r="C1359">
        <v>2021</v>
      </c>
      <c r="D1359">
        <v>10</v>
      </c>
      <c r="E1359" s="2" t="s">
        <v>312</v>
      </c>
      <c r="F1359" s="2" t="s">
        <v>313</v>
      </c>
      <c r="G1359" s="2" t="s">
        <v>21</v>
      </c>
      <c r="H1359" s="2" t="s">
        <v>22</v>
      </c>
      <c r="I1359" s="2" t="s">
        <v>295</v>
      </c>
      <c r="J1359" s="2" t="s">
        <v>59</v>
      </c>
      <c r="K1359">
        <v>6130.9</v>
      </c>
      <c r="L1359">
        <v>25757.32</v>
      </c>
      <c r="M1359">
        <v>420.12</v>
      </c>
      <c r="N1359" s="2" t="s">
        <v>314</v>
      </c>
      <c r="O1359" s="2" t="s">
        <v>315</v>
      </c>
      <c r="P1359" s="2" t="s">
        <v>2672</v>
      </c>
      <c r="Q1359" s="2" t="s">
        <v>2673</v>
      </c>
      <c r="R1359" s="2" t="s">
        <v>29</v>
      </c>
      <c r="S1359" s="2" t="s">
        <v>30</v>
      </c>
    </row>
    <row r="1360" spans="1:19">
      <c r="A1360" s="1">
        <v>44470</v>
      </c>
      <c r="B1360" s="1">
        <v>44470</v>
      </c>
      <c r="C1360">
        <v>2021</v>
      </c>
      <c r="D1360">
        <v>10</v>
      </c>
      <c r="E1360" s="2" t="s">
        <v>318</v>
      </c>
      <c r="F1360" s="2" t="s">
        <v>319</v>
      </c>
      <c r="G1360" s="2" t="s">
        <v>21</v>
      </c>
      <c r="H1360" s="2" t="s">
        <v>22</v>
      </c>
      <c r="I1360" s="2" t="s">
        <v>295</v>
      </c>
      <c r="J1360" s="2" t="s">
        <v>24</v>
      </c>
      <c r="K1360">
        <v>4888.97</v>
      </c>
      <c r="L1360">
        <v>21702.45</v>
      </c>
      <c r="M1360">
        <v>443.91</v>
      </c>
      <c r="N1360" s="2" t="s">
        <v>320</v>
      </c>
      <c r="O1360" s="2" t="s">
        <v>321</v>
      </c>
      <c r="P1360" s="2" t="s">
        <v>2674</v>
      </c>
      <c r="Q1360" s="2" t="s">
        <v>2675</v>
      </c>
      <c r="R1360" s="2" t="s">
        <v>29</v>
      </c>
      <c r="S1360" s="2" t="s">
        <v>30</v>
      </c>
    </row>
    <row r="1361" spans="1:19">
      <c r="A1361" s="1">
        <v>44470</v>
      </c>
      <c r="B1361" s="1">
        <v>44470</v>
      </c>
      <c r="C1361">
        <v>2021</v>
      </c>
      <c r="D1361">
        <v>10</v>
      </c>
      <c r="E1361" s="2" t="s">
        <v>324</v>
      </c>
      <c r="F1361" s="2" t="s">
        <v>325</v>
      </c>
      <c r="G1361" s="2" t="s">
        <v>21</v>
      </c>
      <c r="H1361" s="2" t="s">
        <v>22</v>
      </c>
      <c r="I1361" s="2" t="s">
        <v>23</v>
      </c>
      <c r="J1361" s="2" t="s">
        <v>59</v>
      </c>
      <c r="K1361">
        <v>52919.519999999997</v>
      </c>
      <c r="L1361">
        <v>3748602.37</v>
      </c>
      <c r="M1361">
        <v>7083.59</v>
      </c>
      <c r="N1361" s="2" t="s">
        <v>326</v>
      </c>
      <c r="O1361" s="2" t="s">
        <v>327</v>
      </c>
      <c r="P1361" s="2" t="s">
        <v>2676</v>
      </c>
      <c r="Q1361" s="2" t="s">
        <v>2677</v>
      </c>
      <c r="R1361" s="2" t="s">
        <v>29</v>
      </c>
      <c r="S1361" s="2" t="s">
        <v>30</v>
      </c>
    </row>
    <row r="1362" spans="1:19">
      <c r="A1362" s="1">
        <v>44470</v>
      </c>
      <c r="B1362" s="1">
        <v>44470</v>
      </c>
      <c r="C1362">
        <v>2021</v>
      </c>
      <c r="D1362">
        <v>10</v>
      </c>
      <c r="E1362" s="2" t="s">
        <v>330</v>
      </c>
      <c r="F1362" s="2" t="s">
        <v>331</v>
      </c>
      <c r="G1362" s="2" t="s">
        <v>21</v>
      </c>
      <c r="H1362" s="2" t="s">
        <v>332</v>
      </c>
      <c r="I1362" s="2" t="s">
        <v>333</v>
      </c>
      <c r="J1362" s="2" t="s">
        <v>24</v>
      </c>
      <c r="K1362">
        <v>182.9</v>
      </c>
      <c r="L1362">
        <v>8956918.2699999996</v>
      </c>
      <c r="M1362">
        <v>4897166.91</v>
      </c>
      <c r="N1362" s="2" t="s">
        <v>334</v>
      </c>
      <c r="O1362" s="2" t="s">
        <v>335</v>
      </c>
      <c r="P1362" s="2" t="s">
        <v>2678</v>
      </c>
      <c r="Q1362" s="2" t="s">
        <v>2679</v>
      </c>
      <c r="R1362" s="2" t="s">
        <v>29</v>
      </c>
      <c r="S1362" s="2" t="s">
        <v>30</v>
      </c>
    </row>
    <row r="1363" spans="1:19">
      <c r="A1363" s="1">
        <v>44470</v>
      </c>
      <c r="B1363" s="1">
        <v>44470</v>
      </c>
      <c r="C1363">
        <v>2021</v>
      </c>
      <c r="D1363">
        <v>10</v>
      </c>
      <c r="E1363" s="2" t="s">
        <v>338</v>
      </c>
      <c r="F1363" s="2" t="s">
        <v>339</v>
      </c>
      <c r="G1363" s="2" t="s">
        <v>21</v>
      </c>
      <c r="H1363" s="2" t="s">
        <v>332</v>
      </c>
      <c r="I1363" s="2" t="s">
        <v>333</v>
      </c>
      <c r="J1363" s="2" t="s">
        <v>24</v>
      </c>
      <c r="K1363">
        <v>1.22</v>
      </c>
      <c r="L1363">
        <v>1177449.6399999999</v>
      </c>
      <c r="M1363">
        <v>96512265.569999993</v>
      </c>
      <c r="N1363" s="2" t="s">
        <v>340</v>
      </c>
      <c r="O1363" s="2" t="s">
        <v>341</v>
      </c>
      <c r="P1363" s="2" t="s">
        <v>1140</v>
      </c>
      <c r="Q1363" s="2" t="s">
        <v>2680</v>
      </c>
      <c r="R1363" s="2" t="s">
        <v>29</v>
      </c>
      <c r="S1363" s="2" t="s">
        <v>30</v>
      </c>
    </row>
    <row r="1364" spans="1:19">
      <c r="A1364" s="1">
        <v>44470</v>
      </c>
      <c r="B1364" s="1">
        <v>44470</v>
      </c>
      <c r="C1364">
        <v>2021</v>
      </c>
      <c r="D1364">
        <v>10</v>
      </c>
      <c r="E1364" s="2" t="s">
        <v>344</v>
      </c>
      <c r="F1364" s="2" t="s">
        <v>345</v>
      </c>
      <c r="G1364" s="2" t="s">
        <v>21</v>
      </c>
      <c r="H1364" s="2" t="s">
        <v>332</v>
      </c>
      <c r="I1364" s="2" t="s">
        <v>333</v>
      </c>
      <c r="J1364" s="2" t="s">
        <v>59</v>
      </c>
      <c r="K1364">
        <v>184.11</v>
      </c>
      <c r="L1364">
        <v>10134367.91</v>
      </c>
      <c r="M1364">
        <v>5504517.9000000004</v>
      </c>
      <c r="N1364" s="2" t="s">
        <v>346</v>
      </c>
      <c r="O1364" s="2" t="s">
        <v>347</v>
      </c>
      <c r="P1364" s="2" t="s">
        <v>2681</v>
      </c>
      <c r="Q1364" s="2" t="s">
        <v>2682</v>
      </c>
      <c r="R1364" s="2" t="s">
        <v>29</v>
      </c>
      <c r="S1364" s="2" t="s">
        <v>30</v>
      </c>
    </row>
    <row r="1365" spans="1:19">
      <c r="A1365" s="1">
        <v>44470</v>
      </c>
      <c r="B1365" s="1">
        <v>44470</v>
      </c>
      <c r="C1365">
        <v>2021</v>
      </c>
      <c r="D1365">
        <v>10</v>
      </c>
      <c r="E1365" s="2" t="s">
        <v>350</v>
      </c>
      <c r="F1365" s="2" t="s">
        <v>351</v>
      </c>
      <c r="G1365" s="2" t="s">
        <v>21</v>
      </c>
      <c r="H1365" s="2" t="s">
        <v>22</v>
      </c>
      <c r="I1365" s="2" t="s">
        <v>352</v>
      </c>
      <c r="J1365" s="2" t="s">
        <v>353</v>
      </c>
      <c r="K1365">
        <v>66222.66</v>
      </c>
      <c r="L1365">
        <v>14171917.310000001</v>
      </c>
      <c r="M1365">
        <v>21400.400000000001</v>
      </c>
      <c r="N1365" s="2" t="s">
        <v>354</v>
      </c>
      <c r="O1365" s="2" t="s">
        <v>355</v>
      </c>
      <c r="P1365" s="2" t="s">
        <v>2683</v>
      </c>
      <c r="Q1365" s="2" t="s">
        <v>2684</v>
      </c>
      <c r="R1365" s="2" t="s">
        <v>29</v>
      </c>
      <c r="S1365" s="2" t="s">
        <v>30</v>
      </c>
    </row>
    <row r="1366" spans="1:19">
      <c r="A1366" s="1">
        <v>44470</v>
      </c>
      <c r="B1366" s="1">
        <v>44470</v>
      </c>
      <c r="C1366">
        <v>2021</v>
      </c>
      <c r="D1366">
        <v>10</v>
      </c>
      <c r="E1366" s="2" t="s">
        <v>358</v>
      </c>
      <c r="F1366" s="2" t="s">
        <v>359</v>
      </c>
      <c r="G1366" s="2" t="s">
        <v>21</v>
      </c>
      <c r="H1366" s="2" t="s">
        <v>22</v>
      </c>
      <c r="I1366" s="2" t="s">
        <v>352</v>
      </c>
      <c r="J1366" s="2" t="s">
        <v>353</v>
      </c>
      <c r="K1366">
        <v>66857.86</v>
      </c>
      <c r="L1366">
        <v>14754521.189999999</v>
      </c>
      <c r="M1366">
        <v>22068.49</v>
      </c>
      <c r="N1366" s="2" t="s">
        <v>360</v>
      </c>
      <c r="O1366" s="2" t="s">
        <v>361</v>
      </c>
      <c r="P1366" s="2" t="s">
        <v>2685</v>
      </c>
      <c r="Q1366" s="2" t="s">
        <v>2686</v>
      </c>
      <c r="R1366" s="2" t="s">
        <v>29</v>
      </c>
      <c r="S1366" s="2" t="s">
        <v>30</v>
      </c>
    </row>
    <row r="1367" spans="1:19">
      <c r="A1367" s="1">
        <v>44470</v>
      </c>
      <c r="B1367" s="1">
        <v>44470</v>
      </c>
      <c r="C1367">
        <v>2021</v>
      </c>
      <c r="D1367">
        <v>10</v>
      </c>
      <c r="E1367" s="2" t="s">
        <v>364</v>
      </c>
      <c r="F1367" s="2" t="s">
        <v>365</v>
      </c>
      <c r="G1367" s="2" t="s">
        <v>21</v>
      </c>
      <c r="H1367" s="2" t="s">
        <v>22</v>
      </c>
      <c r="I1367" s="2" t="s">
        <v>352</v>
      </c>
      <c r="J1367" s="2" t="s">
        <v>353</v>
      </c>
      <c r="K1367">
        <v>66673.75</v>
      </c>
      <c r="L1367">
        <v>4620153.2699999996</v>
      </c>
      <c r="M1367">
        <v>6929.49</v>
      </c>
      <c r="N1367" s="2" t="s">
        <v>366</v>
      </c>
      <c r="O1367" s="2" t="s">
        <v>367</v>
      </c>
      <c r="P1367" s="2" t="s">
        <v>2687</v>
      </c>
      <c r="Q1367" s="2" t="s">
        <v>2688</v>
      </c>
      <c r="R1367" s="2" t="s">
        <v>29</v>
      </c>
      <c r="S1367" s="2" t="s">
        <v>30</v>
      </c>
    </row>
    <row r="1368" spans="1:19">
      <c r="A1368" s="1">
        <v>44470</v>
      </c>
      <c r="B1368" s="1">
        <v>44470</v>
      </c>
      <c r="C1368">
        <v>2021</v>
      </c>
      <c r="D1368">
        <v>10</v>
      </c>
      <c r="E1368" s="2" t="s">
        <v>370</v>
      </c>
      <c r="F1368" s="2" t="s">
        <v>371</v>
      </c>
      <c r="G1368" s="2" t="s">
        <v>21</v>
      </c>
      <c r="H1368" s="2" t="s">
        <v>22</v>
      </c>
      <c r="I1368" s="2" t="s">
        <v>23</v>
      </c>
      <c r="J1368" s="2" t="s">
        <v>24</v>
      </c>
      <c r="K1368">
        <v>42184.32</v>
      </c>
      <c r="L1368">
        <v>771406.99</v>
      </c>
      <c r="M1368">
        <v>1828.66</v>
      </c>
      <c r="N1368" s="2" t="s">
        <v>372</v>
      </c>
      <c r="O1368" s="2" t="s">
        <v>373</v>
      </c>
      <c r="P1368" s="2" t="s">
        <v>2689</v>
      </c>
      <c r="Q1368" s="2" t="s">
        <v>2690</v>
      </c>
      <c r="R1368" s="2" t="s">
        <v>29</v>
      </c>
      <c r="S1368" s="2" t="s">
        <v>30</v>
      </c>
    </row>
    <row r="1369" spans="1:19">
      <c r="A1369" s="1">
        <v>44470</v>
      </c>
      <c r="B1369" s="1">
        <v>44470</v>
      </c>
      <c r="C1369">
        <v>2021</v>
      </c>
      <c r="D1369">
        <v>10</v>
      </c>
      <c r="E1369" s="2" t="s">
        <v>376</v>
      </c>
      <c r="F1369" s="2" t="s">
        <v>377</v>
      </c>
      <c r="G1369" s="2" t="s">
        <v>21</v>
      </c>
      <c r="H1369" s="2" t="s">
        <v>22</v>
      </c>
      <c r="I1369" s="2" t="s">
        <v>23</v>
      </c>
      <c r="J1369" s="2" t="s">
        <v>378</v>
      </c>
      <c r="K1369">
        <v>1.1100000000000001</v>
      </c>
      <c r="L1369">
        <v>16.489999999999998</v>
      </c>
      <c r="M1369">
        <v>1485.59</v>
      </c>
      <c r="N1369" s="2" t="s">
        <v>379</v>
      </c>
      <c r="O1369" s="2" t="s">
        <v>380</v>
      </c>
      <c r="P1369" s="2" t="s">
        <v>2691</v>
      </c>
      <c r="Q1369" s="2" t="s">
        <v>2692</v>
      </c>
      <c r="R1369" s="2" t="s">
        <v>29</v>
      </c>
      <c r="S1369" s="2" t="s">
        <v>30</v>
      </c>
    </row>
    <row r="1370" spans="1:19">
      <c r="A1370" s="1">
        <v>44501</v>
      </c>
      <c r="B1370" s="1">
        <v>44501</v>
      </c>
      <c r="C1370">
        <v>2021</v>
      </c>
      <c r="D1370">
        <v>11</v>
      </c>
      <c r="E1370" s="2" t="s">
        <v>19</v>
      </c>
      <c r="F1370" s="2" t="s">
        <v>20</v>
      </c>
      <c r="G1370" s="2" t="s">
        <v>21</v>
      </c>
      <c r="H1370" s="2" t="s">
        <v>22</v>
      </c>
      <c r="I1370" s="2" t="s">
        <v>23</v>
      </c>
      <c r="J1370" s="2" t="s">
        <v>24</v>
      </c>
      <c r="K1370">
        <v>0.62</v>
      </c>
      <c r="L1370">
        <v>35</v>
      </c>
      <c r="M1370">
        <v>5645.16</v>
      </c>
      <c r="N1370" s="2" t="s">
        <v>25</v>
      </c>
      <c r="O1370" s="2" t="s">
        <v>26</v>
      </c>
      <c r="P1370" s="2" t="s">
        <v>2693</v>
      </c>
      <c r="Q1370" s="2" t="s">
        <v>2694</v>
      </c>
      <c r="R1370" s="2" t="s">
        <v>29</v>
      </c>
      <c r="S1370" s="2" t="s">
        <v>30</v>
      </c>
    </row>
    <row r="1371" spans="1:19">
      <c r="A1371" s="1">
        <v>44501</v>
      </c>
      <c r="B1371" s="1">
        <v>44501</v>
      </c>
      <c r="C1371">
        <v>2021</v>
      </c>
      <c r="D1371">
        <v>11</v>
      </c>
      <c r="E1371" s="2" t="s">
        <v>31</v>
      </c>
      <c r="F1371" s="2" t="s">
        <v>32</v>
      </c>
      <c r="G1371" s="2" t="s">
        <v>21</v>
      </c>
      <c r="H1371" s="2" t="s">
        <v>22</v>
      </c>
      <c r="I1371" s="2" t="s">
        <v>23</v>
      </c>
      <c r="J1371" s="2" t="s">
        <v>24</v>
      </c>
      <c r="K1371">
        <v>1119.1600000000001</v>
      </c>
      <c r="L1371">
        <v>9750</v>
      </c>
      <c r="M1371">
        <v>871.19</v>
      </c>
      <c r="N1371" s="2" t="s">
        <v>33</v>
      </c>
      <c r="O1371" s="2" t="s">
        <v>34</v>
      </c>
      <c r="P1371" s="2" t="s">
        <v>2695</v>
      </c>
      <c r="Q1371" s="2" t="s">
        <v>2696</v>
      </c>
      <c r="R1371" s="2" t="s">
        <v>29</v>
      </c>
      <c r="S1371" s="2" t="s">
        <v>30</v>
      </c>
    </row>
    <row r="1372" spans="1:19">
      <c r="A1372" s="1">
        <v>44501</v>
      </c>
      <c r="B1372" s="1">
        <v>44501</v>
      </c>
      <c r="C1372">
        <v>2021</v>
      </c>
      <c r="D1372">
        <v>11</v>
      </c>
      <c r="E1372" s="2" t="s">
        <v>37</v>
      </c>
      <c r="F1372" s="2" t="s">
        <v>38</v>
      </c>
      <c r="G1372" s="2" t="s">
        <v>39</v>
      </c>
      <c r="H1372" s="2" t="s">
        <v>22</v>
      </c>
      <c r="I1372" s="2" t="s">
        <v>40</v>
      </c>
      <c r="J1372" s="2" t="s">
        <v>24</v>
      </c>
      <c r="K1372">
        <v>5.45</v>
      </c>
      <c r="L1372">
        <v>276</v>
      </c>
      <c r="M1372">
        <v>5064.22</v>
      </c>
      <c r="N1372" s="2" t="s">
        <v>41</v>
      </c>
      <c r="O1372" s="2" t="s">
        <v>42</v>
      </c>
      <c r="P1372" s="2" t="s">
        <v>2697</v>
      </c>
      <c r="Q1372" s="2" t="s">
        <v>2698</v>
      </c>
      <c r="R1372" s="2" t="s">
        <v>29</v>
      </c>
      <c r="S1372" s="2" t="s">
        <v>30</v>
      </c>
    </row>
    <row r="1373" spans="1:19">
      <c r="A1373" s="1">
        <v>44501</v>
      </c>
      <c r="B1373" s="1">
        <v>44501</v>
      </c>
      <c r="C1373">
        <v>2021</v>
      </c>
      <c r="D1373">
        <v>11</v>
      </c>
      <c r="E1373" s="2" t="s">
        <v>45</v>
      </c>
      <c r="F1373" s="2" t="s">
        <v>46</v>
      </c>
      <c r="G1373" s="2" t="s">
        <v>39</v>
      </c>
      <c r="H1373" s="2" t="s">
        <v>22</v>
      </c>
      <c r="I1373" s="2" t="s">
        <v>40</v>
      </c>
      <c r="J1373" s="2" t="s">
        <v>24</v>
      </c>
      <c r="K1373">
        <v>5653.68</v>
      </c>
      <c r="L1373">
        <v>270515.09000000003</v>
      </c>
      <c r="M1373">
        <v>4784.76</v>
      </c>
      <c r="N1373" s="2" t="s">
        <v>47</v>
      </c>
      <c r="O1373" s="2" t="s">
        <v>48</v>
      </c>
      <c r="P1373" s="2" t="s">
        <v>2699</v>
      </c>
      <c r="Q1373" s="2" t="s">
        <v>2700</v>
      </c>
      <c r="R1373" s="2" t="s">
        <v>29</v>
      </c>
      <c r="S1373" s="2" t="s">
        <v>30</v>
      </c>
    </row>
    <row r="1374" spans="1:19">
      <c r="A1374" s="1">
        <v>44501</v>
      </c>
      <c r="B1374" s="1">
        <v>44501</v>
      </c>
      <c r="C1374">
        <v>2021</v>
      </c>
      <c r="D1374">
        <v>11</v>
      </c>
      <c r="E1374" s="2" t="s">
        <v>51</v>
      </c>
      <c r="F1374" s="2" t="s">
        <v>52</v>
      </c>
      <c r="G1374" s="2" t="s">
        <v>39</v>
      </c>
      <c r="H1374" s="2" t="s">
        <v>22</v>
      </c>
      <c r="I1374" s="2" t="s">
        <v>40</v>
      </c>
      <c r="J1374" s="2" t="s">
        <v>24</v>
      </c>
      <c r="K1374">
        <v>28.44</v>
      </c>
      <c r="L1374">
        <v>939.13</v>
      </c>
      <c r="M1374">
        <v>3302.14</v>
      </c>
      <c r="N1374" s="2" t="s">
        <v>53</v>
      </c>
      <c r="O1374" s="2" t="s">
        <v>54</v>
      </c>
      <c r="P1374" s="2" t="s">
        <v>2701</v>
      </c>
      <c r="Q1374" s="2" t="s">
        <v>2702</v>
      </c>
      <c r="R1374" s="2" t="s">
        <v>29</v>
      </c>
      <c r="S1374" s="2" t="s">
        <v>30</v>
      </c>
    </row>
    <row r="1375" spans="1:19">
      <c r="A1375" s="1">
        <v>44501</v>
      </c>
      <c r="B1375" s="1">
        <v>44501</v>
      </c>
      <c r="C1375">
        <v>2021</v>
      </c>
      <c r="D1375">
        <v>11</v>
      </c>
      <c r="E1375" s="2" t="s">
        <v>57</v>
      </c>
      <c r="F1375" s="2" t="s">
        <v>58</v>
      </c>
      <c r="G1375" s="2" t="s">
        <v>39</v>
      </c>
      <c r="H1375" s="2" t="s">
        <v>22</v>
      </c>
      <c r="I1375" s="2" t="s">
        <v>40</v>
      </c>
      <c r="J1375" s="2" t="s">
        <v>59</v>
      </c>
      <c r="K1375">
        <v>5687.57</v>
      </c>
      <c r="L1375">
        <v>271730.21999999997</v>
      </c>
      <c r="M1375">
        <v>4777.62</v>
      </c>
      <c r="N1375" s="2" t="s">
        <v>60</v>
      </c>
      <c r="O1375" s="2" t="s">
        <v>61</v>
      </c>
      <c r="P1375" s="2" t="s">
        <v>2703</v>
      </c>
      <c r="Q1375" s="2" t="s">
        <v>2704</v>
      </c>
      <c r="R1375" s="2" t="s">
        <v>29</v>
      </c>
      <c r="S1375" s="2" t="s">
        <v>30</v>
      </c>
    </row>
    <row r="1376" spans="1:19">
      <c r="A1376" s="1">
        <v>44501</v>
      </c>
      <c r="B1376" s="1">
        <v>44501</v>
      </c>
      <c r="C1376">
        <v>2021</v>
      </c>
      <c r="D1376">
        <v>11</v>
      </c>
      <c r="E1376" s="2" t="s">
        <v>64</v>
      </c>
      <c r="F1376" s="2" t="s">
        <v>65</v>
      </c>
      <c r="G1376" s="2" t="s">
        <v>21</v>
      </c>
      <c r="H1376" s="2" t="s">
        <v>22</v>
      </c>
      <c r="I1376" s="2" t="s">
        <v>66</v>
      </c>
      <c r="J1376" s="2" t="s">
        <v>24</v>
      </c>
      <c r="K1376">
        <v>19.78</v>
      </c>
      <c r="L1376">
        <v>536</v>
      </c>
      <c r="M1376">
        <v>2709.81</v>
      </c>
      <c r="N1376" s="2" t="s">
        <v>67</v>
      </c>
      <c r="O1376" s="2" t="s">
        <v>68</v>
      </c>
      <c r="P1376" s="2" t="s">
        <v>2705</v>
      </c>
      <c r="Q1376" s="2" t="s">
        <v>2706</v>
      </c>
      <c r="R1376" s="2" t="s">
        <v>29</v>
      </c>
      <c r="S1376" s="2" t="s">
        <v>30</v>
      </c>
    </row>
    <row r="1377" spans="1:19">
      <c r="A1377" s="1">
        <v>44501</v>
      </c>
      <c r="B1377" s="1">
        <v>44501</v>
      </c>
      <c r="C1377">
        <v>2021</v>
      </c>
      <c r="D1377">
        <v>11</v>
      </c>
      <c r="E1377" s="2" t="s">
        <v>71</v>
      </c>
      <c r="F1377" s="2" t="s">
        <v>72</v>
      </c>
      <c r="G1377" s="2" t="s">
        <v>21</v>
      </c>
      <c r="H1377" s="2" t="s">
        <v>22</v>
      </c>
      <c r="I1377" s="2" t="s">
        <v>73</v>
      </c>
      <c r="J1377" s="2" t="s">
        <v>59</v>
      </c>
      <c r="K1377">
        <v>5418.18</v>
      </c>
      <c r="L1377">
        <v>156326.20000000001</v>
      </c>
      <c r="M1377">
        <v>2885.22</v>
      </c>
      <c r="N1377" s="2" t="s">
        <v>74</v>
      </c>
      <c r="O1377" s="2" t="s">
        <v>75</v>
      </c>
      <c r="P1377" s="2" t="s">
        <v>2707</v>
      </c>
      <c r="Q1377" s="2" t="s">
        <v>2708</v>
      </c>
      <c r="R1377" s="2" t="s">
        <v>29</v>
      </c>
      <c r="S1377" s="2" t="s">
        <v>30</v>
      </c>
    </row>
    <row r="1378" spans="1:19">
      <c r="A1378" s="1">
        <v>44501</v>
      </c>
      <c r="B1378" s="1">
        <v>44501</v>
      </c>
      <c r="C1378">
        <v>2021</v>
      </c>
      <c r="D1378">
        <v>11</v>
      </c>
      <c r="E1378" s="2" t="s">
        <v>78</v>
      </c>
      <c r="F1378" s="2" t="s">
        <v>79</v>
      </c>
      <c r="G1378" s="2" t="s">
        <v>80</v>
      </c>
      <c r="H1378" s="2" t="s">
        <v>81</v>
      </c>
      <c r="I1378" s="2" t="s">
        <v>82</v>
      </c>
      <c r="J1378" s="2" t="s">
        <v>24</v>
      </c>
      <c r="K1378">
        <v>1.53</v>
      </c>
      <c r="L1378">
        <v>4816873</v>
      </c>
      <c r="M1378">
        <v>314828300.64999998</v>
      </c>
      <c r="N1378" s="2" t="s">
        <v>83</v>
      </c>
      <c r="O1378" s="2" t="s">
        <v>84</v>
      </c>
      <c r="P1378" s="2" t="s">
        <v>2709</v>
      </c>
      <c r="Q1378" s="2" t="s">
        <v>2710</v>
      </c>
      <c r="R1378" s="2" t="s">
        <v>29</v>
      </c>
      <c r="S1378" s="2" t="s">
        <v>30</v>
      </c>
    </row>
    <row r="1379" spans="1:19">
      <c r="A1379" s="1">
        <v>44501</v>
      </c>
      <c r="B1379" s="1">
        <v>44501</v>
      </c>
      <c r="C1379">
        <v>2021</v>
      </c>
      <c r="D1379">
        <v>11</v>
      </c>
      <c r="E1379" s="2" t="s">
        <v>87</v>
      </c>
      <c r="F1379" s="2" t="s">
        <v>88</v>
      </c>
      <c r="G1379" s="2" t="s">
        <v>80</v>
      </c>
      <c r="H1379" s="2" t="s">
        <v>81</v>
      </c>
      <c r="I1379" s="2" t="s">
        <v>82</v>
      </c>
      <c r="J1379" s="2" t="s">
        <v>24</v>
      </c>
      <c r="K1379">
        <v>0.46</v>
      </c>
      <c r="L1379">
        <v>617831</v>
      </c>
      <c r="M1379">
        <v>134311086.96000001</v>
      </c>
      <c r="N1379" s="2" t="s">
        <v>89</v>
      </c>
      <c r="O1379" s="2" t="s">
        <v>90</v>
      </c>
      <c r="P1379" s="2" t="s">
        <v>2711</v>
      </c>
      <c r="Q1379" s="2" t="s">
        <v>2712</v>
      </c>
      <c r="R1379" s="2" t="s">
        <v>29</v>
      </c>
      <c r="S1379" s="2" t="s">
        <v>30</v>
      </c>
    </row>
    <row r="1380" spans="1:19">
      <c r="A1380" s="1">
        <v>44501</v>
      </c>
      <c r="B1380" s="1">
        <v>44501</v>
      </c>
      <c r="C1380">
        <v>2021</v>
      </c>
      <c r="D1380">
        <v>11</v>
      </c>
      <c r="E1380" s="2" t="s">
        <v>93</v>
      </c>
      <c r="F1380" s="2" t="s">
        <v>94</v>
      </c>
      <c r="G1380" s="2" t="s">
        <v>80</v>
      </c>
      <c r="H1380" s="2" t="s">
        <v>81</v>
      </c>
      <c r="I1380" s="2" t="s">
        <v>82</v>
      </c>
      <c r="J1380" s="2" t="s">
        <v>24</v>
      </c>
      <c r="K1380">
        <v>0.26</v>
      </c>
      <c r="L1380">
        <v>4273958</v>
      </c>
      <c r="M1380">
        <v>1643830000</v>
      </c>
      <c r="N1380" s="2" t="s">
        <v>95</v>
      </c>
      <c r="O1380" s="2" t="s">
        <v>96</v>
      </c>
      <c r="P1380" s="2" t="s">
        <v>1941</v>
      </c>
      <c r="Q1380" s="2" t="s">
        <v>2713</v>
      </c>
      <c r="R1380" s="2" t="s">
        <v>29</v>
      </c>
      <c r="S1380" s="2" t="s">
        <v>30</v>
      </c>
    </row>
    <row r="1381" spans="1:19">
      <c r="A1381" s="1">
        <v>44501</v>
      </c>
      <c r="B1381" s="1">
        <v>44501</v>
      </c>
      <c r="C1381">
        <v>2021</v>
      </c>
      <c r="D1381">
        <v>11</v>
      </c>
      <c r="E1381" s="2" t="s">
        <v>99</v>
      </c>
      <c r="F1381" s="2" t="s">
        <v>100</v>
      </c>
      <c r="G1381" s="2" t="s">
        <v>80</v>
      </c>
      <c r="H1381" s="2" t="s">
        <v>81</v>
      </c>
      <c r="I1381" s="2" t="s">
        <v>82</v>
      </c>
      <c r="J1381" s="2" t="s">
        <v>101</v>
      </c>
      <c r="K1381">
        <v>0.97</v>
      </c>
      <c r="L1381">
        <v>12229072</v>
      </c>
      <c r="M1381">
        <v>1260729072.1600001</v>
      </c>
      <c r="N1381" s="2" t="s">
        <v>102</v>
      </c>
      <c r="O1381" s="2" t="s">
        <v>103</v>
      </c>
      <c r="P1381" s="2" t="s">
        <v>1525</v>
      </c>
      <c r="Q1381" s="2" t="s">
        <v>2714</v>
      </c>
      <c r="R1381" s="2" t="s">
        <v>29</v>
      </c>
      <c r="S1381" s="2" t="s">
        <v>30</v>
      </c>
    </row>
    <row r="1382" spans="1:19">
      <c r="A1382" s="1">
        <v>44501</v>
      </c>
      <c r="B1382" s="1">
        <v>44501</v>
      </c>
      <c r="C1382">
        <v>2021</v>
      </c>
      <c r="D1382">
        <v>11</v>
      </c>
      <c r="E1382" s="2" t="s">
        <v>106</v>
      </c>
      <c r="F1382" s="2" t="s">
        <v>107</v>
      </c>
      <c r="G1382" s="2" t="s">
        <v>80</v>
      </c>
      <c r="H1382" s="2" t="s">
        <v>81</v>
      </c>
      <c r="I1382" s="2" t="s">
        <v>82</v>
      </c>
      <c r="J1382" s="2" t="s">
        <v>24</v>
      </c>
      <c r="K1382">
        <v>0.25</v>
      </c>
      <c r="L1382">
        <v>7337283</v>
      </c>
      <c r="M1382">
        <v>2934913200</v>
      </c>
      <c r="N1382" s="2" t="s">
        <v>108</v>
      </c>
      <c r="O1382" s="2" t="s">
        <v>109</v>
      </c>
      <c r="P1382" s="2" t="s">
        <v>876</v>
      </c>
      <c r="Q1382" s="2" t="s">
        <v>2715</v>
      </c>
      <c r="R1382" s="2" t="s">
        <v>29</v>
      </c>
      <c r="S1382" s="2" t="s">
        <v>30</v>
      </c>
    </row>
    <row r="1383" spans="1:19">
      <c r="A1383" s="1">
        <v>44501</v>
      </c>
      <c r="B1383" s="1">
        <v>44501</v>
      </c>
      <c r="C1383">
        <v>2021</v>
      </c>
      <c r="D1383">
        <v>11</v>
      </c>
      <c r="E1383" s="2" t="s">
        <v>111</v>
      </c>
      <c r="F1383" s="2" t="s">
        <v>112</v>
      </c>
      <c r="G1383" s="2" t="s">
        <v>80</v>
      </c>
      <c r="H1383" s="2" t="s">
        <v>81</v>
      </c>
      <c r="I1383" s="2" t="s">
        <v>82</v>
      </c>
      <c r="J1383" s="2" t="s">
        <v>24</v>
      </c>
      <c r="K1383">
        <v>0.06</v>
      </c>
      <c r="L1383">
        <v>318437</v>
      </c>
      <c r="M1383">
        <v>530728333.32999998</v>
      </c>
      <c r="N1383" s="2" t="s">
        <v>113</v>
      </c>
      <c r="O1383" s="2" t="s">
        <v>114</v>
      </c>
      <c r="P1383" s="2" t="s">
        <v>1945</v>
      </c>
      <c r="Q1383" s="2" t="s">
        <v>2716</v>
      </c>
      <c r="R1383" s="2" t="s">
        <v>29</v>
      </c>
      <c r="S1383" s="2" t="s">
        <v>30</v>
      </c>
    </row>
    <row r="1384" spans="1:19">
      <c r="A1384" s="1">
        <v>44501</v>
      </c>
      <c r="B1384" s="1">
        <v>44501</v>
      </c>
      <c r="C1384">
        <v>2021</v>
      </c>
      <c r="D1384">
        <v>11</v>
      </c>
      <c r="E1384" s="2" t="s">
        <v>117</v>
      </c>
      <c r="F1384" s="2" t="s">
        <v>118</v>
      </c>
      <c r="G1384" s="2" t="s">
        <v>80</v>
      </c>
      <c r="H1384" s="2" t="s">
        <v>81</v>
      </c>
      <c r="I1384" s="2" t="s">
        <v>82</v>
      </c>
      <c r="J1384" s="2" t="s">
        <v>59</v>
      </c>
      <c r="K1384">
        <v>2.56</v>
      </c>
      <c r="L1384">
        <v>17364382</v>
      </c>
      <c r="M1384">
        <v>678296171.88</v>
      </c>
      <c r="N1384" s="2" t="s">
        <v>119</v>
      </c>
      <c r="O1384" s="2" t="s">
        <v>120</v>
      </c>
      <c r="P1384" s="2" t="s">
        <v>2717</v>
      </c>
      <c r="Q1384" s="2" t="s">
        <v>2718</v>
      </c>
      <c r="R1384" s="2" t="s">
        <v>29</v>
      </c>
      <c r="S1384" s="2" t="s">
        <v>30</v>
      </c>
    </row>
    <row r="1385" spans="1:19">
      <c r="A1385" s="1">
        <v>44501</v>
      </c>
      <c r="B1385" s="1">
        <v>44501</v>
      </c>
      <c r="C1385">
        <v>2021</v>
      </c>
      <c r="D1385">
        <v>11</v>
      </c>
      <c r="E1385" s="2" t="s">
        <v>123</v>
      </c>
      <c r="F1385" s="2" t="s">
        <v>124</v>
      </c>
      <c r="G1385" s="2" t="s">
        <v>21</v>
      </c>
      <c r="H1385" s="2" t="s">
        <v>22</v>
      </c>
      <c r="I1385" s="2" t="s">
        <v>73</v>
      </c>
      <c r="J1385" s="2" t="s">
        <v>24</v>
      </c>
      <c r="K1385">
        <v>942.23</v>
      </c>
      <c r="L1385">
        <v>51718.05</v>
      </c>
      <c r="M1385">
        <v>5488.9</v>
      </c>
      <c r="N1385" s="2" t="s">
        <v>125</v>
      </c>
      <c r="O1385" s="2" t="s">
        <v>126</v>
      </c>
      <c r="P1385" s="2" t="s">
        <v>2719</v>
      </c>
      <c r="Q1385" s="2" t="s">
        <v>2720</v>
      </c>
      <c r="R1385" s="2" t="s">
        <v>29</v>
      </c>
      <c r="S1385" s="2" t="s">
        <v>30</v>
      </c>
    </row>
    <row r="1386" spans="1:19">
      <c r="A1386" s="1">
        <v>44501</v>
      </c>
      <c r="B1386" s="1">
        <v>44501</v>
      </c>
      <c r="C1386">
        <v>2021</v>
      </c>
      <c r="D1386">
        <v>11</v>
      </c>
      <c r="E1386" s="2" t="s">
        <v>129</v>
      </c>
      <c r="F1386" s="2" t="s">
        <v>130</v>
      </c>
      <c r="G1386" s="2" t="s">
        <v>21</v>
      </c>
      <c r="H1386" s="2" t="s">
        <v>22</v>
      </c>
      <c r="I1386" s="2" t="s">
        <v>73</v>
      </c>
      <c r="J1386" s="2" t="s">
        <v>24</v>
      </c>
      <c r="K1386">
        <v>1068.93</v>
      </c>
      <c r="L1386">
        <v>37498.79</v>
      </c>
      <c r="M1386">
        <v>3508.07</v>
      </c>
      <c r="N1386" s="2" t="s">
        <v>131</v>
      </c>
      <c r="O1386" s="2" t="s">
        <v>132</v>
      </c>
      <c r="P1386" s="2" t="s">
        <v>2721</v>
      </c>
      <c r="Q1386" s="2" t="s">
        <v>2722</v>
      </c>
      <c r="R1386" s="2" t="s">
        <v>29</v>
      </c>
      <c r="S1386" s="2" t="s">
        <v>30</v>
      </c>
    </row>
    <row r="1387" spans="1:19">
      <c r="A1387" s="1">
        <v>44501</v>
      </c>
      <c r="B1387" s="1">
        <v>44501</v>
      </c>
      <c r="C1387">
        <v>2021</v>
      </c>
      <c r="D1387">
        <v>11</v>
      </c>
      <c r="E1387" s="2" t="s">
        <v>135</v>
      </c>
      <c r="F1387" s="2" t="s">
        <v>136</v>
      </c>
      <c r="G1387" s="2" t="s">
        <v>21</v>
      </c>
      <c r="H1387" s="2" t="s">
        <v>22</v>
      </c>
      <c r="I1387" s="2" t="s">
        <v>73</v>
      </c>
      <c r="J1387" s="2" t="s">
        <v>101</v>
      </c>
      <c r="K1387">
        <v>2011.16</v>
      </c>
      <c r="L1387">
        <v>89216.84</v>
      </c>
      <c r="M1387">
        <v>4436.09</v>
      </c>
      <c r="N1387" s="2" t="s">
        <v>137</v>
      </c>
      <c r="O1387" s="2" t="s">
        <v>138</v>
      </c>
      <c r="P1387" s="2" t="s">
        <v>2723</v>
      </c>
      <c r="Q1387" s="2" t="s">
        <v>2724</v>
      </c>
      <c r="R1387" s="2" t="s">
        <v>29</v>
      </c>
      <c r="S1387" s="2" t="s">
        <v>30</v>
      </c>
    </row>
    <row r="1388" spans="1:19">
      <c r="A1388" s="1">
        <v>44501</v>
      </c>
      <c r="B1388" s="1">
        <v>44501</v>
      </c>
      <c r="C1388">
        <v>2021</v>
      </c>
      <c r="D1388">
        <v>11</v>
      </c>
      <c r="E1388" s="2" t="s">
        <v>141</v>
      </c>
      <c r="F1388" s="2" t="s">
        <v>142</v>
      </c>
      <c r="G1388" s="2" t="s">
        <v>21</v>
      </c>
      <c r="H1388" s="2" t="s">
        <v>22</v>
      </c>
      <c r="I1388" s="2" t="s">
        <v>73</v>
      </c>
      <c r="J1388" s="2" t="s">
        <v>24</v>
      </c>
      <c r="K1388">
        <v>1294.97</v>
      </c>
      <c r="L1388">
        <v>23358.02</v>
      </c>
      <c r="M1388">
        <v>1803.75</v>
      </c>
      <c r="N1388" s="2" t="s">
        <v>143</v>
      </c>
      <c r="O1388" s="2" t="s">
        <v>144</v>
      </c>
      <c r="P1388" s="2" t="s">
        <v>463</v>
      </c>
      <c r="Q1388" s="2" t="s">
        <v>2725</v>
      </c>
      <c r="R1388" s="2" t="s">
        <v>29</v>
      </c>
      <c r="S1388" s="2" t="s">
        <v>30</v>
      </c>
    </row>
    <row r="1389" spans="1:19">
      <c r="A1389" s="1">
        <v>44501</v>
      </c>
      <c r="B1389" s="1">
        <v>44501</v>
      </c>
      <c r="C1389">
        <v>2021</v>
      </c>
      <c r="D1389">
        <v>11</v>
      </c>
      <c r="E1389" s="2" t="s">
        <v>147</v>
      </c>
      <c r="F1389" s="2" t="s">
        <v>148</v>
      </c>
      <c r="G1389" s="2" t="s">
        <v>21</v>
      </c>
      <c r="H1389" s="2" t="s">
        <v>22</v>
      </c>
      <c r="I1389" s="2" t="s">
        <v>73</v>
      </c>
      <c r="J1389" s="2" t="s">
        <v>24</v>
      </c>
      <c r="K1389">
        <v>2112.0500000000002</v>
      </c>
      <c r="L1389">
        <v>43751.34</v>
      </c>
      <c r="M1389">
        <v>2071.5100000000002</v>
      </c>
      <c r="N1389" s="2" t="s">
        <v>149</v>
      </c>
      <c r="O1389" s="2" t="s">
        <v>150</v>
      </c>
      <c r="P1389" s="2" t="s">
        <v>2726</v>
      </c>
      <c r="Q1389" s="2" t="s">
        <v>2727</v>
      </c>
      <c r="R1389" s="2" t="s">
        <v>29</v>
      </c>
      <c r="S1389" s="2" t="s">
        <v>30</v>
      </c>
    </row>
    <row r="1390" spans="1:19">
      <c r="A1390" s="1">
        <v>44501</v>
      </c>
      <c r="B1390" s="1">
        <v>44501</v>
      </c>
      <c r="C1390">
        <v>2021</v>
      </c>
      <c r="D1390">
        <v>11</v>
      </c>
      <c r="E1390" s="2" t="s">
        <v>153</v>
      </c>
      <c r="F1390" s="2" t="s">
        <v>154</v>
      </c>
      <c r="G1390" s="2" t="s">
        <v>21</v>
      </c>
      <c r="H1390" s="2" t="s">
        <v>22</v>
      </c>
      <c r="I1390" s="2" t="s">
        <v>73</v>
      </c>
      <c r="J1390" s="2" t="s">
        <v>101</v>
      </c>
      <c r="K1390">
        <v>3407.02</v>
      </c>
      <c r="L1390">
        <v>67109.36</v>
      </c>
      <c r="M1390">
        <v>1969.74</v>
      </c>
      <c r="N1390" s="2" t="s">
        <v>155</v>
      </c>
      <c r="O1390" s="2" t="s">
        <v>156</v>
      </c>
      <c r="P1390" s="2" t="s">
        <v>2728</v>
      </c>
      <c r="Q1390" s="2" t="s">
        <v>2729</v>
      </c>
      <c r="R1390" s="2" t="s">
        <v>29</v>
      </c>
      <c r="S1390" s="2" t="s">
        <v>30</v>
      </c>
    </row>
    <row r="1391" spans="1:19">
      <c r="A1391" s="1">
        <v>44501</v>
      </c>
      <c r="B1391" s="1">
        <v>44501</v>
      </c>
      <c r="C1391">
        <v>2021</v>
      </c>
      <c r="D1391">
        <v>11</v>
      </c>
      <c r="E1391" s="2" t="s">
        <v>159</v>
      </c>
      <c r="F1391" s="2" t="s">
        <v>160</v>
      </c>
      <c r="G1391" s="2" t="s">
        <v>21</v>
      </c>
      <c r="H1391" s="2" t="s">
        <v>22</v>
      </c>
      <c r="I1391" s="2" t="s">
        <v>66</v>
      </c>
      <c r="J1391" s="2" t="s">
        <v>59</v>
      </c>
      <c r="K1391">
        <v>1039.1300000000001</v>
      </c>
      <c r="L1391">
        <v>87110.62</v>
      </c>
      <c r="M1391">
        <v>8383.0300000000007</v>
      </c>
      <c r="N1391" s="2" t="s">
        <v>161</v>
      </c>
      <c r="O1391" s="2" t="s">
        <v>162</v>
      </c>
      <c r="P1391" s="2" t="s">
        <v>2730</v>
      </c>
      <c r="Q1391" s="2" t="s">
        <v>2731</v>
      </c>
      <c r="R1391" s="2" t="s">
        <v>29</v>
      </c>
      <c r="S1391" s="2" t="s">
        <v>30</v>
      </c>
    </row>
    <row r="1392" spans="1:19">
      <c r="A1392" s="1">
        <v>44501</v>
      </c>
      <c r="B1392" s="1">
        <v>44501</v>
      </c>
      <c r="C1392">
        <v>2021</v>
      </c>
      <c r="D1392">
        <v>11</v>
      </c>
      <c r="E1392" s="2" t="s">
        <v>165</v>
      </c>
      <c r="F1392" s="2" t="s">
        <v>166</v>
      </c>
      <c r="G1392" s="2" t="s">
        <v>21</v>
      </c>
      <c r="H1392" s="2" t="s">
        <v>22</v>
      </c>
      <c r="I1392" s="2" t="s">
        <v>23</v>
      </c>
      <c r="J1392" s="2" t="s">
        <v>24</v>
      </c>
      <c r="K1392">
        <v>0</v>
      </c>
      <c r="L1392">
        <v>0</v>
      </c>
      <c r="N1392" s="2" t="s">
        <v>167</v>
      </c>
      <c r="O1392" s="2" t="s">
        <v>168</v>
      </c>
      <c r="P1392" s="2" t="s">
        <v>639</v>
      </c>
      <c r="Q1392" s="2" t="s">
        <v>639</v>
      </c>
      <c r="R1392" s="2" t="s">
        <v>29</v>
      </c>
      <c r="S1392" s="2" t="s">
        <v>30</v>
      </c>
    </row>
    <row r="1393" spans="1:19">
      <c r="A1393" s="1">
        <v>44501</v>
      </c>
      <c r="B1393" s="1">
        <v>44501</v>
      </c>
      <c r="C1393">
        <v>2021</v>
      </c>
      <c r="D1393">
        <v>11</v>
      </c>
      <c r="E1393" s="2" t="s">
        <v>171</v>
      </c>
      <c r="F1393" s="2" t="s">
        <v>172</v>
      </c>
      <c r="G1393" s="2" t="s">
        <v>21</v>
      </c>
      <c r="H1393" s="2" t="s">
        <v>22</v>
      </c>
      <c r="I1393" s="2" t="s">
        <v>66</v>
      </c>
      <c r="J1393" s="2" t="s">
        <v>24</v>
      </c>
      <c r="N1393" s="2" t="s">
        <v>173</v>
      </c>
      <c r="O1393" s="2" t="s">
        <v>174</v>
      </c>
      <c r="P1393" s="2" t="s">
        <v>175</v>
      </c>
      <c r="Q1393" s="2" t="s">
        <v>175</v>
      </c>
      <c r="R1393" s="2" t="s">
        <v>640</v>
      </c>
      <c r="S1393" s="2" t="s">
        <v>641</v>
      </c>
    </row>
    <row r="1394" spans="1:19">
      <c r="A1394" s="1">
        <v>44501</v>
      </c>
      <c r="B1394" s="1">
        <v>44501</v>
      </c>
      <c r="C1394">
        <v>2021</v>
      </c>
      <c r="D1394">
        <v>11</v>
      </c>
      <c r="E1394" s="2" t="s">
        <v>177</v>
      </c>
      <c r="F1394" s="2" t="s">
        <v>178</v>
      </c>
      <c r="G1394" s="2" t="s">
        <v>21</v>
      </c>
      <c r="H1394" s="2" t="s">
        <v>22</v>
      </c>
      <c r="I1394" s="2" t="s">
        <v>23</v>
      </c>
      <c r="J1394" s="2" t="s">
        <v>24</v>
      </c>
      <c r="K1394">
        <v>4120.29</v>
      </c>
      <c r="L1394">
        <v>364672</v>
      </c>
      <c r="M1394">
        <v>8850.64</v>
      </c>
      <c r="N1394" s="2" t="s">
        <v>179</v>
      </c>
      <c r="O1394" s="2" t="s">
        <v>180</v>
      </c>
      <c r="P1394" s="2" t="s">
        <v>2732</v>
      </c>
      <c r="Q1394" s="2" t="s">
        <v>2733</v>
      </c>
      <c r="R1394" s="2" t="s">
        <v>29</v>
      </c>
      <c r="S1394" s="2" t="s">
        <v>30</v>
      </c>
    </row>
    <row r="1395" spans="1:19">
      <c r="A1395" s="1">
        <v>44501</v>
      </c>
      <c r="B1395" s="1">
        <v>44501</v>
      </c>
      <c r="C1395">
        <v>2021</v>
      </c>
      <c r="D1395">
        <v>11</v>
      </c>
      <c r="E1395" s="2" t="s">
        <v>183</v>
      </c>
      <c r="F1395" s="2" t="s">
        <v>184</v>
      </c>
      <c r="G1395" s="2" t="s">
        <v>185</v>
      </c>
      <c r="H1395" s="2" t="s">
        <v>22</v>
      </c>
      <c r="I1395" s="2" t="s">
        <v>186</v>
      </c>
      <c r="J1395" s="2" t="s">
        <v>24</v>
      </c>
      <c r="K1395">
        <v>2536.61</v>
      </c>
      <c r="L1395">
        <v>2553664.29</v>
      </c>
      <c r="M1395">
        <v>100672.33</v>
      </c>
      <c r="N1395" s="2" t="s">
        <v>187</v>
      </c>
      <c r="O1395" s="2" t="s">
        <v>188</v>
      </c>
      <c r="P1395" s="2" t="s">
        <v>2734</v>
      </c>
      <c r="Q1395" s="2" t="s">
        <v>2735</v>
      </c>
      <c r="R1395" s="2" t="s">
        <v>29</v>
      </c>
      <c r="S1395" s="2" t="s">
        <v>30</v>
      </c>
    </row>
    <row r="1396" spans="1:19">
      <c r="A1396" s="1">
        <v>44501</v>
      </c>
      <c r="B1396" s="1">
        <v>44501</v>
      </c>
      <c r="C1396">
        <v>2021</v>
      </c>
      <c r="D1396">
        <v>11</v>
      </c>
      <c r="E1396" s="2" t="s">
        <v>191</v>
      </c>
      <c r="F1396" s="2" t="s">
        <v>192</v>
      </c>
      <c r="G1396" s="2" t="s">
        <v>185</v>
      </c>
      <c r="H1396" s="2" t="s">
        <v>22</v>
      </c>
      <c r="I1396" s="2" t="s">
        <v>186</v>
      </c>
      <c r="J1396" s="2" t="s">
        <v>24</v>
      </c>
      <c r="K1396">
        <v>790.01</v>
      </c>
      <c r="L1396">
        <v>4464330.3600000003</v>
      </c>
      <c r="M1396">
        <v>565097.96</v>
      </c>
      <c r="N1396" s="2" t="s">
        <v>193</v>
      </c>
      <c r="O1396" s="2" t="s">
        <v>194</v>
      </c>
      <c r="P1396" s="2" t="s">
        <v>2736</v>
      </c>
      <c r="Q1396" s="2" t="s">
        <v>2737</v>
      </c>
      <c r="R1396" s="2" t="s">
        <v>29</v>
      </c>
      <c r="S1396" s="2" t="s">
        <v>30</v>
      </c>
    </row>
    <row r="1397" spans="1:19">
      <c r="A1397" s="1">
        <v>44501</v>
      </c>
      <c r="B1397" s="1">
        <v>44501</v>
      </c>
      <c r="C1397">
        <v>2021</v>
      </c>
      <c r="D1397">
        <v>11</v>
      </c>
      <c r="E1397" s="2" t="s">
        <v>197</v>
      </c>
      <c r="F1397" s="2" t="s">
        <v>198</v>
      </c>
      <c r="G1397" s="2" t="s">
        <v>185</v>
      </c>
      <c r="H1397" s="2" t="s">
        <v>22</v>
      </c>
      <c r="I1397" s="2" t="s">
        <v>186</v>
      </c>
      <c r="J1397" s="2" t="s">
        <v>59</v>
      </c>
      <c r="K1397">
        <v>3326.62</v>
      </c>
      <c r="L1397">
        <v>7017994.6500000004</v>
      </c>
      <c r="M1397">
        <v>210964.72</v>
      </c>
      <c r="N1397" s="2" t="s">
        <v>199</v>
      </c>
      <c r="O1397" s="2" t="s">
        <v>200</v>
      </c>
      <c r="P1397" s="2" t="s">
        <v>2738</v>
      </c>
      <c r="Q1397" s="2" t="s">
        <v>2739</v>
      </c>
      <c r="R1397" s="2" t="s">
        <v>29</v>
      </c>
      <c r="S1397" s="2" t="s">
        <v>30</v>
      </c>
    </row>
    <row r="1398" spans="1:19">
      <c r="A1398" s="1">
        <v>44501</v>
      </c>
      <c r="B1398" s="1">
        <v>44501</v>
      </c>
      <c r="C1398">
        <v>2021</v>
      </c>
      <c r="D1398">
        <v>11</v>
      </c>
      <c r="E1398" s="2" t="s">
        <v>203</v>
      </c>
      <c r="F1398" s="2" t="s">
        <v>204</v>
      </c>
      <c r="G1398" s="2" t="s">
        <v>39</v>
      </c>
      <c r="H1398" s="2" t="s">
        <v>22</v>
      </c>
      <c r="I1398" s="2" t="s">
        <v>40</v>
      </c>
      <c r="J1398" s="2" t="s">
        <v>24</v>
      </c>
      <c r="K1398">
        <v>925.63</v>
      </c>
      <c r="L1398">
        <v>25112</v>
      </c>
      <c r="M1398">
        <v>2712.96</v>
      </c>
      <c r="N1398" s="2" t="s">
        <v>205</v>
      </c>
      <c r="O1398" s="2" t="s">
        <v>206</v>
      </c>
      <c r="P1398" s="2" t="s">
        <v>2740</v>
      </c>
      <c r="Q1398" s="2" t="s">
        <v>2741</v>
      </c>
      <c r="R1398" s="2" t="s">
        <v>29</v>
      </c>
      <c r="S1398" s="2" t="s">
        <v>30</v>
      </c>
    </row>
    <row r="1399" spans="1:19">
      <c r="A1399" s="1">
        <v>44501</v>
      </c>
      <c r="B1399" s="1">
        <v>44501</v>
      </c>
      <c r="C1399">
        <v>2021</v>
      </c>
      <c r="D1399">
        <v>11</v>
      </c>
      <c r="E1399" s="2" t="s">
        <v>209</v>
      </c>
      <c r="F1399" s="2" t="s">
        <v>210</v>
      </c>
      <c r="G1399" s="2" t="s">
        <v>39</v>
      </c>
      <c r="H1399" s="2" t="s">
        <v>22</v>
      </c>
      <c r="I1399" s="2" t="s">
        <v>40</v>
      </c>
      <c r="J1399" s="2" t="s">
        <v>59</v>
      </c>
      <c r="K1399">
        <v>925.63</v>
      </c>
      <c r="L1399">
        <v>25112</v>
      </c>
      <c r="M1399">
        <v>2712.96</v>
      </c>
      <c r="N1399" s="2" t="s">
        <v>211</v>
      </c>
      <c r="O1399" s="2" t="s">
        <v>212</v>
      </c>
      <c r="P1399" s="2" t="s">
        <v>2740</v>
      </c>
      <c r="Q1399" s="2" t="s">
        <v>2741</v>
      </c>
      <c r="R1399" s="2" t="s">
        <v>29</v>
      </c>
      <c r="S1399" s="2" t="s">
        <v>30</v>
      </c>
    </row>
    <row r="1400" spans="1:19">
      <c r="A1400" s="1">
        <v>44501</v>
      </c>
      <c r="B1400" s="1">
        <v>44501</v>
      </c>
      <c r="C1400">
        <v>2021</v>
      </c>
      <c r="D1400">
        <v>11</v>
      </c>
      <c r="E1400" s="2" t="s">
        <v>213</v>
      </c>
      <c r="F1400" s="2" t="s">
        <v>214</v>
      </c>
      <c r="G1400" s="2" t="s">
        <v>185</v>
      </c>
      <c r="H1400" s="2" t="s">
        <v>22</v>
      </c>
      <c r="I1400" s="2" t="s">
        <v>215</v>
      </c>
      <c r="J1400" s="2" t="s">
        <v>24</v>
      </c>
      <c r="K1400">
        <v>41815.57</v>
      </c>
      <c r="L1400">
        <v>1084018.3</v>
      </c>
      <c r="M1400">
        <v>2592.38</v>
      </c>
      <c r="N1400" s="2" t="s">
        <v>216</v>
      </c>
      <c r="O1400" s="2" t="s">
        <v>217</v>
      </c>
      <c r="P1400" s="2" t="s">
        <v>2742</v>
      </c>
      <c r="Q1400" s="2" t="s">
        <v>2743</v>
      </c>
      <c r="R1400" s="2" t="s">
        <v>29</v>
      </c>
      <c r="S1400" s="2" t="s">
        <v>30</v>
      </c>
    </row>
    <row r="1401" spans="1:19">
      <c r="A1401" s="1">
        <v>44501</v>
      </c>
      <c r="B1401" s="1">
        <v>44501</v>
      </c>
      <c r="C1401">
        <v>2021</v>
      </c>
      <c r="D1401">
        <v>11</v>
      </c>
      <c r="E1401" s="2" t="s">
        <v>220</v>
      </c>
      <c r="F1401" s="2" t="s">
        <v>221</v>
      </c>
      <c r="G1401" s="2" t="s">
        <v>185</v>
      </c>
      <c r="H1401" s="2" t="s">
        <v>22</v>
      </c>
      <c r="I1401" s="2" t="s">
        <v>215</v>
      </c>
      <c r="J1401" s="2" t="s">
        <v>24</v>
      </c>
      <c r="K1401">
        <v>3732.97</v>
      </c>
      <c r="L1401">
        <v>239989.36</v>
      </c>
      <c r="M1401">
        <v>6428.91</v>
      </c>
      <c r="N1401" s="2" t="s">
        <v>222</v>
      </c>
      <c r="O1401" s="2" t="s">
        <v>223</v>
      </c>
      <c r="P1401" s="2" t="s">
        <v>2744</v>
      </c>
      <c r="Q1401" s="2" t="s">
        <v>2745</v>
      </c>
      <c r="R1401" s="2" t="s">
        <v>29</v>
      </c>
      <c r="S1401" s="2" t="s">
        <v>30</v>
      </c>
    </row>
    <row r="1402" spans="1:19">
      <c r="A1402" s="1">
        <v>44501</v>
      </c>
      <c r="B1402" s="1">
        <v>44501</v>
      </c>
      <c r="C1402">
        <v>2021</v>
      </c>
      <c r="D1402">
        <v>11</v>
      </c>
      <c r="E1402" s="2" t="s">
        <v>226</v>
      </c>
      <c r="F1402" s="2" t="s">
        <v>227</v>
      </c>
      <c r="G1402" s="2" t="s">
        <v>185</v>
      </c>
      <c r="H1402" s="2" t="s">
        <v>22</v>
      </c>
      <c r="I1402" s="2" t="s">
        <v>215</v>
      </c>
      <c r="J1402" s="2" t="s">
        <v>59</v>
      </c>
      <c r="K1402">
        <v>45548.53</v>
      </c>
      <c r="L1402">
        <v>1324007.6599999999</v>
      </c>
      <c r="M1402">
        <v>2906.81</v>
      </c>
      <c r="N1402" s="2" t="s">
        <v>228</v>
      </c>
      <c r="O1402" s="2" t="s">
        <v>229</v>
      </c>
      <c r="P1402" s="2" t="s">
        <v>2746</v>
      </c>
      <c r="Q1402" s="2" t="s">
        <v>2747</v>
      </c>
      <c r="R1402" s="2" t="s">
        <v>29</v>
      </c>
      <c r="S1402" s="2" t="s">
        <v>30</v>
      </c>
    </row>
    <row r="1403" spans="1:19">
      <c r="A1403" s="1">
        <v>44501</v>
      </c>
      <c r="B1403" s="1">
        <v>44501</v>
      </c>
      <c r="C1403">
        <v>2021</v>
      </c>
      <c r="D1403">
        <v>11</v>
      </c>
      <c r="E1403" s="2" t="s">
        <v>232</v>
      </c>
      <c r="F1403" s="2" t="s">
        <v>233</v>
      </c>
      <c r="G1403" s="2" t="s">
        <v>21</v>
      </c>
      <c r="H1403" s="2" t="s">
        <v>22</v>
      </c>
      <c r="I1403" s="2" t="s">
        <v>23</v>
      </c>
      <c r="J1403" s="2" t="s">
        <v>24</v>
      </c>
      <c r="K1403">
        <v>1382</v>
      </c>
      <c r="L1403">
        <v>97512.63</v>
      </c>
      <c r="M1403">
        <v>7055.91</v>
      </c>
      <c r="N1403" s="2" t="s">
        <v>234</v>
      </c>
      <c r="O1403" s="2" t="s">
        <v>235</v>
      </c>
      <c r="P1403" s="2" t="s">
        <v>2748</v>
      </c>
      <c r="Q1403" s="2" t="s">
        <v>2749</v>
      </c>
      <c r="R1403" s="2" t="s">
        <v>29</v>
      </c>
      <c r="S1403" s="2" t="s">
        <v>30</v>
      </c>
    </row>
    <row r="1404" spans="1:19">
      <c r="A1404" s="1">
        <v>44501</v>
      </c>
      <c r="B1404" s="1">
        <v>44501</v>
      </c>
      <c r="C1404">
        <v>2021</v>
      </c>
      <c r="D1404">
        <v>11</v>
      </c>
      <c r="E1404" s="2" t="s">
        <v>238</v>
      </c>
      <c r="F1404" s="2" t="s">
        <v>239</v>
      </c>
      <c r="G1404" s="2" t="s">
        <v>21</v>
      </c>
      <c r="H1404" s="2" t="s">
        <v>22</v>
      </c>
      <c r="I1404" s="2" t="s">
        <v>66</v>
      </c>
      <c r="J1404" s="2" t="s">
        <v>24</v>
      </c>
      <c r="K1404">
        <v>907.32</v>
      </c>
      <c r="L1404">
        <v>86416.62</v>
      </c>
      <c r="M1404">
        <v>9524.3799999999992</v>
      </c>
      <c r="N1404" s="2" t="s">
        <v>240</v>
      </c>
      <c r="O1404" s="2" t="s">
        <v>241</v>
      </c>
      <c r="P1404" s="2" t="s">
        <v>2750</v>
      </c>
      <c r="Q1404" s="2" t="s">
        <v>2751</v>
      </c>
      <c r="R1404" s="2" t="s">
        <v>29</v>
      </c>
      <c r="S1404" s="2" t="s">
        <v>30</v>
      </c>
    </row>
    <row r="1405" spans="1:19">
      <c r="A1405" s="1">
        <v>44501</v>
      </c>
      <c r="B1405" s="1">
        <v>44501</v>
      </c>
      <c r="C1405">
        <v>2021</v>
      </c>
      <c r="D1405">
        <v>11</v>
      </c>
      <c r="E1405" s="2" t="s">
        <v>244</v>
      </c>
      <c r="F1405" s="2" t="s">
        <v>245</v>
      </c>
      <c r="G1405" s="2" t="s">
        <v>21</v>
      </c>
      <c r="H1405" s="2" t="s">
        <v>22</v>
      </c>
      <c r="I1405" s="2" t="s">
        <v>23</v>
      </c>
      <c r="J1405" s="2" t="s">
        <v>24</v>
      </c>
      <c r="K1405">
        <v>3394</v>
      </c>
      <c r="L1405">
        <v>2314490</v>
      </c>
      <c r="M1405">
        <v>68193.58</v>
      </c>
      <c r="N1405" s="2" t="s">
        <v>246</v>
      </c>
      <c r="O1405" s="2" t="s">
        <v>247</v>
      </c>
      <c r="P1405" s="2" t="s">
        <v>2752</v>
      </c>
      <c r="Q1405" s="2" t="s">
        <v>2753</v>
      </c>
      <c r="R1405" s="2" t="s">
        <v>29</v>
      </c>
      <c r="S1405" s="2" t="s">
        <v>30</v>
      </c>
    </row>
    <row r="1406" spans="1:19">
      <c r="A1406" s="1">
        <v>44501</v>
      </c>
      <c r="B1406" s="1">
        <v>44501</v>
      </c>
      <c r="C1406">
        <v>2021</v>
      </c>
      <c r="D1406">
        <v>11</v>
      </c>
      <c r="E1406" s="2" t="s">
        <v>250</v>
      </c>
      <c r="F1406" s="2" t="s">
        <v>251</v>
      </c>
      <c r="G1406" s="2" t="s">
        <v>21</v>
      </c>
      <c r="H1406" s="2" t="s">
        <v>22</v>
      </c>
      <c r="I1406" s="2" t="s">
        <v>66</v>
      </c>
      <c r="J1406" s="2" t="s">
        <v>24</v>
      </c>
      <c r="K1406">
        <v>112.03</v>
      </c>
      <c r="L1406">
        <v>158</v>
      </c>
      <c r="M1406">
        <v>141.03</v>
      </c>
      <c r="N1406" s="2" t="s">
        <v>252</v>
      </c>
      <c r="O1406" s="2" t="s">
        <v>253</v>
      </c>
      <c r="P1406" s="2" t="s">
        <v>2754</v>
      </c>
      <c r="Q1406" s="2" t="s">
        <v>2755</v>
      </c>
      <c r="R1406" s="2" t="s">
        <v>29</v>
      </c>
      <c r="S1406" s="2" t="s">
        <v>30</v>
      </c>
    </row>
    <row r="1407" spans="1:19">
      <c r="A1407" s="1">
        <v>44501</v>
      </c>
      <c r="B1407" s="1">
        <v>44501</v>
      </c>
      <c r="C1407">
        <v>2021</v>
      </c>
      <c r="D1407">
        <v>11</v>
      </c>
      <c r="E1407" s="2" t="s">
        <v>256</v>
      </c>
      <c r="F1407" s="2" t="s">
        <v>257</v>
      </c>
      <c r="G1407" s="2" t="s">
        <v>21</v>
      </c>
      <c r="H1407" s="2" t="s">
        <v>22</v>
      </c>
      <c r="I1407" s="2" t="s">
        <v>258</v>
      </c>
      <c r="J1407" s="2" t="s">
        <v>24</v>
      </c>
      <c r="K1407">
        <v>577</v>
      </c>
      <c r="L1407">
        <v>533223</v>
      </c>
      <c r="M1407">
        <v>92413</v>
      </c>
      <c r="N1407" s="2" t="s">
        <v>259</v>
      </c>
      <c r="O1407" s="2" t="s">
        <v>260</v>
      </c>
      <c r="P1407" s="2" t="s">
        <v>2756</v>
      </c>
      <c r="Q1407" s="2" t="s">
        <v>2757</v>
      </c>
      <c r="R1407" s="2" t="s">
        <v>29</v>
      </c>
      <c r="S1407" s="2" t="s">
        <v>30</v>
      </c>
    </row>
    <row r="1408" spans="1:19">
      <c r="A1408" s="1">
        <v>44501</v>
      </c>
      <c r="B1408" s="1">
        <v>44501</v>
      </c>
      <c r="C1408">
        <v>2021</v>
      </c>
      <c r="D1408">
        <v>11</v>
      </c>
      <c r="E1408" s="2" t="s">
        <v>263</v>
      </c>
      <c r="F1408" s="2" t="s">
        <v>264</v>
      </c>
      <c r="G1408" s="2" t="s">
        <v>21</v>
      </c>
      <c r="H1408" s="2" t="s">
        <v>22</v>
      </c>
      <c r="I1408" s="2" t="s">
        <v>258</v>
      </c>
      <c r="J1408" s="2" t="s">
        <v>24</v>
      </c>
      <c r="K1408">
        <v>0</v>
      </c>
      <c r="L1408">
        <v>0</v>
      </c>
      <c r="N1408" s="2" t="s">
        <v>265</v>
      </c>
      <c r="O1408" s="2" t="s">
        <v>266</v>
      </c>
      <c r="P1408" s="2" t="s">
        <v>639</v>
      </c>
      <c r="Q1408" s="2" t="s">
        <v>639</v>
      </c>
      <c r="R1408" s="2" t="s">
        <v>29</v>
      </c>
      <c r="S1408" s="2" t="s">
        <v>30</v>
      </c>
    </row>
    <row r="1409" spans="1:19">
      <c r="A1409" s="1">
        <v>44501</v>
      </c>
      <c r="B1409" s="1">
        <v>44501</v>
      </c>
      <c r="C1409">
        <v>2021</v>
      </c>
      <c r="D1409">
        <v>11</v>
      </c>
      <c r="E1409" s="2" t="s">
        <v>269</v>
      </c>
      <c r="F1409" s="2" t="s">
        <v>270</v>
      </c>
      <c r="G1409" s="2" t="s">
        <v>21</v>
      </c>
      <c r="H1409" s="2" t="s">
        <v>22</v>
      </c>
      <c r="I1409" s="2" t="s">
        <v>258</v>
      </c>
      <c r="J1409" s="2" t="s">
        <v>59</v>
      </c>
      <c r="K1409">
        <v>577</v>
      </c>
      <c r="L1409">
        <v>533223</v>
      </c>
      <c r="M1409">
        <v>92413</v>
      </c>
      <c r="N1409" s="2" t="s">
        <v>271</v>
      </c>
      <c r="O1409" s="2" t="s">
        <v>272</v>
      </c>
      <c r="P1409" s="2" t="s">
        <v>2756</v>
      </c>
      <c r="Q1409" s="2" t="s">
        <v>2757</v>
      </c>
      <c r="R1409" s="2" t="s">
        <v>29</v>
      </c>
      <c r="S1409" s="2" t="s">
        <v>30</v>
      </c>
    </row>
    <row r="1410" spans="1:19">
      <c r="A1410" s="1">
        <v>44501</v>
      </c>
      <c r="B1410" s="1">
        <v>44501</v>
      </c>
      <c r="C1410">
        <v>2021</v>
      </c>
      <c r="D1410">
        <v>11</v>
      </c>
      <c r="E1410" s="2" t="s">
        <v>275</v>
      </c>
      <c r="F1410" s="2" t="s">
        <v>276</v>
      </c>
      <c r="G1410" s="2" t="s">
        <v>39</v>
      </c>
      <c r="H1410" s="2" t="s">
        <v>22</v>
      </c>
      <c r="I1410" s="2" t="s">
        <v>40</v>
      </c>
      <c r="J1410" s="2" t="s">
        <v>24</v>
      </c>
      <c r="K1410">
        <v>4.1399999999999997</v>
      </c>
      <c r="L1410">
        <v>39</v>
      </c>
      <c r="M1410">
        <v>942.03</v>
      </c>
      <c r="N1410" s="2" t="s">
        <v>277</v>
      </c>
      <c r="O1410" s="2" t="s">
        <v>278</v>
      </c>
      <c r="P1410" s="2" t="s">
        <v>2758</v>
      </c>
      <c r="Q1410" s="2" t="s">
        <v>2759</v>
      </c>
      <c r="R1410" s="2" t="s">
        <v>29</v>
      </c>
      <c r="S1410" s="2" t="s">
        <v>30</v>
      </c>
    </row>
    <row r="1411" spans="1:19">
      <c r="A1411" s="1">
        <v>44501</v>
      </c>
      <c r="B1411" s="1">
        <v>44501</v>
      </c>
      <c r="C1411">
        <v>2021</v>
      </c>
      <c r="D1411">
        <v>11</v>
      </c>
      <c r="E1411" s="2" t="s">
        <v>281</v>
      </c>
      <c r="F1411" s="2" t="s">
        <v>282</v>
      </c>
      <c r="G1411" s="2" t="s">
        <v>39</v>
      </c>
      <c r="H1411" s="2" t="s">
        <v>22</v>
      </c>
      <c r="I1411" s="2" t="s">
        <v>40</v>
      </c>
      <c r="J1411" s="2" t="s">
        <v>24</v>
      </c>
      <c r="K1411">
        <v>0.68</v>
      </c>
      <c r="L1411">
        <v>23.64</v>
      </c>
      <c r="M1411">
        <v>3476.47</v>
      </c>
      <c r="N1411" s="2" t="s">
        <v>283</v>
      </c>
      <c r="O1411" s="2" t="s">
        <v>284</v>
      </c>
      <c r="P1411" s="2" t="s">
        <v>808</v>
      </c>
      <c r="Q1411" s="2" t="s">
        <v>2760</v>
      </c>
      <c r="R1411" s="2" t="s">
        <v>29</v>
      </c>
      <c r="S1411" s="2" t="s">
        <v>30</v>
      </c>
    </row>
    <row r="1412" spans="1:19">
      <c r="A1412" s="1">
        <v>44501</v>
      </c>
      <c r="B1412" s="1">
        <v>44501</v>
      </c>
      <c r="C1412">
        <v>2021</v>
      </c>
      <c r="D1412">
        <v>11</v>
      </c>
      <c r="E1412" s="2" t="s">
        <v>287</v>
      </c>
      <c r="F1412" s="2" t="s">
        <v>288</v>
      </c>
      <c r="G1412" s="2" t="s">
        <v>39</v>
      </c>
      <c r="H1412" s="2" t="s">
        <v>22</v>
      </c>
      <c r="I1412" s="2" t="s">
        <v>40</v>
      </c>
      <c r="J1412" s="2" t="s">
        <v>59</v>
      </c>
      <c r="K1412">
        <v>4.82</v>
      </c>
      <c r="L1412">
        <v>62.64</v>
      </c>
      <c r="M1412">
        <v>1299.5899999999999</v>
      </c>
      <c r="N1412" s="2" t="s">
        <v>289</v>
      </c>
      <c r="O1412" s="2" t="s">
        <v>290</v>
      </c>
      <c r="P1412" s="2" t="s">
        <v>2761</v>
      </c>
      <c r="Q1412" s="2" t="s">
        <v>2762</v>
      </c>
      <c r="R1412" s="2" t="s">
        <v>29</v>
      </c>
      <c r="S1412" s="2" t="s">
        <v>30</v>
      </c>
    </row>
    <row r="1413" spans="1:19">
      <c r="A1413" s="1">
        <v>44501</v>
      </c>
      <c r="B1413" s="1">
        <v>44501</v>
      </c>
      <c r="C1413">
        <v>2021</v>
      </c>
      <c r="D1413">
        <v>11</v>
      </c>
      <c r="E1413" s="2" t="s">
        <v>293</v>
      </c>
      <c r="F1413" s="2" t="s">
        <v>294</v>
      </c>
      <c r="G1413" s="2" t="s">
        <v>21</v>
      </c>
      <c r="H1413" s="2" t="s">
        <v>22</v>
      </c>
      <c r="I1413" s="2" t="s">
        <v>295</v>
      </c>
      <c r="J1413" s="2" t="s">
        <v>24</v>
      </c>
      <c r="K1413">
        <v>1162.3800000000001</v>
      </c>
      <c r="L1413">
        <v>2557.0100000000002</v>
      </c>
      <c r="M1413">
        <v>219.98</v>
      </c>
      <c r="N1413" s="2" t="s">
        <v>296</v>
      </c>
      <c r="O1413" s="2" t="s">
        <v>297</v>
      </c>
      <c r="P1413" s="2" t="s">
        <v>2763</v>
      </c>
      <c r="Q1413" s="2" t="s">
        <v>2764</v>
      </c>
      <c r="R1413" s="2" t="s">
        <v>29</v>
      </c>
      <c r="S1413" s="2" t="s">
        <v>30</v>
      </c>
    </row>
    <row r="1414" spans="1:19">
      <c r="A1414" s="1">
        <v>44501</v>
      </c>
      <c r="B1414" s="1">
        <v>44501</v>
      </c>
      <c r="C1414">
        <v>2021</v>
      </c>
      <c r="D1414">
        <v>11</v>
      </c>
      <c r="E1414" s="2" t="s">
        <v>300</v>
      </c>
      <c r="F1414" s="2" t="s">
        <v>301</v>
      </c>
      <c r="G1414" s="2" t="s">
        <v>21</v>
      </c>
      <c r="H1414" s="2" t="s">
        <v>22</v>
      </c>
      <c r="I1414" s="2" t="s">
        <v>295</v>
      </c>
      <c r="J1414" s="2" t="s">
        <v>24</v>
      </c>
      <c r="K1414">
        <v>74.48</v>
      </c>
      <c r="L1414">
        <v>1286.6199999999999</v>
      </c>
      <c r="M1414">
        <v>1727.47</v>
      </c>
      <c r="N1414" s="2" t="s">
        <v>302</v>
      </c>
      <c r="O1414" s="2" t="s">
        <v>303</v>
      </c>
      <c r="P1414" s="2" t="s">
        <v>2765</v>
      </c>
      <c r="Q1414" s="2" t="s">
        <v>2766</v>
      </c>
      <c r="R1414" s="2" t="s">
        <v>29</v>
      </c>
      <c r="S1414" s="2" t="s">
        <v>30</v>
      </c>
    </row>
    <row r="1415" spans="1:19">
      <c r="A1415" s="1">
        <v>44501</v>
      </c>
      <c r="B1415" s="1">
        <v>44501</v>
      </c>
      <c r="C1415">
        <v>2021</v>
      </c>
      <c r="D1415">
        <v>11</v>
      </c>
      <c r="E1415" s="2" t="s">
        <v>306</v>
      </c>
      <c r="F1415" s="2" t="s">
        <v>307</v>
      </c>
      <c r="G1415" s="2" t="s">
        <v>21</v>
      </c>
      <c r="H1415" s="2" t="s">
        <v>22</v>
      </c>
      <c r="I1415" s="2" t="s">
        <v>295</v>
      </c>
      <c r="J1415" s="2" t="s">
        <v>101</v>
      </c>
      <c r="K1415">
        <v>1236.8699999999999</v>
      </c>
      <c r="L1415">
        <v>3843.63</v>
      </c>
      <c r="M1415">
        <v>310.75</v>
      </c>
      <c r="N1415" s="2" t="s">
        <v>308</v>
      </c>
      <c r="O1415" s="2" t="s">
        <v>309</v>
      </c>
      <c r="P1415" s="2" t="s">
        <v>2767</v>
      </c>
      <c r="Q1415" s="2" t="s">
        <v>2768</v>
      </c>
      <c r="R1415" s="2" t="s">
        <v>29</v>
      </c>
      <c r="S1415" s="2" t="s">
        <v>30</v>
      </c>
    </row>
    <row r="1416" spans="1:19">
      <c r="A1416" s="1">
        <v>44501</v>
      </c>
      <c r="B1416" s="1">
        <v>44501</v>
      </c>
      <c r="C1416">
        <v>2021</v>
      </c>
      <c r="D1416">
        <v>11</v>
      </c>
      <c r="E1416" s="2" t="s">
        <v>312</v>
      </c>
      <c r="F1416" s="2" t="s">
        <v>313</v>
      </c>
      <c r="G1416" s="2" t="s">
        <v>21</v>
      </c>
      <c r="H1416" s="2" t="s">
        <v>22</v>
      </c>
      <c r="I1416" s="2" t="s">
        <v>295</v>
      </c>
      <c r="J1416" s="2" t="s">
        <v>59</v>
      </c>
      <c r="K1416">
        <v>6107.05</v>
      </c>
      <c r="L1416">
        <v>24885.1</v>
      </c>
      <c r="M1416">
        <v>407.48</v>
      </c>
      <c r="N1416" s="2" t="s">
        <v>314</v>
      </c>
      <c r="O1416" s="2" t="s">
        <v>315</v>
      </c>
      <c r="P1416" s="2" t="s">
        <v>2769</v>
      </c>
      <c r="Q1416" s="2" t="s">
        <v>2770</v>
      </c>
      <c r="R1416" s="2" t="s">
        <v>29</v>
      </c>
      <c r="S1416" s="2" t="s">
        <v>30</v>
      </c>
    </row>
    <row r="1417" spans="1:19">
      <c r="A1417" s="1">
        <v>44501</v>
      </c>
      <c r="B1417" s="1">
        <v>44501</v>
      </c>
      <c r="C1417">
        <v>2021</v>
      </c>
      <c r="D1417">
        <v>11</v>
      </c>
      <c r="E1417" s="2" t="s">
        <v>318</v>
      </c>
      <c r="F1417" s="2" t="s">
        <v>319</v>
      </c>
      <c r="G1417" s="2" t="s">
        <v>21</v>
      </c>
      <c r="H1417" s="2" t="s">
        <v>22</v>
      </c>
      <c r="I1417" s="2" t="s">
        <v>295</v>
      </c>
      <c r="J1417" s="2" t="s">
        <v>24</v>
      </c>
      <c r="K1417">
        <v>4870.1899999999996</v>
      </c>
      <c r="L1417">
        <v>21041.47</v>
      </c>
      <c r="M1417">
        <v>432.05</v>
      </c>
      <c r="N1417" s="2" t="s">
        <v>320</v>
      </c>
      <c r="O1417" s="2" t="s">
        <v>321</v>
      </c>
      <c r="P1417" s="2" t="s">
        <v>2771</v>
      </c>
      <c r="Q1417" s="2" t="s">
        <v>2772</v>
      </c>
      <c r="R1417" s="2" t="s">
        <v>29</v>
      </c>
      <c r="S1417" s="2" t="s">
        <v>30</v>
      </c>
    </row>
    <row r="1418" spans="1:19">
      <c r="A1418" s="1">
        <v>44501</v>
      </c>
      <c r="B1418" s="1">
        <v>44501</v>
      </c>
      <c r="C1418">
        <v>2021</v>
      </c>
      <c r="D1418">
        <v>11</v>
      </c>
      <c r="E1418" s="2" t="s">
        <v>324</v>
      </c>
      <c r="F1418" s="2" t="s">
        <v>325</v>
      </c>
      <c r="G1418" s="2" t="s">
        <v>21</v>
      </c>
      <c r="H1418" s="2" t="s">
        <v>22</v>
      </c>
      <c r="I1418" s="2" t="s">
        <v>23</v>
      </c>
      <c r="J1418" s="2" t="s">
        <v>59</v>
      </c>
      <c r="K1418">
        <v>51880.87</v>
      </c>
      <c r="L1418">
        <v>3554895.63</v>
      </c>
      <c r="M1418">
        <v>6852.04</v>
      </c>
      <c r="N1418" s="2" t="s">
        <v>326</v>
      </c>
      <c r="O1418" s="2" t="s">
        <v>327</v>
      </c>
      <c r="P1418" s="2" t="s">
        <v>2773</v>
      </c>
      <c r="Q1418" s="2" t="s">
        <v>2774</v>
      </c>
      <c r="R1418" s="2" t="s">
        <v>29</v>
      </c>
      <c r="S1418" s="2" t="s">
        <v>30</v>
      </c>
    </row>
    <row r="1419" spans="1:19">
      <c r="A1419" s="1">
        <v>44501</v>
      </c>
      <c r="B1419" s="1">
        <v>44501</v>
      </c>
      <c r="C1419">
        <v>2021</v>
      </c>
      <c r="D1419">
        <v>11</v>
      </c>
      <c r="E1419" s="2" t="s">
        <v>330</v>
      </c>
      <c r="F1419" s="2" t="s">
        <v>331</v>
      </c>
      <c r="G1419" s="2" t="s">
        <v>21</v>
      </c>
      <c r="H1419" s="2" t="s">
        <v>332</v>
      </c>
      <c r="I1419" s="2" t="s">
        <v>333</v>
      </c>
      <c r="J1419" s="2" t="s">
        <v>24</v>
      </c>
      <c r="K1419">
        <v>170.95</v>
      </c>
      <c r="L1419">
        <v>9589985</v>
      </c>
      <c r="M1419">
        <v>5609818.6600000001</v>
      </c>
      <c r="N1419" s="2" t="s">
        <v>334</v>
      </c>
      <c r="O1419" s="2" t="s">
        <v>335</v>
      </c>
      <c r="P1419" s="2" t="s">
        <v>2775</v>
      </c>
      <c r="Q1419" s="2" t="s">
        <v>2776</v>
      </c>
      <c r="R1419" s="2" t="s">
        <v>29</v>
      </c>
      <c r="S1419" s="2" t="s">
        <v>30</v>
      </c>
    </row>
    <row r="1420" spans="1:19">
      <c r="A1420" s="1">
        <v>44501</v>
      </c>
      <c r="B1420" s="1">
        <v>44501</v>
      </c>
      <c r="C1420">
        <v>2021</v>
      </c>
      <c r="D1420">
        <v>11</v>
      </c>
      <c r="E1420" s="2" t="s">
        <v>338</v>
      </c>
      <c r="F1420" s="2" t="s">
        <v>339</v>
      </c>
      <c r="G1420" s="2" t="s">
        <v>21</v>
      </c>
      <c r="H1420" s="2" t="s">
        <v>332</v>
      </c>
      <c r="I1420" s="2" t="s">
        <v>333</v>
      </c>
      <c r="J1420" s="2" t="s">
        <v>24</v>
      </c>
      <c r="K1420">
        <v>1.19</v>
      </c>
      <c r="L1420">
        <v>1391793</v>
      </c>
      <c r="M1420">
        <v>116957394.95999999</v>
      </c>
      <c r="N1420" s="2" t="s">
        <v>340</v>
      </c>
      <c r="O1420" s="2" t="s">
        <v>341</v>
      </c>
      <c r="P1420" s="2" t="s">
        <v>1032</v>
      </c>
      <c r="Q1420" s="2" t="s">
        <v>2777</v>
      </c>
      <c r="R1420" s="2" t="s">
        <v>29</v>
      </c>
      <c r="S1420" s="2" t="s">
        <v>30</v>
      </c>
    </row>
    <row r="1421" spans="1:19">
      <c r="A1421" s="1">
        <v>44501</v>
      </c>
      <c r="B1421" s="1">
        <v>44501</v>
      </c>
      <c r="C1421">
        <v>2021</v>
      </c>
      <c r="D1421">
        <v>11</v>
      </c>
      <c r="E1421" s="2" t="s">
        <v>344</v>
      </c>
      <c r="F1421" s="2" t="s">
        <v>345</v>
      </c>
      <c r="G1421" s="2" t="s">
        <v>21</v>
      </c>
      <c r="H1421" s="2" t="s">
        <v>332</v>
      </c>
      <c r="I1421" s="2" t="s">
        <v>333</v>
      </c>
      <c r="J1421" s="2" t="s">
        <v>59</v>
      </c>
      <c r="K1421">
        <v>172.14</v>
      </c>
      <c r="L1421">
        <v>10981778</v>
      </c>
      <c r="M1421">
        <v>6379561.9800000004</v>
      </c>
      <c r="N1421" s="2" t="s">
        <v>346</v>
      </c>
      <c r="O1421" s="2" t="s">
        <v>347</v>
      </c>
      <c r="P1421" s="2" t="s">
        <v>2778</v>
      </c>
      <c r="Q1421" s="2" t="s">
        <v>2779</v>
      </c>
      <c r="R1421" s="2" t="s">
        <v>29</v>
      </c>
      <c r="S1421" s="2" t="s">
        <v>30</v>
      </c>
    </row>
    <row r="1422" spans="1:19">
      <c r="A1422" s="1">
        <v>44501</v>
      </c>
      <c r="B1422" s="1">
        <v>44501</v>
      </c>
      <c r="C1422">
        <v>2021</v>
      </c>
      <c r="D1422">
        <v>11</v>
      </c>
      <c r="E1422" s="2" t="s">
        <v>350</v>
      </c>
      <c r="F1422" s="2" t="s">
        <v>351</v>
      </c>
      <c r="G1422" s="2" t="s">
        <v>21</v>
      </c>
      <c r="H1422" s="2" t="s">
        <v>22</v>
      </c>
      <c r="I1422" s="2" t="s">
        <v>352</v>
      </c>
      <c r="J1422" s="2" t="s">
        <v>353</v>
      </c>
      <c r="K1422">
        <v>64617.37</v>
      </c>
      <c r="L1422">
        <v>14804995.550000001</v>
      </c>
      <c r="M1422">
        <v>22911.79</v>
      </c>
      <c r="N1422" s="2" t="s">
        <v>354</v>
      </c>
      <c r="O1422" s="2" t="s">
        <v>355</v>
      </c>
      <c r="P1422" s="2" t="s">
        <v>2780</v>
      </c>
      <c r="Q1422" s="2" t="s">
        <v>2781</v>
      </c>
      <c r="R1422" s="2" t="s">
        <v>29</v>
      </c>
      <c r="S1422" s="2" t="s">
        <v>30</v>
      </c>
    </row>
    <row r="1423" spans="1:19">
      <c r="A1423" s="1">
        <v>44501</v>
      </c>
      <c r="B1423" s="1">
        <v>44501</v>
      </c>
      <c r="C1423">
        <v>2021</v>
      </c>
      <c r="D1423">
        <v>11</v>
      </c>
      <c r="E1423" s="2" t="s">
        <v>358</v>
      </c>
      <c r="F1423" s="2" t="s">
        <v>359</v>
      </c>
      <c r="G1423" s="2" t="s">
        <v>21</v>
      </c>
      <c r="H1423" s="2" t="s">
        <v>22</v>
      </c>
      <c r="I1423" s="2" t="s">
        <v>352</v>
      </c>
      <c r="J1423" s="2" t="s">
        <v>353</v>
      </c>
      <c r="K1423">
        <v>65194.37</v>
      </c>
      <c r="L1423">
        <v>15338218.550000001</v>
      </c>
      <c r="M1423">
        <v>23526.91</v>
      </c>
      <c r="N1423" s="2" t="s">
        <v>360</v>
      </c>
      <c r="O1423" s="2" t="s">
        <v>361</v>
      </c>
      <c r="P1423" s="2" t="s">
        <v>2782</v>
      </c>
      <c r="Q1423" s="2" t="s">
        <v>2783</v>
      </c>
      <c r="R1423" s="2" t="s">
        <v>29</v>
      </c>
      <c r="S1423" s="2" t="s">
        <v>30</v>
      </c>
    </row>
    <row r="1424" spans="1:19">
      <c r="A1424" s="1">
        <v>44501</v>
      </c>
      <c r="B1424" s="1">
        <v>44501</v>
      </c>
      <c r="C1424">
        <v>2021</v>
      </c>
      <c r="D1424">
        <v>11</v>
      </c>
      <c r="E1424" s="2" t="s">
        <v>364</v>
      </c>
      <c r="F1424" s="2" t="s">
        <v>365</v>
      </c>
      <c r="G1424" s="2" t="s">
        <v>21</v>
      </c>
      <c r="H1424" s="2" t="s">
        <v>22</v>
      </c>
      <c r="I1424" s="2" t="s">
        <v>352</v>
      </c>
      <c r="J1424" s="2" t="s">
        <v>353</v>
      </c>
      <c r="K1424">
        <v>65022.23</v>
      </c>
      <c r="L1424">
        <v>4356440.55</v>
      </c>
      <c r="M1424">
        <v>6699.92</v>
      </c>
      <c r="N1424" s="2" t="s">
        <v>366</v>
      </c>
      <c r="O1424" s="2" t="s">
        <v>367</v>
      </c>
      <c r="P1424" s="2" t="s">
        <v>2784</v>
      </c>
      <c r="Q1424" s="2" t="s">
        <v>2785</v>
      </c>
      <c r="R1424" s="2" t="s">
        <v>29</v>
      </c>
      <c r="S1424" s="2" t="s">
        <v>30</v>
      </c>
    </row>
    <row r="1425" spans="1:19">
      <c r="A1425" s="1">
        <v>44501</v>
      </c>
      <c r="B1425" s="1">
        <v>44501</v>
      </c>
      <c r="C1425">
        <v>2021</v>
      </c>
      <c r="D1425">
        <v>11</v>
      </c>
      <c r="E1425" s="2" t="s">
        <v>370</v>
      </c>
      <c r="F1425" s="2" t="s">
        <v>371</v>
      </c>
      <c r="G1425" s="2" t="s">
        <v>21</v>
      </c>
      <c r="H1425" s="2" t="s">
        <v>22</v>
      </c>
      <c r="I1425" s="2" t="s">
        <v>23</v>
      </c>
      <c r="J1425" s="2" t="s">
        <v>24</v>
      </c>
      <c r="K1425">
        <v>41864.800000000003</v>
      </c>
      <c r="L1425">
        <v>768436</v>
      </c>
      <c r="M1425">
        <v>1835.52</v>
      </c>
      <c r="N1425" s="2" t="s">
        <v>372</v>
      </c>
      <c r="O1425" s="2" t="s">
        <v>373</v>
      </c>
      <c r="P1425" s="2" t="s">
        <v>2786</v>
      </c>
      <c r="Q1425" s="2" t="s">
        <v>2787</v>
      </c>
      <c r="R1425" s="2" t="s">
        <v>29</v>
      </c>
      <c r="S1425" s="2" t="s">
        <v>30</v>
      </c>
    </row>
    <row r="1426" spans="1:19">
      <c r="A1426" s="1">
        <v>44501</v>
      </c>
      <c r="B1426" s="1">
        <v>44501</v>
      </c>
      <c r="C1426">
        <v>2021</v>
      </c>
      <c r="D1426">
        <v>11</v>
      </c>
      <c r="E1426" s="2" t="s">
        <v>376</v>
      </c>
      <c r="F1426" s="2" t="s">
        <v>377</v>
      </c>
      <c r="G1426" s="2" t="s">
        <v>21</v>
      </c>
      <c r="H1426" s="2" t="s">
        <v>22</v>
      </c>
      <c r="I1426" s="2" t="s">
        <v>23</v>
      </c>
      <c r="J1426" s="2" t="s">
        <v>378</v>
      </c>
      <c r="K1426">
        <v>1</v>
      </c>
      <c r="L1426">
        <v>15</v>
      </c>
      <c r="M1426">
        <v>1500</v>
      </c>
      <c r="N1426" s="2" t="s">
        <v>379</v>
      </c>
      <c r="O1426" s="2" t="s">
        <v>380</v>
      </c>
      <c r="P1426" s="2" t="s">
        <v>899</v>
      </c>
      <c r="Q1426" s="2" t="s">
        <v>2788</v>
      </c>
      <c r="R1426" s="2" t="s">
        <v>29</v>
      </c>
      <c r="S1426" s="2" t="s">
        <v>30</v>
      </c>
    </row>
    <row r="1427" spans="1:19">
      <c r="A1427" s="1">
        <v>44531</v>
      </c>
      <c r="B1427" s="1">
        <v>44531</v>
      </c>
      <c r="C1427">
        <v>2021</v>
      </c>
      <c r="D1427">
        <v>12</v>
      </c>
      <c r="E1427" s="2" t="s">
        <v>19</v>
      </c>
      <c r="F1427" s="2" t="s">
        <v>20</v>
      </c>
      <c r="G1427" s="2" t="s">
        <v>21</v>
      </c>
      <c r="H1427" s="2" t="s">
        <v>22</v>
      </c>
      <c r="I1427" s="2" t="s">
        <v>23</v>
      </c>
      <c r="J1427" s="2" t="s">
        <v>24</v>
      </c>
      <c r="K1427">
        <v>0.65</v>
      </c>
      <c r="L1427">
        <v>36.229999999999997</v>
      </c>
      <c r="M1427">
        <v>5573.85</v>
      </c>
      <c r="N1427" s="2" t="s">
        <v>25</v>
      </c>
      <c r="O1427" s="2" t="s">
        <v>26</v>
      </c>
      <c r="P1427" s="2" t="s">
        <v>2789</v>
      </c>
      <c r="Q1427" s="2" t="s">
        <v>2790</v>
      </c>
      <c r="R1427" s="2" t="s">
        <v>29</v>
      </c>
      <c r="S1427" s="2" t="s">
        <v>30</v>
      </c>
    </row>
    <row r="1428" spans="1:19">
      <c r="A1428" s="1">
        <v>44531</v>
      </c>
      <c r="B1428" s="1">
        <v>44531</v>
      </c>
      <c r="C1428">
        <v>2021</v>
      </c>
      <c r="D1428">
        <v>12</v>
      </c>
      <c r="E1428" s="2" t="s">
        <v>31</v>
      </c>
      <c r="F1428" s="2" t="s">
        <v>32</v>
      </c>
      <c r="G1428" s="2" t="s">
        <v>21</v>
      </c>
      <c r="H1428" s="2" t="s">
        <v>22</v>
      </c>
      <c r="I1428" s="2" t="s">
        <v>23</v>
      </c>
      <c r="J1428" s="2" t="s">
        <v>24</v>
      </c>
      <c r="K1428">
        <v>1082.2</v>
      </c>
      <c r="L1428">
        <v>14987.37</v>
      </c>
      <c r="M1428">
        <v>1384.9</v>
      </c>
      <c r="N1428" s="2" t="s">
        <v>33</v>
      </c>
      <c r="O1428" s="2" t="s">
        <v>34</v>
      </c>
      <c r="P1428" s="2" t="s">
        <v>2791</v>
      </c>
      <c r="Q1428" s="2" t="s">
        <v>2792</v>
      </c>
      <c r="R1428" s="2" t="s">
        <v>29</v>
      </c>
      <c r="S1428" s="2" t="s">
        <v>30</v>
      </c>
    </row>
    <row r="1429" spans="1:19">
      <c r="A1429" s="1">
        <v>44531</v>
      </c>
      <c r="B1429" s="1">
        <v>44531</v>
      </c>
      <c r="C1429">
        <v>2021</v>
      </c>
      <c r="D1429">
        <v>12</v>
      </c>
      <c r="E1429" s="2" t="s">
        <v>37</v>
      </c>
      <c r="F1429" s="2" t="s">
        <v>38</v>
      </c>
      <c r="G1429" s="2" t="s">
        <v>39</v>
      </c>
      <c r="H1429" s="2" t="s">
        <v>22</v>
      </c>
      <c r="I1429" s="2" t="s">
        <v>40</v>
      </c>
      <c r="J1429" s="2" t="s">
        <v>24</v>
      </c>
      <c r="K1429">
        <v>5.9</v>
      </c>
      <c r="L1429">
        <v>295.20999999999998</v>
      </c>
      <c r="M1429">
        <v>5003.5600000000004</v>
      </c>
      <c r="N1429" s="2" t="s">
        <v>41</v>
      </c>
      <c r="O1429" s="2" t="s">
        <v>42</v>
      </c>
      <c r="P1429" s="2" t="s">
        <v>2567</v>
      </c>
      <c r="Q1429" s="2" t="s">
        <v>2793</v>
      </c>
      <c r="R1429" s="2" t="s">
        <v>29</v>
      </c>
      <c r="S1429" s="2" t="s">
        <v>30</v>
      </c>
    </row>
    <row r="1430" spans="1:19">
      <c r="A1430" s="1">
        <v>44531</v>
      </c>
      <c r="B1430" s="1">
        <v>44531</v>
      </c>
      <c r="C1430">
        <v>2021</v>
      </c>
      <c r="D1430">
        <v>12</v>
      </c>
      <c r="E1430" s="2" t="s">
        <v>45</v>
      </c>
      <c r="F1430" s="2" t="s">
        <v>46</v>
      </c>
      <c r="G1430" s="2" t="s">
        <v>39</v>
      </c>
      <c r="H1430" s="2" t="s">
        <v>22</v>
      </c>
      <c r="I1430" s="2" t="s">
        <v>40</v>
      </c>
      <c r="J1430" s="2" t="s">
        <v>24</v>
      </c>
      <c r="K1430">
        <v>5889.14</v>
      </c>
      <c r="L1430">
        <v>279099.5</v>
      </c>
      <c r="M1430">
        <v>4739.22</v>
      </c>
      <c r="N1430" s="2" t="s">
        <v>47</v>
      </c>
      <c r="O1430" s="2" t="s">
        <v>48</v>
      </c>
      <c r="P1430" s="2" t="s">
        <v>2794</v>
      </c>
      <c r="Q1430" s="2" t="s">
        <v>2795</v>
      </c>
      <c r="R1430" s="2" t="s">
        <v>29</v>
      </c>
      <c r="S1430" s="2" t="s">
        <v>30</v>
      </c>
    </row>
    <row r="1431" spans="1:19">
      <c r="A1431" s="1">
        <v>44531</v>
      </c>
      <c r="B1431" s="1">
        <v>44531</v>
      </c>
      <c r="C1431">
        <v>2021</v>
      </c>
      <c r="D1431">
        <v>12</v>
      </c>
      <c r="E1431" s="2" t="s">
        <v>51</v>
      </c>
      <c r="F1431" s="2" t="s">
        <v>52</v>
      </c>
      <c r="G1431" s="2" t="s">
        <v>39</v>
      </c>
      <c r="H1431" s="2" t="s">
        <v>22</v>
      </c>
      <c r="I1431" s="2" t="s">
        <v>40</v>
      </c>
      <c r="J1431" s="2" t="s">
        <v>24</v>
      </c>
      <c r="K1431">
        <v>28.76</v>
      </c>
      <c r="L1431">
        <v>976.78</v>
      </c>
      <c r="M1431">
        <v>3396.31</v>
      </c>
      <c r="N1431" s="2" t="s">
        <v>53</v>
      </c>
      <c r="O1431" s="2" t="s">
        <v>54</v>
      </c>
      <c r="P1431" s="2" t="s">
        <v>2796</v>
      </c>
      <c r="Q1431" s="2" t="s">
        <v>2797</v>
      </c>
      <c r="R1431" s="2" t="s">
        <v>29</v>
      </c>
      <c r="S1431" s="2" t="s">
        <v>30</v>
      </c>
    </row>
    <row r="1432" spans="1:19">
      <c r="A1432" s="1">
        <v>44531</v>
      </c>
      <c r="B1432" s="1">
        <v>44531</v>
      </c>
      <c r="C1432">
        <v>2021</v>
      </c>
      <c r="D1432">
        <v>12</v>
      </c>
      <c r="E1432" s="2" t="s">
        <v>57</v>
      </c>
      <c r="F1432" s="2" t="s">
        <v>58</v>
      </c>
      <c r="G1432" s="2" t="s">
        <v>39</v>
      </c>
      <c r="H1432" s="2" t="s">
        <v>22</v>
      </c>
      <c r="I1432" s="2" t="s">
        <v>40</v>
      </c>
      <c r="J1432" s="2" t="s">
        <v>59</v>
      </c>
      <c r="K1432">
        <v>5923.8</v>
      </c>
      <c r="L1432">
        <v>280371.49</v>
      </c>
      <c r="M1432">
        <v>4732.97</v>
      </c>
      <c r="N1432" s="2" t="s">
        <v>60</v>
      </c>
      <c r="O1432" s="2" t="s">
        <v>61</v>
      </c>
      <c r="P1432" s="2" t="s">
        <v>2798</v>
      </c>
      <c r="Q1432" s="2" t="s">
        <v>2799</v>
      </c>
      <c r="R1432" s="2" t="s">
        <v>29</v>
      </c>
      <c r="S1432" s="2" t="s">
        <v>30</v>
      </c>
    </row>
    <row r="1433" spans="1:19">
      <c r="A1433" s="1">
        <v>44531</v>
      </c>
      <c r="B1433" s="1">
        <v>44531</v>
      </c>
      <c r="C1433">
        <v>2021</v>
      </c>
      <c r="D1433">
        <v>12</v>
      </c>
      <c r="E1433" s="2" t="s">
        <v>64</v>
      </c>
      <c r="F1433" s="2" t="s">
        <v>65</v>
      </c>
      <c r="G1433" s="2" t="s">
        <v>21</v>
      </c>
      <c r="H1433" s="2" t="s">
        <v>22</v>
      </c>
      <c r="I1433" s="2" t="s">
        <v>66</v>
      </c>
      <c r="J1433" s="2" t="s">
        <v>24</v>
      </c>
      <c r="K1433">
        <v>19.59</v>
      </c>
      <c r="L1433">
        <v>611.26</v>
      </c>
      <c r="M1433">
        <v>3120.27</v>
      </c>
      <c r="N1433" s="2" t="s">
        <v>67</v>
      </c>
      <c r="O1433" s="2" t="s">
        <v>68</v>
      </c>
      <c r="P1433" s="2" t="s">
        <v>2800</v>
      </c>
      <c r="Q1433" s="2" t="s">
        <v>2801</v>
      </c>
      <c r="R1433" s="2" t="s">
        <v>29</v>
      </c>
      <c r="S1433" s="2" t="s">
        <v>30</v>
      </c>
    </row>
    <row r="1434" spans="1:19">
      <c r="A1434" s="1">
        <v>44531</v>
      </c>
      <c r="B1434" s="1">
        <v>44531</v>
      </c>
      <c r="C1434">
        <v>2021</v>
      </c>
      <c r="D1434">
        <v>12</v>
      </c>
      <c r="E1434" s="2" t="s">
        <v>71</v>
      </c>
      <c r="F1434" s="2" t="s">
        <v>72</v>
      </c>
      <c r="G1434" s="2" t="s">
        <v>21</v>
      </c>
      <c r="H1434" s="2" t="s">
        <v>22</v>
      </c>
      <c r="I1434" s="2" t="s">
        <v>73</v>
      </c>
      <c r="J1434" s="2" t="s">
        <v>59</v>
      </c>
      <c r="K1434">
        <v>5611.8</v>
      </c>
      <c r="L1434">
        <v>160398.26999999999</v>
      </c>
      <c r="M1434">
        <v>2858.23</v>
      </c>
      <c r="N1434" s="2" t="s">
        <v>74</v>
      </c>
      <c r="O1434" s="2" t="s">
        <v>75</v>
      </c>
      <c r="P1434" s="2" t="s">
        <v>2802</v>
      </c>
      <c r="Q1434" s="2" t="s">
        <v>2803</v>
      </c>
      <c r="R1434" s="2" t="s">
        <v>29</v>
      </c>
      <c r="S1434" s="2" t="s">
        <v>30</v>
      </c>
    </row>
    <row r="1435" spans="1:19">
      <c r="A1435" s="1">
        <v>44531</v>
      </c>
      <c r="B1435" s="1">
        <v>44531</v>
      </c>
      <c r="C1435">
        <v>2021</v>
      </c>
      <c r="D1435">
        <v>12</v>
      </c>
      <c r="E1435" s="2" t="s">
        <v>78</v>
      </c>
      <c r="F1435" s="2" t="s">
        <v>79</v>
      </c>
      <c r="G1435" s="2" t="s">
        <v>80</v>
      </c>
      <c r="H1435" s="2" t="s">
        <v>81</v>
      </c>
      <c r="I1435" s="2" t="s">
        <v>82</v>
      </c>
      <c r="J1435" s="2" t="s">
        <v>24</v>
      </c>
      <c r="K1435">
        <v>1.96</v>
      </c>
      <c r="L1435">
        <v>5516603.7000000002</v>
      </c>
      <c r="M1435">
        <v>281459372.44999999</v>
      </c>
      <c r="N1435" s="2" t="s">
        <v>83</v>
      </c>
      <c r="O1435" s="2" t="s">
        <v>84</v>
      </c>
      <c r="P1435" s="2" t="s">
        <v>2804</v>
      </c>
      <c r="Q1435" s="2" t="s">
        <v>2805</v>
      </c>
      <c r="R1435" s="2" t="s">
        <v>29</v>
      </c>
      <c r="S1435" s="2" t="s">
        <v>30</v>
      </c>
    </row>
    <row r="1436" spans="1:19">
      <c r="A1436" s="1">
        <v>44531</v>
      </c>
      <c r="B1436" s="1">
        <v>44531</v>
      </c>
      <c r="C1436">
        <v>2021</v>
      </c>
      <c r="D1436">
        <v>12</v>
      </c>
      <c r="E1436" s="2" t="s">
        <v>87</v>
      </c>
      <c r="F1436" s="2" t="s">
        <v>88</v>
      </c>
      <c r="G1436" s="2" t="s">
        <v>80</v>
      </c>
      <c r="H1436" s="2" t="s">
        <v>81</v>
      </c>
      <c r="I1436" s="2" t="s">
        <v>82</v>
      </c>
      <c r="J1436" s="2" t="s">
        <v>24</v>
      </c>
      <c r="K1436">
        <v>0.48</v>
      </c>
      <c r="L1436">
        <v>651102.67000000004</v>
      </c>
      <c r="M1436">
        <v>135646389.58000001</v>
      </c>
      <c r="N1436" s="2" t="s">
        <v>89</v>
      </c>
      <c r="O1436" s="2" t="s">
        <v>90</v>
      </c>
      <c r="P1436" s="2" t="s">
        <v>1545</v>
      </c>
      <c r="Q1436" s="2" t="s">
        <v>2806</v>
      </c>
      <c r="R1436" s="2" t="s">
        <v>29</v>
      </c>
      <c r="S1436" s="2" t="s">
        <v>30</v>
      </c>
    </row>
    <row r="1437" spans="1:19">
      <c r="A1437" s="1">
        <v>44531</v>
      </c>
      <c r="B1437" s="1">
        <v>44531</v>
      </c>
      <c r="C1437">
        <v>2021</v>
      </c>
      <c r="D1437">
        <v>12</v>
      </c>
      <c r="E1437" s="2" t="s">
        <v>93</v>
      </c>
      <c r="F1437" s="2" t="s">
        <v>94</v>
      </c>
      <c r="G1437" s="2" t="s">
        <v>80</v>
      </c>
      <c r="H1437" s="2" t="s">
        <v>81</v>
      </c>
      <c r="I1437" s="2" t="s">
        <v>82</v>
      </c>
      <c r="J1437" s="2" t="s">
        <v>24</v>
      </c>
      <c r="K1437">
        <v>0.3</v>
      </c>
      <c r="L1437">
        <v>5075400.5999999996</v>
      </c>
      <c r="M1437">
        <v>1691800200</v>
      </c>
      <c r="N1437" s="2" t="s">
        <v>95</v>
      </c>
      <c r="O1437" s="2" t="s">
        <v>96</v>
      </c>
      <c r="P1437" s="2" t="s">
        <v>2807</v>
      </c>
      <c r="Q1437" s="2" t="s">
        <v>2808</v>
      </c>
      <c r="R1437" s="2" t="s">
        <v>29</v>
      </c>
      <c r="S1437" s="2" t="s">
        <v>30</v>
      </c>
    </row>
    <row r="1438" spans="1:19">
      <c r="A1438" s="1">
        <v>44531</v>
      </c>
      <c r="B1438" s="1">
        <v>44531</v>
      </c>
      <c r="C1438">
        <v>2021</v>
      </c>
      <c r="D1438">
        <v>12</v>
      </c>
      <c r="E1438" s="2" t="s">
        <v>99</v>
      </c>
      <c r="F1438" s="2" t="s">
        <v>100</v>
      </c>
      <c r="G1438" s="2" t="s">
        <v>80</v>
      </c>
      <c r="H1438" s="2" t="s">
        <v>81</v>
      </c>
      <c r="I1438" s="2" t="s">
        <v>82</v>
      </c>
      <c r="J1438" s="2" t="s">
        <v>101</v>
      </c>
      <c r="K1438">
        <v>1.1000000000000001</v>
      </c>
      <c r="L1438">
        <v>14801511.77</v>
      </c>
      <c r="M1438">
        <v>1345591979.0899999</v>
      </c>
      <c r="N1438" s="2" t="s">
        <v>102</v>
      </c>
      <c r="O1438" s="2" t="s">
        <v>103</v>
      </c>
      <c r="P1438" s="2" t="s">
        <v>2809</v>
      </c>
      <c r="Q1438" s="2" t="s">
        <v>2810</v>
      </c>
      <c r="R1438" s="2" t="s">
        <v>29</v>
      </c>
      <c r="S1438" s="2" t="s">
        <v>30</v>
      </c>
    </row>
    <row r="1439" spans="1:19">
      <c r="A1439" s="1">
        <v>44531</v>
      </c>
      <c r="B1439" s="1">
        <v>44531</v>
      </c>
      <c r="C1439">
        <v>2021</v>
      </c>
      <c r="D1439">
        <v>12</v>
      </c>
      <c r="E1439" s="2" t="s">
        <v>106</v>
      </c>
      <c r="F1439" s="2" t="s">
        <v>107</v>
      </c>
      <c r="G1439" s="2" t="s">
        <v>80</v>
      </c>
      <c r="H1439" s="2" t="s">
        <v>81</v>
      </c>
      <c r="I1439" s="2" t="s">
        <v>82</v>
      </c>
      <c r="J1439" s="2" t="s">
        <v>24</v>
      </c>
      <c r="K1439">
        <v>0.31</v>
      </c>
      <c r="L1439">
        <v>9075008.5</v>
      </c>
      <c r="M1439">
        <v>2927422096.77</v>
      </c>
      <c r="N1439" s="2" t="s">
        <v>108</v>
      </c>
      <c r="O1439" s="2" t="s">
        <v>109</v>
      </c>
      <c r="P1439" s="2" t="s">
        <v>2811</v>
      </c>
      <c r="Q1439" s="2" t="s">
        <v>2812</v>
      </c>
      <c r="R1439" s="2" t="s">
        <v>29</v>
      </c>
      <c r="S1439" s="2" t="s">
        <v>30</v>
      </c>
    </row>
    <row r="1440" spans="1:19">
      <c r="A1440" s="1">
        <v>44531</v>
      </c>
      <c r="B1440" s="1">
        <v>44531</v>
      </c>
      <c r="C1440">
        <v>2021</v>
      </c>
      <c r="D1440">
        <v>12</v>
      </c>
      <c r="E1440" s="2" t="s">
        <v>111</v>
      </c>
      <c r="F1440" s="2" t="s">
        <v>112</v>
      </c>
      <c r="G1440" s="2" t="s">
        <v>80</v>
      </c>
      <c r="H1440" s="2" t="s">
        <v>81</v>
      </c>
      <c r="I1440" s="2" t="s">
        <v>82</v>
      </c>
      <c r="J1440" s="2" t="s">
        <v>24</v>
      </c>
      <c r="K1440">
        <v>7.0000000000000007E-2</v>
      </c>
      <c r="L1440">
        <v>385872.5</v>
      </c>
      <c r="M1440">
        <v>551246428.57000005</v>
      </c>
      <c r="N1440" s="2" t="s">
        <v>113</v>
      </c>
      <c r="O1440" s="2" t="s">
        <v>114</v>
      </c>
      <c r="P1440" s="2" t="s">
        <v>2234</v>
      </c>
      <c r="Q1440" s="2" t="s">
        <v>2813</v>
      </c>
      <c r="R1440" s="2" t="s">
        <v>29</v>
      </c>
      <c r="S1440" s="2" t="s">
        <v>30</v>
      </c>
    </row>
    <row r="1441" spans="1:19">
      <c r="A1441" s="1">
        <v>44531</v>
      </c>
      <c r="B1441" s="1">
        <v>44531</v>
      </c>
      <c r="C1441">
        <v>2021</v>
      </c>
      <c r="D1441">
        <v>12</v>
      </c>
      <c r="E1441" s="2" t="s">
        <v>117</v>
      </c>
      <c r="F1441" s="2" t="s">
        <v>118</v>
      </c>
      <c r="G1441" s="2" t="s">
        <v>80</v>
      </c>
      <c r="H1441" s="2" t="s">
        <v>81</v>
      </c>
      <c r="I1441" s="2" t="s">
        <v>82</v>
      </c>
      <c r="J1441" s="2" t="s">
        <v>59</v>
      </c>
      <c r="K1441">
        <v>3.13</v>
      </c>
      <c r="L1441">
        <v>20703987.969999999</v>
      </c>
      <c r="M1441">
        <v>661469264.22000003</v>
      </c>
      <c r="N1441" s="2" t="s">
        <v>119</v>
      </c>
      <c r="O1441" s="2" t="s">
        <v>120</v>
      </c>
      <c r="P1441" s="2" t="s">
        <v>2814</v>
      </c>
      <c r="Q1441" s="2" t="s">
        <v>2815</v>
      </c>
      <c r="R1441" s="2" t="s">
        <v>29</v>
      </c>
      <c r="S1441" s="2" t="s">
        <v>30</v>
      </c>
    </row>
    <row r="1442" spans="1:19">
      <c r="A1442" s="1">
        <v>44531</v>
      </c>
      <c r="B1442" s="1">
        <v>44531</v>
      </c>
      <c r="C1442">
        <v>2021</v>
      </c>
      <c r="D1442">
        <v>12</v>
      </c>
      <c r="E1442" s="2" t="s">
        <v>123</v>
      </c>
      <c r="F1442" s="2" t="s">
        <v>124</v>
      </c>
      <c r="G1442" s="2" t="s">
        <v>21</v>
      </c>
      <c r="H1442" s="2" t="s">
        <v>22</v>
      </c>
      <c r="I1442" s="2" t="s">
        <v>73</v>
      </c>
      <c r="J1442" s="2" t="s">
        <v>24</v>
      </c>
      <c r="K1442">
        <v>1019.1</v>
      </c>
      <c r="L1442">
        <v>57194.58</v>
      </c>
      <c r="M1442">
        <v>5612.26</v>
      </c>
      <c r="N1442" s="2" t="s">
        <v>125</v>
      </c>
      <c r="O1442" s="2" t="s">
        <v>126</v>
      </c>
      <c r="P1442" s="2" t="s">
        <v>2816</v>
      </c>
      <c r="Q1442" s="2" t="s">
        <v>2817</v>
      </c>
      <c r="R1442" s="2" t="s">
        <v>29</v>
      </c>
      <c r="S1442" s="2" t="s">
        <v>30</v>
      </c>
    </row>
    <row r="1443" spans="1:19">
      <c r="A1443" s="1">
        <v>44531</v>
      </c>
      <c r="B1443" s="1">
        <v>44531</v>
      </c>
      <c r="C1443">
        <v>2021</v>
      </c>
      <c r="D1443">
        <v>12</v>
      </c>
      <c r="E1443" s="2" t="s">
        <v>129</v>
      </c>
      <c r="F1443" s="2" t="s">
        <v>130</v>
      </c>
      <c r="G1443" s="2" t="s">
        <v>21</v>
      </c>
      <c r="H1443" s="2" t="s">
        <v>22</v>
      </c>
      <c r="I1443" s="2" t="s">
        <v>73</v>
      </c>
      <c r="J1443" s="2" t="s">
        <v>24</v>
      </c>
      <c r="K1443">
        <v>1093.48</v>
      </c>
      <c r="L1443">
        <v>36712.65</v>
      </c>
      <c r="M1443">
        <v>3357.41</v>
      </c>
      <c r="N1443" s="2" t="s">
        <v>131</v>
      </c>
      <c r="O1443" s="2" t="s">
        <v>132</v>
      </c>
      <c r="P1443" s="2" t="s">
        <v>2818</v>
      </c>
      <c r="Q1443" s="2" t="s">
        <v>2819</v>
      </c>
      <c r="R1443" s="2" t="s">
        <v>29</v>
      </c>
      <c r="S1443" s="2" t="s">
        <v>30</v>
      </c>
    </row>
    <row r="1444" spans="1:19">
      <c r="A1444" s="1">
        <v>44531</v>
      </c>
      <c r="B1444" s="1">
        <v>44531</v>
      </c>
      <c r="C1444">
        <v>2021</v>
      </c>
      <c r="D1444">
        <v>12</v>
      </c>
      <c r="E1444" s="2" t="s">
        <v>135</v>
      </c>
      <c r="F1444" s="2" t="s">
        <v>136</v>
      </c>
      <c r="G1444" s="2" t="s">
        <v>21</v>
      </c>
      <c r="H1444" s="2" t="s">
        <v>22</v>
      </c>
      <c r="I1444" s="2" t="s">
        <v>73</v>
      </c>
      <c r="J1444" s="2" t="s">
        <v>101</v>
      </c>
      <c r="K1444">
        <v>2112.59</v>
      </c>
      <c r="L1444">
        <v>93907.23</v>
      </c>
      <c r="M1444">
        <v>4445.12</v>
      </c>
      <c r="N1444" s="2" t="s">
        <v>137</v>
      </c>
      <c r="O1444" s="2" t="s">
        <v>138</v>
      </c>
      <c r="P1444" s="2" t="s">
        <v>2820</v>
      </c>
      <c r="Q1444" s="2" t="s">
        <v>2821</v>
      </c>
      <c r="R1444" s="2" t="s">
        <v>29</v>
      </c>
      <c r="S1444" s="2" t="s">
        <v>30</v>
      </c>
    </row>
    <row r="1445" spans="1:19">
      <c r="A1445" s="1">
        <v>44531</v>
      </c>
      <c r="B1445" s="1">
        <v>44531</v>
      </c>
      <c r="C1445">
        <v>2021</v>
      </c>
      <c r="D1445">
        <v>12</v>
      </c>
      <c r="E1445" s="2" t="s">
        <v>141</v>
      </c>
      <c r="F1445" s="2" t="s">
        <v>142</v>
      </c>
      <c r="G1445" s="2" t="s">
        <v>21</v>
      </c>
      <c r="H1445" s="2" t="s">
        <v>22</v>
      </c>
      <c r="I1445" s="2" t="s">
        <v>73</v>
      </c>
      <c r="J1445" s="2" t="s">
        <v>24</v>
      </c>
      <c r="K1445">
        <v>1296.71</v>
      </c>
      <c r="L1445">
        <v>23428.74</v>
      </c>
      <c r="M1445">
        <v>1806.78</v>
      </c>
      <c r="N1445" s="2" t="s">
        <v>143</v>
      </c>
      <c r="O1445" s="2" t="s">
        <v>144</v>
      </c>
      <c r="P1445" s="2" t="s">
        <v>2822</v>
      </c>
      <c r="Q1445" s="2" t="s">
        <v>2823</v>
      </c>
      <c r="R1445" s="2" t="s">
        <v>29</v>
      </c>
      <c r="S1445" s="2" t="s">
        <v>30</v>
      </c>
    </row>
    <row r="1446" spans="1:19">
      <c r="A1446" s="1">
        <v>44531</v>
      </c>
      <c r="B1446" s="1">
        <v>44531</v>
      </c>
      <c r="C1446">
        <v>2021</v>
      </c>
      <c r="D1446">
        <v>12</v>
      </c>
      <c r="E1446" s="2" t="s">
        <v>147</v>
      </c>
      <c r="F1446" s="2" t="s">
        <v>148</v>
      </c>
      <c r="G1446" s="2" t="s">
        <v>21</v>
      </c>
      <c r="H1446" s="2" t="s">
        <v>22</v>
      </c>
      <c r="I1446" s="2" t="s">
        <v>73</v>
      </c>
      <c r="J1446" s="2" t="s">
        <v>24</v>
      </c>
      <c r="K1446">
        <v>2202.5100000000002</v>
      </c>
      <c r="L1446">
        <v>43062.3</v>
      </c>
      <c r="M1446">
        <v>1955.15</v>
      </c>
      <c r="N1446" s="2" t="s">
        <v>149</v>
      </c>
      <c r="O1446" s="2" t="s">
        <v>150</v>
      </c>
      <c r="P1446" s="2" t="s">
        <v>2824</v>
      </c>
      <c r="Q1446" s="2" t="s">
        <v>2825</v>
      </c>
      <c r="R1446" s="2" t="s">
        <v>29</v>
      </c>
      <c r="S1446" s="2" t="s">
        <v>30</v>
      </c>
    </row>
    <row r="1447" spans="1:19">
      <c r="A1447" s="1">
        <v>44531</v>
      </c>
      <c r="B1447" s="1">
        <v>44531</v>
      </c>
      <c r="C1447">
        <v>2021</v>
      </c>
      <c r="D1447">
        <v>12</v>
      </c>
      <c r="E1447" s="2" t="s">
        <v>153</v>
      </c>
      <c r="F1447" s="2" t="s">
        <v>154</v>
      </c>
      <c r="G1447" s="2" t="s">
        <v>21</v>
      </c>
      <c r="H1447" s="2" t="s">
        <v>22</v>
      </c>
      <c r="I1447" s="2" t="s">
        <v>73</v>
      </c>
      <c r="J1447" s="2" t="s">
        <v>101</v>
      </c>
      <c r="K1447">
        <v>3499.21</v>
      </c>
      <c r="L1447">
        <v>66491.03</v>
      </c>
      <c r="M1447">
        <v>1900.17</v>
      </c>
      <c r="N1447" s="2" t="s">
        <v>155</v>
      </c>
      <c r="O1447" s="2" t="s">
        <v>156</v>
      </c>
      <c r="P1447" s="2" t="s">
        <v>2826</v>
      </c>
      <c r="Q1447" s="2" t="s">
        <v>2827</v>
      </c>
      <c r="R1447" s="2" t="s">
        <v>29</v>
      </c>
      <c r="S1447" s="2" t="s">
        <v>30</v>
      </c>
    </row>
    <row r="1448" spans="1:19">
      <c r="A1448" s="1">
        <v>44531</v>
      </c>
      <c r="B1448" s="1">
        <v>44531</v>
      </c>
      <c r="C1448">
        <v>2021</v>
      </c>
      <c r="D1448">
        <v>12</v>
      </c>
      <c r="E1448" s="2" t="s">
        <v>159</v>
      </c>
      <c r="F1448" s="2" t="s">
        <v>160</v>
      </c>
      <c r="G1448" s="2" t="s">
        <v>21</v>
      </c>
      <c r="H1448" s="2" t="s">
        <v>22</v>
      </c>
      <c r="I1448" s="2" t="s">
        <v>66</v>
      </c>
      <c r="J1448" s="2" t="s">
        <v>59</v>
      </c>
      <c r="K1448">
        <v>1064.54</v>
      </c>
      <c r="L1448">
        <v>91162.84</v>
      </c>
      <c r="M1448">
        <v>8563.59</v>
      </c>
      <c r="N1448" s="2" t="s">
        <v>161</v>
      </c>
      <c r="O1448" s="2" t="s">
        <v>162</v>
      </c>
      <c r="P1448" s="2" t="s">
        <v>2828</v>
      </c>
      <c r="Q1448" s="2" t="s">
        <v>2829</v>
      </c>
      <c r="R1448" s="2" t="s">
        <v>29</v>
      </c>
      <c r="S1448" s="2" t="s">
        <v>30</v>
      </c>
    </row>
    <row r="1449" spans="1:19">
      <c r="A1449" s="1">
        <v>44531</v>
      </c>
      <c r="B1449" s="1">
        <v>44531</v>
      </c>
      <c r="C1449">
        <v>2021</v>
      </c>
      <c r="D1449">
        <v>12</v>
      </c>
      <c r="E1449" s="2" t="s">
        <v>165</v>
      </c>
      <c r="F1449" s="2" t="s">
        <v>166</v>
      </c>
      <c r="G1449" s="2" t="s">
        <v>21</v>
      </c>
      <c r="H1449" s="2" t="s">
        <v>22</v>
      </c>
      <c r="I1449" s="2" t="s">
        <v>23</v>
      </c>
      <c r="J1449" s="2" t="s">
        <v>24</v>
      </c>
      <c r="K1449">
        <v>0</v>
      </c>
      <c r="L1449">
        <v>0</v>
      </c>
      <c r="N1449" s="2" t="s">
        <v>167</v>
      </c>
      <c r="O1449" s="2" t="s">
        <v>168</v>
      </c>
      <c r="P1449" s="2" t="s">
        <v>639</v>
      </c>
      <c r="Q1449" s="2" t="s">
        <v>639</v>
      </c>
      <c r="R1449" s="2" t="s">
        <v>29</v>
      </c>
      <c r="S1449" s="2" t="s">
        <v>30</v>
      </c>
    </row>
    <row r="1450" spans="1:19">
      <c r="A1450" s="1">
        <v>44531</v>
      </c>
      <c r="B1450" s="1">
        <v>44531</v>
      </c>
      <c r="C1450">
        <v>2021</v>
      </c>
      <c r="D1450">
        <v>12</v>
      </c>
      <c r="E1450" s="2" t="s">
        <v>171</v>
      </c>
      <c r="F1450" s="2" t="s">
        <v>172</v>
      </c>
      <c r="G1450" s="2" t="s">
        <v>21</v>
      </c>
      <c r="H1450" s="2" t="s">
        <v>22</v>
      </c>
      <c r="I1450" s="2" t="s">
        <v>66</v>
      </c>
      <c r="J1450" s="2" t="s">
        <v>24</v>
      </c>
      <c r="N1450" s="2" t="s">
        <v>173</v>
      </c>
      <c r="O1450" s="2" t="s">
        <v>174</v>
      </c>
      <c r="P1450" s="2" t="s">
        <v>175</v>
      </c>
      <c r="Q1450" s="2" t="s">
        <v>175</v>
      </c>
      <c r="R1450" s="2" t="s">
        <v>640</v>
      </c>
      <c r="S1450" s="2" t="s">
        <v>641</v>
      </c>
    </row>
    <row r="1451" spans="1:19">
      <c r="A1451" s="1">
        <v>44531</v>
      </c>
      <c r="B1451" s="1">
        <v>44531</v>
      </c>
      <c r="C1451">
        <v>2021</v>
      </c>
      <c r="D1451">
        <v>12</v>
      </c>
      <c r="E1451" s="2" t="s">
        <v>177</v>
      </c>
      <c r="F1451" s="2" t="s">
        <v>178</v>
      </c>
      <c r="G1451" s="2" t="s">
        <v>21</v>
      </c>
      <c r="H1451" s="2" t="s">
        <v>22</v>
      </c>
      <c r="I1451" s="2" t="s">
        <v>23</v>
      </c>
      <c r="J1451" s="2" t="s">
        <v>24</v>
      </c>
      <c r="K1451">
        <v>4429.8599999999997</v>
      </c>
      <c r="L1451">
        <v>396411.43</v>
      </c>
      <c r="M1451">
        <v>8948.6200000000008</v>
      </c>
      <c r="N1451" s="2" t="s">
        <v>179</v>
      </c>
      <c r="O1451" s="2" t="s">
        <v>180</v>
      </c>
      <c r="P1451" s="2" t="s">
        <v>2830</v>
      </c>
      <c r="Q1451" s="2" t="s">
        <v>2831</v>
      </c>
      <c r="R1451" s="2" t="s">
        <v>29</v>
      </c>
      <c r="S1451" s="2" t="s">
        <v>30</v>
      </c>
    </row>
    <row r="1452" spans="1:19">
      <c r="A1452" s="1">
        <v>44531</v>
      </c>
      <c r="B1452" s="1">
        <v>44531</v>
      </c>
      <c r="C1452">
        <v>2021</v>
      </c>
      <c r="D1452">
        <v>12</v>
      </c>
      <c r="E1452" s="2" t="s">
        <v>183</v>
      </c>
      <c r="F1452" s="2" t="s">
        <v>184</v>
      </c>
      <c r="G1452" s="2" t="s">
        <v>185</v>
      </c>
      <c r="H1452" s="2" t="s">
        <v>22</v>
      </c>
      <c r="I1452" s="2" t="s">
        <v>186</v>
      </c>
      <c r="J1452" s="2" t="s">
        <v>24</v>
      </c>
      <c r="K1452">
        <v>2754.25</v>
      </c>
      <c r="L1452">
        <v>2920552.04</v>
      </c>
      <c r="M1452">
        <v>106038.02</v>
      </c>
      <c r="N1452" s="2" t="s">
        <v>187</v>
      </c>
      <c r="O1452" s="2" t="s">
        <v>188</v>
      </c>
      <c r="P1452" s="2" t="s">
        <v>2832</v>
      </c>
      <c r="Q1452" s="2" t="s">
        <v>2833</v>
      </c>
      <c r="R1452" s="2" t="s">
        <v>29</v>
      </c>
      <c r="S1452" s="2" t="s">
        <v>30</v>
      </c>
    </row>
    <row r="1453" spans="1:19">
      <c r="A1453" s="1">
        <v>44531</v>
      </c>
      <c r="B1453" s="1">
        <v>44531</v>
      </c>
      <c r="C1453">
        <v>2021</v>
      </c>
      <c r="D1453">
        <v>12</v>
      </c>
      <c r="E1453" s="2" t="s">
        <v>191</v>
      </c>
      <c r="F1453" s="2" t="s">
        <v>192</v>
      </c>
      <c r="G1453" s="2" t="s">
        <v>185</v>
      </c>
      <c r="H1453" s="2" t="s">
        <v>22</v>
      </c>
      <c r="I1453" s="2" t="s">
        <v>186</v>
      </c>
      <c r="J1453" s="2" t="s">
        <v>24</v>
      </c>
      <c r="K1453">
        <v>848.36</v>
      </c>
      <c r="L1453">
        <v>5690977.0700000003</v>
      </c>
      <c r="M1453">
        <v>670821</v>
      </c>
      <c r="N1453" s="2" t="s">
        <v>193</v>
      </c>
      <c r="O1453" s="2" t="s">
        <v>194</v>
      </c>
      <c r="P1453" s="2" t="s">
        <v>2834</v>
      </c>
      <c r="Q1453" s="2" t="s">
        <v>2835</v>
      </c>
      <c r="R1453" s="2" t="s">
        <v>29</v>
      </c>
      <c r="S1453" s="2" t="s">
        <v>30</v>
      </c>
    </row>
    <row r="1454" spans="1:19">
      <c r="A1454" s="1">
        <v>44531</v>
      </c>
      <c r="B1454" s="1">
        <v>44531</v>
      </c>
      <c r="C1454">
        <v>2021</v>
      </c>
      <c r="D1454">
        <v>12</v>
      </c>
      <c r="E1454" s="2" t="s">
        <v>197</v>
      </c>
      <c r="F1454" s="2" t="s">
        <v>198</v>
      </c>
      <c r="G1454" s="2" t="s">
        <v>185</v>
      </c>
      <c r="H1454" s="2" t="s">
        <v>22</v>
      </c>
      <c r="I1454" s="2" t="s">
        <v>186</v>
      </c>
      <c r="J1454" s="2" t="s">
        <v>59</v>
      </c>
      <c r="K1454">
        <v>3602.61</v>
      </c>
      <c r="L1454">
        <v>8611529.1099999994</v>
      </c>
      <c r="M1454">
        <v>239035.84</v>
      </c>
      <c r="N1454" s="2" t="s">
        <v>199</v>
      </c>
      <c r="O1454" s="2" t="s">
        <v>200</v>
      </c>
      <c r="P1454" s="2" t="s">
        <v>2836</v>
      </c>
      <c r="Q1454" s="2" t="s">
        <v>2837</v>
      </c>
      <c r="R1454" s="2" t="s">
        <v>29</v>
      </c>
      <c r="S1454" s="2" t="s">
        <v>30</v>
      </c>
    </row>
    <row r="1455" spans="1:19">
      <c r="A1455" s="1">
        <v>44531</v>
      </c>
      <c r="B1455" s="1">
        <v>44531</v>
      </c>
      <c r="C1455">
        <v>2021</v>
      </c>
      <c r="D1455">
        <v>12</v>
      </c>
      <c r="E1455" s="2" t="s">
        <v>203</v>
      </c>
      <c r="F1455" s="2" t="s">
        <v>204</v>
      </c>
      <c r="G1455" s="2" t="s">
        <v>39</v>
      </c>
      <c r="H1455" s="2" t="s">
        <v>22</v>
      </c>
      <c r="I1455" s="2" t="s">
        <v>40</v>
      </c>
      <c r="J1455" s="2" t="s">
        <v>24</v>
      </c>
      <c r="K1455">
        <v>940.2</v>
      </c>
      <c r="L1455">
        <v>25208.11</v>
      </c>
      <c r="M1455">
        <v>2681.14</v>
      </c>
      <c r="N1455" s="2" t="s">
        <v>205</v>
      </c>
      <c r="O1455" s="2" t="s">
        <v>206</v>
      </c>
      <c r="P1455" s="2" t="s">
        <v>2838</v>
      </c>
      <c r="Q1455" s="2" t="s">
        <v>2839</v>
      </c>
      <c r="R1455" s="2" t="s">
        <v>29</v>
      </c>
      <c r="S1455" s="2" t="s">
        <v>30</v>
      </c>
    </row>
    <row r="1456" spans="1:19">
      <c r="A1456" s="1">
        <v>44531</v>
      </c>
      <c r="B1456" s="1">
        <v>44531</v>
      </c>
      <c r="C1456">
        <v>2021</v>
      </c>
      <c r="D1456">
        <v>12</v>
      </c>
      <c r="E1456" s="2" t="s">
        <v>209</v>
      </c>
      <c r="F1456" s="2" t="s">
        <v>210</v>
      </c>
      <c r="G1456" s="2" t="s">
        <v>39</v>
      </c>
      <c r="H1456" s="2" t="s">
        <v>22</v>
      </c>
      <c r="I1456" s="2" t="s">
        <v>40</v>
      </c>
      <c r="J1456" s="2" t="s">
        <v>59</v>
      </c>
      <c r="K1456">
        <v>940.2</v>
      </c>
      <c r="L1456">
        <v>25208.11</v>
      </c>
      <c r="M1456">
        <v>2681.14</v>
      </c>
      <c r="N1456" s="2" t="s">
        <v>211</v>
      </c>
      <c r="O1456" s="2" t="s">
        <v>212</v>
      </c>
      <c r="P1456" s="2" t="s">
        <v>2838</v>
      </c>
      <c r="Q1456" s="2" t="s">
        <v>2839</v>
      </c>
      <c r="R1456" s="2" t="s">
        <v>29</v>
      </c>
      <c r="S1456" s="2" t="s">
        <v>30</v>
      </c>
    </row>
    <row r="1457" spans="1:19">
      <c r="A1457" s="1">
        <v>44531</v>
      </c>
      <c r="B1457" s="1">
        <v>44531</v>
      </c>
      <c r="C1457">
        <v>2021</v>
      </c>
      <c r="D1457">
        <v>12</v>
      </c>
      <c r="E1457" s="2" t="s">
        <v>213</v>
      </c>
      <c r="F1457" s="2" t="s">
        <v>214</v>
      </c>
      <c r="G1457" s="2" t="s">
        <v>185</v>
      </c>
      <c r="H1457" s="2" t="s">
        <v>22</v>
      </c>
      <c r="I1457" s="2" t="s">
        <v>215</v>
      </c>
      <c r="J1457" s="2" t="s">
        <v>24</v>
      </c>
      <c r="K1457">
        <v>45950.61</v>
      </c>
      <c r="L1457">
        <v>1179518.1100000001</v>
      </c>
      <c r="M1457">
        <v>2566.9299999999998</v>
      </c>
      <c r="N1457" s="2" t="s">
        <v>216</v>
      </c>
      <c r="O1457" s="2" t="s">
        <v>217</v>
      </c>
      <c r="P1457" s="2" t="s">
        <v>2840</v>
      </c>
      <c r="Q1457" s="2" t="s">
        <v>2841</v>
      </c>
      <c r="R1457" s="2" t="s">
        <v>29</v>
      </c>
      <c r="S1457" s="2" t="s">
        <v>30</v>
      </c>
    </row>
    <row r="1458" spans="1:19">
      <c r="A1458" s="1">
        <v>44531</v>
      </c>
      <c r="B1458" s="1">
        <v>44531</v>
      </c>
      <c r="C1458">
        <v>2021</v>
      </c>
      <c r="D1458">
        <v>12</v>
      </c>
      <c r="E1458" s="2" t="s">
        <v>220</v>
      </c>
      <c r="F1458" s="2" t="s">
        <v>221</v>
      </c>
      <c r="G1458" s="2" t="s">
        <v>185</v>
      </c>
      <c r="H1458" s="2" t="s">
        <v>22</v>
      </c>
      <c r="I1458" s="2" t="s">
        <v>215</v>
      </c>
      <c r="J1458" s="2" t="s">
        <v>24</v>
      </c>
      <c r="K1458">
        <v>3927.19</v>
      </c>
      <c r="L1458">
        <v>254443.07</v>
      </c>
      <c r="M1458">
        <v>6479.01</v>
      </c>
      <c r="N1458" s="2" t="s">
        <v>222</v>
      </c>
      <c r="O1458" s="2" t="s">
        <v>223</v>
      </c>
      <c r="P1458" s="2" t="s">
        <v>2842</v>
      </c>
      <c r="Q1458" s="2" t="s">
        <v>2843</v>
      </c>
      <c r="R1458" s="2" t="s">
        <v>29</v>
      </c>
      <c r="S1458" s="2" t="s">
        <v>30</v>
      </c>
    </row>
    <row r="1459" spans="1:19">
      <c r="A1459" s="1">
        <v>44531</v>
      </c>
      <c r="B1459" s="1">
        <v>44531</v>
      </c>
      <c r="C1459">
        <v>2021</v>
      </c>
      <c r="D1459">
        <v>12</v>
      </c>
      <c r="E1459" s="2" t="s">
        <v>226</v>
      </c>
      <c r="F1459" s="2" t="s">
        <v>227</v>
      </c>
      <c r="G1459" s="2" t="s">
        <v>185</v>
      </c>
      <c r="H1459" s="2" t="s">
        <v>22</v>
      </c>
      <c r="I1459" s="2" t="s">
        <v>215</v>
      </c>
      <c r="J1459" s="2" t="s">
        <v>59</v>
      </c>
      <c r="K1459">
        <v>49877.8</v>
      </c>
      <c r="L1459">
        <v>1433961.18</v>
      </c>
      <c r="M1459">
        <v>2874.95</v>
      </c>
      <c r="N1459" s="2" t="s">
        <v>228</v>
      </c>
      <c r="O1459" s="2" t="s">
        <v>229</v>
      </c>
      <c r="P1459" s="2" t="s">
        <v>2844</v>
      </c>
      <c r="Q1459" s="2" t="s">
        <v>2845</v>
      </c>
      <c r="R1459" s="2" t="s">
        <v>29</v>
      </c>
      <c r="S1459" s="2" t="s">
        <v>30</v>
      </c>
    </row>
    <row r="1460" spans="1:19">
      <c r="A1460" s="1">
        <v>44531</v>
      </c>
      <c r="B1460" s="1">
        <v>44531</v>
      </c>
      <c r="C1460">
        <v>2021</v>
      </c>
      <c r="D1460">
        <v>12</v>
      </c>
      <c r="E1460" s="2" t="s">
        <v>232</v>
      </c>
      <c r="F1460" s="2" t="s">
        <v>233</v>
      </c>
      <c r="G1460" s="2" t="s">
        <v>21</v>
      </c>
      <c r="H1460" s="2" t="s">
        <v>22</v>
      </c>
      <c r="I1460" s="2" t="s">
        <v>23</v>
      </c>
      <c r="J1460" s="2" t="s">
        <v>24</v>
      </c>
      <c r="K1460">
        <v>1483.71</v>
      </c>
      <c r="L1460">
        <v>113131.86</v>
      </c>
      <c r="M1460">
        <v>7624.93</v>
      </c>
      <c r="N1460" s="2" t="s">
        <v>234</v>
      </c>
      <c r="O1460" s="2" t="s">
        <v>235</v>
      </c>
      <c r="P1460" s="2" t="s">
        <v>2846</v>
      </c>
      <c r="Q1460" s="2" t="s">
        <v>2847</v>
      </c>
      <c r="R1460" s="2" t="s">
        <v>29</v>
      </c>
      <c r="S1460" s="2" t="s">
        <v>30</v>
      </c>
    </row>
    <row r="1461" spans="1:19">
      <c r="A1461" s="1">
        <v>44531</v>
      </c>
      <c r="B1461" s="1">
        <v>44531</v>
      </c>
      <c r="C1461">
        <v>2021</v>
      </c>
      <c r="D1461">
        <v>12</v>
      </c>
      <c r="E1461" s="2" t="s">
        <v>238</v>
      </c>
      <c r="F1461" s="2" t="s">
        <v>239</v>
      </c>
      <c r="G1461" s="2" t="s">
        <v>21</v>
      </c>
      <c r="H1461" s="2" t="s">
        <v>22</v>
      </c>
      <c r="I1461" s="2" t="s">
        <v>66</v>
      </c>
      <c r="J1461" s="2" t="s">
        <v>24</v>
      </c>
      <c r="K1461">
        <v>937.92</v>
      </c>
      <c r="L1461">
        <v>90425.67</v>
      </c>
      <c r="M1461">
        <v>9641.09</v>
      </c>
      <c r="N1461" s="2" t="s">
        <v>240</v>
      </c>
      <c r="O1461" s="2" t="s">
        <v>241</v>
      </c>
      <c r="P1461" s="2" t="s">
        <v>2848</v>
      </c>
      <c r="Q1461" s="2" t="s">
        <v>2849</v>
      </c>
      <c r="R1461" s="2" t="s">
        <v>29</v>
      </c>
      <c r="S1461" s="2" t="s">
        <v>30</v>
      </c>
    </row>
    <row r="1462" spans="1:19">
      <c r="A1462" s="1">
        <v>44531</v>
      </c>
      <c r="B1462" s="1">
        <v>44531</v>
      </c>
      <c r="C1462">
        <v>2021</v>
      </c>
      <c r="D1462">
        <v>12</v>
      </c>
      <c r="E1462" s="2" t="s">
        <v>244</v>
      </c>
      <c r="F1462" s="2" t="s">
        <v>245</v>
      </c>
      <c r="G1462" s="2" t="s">
        <v>21</v>
      </c>
      <c r="H1462" s="2" t="s">
        <v>22</v>
      </c>
      <c r="I1462" s="2" t="s">
        <v>23</v>
      </c>
      <c r="J1462" s="2" t="s">
        <v>24</v>
      </c>
      <c r="K1462">
        <v>3763.38</v>
      </c>
      <c r="L1462">
        <v>2724980.11</v>
      </c>
      <c r="M1462">
        <v>72407.789999999994</v>
      </c>
      <c r="N1462" s="2" t="s">
        <v>246</v>
      </c>
      <c r="O1462" s="2" t="s">
        <v>247</v>
      </c>
      <c r="P1462" s="2" t="s">
        <v>2850</v>
      </c>
      <c r="Q1462" s="2" t="s">
        <v>2851</v>
      </c>
      <c r="R1462" s="2" t="s">
        <v>29</v>
      </c>
      <c r="S1462" s="2" t="s">
        <v>30</v>
      </c>
    </row>
    <row r="1463" spans="1:19">
      <c r="A1463" s="1">
        <v>44531</v>
      </c>
      <c r="B1463" s="1">
        <v>44531</v>
      </c>
      <c r="C1463">
        <v>2021</v>
      </c>
      <c r="D1463">
        <v>12</v>
      </c>
      <c r="E1463" s="2" t="s">
        <v>250</v>
      </c>
      <c r="F1463" s="2" t="s">
        <v>251</v>
      </c>
      <c r="G1463" s="2" t="s">
        <v>21</v>
      </c>
      <c r="H1463" s="2" t="s">
        <v>22</v>
      </c>
      <c r="I1463" s="2" t="s">
        <v>66</v>
      </c>
      <c r="J1463" s="2" t="s">
        <v>24</v>
      </c>
      <c r="K1463">
        <v>107.03</v>
      </c>
      <c r="L1463">
        <v>125.91</v>
      </c>
      <c r="M1463">
        <v>117.64</v>
      </c>
      <c r="N1463" s="2" t="s">
        <v>252</v>
      </c>
      <c r="O1463" s="2" t="s">
        <v>253</v>
      </c>
      <c r="P1463" s="2" t="s">
        <v>2852</v>
      </c>
      <c r="Q1463" s="2" t="s">
        <v>2853</v>
      </c>
      <c r="R1463" s="2" t="s">
        <v>29</v>
      </c>
      <c r="S1463" s="2" t="s">
        <v>30</v>
      </c>
    </row>
    <row r="1464" spans="1:19">
      <c r="A1464" s="1">
        <v>44531</v>
      </c>
      <c r="B1464" s="1">
        <v>44531</v>
      </c>
      <c r="C1464">
        <v>2021</v>
      </c>
      <c r="D1464">
        <v>12</v>
      </c>
      <c r="E1464" s="2" t="s">
        <v>256</v>
      </c>
      <c r="F1464" s="2" t="s">
        <v>257</v>
      </c>
      <c r="G1464" s="2" t="s">
        <v>21</v>
      </c>
      <c r="H1464" s="2" t="s">
        <v>22</v>
      </c>
      <c r="I1464" s="2" t="s">
        <v>258</v>
      </c>
      <c r="J1464" s="2" t="s">
        <v>24</v>
      </c>
      <c r="K1464">
        <v>660.33</v>
      </c>
      <c r="L1464">
        <v>640955.17000000004</v>
      </c>
      <c r="M1464">
        <v>97065.89</v>
      </c>
      <c r="N1464" s="2" t="s">
        <v>259</v>
      </c>
      <c r="O1464" s="2" t="s">
        <v>260</v>
      </c>
      <c r="P1464" s="2" t="s">
        <v>2854</v>
      </c>
      <c r="Q1464" s="2" t="s">
        <v>2855</v>
      </c>
      <c r="R1464" s="2" t="s">
        <v>29</v>
      </c>
      <c r="S1464" s="2" t="s">
        <v>30</v>
      </c>
    </row>
    <row r="1465" spans="1:19">
      <c r="A1465" s="1">
        <v>44531</v>
      </c>
      <c r="B1465" s="1">
        <v>44531</v>
      </c>
      <c r="C1465">
        <v>2021</v>
      </c>
      <c r="D1465">
        <v>12</v>
      </c>
      <c r="E1465" s="2" t="s">
        <v>263</v>
      </c>
      <c r="F1465" s="2" t="s">
        <v>264</v>
      </c>
      <c r="G1465" s="2" t="s">
        <v>21</v>
      </c>
      <c r="H1465" s="2" t="s">
        <v>22</v>
      </c>
      <c r="I1465" s="2" t="s">
        <v>258</v>
      </c>
      <c r="J1465" s="2" t="s">
        <v>24</v>
      </c>
      <c r="K1465">
        <v>0</v>
      </c>
      <c r="L1465">
        <v>0</v>
      </c>
      <c r="N1465" s="2" t="s">
        <v>265</v>
      </c>
      <c r="O1465" s="2" t="s">
        <v>266</v>
      </c>
      <c r="P1465" s="2" t="s">
        <v>639</v>
      </c>
      <c r="Q1465" s="2" t="s">
        <v>639</v>
      </c>
      <c r="R1465" s="2" t="s">
        <v>29</v>
      </c>
      <c r="S1465" s="2" t="s">
        <v>30</v>
      </c>
    </row>
    <row r="1466" spans="1:19">
      <c r="A1466" s="1">
        <v>44531</v>
      </c>
      <c r="B1466" s="1">
        <v>44531</v>
      </c>
      <c r="C1466">
        <v>2021</v>
      </c>
      <c r="D1466">
        <v>12</v>
      </c>
      <c r="E1466" s="2" t="s">
        <v>269</v>
      </c>
      <c r="F1466" s="2" t="s">
        <v>270</v>
      </c>
      <c r="G1466" s="2" t="s">
        <v>21</v>
      </c>
      <c r="H1466" s="2" t="s">
        <v>22</v>
      </c>
      <c r="I1466" s="2" t="s">
        <v>258</v>
      </c>
      <c r="J1466" s="2" t="s">
        <v>59</v>
      </c>
      <c r="K1466">
        <v>660.33</v>
      </c>
      <c r="L1466">
        <v>640955.17000000004</v>
      </c>
      <c r="M1466">
        <v>97065.89</v>
      </c>
      <c r="N1466" s="2" t="s">
        <v>271</v>
      </c>
      <c r="O1466" s="2" t="s">
        <v>272</v>
      </c>
      <c r="P1466" s="2" t="s">
        <v>2854</v>
      </c>
      <c r="Q1466" s="2" t="s">
        <v>2855</v>
      </c>
      <c r="R1466" s="2" t="s">
        <v>29</v>
      </c>
      <c r="S1466" s="2" t="s">
        <v>30</v>
      </c>
    </row>
    <row r="1467" spans="1:19">
      <c r="A1467" s="1">
        <v>44531</v>
      </c>
      <c r="B1467" s="1">
        <v>44531</v>
      </c>
      <c r="C1467">
        <v>2021</v>
      </c>
      <c r="D1467">
        <v>12</v>
      </c>
      <c r="E1467" s="2" t="s">
        <v>275</v>
      </c>
      <c r="F1467" s="2" t="s">
        <v>276</v>
      </c>
      <c r="G1467" s="2" t="s">
        <v>39</v>
      </c>
      <c r="H1467" s="2" t="s">
        <v>22</v>
      </c>
      <c r="I1467" s="2" t="s">
        <v>40</v>
      </c>
      <c r="J1467" s="2" t="s">
        <v>24</v>
      </c>
      <c r="K1467">
        <v>3.71</v>
      </c>
      <c r="L1467">
        <v>34.61</v>
      </c>
      <c r="M1467">
        <v>932.88</v>
      </c>
      <c r="N1467" s="2" t="s">
        <v>277</v>
      </c>
      <c r="O1467" s="2" t="s">
        <v>278</v>
      </c>
      <c r="P1467" s="2" t="s">
        <v>2856</v>
      </c>
      <c r="Q1467" s="2" t="s">
        <v>2857</v>
      </c>
      <c r="R1467" s="2" t="s">
        <v>29</v>
      </c>
      <c r="S1467" s="2" t="s">
        <v>30</v>
      </c>
    </row>
    <row r="1468" spans="1:19">
      <c r="A1468" s="1">
        <v>44531</v>
      </c>
      <c r="B1468" s="1">
        <v>44531</v>
      </c>
      <c r="C1468">
        <v>2021</v>
      </c>
      <c r="D1468">
        <v>12</v>
      </c>
      <c r="E1468" s="2" t="s">
        <v>281</v>
      </c>
      <c r="F1468" s="2" t="s">
        <v>282</v>
      </c>
      <c r="G1468" s="2" t="s">
        <v>39</v>
      </c>
      <c r="H1468" s="2" t="s">
        <v>22</v>
      </c>
      <c r="I1468" s="2" t="s">
        <v>40</v>
      </c>
      <c r="J1468" s="2" t="s">
        <v>24</v>
      </c>
      <c r="K1468">
        <v>7.0000000000000007E-2</v>
      </c>
      <c r="L1468">
        <v>0.49</v>
      </c>
      <c r="M1468">
        <v>700</v>
      </c>
      <c r="N1468" s="2" t="s">
        <v>283</v>
      </c>
      <c r="O1468" s="2" t="s">
        <v>284</v>
      </c>
      <c r="P1468" s="2" t="s">
        <v>2234</v>
      </c>
      <c r="Q1468" s="2" t="s">
        <v>2858</v>
      </c>
      <c r="R1468" s="2" t="s">
        <v>29</v>
      </c>
      <c r="S1468" s="2" t="s">
        <v>30</v>
      </c>
    </row>
    <row r="1469" spans="1:19">
      <c r="A1469" s="1">
        <v>44531</v>
      </c>
      <c r="B1469" s="1">
        <v>44531</v>
      </c>
      <c r="C1469">
        <v>2021</v>
      </c>
      <c r="D1469">
        <v>12</v>
      </c>
      <c r="E1469" s="2" t="s">
        <v>287</v>
      </c>
      <c r="F1469" s="2" t="s">
        <v>288</v>
      </c>
      <c r="G1469" s="2" t="s">
        <v>39</v>
      </c>
      <c r="H1469" s="2" t="s">
        <v>22</v>
      </c>
      <c r="I1469" s="2" t="s">
        <v>40</v>
      </c>
      <c r="J1469" s="2" t="s">
        <v>59</v>
      </c>
      <c r="K1469">
        <v>3.78</v>
      </c>
      <c r="L1469">
        <v>35.1</v>
      </c>
      <c r="M1469">
        <v>928.57</v>
      </c>
      <c r="N1469" s="2" t="s">
        <v>289</v>
      </c>
      <c r="O1469" s="2" t="s">
        <v>290</v>
      </c>
      <c r="P1469" s="2" t="s">
        <v>2859</v>
      </c>
      <c r="Q1469" s="2" t="s">
        <v>2860</v>
      </c>
      <c r="R1469" s="2" t="s">
        <v>29</v>
      </c>
      <c r="S1469" s="2" t="s">
        <v>30</v>
      </c>
    </row>
    <row r="1470" spans="1:19">
      <c r="A1470" s="1">
        <v>44531</v>
      </c>
      <c r="B1470" s="1">
        <v>44531</v>
      </c>
      <c r="C1470">
        <v>2021</v>
      </c>
      <c r="D1470">
        <v>12</v>
      </c>
      <c r="E1470" s="2" t="s">
        <v>293</v>
      </c>
      <c r="F1470" s="2" t="s">
        <v>294</v>
      </c>
      <c r="G1470" s="2" t="s">
        <v>21</v>
      </c>
      <c r="H1470" s="2" t="s">
        <v>22</v>
      </c>
      <c r="I1470" s="2" t="s">
        <v>295</v>
      </c>
      <c r="J1470" s="2" t="s">
        <v>24</v>
      </c>
      <c r="K1470">
        <v>1249.23</v>
      </c>
      <c r="L1470">
        <v>2790.21</v>
      </c>
      <c r="M1470">
        <v>223.35</v>
      </c>
      <c r="N1470" s="2" t="s">
        <v>296</v>
      </c>
      <c r="O1470" s="2" t="s">
        <v>297</v>
      </c>
      <c r="P1470" s="2" t="s">
        <v>2861</v>
      </c>
      <c r="Q1470" s="2" t="s">
        <v>2862</v>
      </c>
      <c r="R1470" s="2" t="s">
        <v>29</v>
      </c>
      <c r="S1470" s="2" t="s">
        <v>30</v>
      </c>
    </row>
    <row r="1471" spans="1:19">
      <c r="A1471" s="1">
        <v>44531</v>
      </c>
      <c r="B1471" s="1">
        <v>44531</v>
      </c>
      <c r="C1471">
        <v>2021</v>
      </c>
      <c r="D1471">
        <v>12</v>
      </c>
      <c r="E1471" s="2" t="s">
        <v>300</v>
      </c>
      <c r="F1471" s="2" t="s">
        <v>301</v>
      </c>
      <c r="G1471" s="2" t="s">
        <v>21</v>
      </c>
      <c r="H1471" s="2" t="s">
        <v>22</v>
      </c>
      <c r="I1471" s="2" t="s">
        <v>295</v>
      </c>
      <c r="J1471" s="2" t="s">
        <v>24</v>
      </c>
      <c r="K1471">
        <v>99.63</v>
      </c>
      <c r="L1471">
        <v>1892.6</v>
      </c>
      <c r="M1471">
        <v>1899.63</v>
      </c>
      <c r="N1471" s="2" t="s">
        <v>302</v>
      </c>
      <c r="O1471" s="2" t="s">
        <v>303</v>
      </c>
      <c r="P1471" s="2" t="s">
        <v>2863</v>
      </c>
      <c r="Q1471" s="2" t="s">
        <v>2864</v>
      </c>
      <c r="R1471" s="2" t="s">
        <v>29</v>
      </c>
      <c r="S1471" s="2" t="s">
        <v>30</v>
      </c>
    </row>
    <row r="1472" spans="1:19">
      <c r="A1472" s="1">
        <v>44531</v>
      </c>
      <c r="B1472" s="1">
        <v>44531</v>
      </c>
      <c r="C1472">
        <v>2021</v>
      </c>
      <c r="D1472">
        <v>12</v>
      </c>
      <c r="E1472" s="2" t="s">
        <v>306</v>
      </c>
      <c r="F1472" s="2" t="s">
        <v>307</v>
      </c>
      <c r="G1472" s="2" t="s">
        <v>21</v>
      </c>
      <c r="H1472" s="2" t="s">
        <v>22</v>
      </c>
      <c r="I1472" s="2" t="s">
        <v>295</v>
      </c>
      <c r="J1472" s="2" t="s">
        <v>101</v>
      </c>
      <c r="K1472">
        <v>1348.86</v>
      </c>
      <c r="L1472">
        <v>4682.8100000000004</v>
      </c>
      <c r="M1472">
        <v>347.17</v>
      </c>
      <c r="N1472" s="2" t="s">
        <v>308</v>
      </c>
      <c r="O1472" s="2" t="s">
        <v>309</v>
      </c>
      <c r="P1472" s="2" t="s">
        <v>2865</v>
      </c>
      <c r="Q1472" s="2" t="s">
        <v>2866</v>
      </c>
      <c r="R1472" s="2" t="s">
        <v>29</v>
      </c>
      <c r="S1472" s="2" t="s">
        <v>30</v>
      </c>
    </row>
    <row r="1473" spans="1:19">
      <c r="A1473" s="1">
        <v>44531</v>
      </c>
      <c r="B1473" s="1">
        <v>44531</v>
      </c>
      <c r="C1473">
        <v>2021</v>
      </c>
      <c r="D1473">
        <v>12</v>
      </c>
      <c r="E1473" s="2" t="s">
        <v>312</v>
      </c>
      <c r="F1473" s="2" t="s">
        <v>313</v>
      </c>
      <c r="G1473" s="2" t="s">
        <v>21</v>
      </c>
      <c r="H1473" s="2" t="s">
        <v>22</v>
      </c>
      <c r="I1473" s="2" t="s">
        <v>295</v>
      </c>
      <c r="J1473" s="2" t="s">
        <v>59</v>
      </c>
      <c r="K1473">
        <v>7008.04</v>
      </c>
      <c r="L1473">
        <v>25878.23</v>
      </c>
      <c r="M1473">
        <v>369.26</v>
      </c>
      <c r="N1473" s="2" t="s">
        <v>314</v>
      </c>
      <c r="O1473" s="2" t="s">
        <v>315</v>
      </c>
      <c r="P1473" s="2" t="s">
        <v>2867</v>
      </c>
      <c r="Q1473" s="2" t="s">
        <v>2868</v>
      </c>
      <c r="R1473" s="2" t="s">
        <v>29</v>
      </c>
      <c r="S1473" s="2" t="s">
        <v>30</v>
      </c>
    </row>
    <row r="1474" spans="1:19">
      <c r="A1474" s="1">
        <v>44531</v>
      </c>
      <c r="B1474" s="1">
        <v>44531</v>
      </c>
      <c r="C1474">
        <v>2021</v>
      </c>
      <c r="D1474">
        <v>12</v>
      </c>
      <c r="E1474" s="2" t="s">
        <v>318</v>
      </c>
      <c r="F1474" s="2" t="s">
        <v>319</v>
      </c>
      <c r="G1474" s="2" t="s">
        <v>21</v>
      </c>
      <c r="H1474" s="2" t="s">
        <v>22</v>
      </c>
      <c r="I1474" s="2" t="s">
        <v>295</v>
      </c>
      <c r="J1474" s="2" t="s">
        <v>24</v>
      </c>
      <c r="K1474">
        <v>5659.18</v>
      </c>
      <c r="L1474">
        <v>21195.42</v>
      </c>
      <c r="M1474">
        <v>374.53</v>
      </c>
      <c r="N1474" s="2" t="s">
        <v>320</v>
      </c>
      <c r="O1474" s="2" t="s">
        <v>321</v>
      </c>
      <c r="P1474" s="2" t="s">
        <v>2869</v>
      </c>
      <c r="Q1474" s="2" t="s">
        <v>2870</v>
      </c>
      <c r="R1474" s="2" t="s">
        <v>29</v>
      </c>
      <c r="S1474" s="2" t="s">
        <v>30</v>
      </c>
    </row>
    <row r="1475" spans="1:19">
      <c r="A1475" s="1">
        <v>44531</v>
      </c>
      <c r="B1475" s="1">
        <v>44531</v>
      </c>
      <c r="C1475">
        <v>2021</v>
      </c>
      <c r="D1475">
        <v>12</v>
      </c>
      <c r="E1475" s="2" t="s">
        <v>324</v>
      </c>
      <c r="F1475" s="2" t="s">
        <v>325</v>
      </c>
      <c r="G1475" s="2" t="s">
        <v>21</v>
      </c>
      <c r="H1475" s="2" t="s">
        <v>22</v>
      </c>
      <c r="I1475" s="2" t="s">
        <v>23</v>
      </c>
      <c r="J1475" s="2" t="s">
        <v>59</v>
      </c>
      <c r="K1475">
        <v>56422.79</v>
      </c>
      <c r="L1475">
        <v>4076395.23</v>
      </c>
      <c r="M1475">
        <v>7224.73</v>
      </c>
      <c r="N1475" s="2" t="s">
        <v>326</v>
      </c>
      <c r="O1475" s="2" t="s">
        <v>327</v>
      </c>
      <c r="P1475" s="2" t="s">
        <v>2871</v>
      </c>
      <c r="Q1475" s="2" t="s">
        <v>2872</v>
      </c>
      <c r="R1475" s="2" t="s">
        <v>29</v>
      </c>
      <c r="S1475" s="2" t="s">
        <v>30</v>
      </c>
    </row>
    <row r="1476" spans="1:19">
      <c r="A1476" s="1">
        <v>44531</v>
      </c>
      <c r="B1476" s="1">
        <v>44531</v>
      </c>
      <c r="C1476">
        <v>2021</v>
      </c>
      <c r="D1476">
        <v>12</v>
      </c>
      <c r="E1476" s="2" t="s">
        <v>330</v>
      </c>
      <c r="F1476" s="2" t="s">
        <v>331</v>
      </c>
      <c r="G1476" s="2" t="s">
        <v>21</v>
      </c>
      <c r="H1476" s="2" t="s">
        <v>332</v>
      </c>
      <c r="I1476" s="2" t="s">
        <v>333</v>
      </c>
      <c r="J1476" s="2" t="s">
        <v>24</v>
      </c>
      <c r="K1476">
        <v>191.5</v>
      </c>
      <c r="L1476">
        <v>11418232.57</v>
      </c>
      <c r="M1476">
        <v>5962523.54</v>
      </c>
      <c r="N1476" s="2" t="s">
        <v>334</v>
      </c>
      <c r="O1476" s="2" t="s">
        <v>335</v>
      </c>
      <c r="P1476" s="2" t="s">
        <v>2873</v>
      </c>
      <c r="Q1476" s="2" t="s">
        <v>2874</v>
      </c>
      <c r="R1476" s="2" t="s">
        <v>29</v>
      </c>
      <c r="S1476" s="2" t="s">
        <v>30</v>
      </c>
    </row>
    <row r="1477" spans="1:19">
      <c r="A1477" s="1">
        <v>44531</v>
      </c>
      <c r="B1477" s="1">
        <v>44531</v>
      </c>
      <c r="C1477">
        <v>2021</v>
      </c>
      <c r="D1477">
        <v>12</v>
      </c>
      <c r="E1477" s="2" t="s">
        <v>338</v>
      </c>
      <c r="F1477" s="2" t="s">
        <v>339</v>
      </c>
      <c r="G1477" s="2" t="s">
        <v>21</v>
      </c>
      <c r="H1477" s="2" t="s">
        <v>332</v>
      </c>
      <c r="I1477" s="2" t="s">
        <v>333</v>
      </c>
      <c r="J1477" s="2" t="s">
        <v>24</v>
      </c>
      <c r="K1477">
        <v>1.29</v>
      </c>
      <c r="L1477">
        <v>1548758.23</v>
      </c>
      <c r="M1477">
        <v>120058777.52</v>
      </c>
      <c r="N1477" s="2" t="s">
        <v>340</v>
      </c>
      <c r="O1477" s="2" t="s">
        <v>341</v>
      </c>
      <c r="P1477" s="2" t="s">
        <v>2875</v>
      </c>
      <c r="Q1477" s="2" t="s">
        <v>2876</v>
      </c>
      <c r="R1477" s="2" t="s">
        <v>29</v>
      </c>
      <c r="S1477" s="2" t="s">
        <v>30</v>
      </c>
    </row>
    <row r="1478" spans="1:19">
      <c r="A1478" s="1">
        <v>44531</v>
      </c>
      <c r="B1478" s="1">
        <v>44531</v>
      </c>
      <c r="C1478">
        <v>2021</v>
      </c>
      <c r="D1478">
        <v>12</v>
      </c>
      <c r="E1478" s="2" t="s">
        <v>344</v>
      </c>
      <c r="F1478" s="2" t="s">
        <v>345</v>
      </c>
      <c r="G1478" s="2" t="s">
        <v>21</v>
      </c>
      <c r="H1478" s="2" t="s">
        <v>332</v>
      </c>
      <c r="I1478" s="2" t="s">
        <v>333</v>
      </c>
      <c r="J1478" s="2" t="s">
        <v>59</v>
      </c>
      <c r="K1478">
        <v>192.78</v>
      </c>
      <c r="L1478">
        <v>12966990.800000001</v>
      </c>
      <c r="M1478">
        <v>6726315.3899999997</v>
      </c>
      <c r="N1478" s="2" t="s">
        <v>346</v>
      </c>
      <c r="O1478" s="2" t="s">
        <v>347</v>
      </c>
      <c r="P1478" s="2" t="s">
        <v>2877</v>
      </c>
      <c r="Q1478" s="2" t="s">
        <v>2878</v>
      </c>
      <c r="R1478" s="2" t="s">
        <v>29</v>
      </c>
      <c r="S1478" s="2" t="s">
        <v>30</v>
      </c>
    </row>
    <row r="1479" spans="1:19">
      <c r="A1479" s="1">
        <v>44531</v>
      </c>
      <c r="B1479" s="1">
        <v>44531</v>
      </c>
      <c r="C1479">
        <v>2021</v>
      </c>
      <c r="D1479">
        <v>12</v>
      </c>
      <c r="E1479" s="2" t="s">
        <v>350</v>
      </c>
      <c r="F1479" s="2" t="s">
        <v>351</v>
      </c>
      <c r="G1479" s="2" t="s">
        <v>21</v>
      </c>
      <c r="H1479" s="2" t="s">
        <v>22</v>
      </c>
      <c r="I1479" s="2" t="s">
        <v>352</v>
      </c>
      <c r="J1479" s="2" t="s">
        <v>353</v>
      </c>
      <c r="K1479">
        <v>70299.95</v>
      </c>
      <c r="L1479">
        <v>17320825.359999999</v>
      </c>
      <c r="M1479">
        <v>24638.46</v>
      </c>
      <c r="N1479" s="2" t="s">
        <v>354</v>
      </c>
      <c r="O1479" s="2" t="s">
        <v>355</v>
      </c>
      <c r="P1479" s="2" t="s">
        <v>2879</v>
      </c>
      <c r="Q1479" s="2" t="s">
        <v>2880</v>
      </c>
      <c r="R1479" s="2" t="s">
        <v>29</v>
      </c>
      <c r="S1479" s="2" t="s">
        <v>30</v>
      </c>
    </row>
    <row r="1480" spans="1:19">
      <c r="A1480" s="1">
        <v>44531</v>
      </c>
      <c r="B1480" s="1">
        <v>44531</v>
      </c>
      <c r="C1480">
        <v>2021</v>
      </c>
      <c r="D1480">
        <v>12</v>
      </c>
      <c r="E1480" s="2" t="s">
        <v>358</v>
      </c>
      <c r="F1480" s="2" t="s">
        <v>359</v>
      </c>
      <c r="G1480" s="2" t="s">
        <v>21</v>
      </c>
      <c r="H1480" s="2" t="s">
        <v>22</v>
      </c>
      <c r="I1480" s="2" t="s">
        <v>352</v>
      </c>
      <c r="J1480" s="2" t="s">
        <v>353</v>
      </c>
      <c r="K1480">
        <v>70960.28</v>
      </c>
      <c r="L1480">
        <v>17961780.530000001</v>
      </c>
      <c r="M1480">
        <v>25312.44</v>
      </c>
      <c r="N1480" s="2" t="s">
        <v>360</v>
      </c>
      <c r="O1480" s="2" t="s">
        <v>361</v>
      </c>
      <c r="P1480" s="2" t="s">
        <v>2881</v>
      </c>
      <c r="Q1480" s="2" t="s">
        <v>2882</v>
      </c>
      <c r="R1480" s="2" t="s">
        <v>29</v>
      </c>
      <c r="S1480" s="2" t="s">
        <v>30</v>
      </c>
    </row>
    <row r="1481" spans="1:19">
      <c r="A1481" s="1">
        <v>44531</v>
      </c>
      <c r="B1481" s="1">
        <v>44531</v>
      </c>
      <c r="C1481">
        <v>2021</v>
      </c>
      <c r="D1481">
        <v>12</v>
      </c>
      <c r="E1481" s="2" t="s">
        <v>364</v>
      </c>
      <c r="F1481" s="2" t="s">
        <v>365</v>
      </c>
      <c r="G1481" s="2" t="s">
        <v>21</v>
      </c>
      <c r="H1481" s="2" t="s">
        <v>22</v>
      </c>
      <c r="I1481" s="2" t="s">
        <v>352</v>
      </c>
      <c r="J1481" s="2" t="s">
        <v>353</v>
      </c>
      <c r="K1481">
        <v>70767.5</v>
      </c>
      <c r="L1481">
        <v>4994789.7300000004</v>
      </c>
      <c r="M1481">
        <v>7058.03</v>
      </c>
      <c r="N1481" s="2" t="s">
        <v>366</v>
      </c>
      <c r="O1481" s="2" t="s">
        <v>367</v>
      </c>
      <c r="P1481" s="2" t="s">
        <v>2883</v>
      </c>
      <c r="Q1481" s="2" t="s">
        <v>2884</v>
      </c>
      <c r="R1481" s="2" t="s">
        <v>29</v>
      </c>
      <c r="S1481" s="2" t="s">
        <v>30</v>
      </c>
    </row>
    <row r="1482" spans="1:19">
      <c r="A1482" s="1">
        <v>44531</v>
      </c>
      <c r="B1482" s="1">
        <v>44531</v>
      </c>
      <c r="C1482">
        <v>2021</v>
      </c>
      <c r="D1482">
        <v>12</v>
      </c>
      <c r="E1482" s="2" t="s">
        <v>370</v>
      </c>
      <c r="F1482" s="2" t="s">
        <v>371</v>
      </c>
      <c r="G1482" s="2" t="s">
        <v>21</v>
      </c>
      <c r="H1482" s="2" t="s">
        <v>22</v>
      </c>
      <c r="I1482" s="2" t="s">
        <v>23</v>
      </c>
      <c r="J1482" s="2" t="s">
        <v>24</v>
      </c>
      <c r="K1482">
        <v>45662.99</v>
      </c>
      <c r="L1482">
        <v>826848.23</v>
      </c>
      <c r="M1482">
        <v>1810.76</v>
      </c>
      <c r="N1482" s="2" t="s">
        <v>372</v>
      </c>
      <c r="O1482" s="2" t="s">
        <v>373</v>
      </c>
      <c r="P1482" s="2" t="s">
        <v>2885</v>
      </c>
      <c r="Q1482" s="2" t="s">
        <v>2886</v>
      </c>
      <c r="R1482" s="2" t="s">
        <v>29</v>
      </c>
      <c r="S1482" s="2" t="s">
        <v>30</v>
      </c>
    </row>
    <row r="1483" spans="1:19">
      <c r="A1483" s="1">
        <v>44531</v>
      </c>
      <c r="B1483" s="1">
        <v>44531</v>
      </c>
      <c r="C1483">
        <v>2021</v>
      </c>
      <c r="D1483">
        <v>12</v>
      </c>
      <c r="E1483" s="2" t="s">
        <v>376</v>
      </c>
      <c r="F1483" s="2" t="s">
        <v>377</v>
      </c>
      <c r="G1483" s="2" t="s">
        <v>21</v>
      </c>
      <c r="H1483" s="2" t="s">
        <v>22</v>
      </c>
      <c r="I1483" s="2" t="s">
        <v>23</v>
      </c>
      <c r="J1483" s="2" t="s">
        <v>378</v>
      </c>
      <c r="K1483">
        <v>1.1200000000000001</v>
      </c>
      <c r="L1483">
        <v>15.57</v>
      </c>
      <c r="M1483">
        <v>1390.18</v>
      </c>
      <c r="N1483" s="2" t="s">
        <v>379</v>
      </c>
      <c r="O1483" s="2" t="s">
        <v>380</v>
      </c>
      <c r="P1483" s="2" t="s">
        <v>2887</v>
      </c>
      <c r="Q1483" s="2" t="s">
        <v>2888</v>
      </c>
      <c r="R1483" s="2" t="s">
        <v>29</v>
      </c>
      <c r="S1483" s="2" t="s">
        <v>30</v>
      </c>
    </row>
    <row r="1484" spans="1:19">
      <c r="A1484" s="1">
        <v>44562</v>
      </c>
      <c r="B1484" s="1">
        <v>44562</v>
      </c>
      <c r="C1484">
        <v>2022</v>
      </c>
      <c r="D1484">
        <v>1</v>
      </c>
      <c r="E1484" s="2" t="s">
        <v>19</v>
      </c>
      <c r="F1484" s="2" t="s">
        <v>20</v>
      </c>
      <c r="G1484" s="2" t="s">
        <v>21</v>
      </c>
      <c r="H1484" s="2" t="s">
        <v>22</v>
      </c>
      <c r="I1484" s="2" t="s">
        <v>23</v>
      </c>
      <c r="J1484" s="2" t="s">
        <v>24</v>
      </c>
      <c r="K1484">
        <v>0.55000000000000004</v>
      </c>
      <c r="L1484">
        <v>29.33</v>
      </c>
      <c r="M1484">
        <v>5332.73</v>
      </c>
      <c r="N1484" s="2" t="s">
        <v>25</v>
      </c>
      <c r="O1484" s="2" t="s">
        <v>26</v>
      </c>
      <c r="P1484" s="2" t="s">
        <v>2613</v>
      </c>
      <c r="Q1484" s="2" t="s">
        <v>2889</v>
      </c>
      <c r="R1484" s="2" t="s">
        <v>29</v>
      </c>
      <c r="S1484" s="2" t="s">
        <v>30</v>
      </c>
    </row>
    <row r="1485" spans="1:19">
      <c r="A1485" s="1">
        <v>44562</v>
      </c>
      <c r="B1485" s="1">
        <v>44562</v>
      </c>
      <c r="C1485">
        <v>2022</v>
      </c>
      <c r="D1485">
        <v>1</v>
      </c>
      <c r="E1485" s="2" t="s">
        <v>31</v>
      </c>
      <c r="F1485" s="2" t="s">
        <v>32</v>
      </c>
      <c r="G1485" s="2" t="s">
        <v>21</v>
      </c>
      <c r="H1485" s="2" t="s">
        <v>22</v>
      </c>
      <c r="I1485" s="2" t="s">
        <v>23</v>
      </c>
      <c r="J1485" s="2" t="s">
        <v>24</v>
      </c>
      <c r="K1485">
        <v>1111.28</v>
      </c>
      <c r="L1485">
        <v>18100.64</v>
      </c>
      <c r="M1485">
        <v>1628.81</v>
      </c>
      <c r="N1485" s="2" t="s">
        <v>33</v>
      </c>
      <c r="O1485" s="2" t="s">
        <v>34</v>
      </c>
      <c r="P1485" s="2" t="s">
        <v>2890</v>
      </c>
      <c r="Q1485" s="2" t="s">
        <v>2891</v>
      </c>
      <c r="R1485" s="2" t="s">
        <v>29</v>
      </c>
      <c r="S1485" s="2" t="s">
        <v>30</v>
      </c>
    </row>
    <row r="1486" spans="1:19">
      <c r="A1486" s="1">
        <v>44562</v>
      </c>
      <c r="B1486" s="1">
        <v>44562</v>
      </c>
      <c r="C1486">
        <v>2022</v>
      </c>
      <c r="D1486">
        <v>1</v>
      </c>
      <c r="E1486" s="2" t="s">
        <v>37</v>
      </c>
      <c r="F1486" s="2" t="s">
        <v>38</v>
      </c>
      <c r="G1486" s="2" t="s">
        <v>39</v>
      </c>
      <c r="H1486" s="2" t="s">
        <v>22</v>
      </c>
      <c r="I1486" s="2" t="s">
        <v>40</v>
      </c>
      <c r="J1486" s="2" t="s">
        <v>24</v>
      </c>
      <c r="K1486">
        <v>5.49</v>
      </c>
      <c r="L1486">
        <v>269.39</v>
      </c>
      <c r="M1486">
        <v>4906.92</v>
      </c>
      <c r="N1486" s="2" t="s">
        <v>41</v>
      </c>
      <c r="O1486" s="2" t="s">
        <v>42</v>
      </c>
      <c r="P1486" s="2" t="s">
        <v>2892</v>
      </c>
      <c r="Q1486" s="2" t="s">
        <v>2893</v>
      </c>
      <c r="R1486" s="2" t="s">
        <v>29</v>
      </c>
      <c r="S1486" s="2" t="s">
        <v>30</v>
      </c>
    </row>
    <row r="1487" spans="1:19">
      <c r="A1487" s="1">
        <v>44562</v>
      </c>
      <c r="B1487" s="1">
        <v>44562</v>
      </c>
      <c r="C1487">
        <v>2022</v>
      </c>
      <c r="D1487">
        <v>1</v>
      </c>
      <c r="E1487" s="2" t="s">
        <v>45</v>
      </c>
      <c r="F1487" s="2" t="s">
        <v>46</v>
      </c>
      <c r="G1487" s="2" t="s">
        <v>39</v>
      </c>
      <c r="H1487" s="2" t="s">
        <v>22</v>
      </c>
      <c r="I1487" s="2" t="s">
        <v>40</v>
      </c>
      <c r="J1487" s="2" t="s">
        <v>24</v>
      </c>
      <c r="K1487">
        <v>5519.66</v>
      </c>
      <c r="L1487">
        <v>261123.85</v>
      </c>
      <c r="M1487">
        <v>4730.8</v>
      </c>
      <c r="N1487" s="2" t="s">
        <v>47</v>
      </c>
      <c r="O1487" s="2" t="s">
        <v>48</v>
      </c>
      <c r="P1487" s="2" t="s">
        <v>2894</v>
      </c>
      <c r="Q1487" s="2" t="s">
        <v>2895</v>
      </c>
      <c r="R1487" s="2" t="s">
        <v>29</v>
      </c>
      <c r="S1487" s="2" t="s">
        <v>30</v>
      </c>
    </row>
    <row r="1488" spans="1:19">
      <c r="A1488" s="1">
        <v>44562</v>
      </c>
      <c r="B1488" s="1">
        <v>44562</v>
      </c>
      <c r="C1488">
        <v>2022</v>
      </c>
      <c r="D1488">
        <v>1</v>
      </c>
      <c r="E1488" s="2" t="s">
        <v>51</v>
      </c>
      <c r="F1488" s="2" t="s">
        <v>52</v>
      </c>
      <c r="G1488" s="2" t="s">
        <v>39</v>
      </c>
      <c r="H1488" s="2" t="s">
        <v>22</v>
      </c>
      <c r="I1488" s="2" t="s">
        <v>40</v>
      </c>
      <c r="J1488" s="2" t="s">
        <v>24</v>
      </c>
      <c r="K1488">
        <v>29.36</v>
      </c>
      <c r="L1488">
        <v>990.49</v>
      </c>
      <c r="M1488">
        <v>3373.6</v>
      </c>
      <c r="N1488" s="2" t="s">
        <v>53</v>
      </c>
      <c r="O1488" s="2" t="s">
        <v>54</v>
      </c>
      <c r="P1488" s="2" t="s">
        <v>2896</v>
      </c>
      <c r="Q1488" s="2" t="s">
        <v>2897</v>
      </c>
      <c r="R1488" s="2" t="s">
        <v>29</v>
      </c>
      <c r="S1488" s="2" t="s">
        <v>30</v>
      </c>
    </row>
    <row r="1489" spans="1:19">
      <c r="A1489" s="1">
        <v>44562</v>
      </c>
      <c r="B1489" s="1">
        <v>44562</v>
      </c>
      <c r="C1489">
        <v>2022</v>
      </c>
      <c r="D1489">
        <v>1</v>
      </c>
      <c r="E1489" s="2" t="s">
        <v>57</v>
      </c>
      <c r="F1489" s="2" t="s">
        <v>58</v>
      </c>
      <c r="G1489" s="2" t="s">
        <v>39</v>
      </c>
      <c r="H1489" s="2" t="s">
        <v>22</v>
      </c>
      <c r="I1489" s="2" t="s">
        <v>40</v>
      </c>
      <c r="J1489" s="2" t="s">
        <v>59</v>
      </c>
      <c r="K1489">
        <v>5554.51</v>
      </c>
      <c r="L1489">
        <v>262383.73</v>
      </c>
      <c r="M1489">
        <v>4723.8</v>
      </c>
      <c r="N1489" s="2" t="s">
        <v>60</v>
      </c>
      <c r="O1489" s="2" t="s">
        <v>61</v>
      </c>
      <c r="P1489" s="2" t="s">
        <v>2898</v>
      </c>
      <c r="Q1489" s="2" t="s">
        <v>2899</v>
      </c>
      <c r="R1489" s="2" t="s">
        <v>29</v>
      </c>
      <c r="S1489" s="2" t="s">
        <v>30</v>
      </c>
    </row>
    <row r="1490" spans="1:19">
      <c r="A1490" s="1">
        <v>44562</v>
      </c>
      <c r="B1490" s="1">
        <v>44562</v>
      </c>
      <c r="C1490">
        <v>2022</v>
      </c>
      <c r="D1490">
        <v>1</v>
      </c>
      <c r="E1490" s="2" t="s">
        <v>64</v>
      </c>
      <c r="F1490" s="2" t="s">
        <v>65</v>
      </c>
      <c r="G1490" s="2" t="s">
        <v>21</v>
      </c>
      <c r="H1490" s="2" t="s">
        <v>22</v>
      </c>
      <c r="I1490" s="2" t="s">
        <v>66</v>
      </c>
      <c r="J1490" s="2" t="s">
        <v>24</v>
      </c>
      <c r="K1490">
        <v>24.47</v>
      </c>
      <c r="L1490">
        <v>727.56</v>
      </c>
      <c r="M1490">
        <v>2973.27</v>
      </c>
      <c r="N1490" s="2" t="s">
        <v>67</v>
      </c>
      <c r="O1490" s="2" t="s">
        <v>68</v>
      </c>
      <c r="P1490" s="2" t="s">
        <v>2900</v>
      </c>
      <c r="Q1490" s="2" t="s">
        <v>2901</v>
      </c>
      <c r="R1490" s="2" t="s">
        <v>29</v>
      </c>
      <c r="S1490" s="2" t="s">
        <v>30</v>
      </c>
    </row>
    <row r="1491" spans="1:19">
      <c r="A1491" s="1">
        <v>44562</v>
      </c>
      <c r="B1491" s="1">
        <v>44562</v>
      </c>
      <c r="C1491">
        <v>2022</v>
      </c>
      <c r="D1491">
        <v>1</v>
      </c>
      <c r="E1491" s="2" t="s">
        <v>71</v>
      </c>
      <c r="F1491" s="2" t="s">
        <v>72</v>
      </c>
      <c r="G1491" s="2" t="s">
        <v>21</v>
      </c>
      <c r="H1491" s="2" t="s">
        <v>22</v>
      </c>
      <c r="I1491" s="2" t="s">
        <v>73</v>
      </c>
      <c r="J1491" s="2" t="s">
        <v>59</v>
      </c>
      <c r="K1491">
        <v>5151.05</v>
      </c>
      <c r="L1491">
        <v>147793.88</v>
      </c>
      <c r="M1491">
        <v>2869.2</v>
      </c>
      <c r="N1491" s="2" t="s">
        <v>74</v>
      </c>
      <c r="O1491" s="2" t="s">
        <v>75</v>
      </c>
      <c r="P1491" s="2" t="s">
        <v>2902</v>
      </c>
      <c r="Q1491" s="2" t="s">
        <v>2903</v>
      </c>
      <c r="R1491" s="2" t="s">
        <v>29</v>
      </c>
      <c r="S1491" s="2" t="s">
        <v>30</v>
      </c>
    </row>
    <row r="1492" spans="1:19">
      <c r="A1492" s="1">
        <v>44562</v>
      </c>
      <c r="B1492" s="1">
        <v>44562</v>
      </c>
      <c r="C1492">
        <v>2022</v>
      </c>
      <c r="D1492">
        <v>1</v>
      </c>
      <c r="E1492" s="2" t="s">
        <v>78</v>
      </c>
      <c r="F1492" s="2" t="s">
        <v>79</v>
      </c>
      <c r="G1492" s="2" t="s">
        <v>80</v>
      </c>
      <c r="H1492" s="2" t="s">
        <v>81</v>
      </c>
      <c r="I1492" s="2" t="s">
        <v>82</v>
      </c>
      <c r="J1492" s="2" t="s">
        <v>24</v>
      </c>
      <c r="K1492">
        <v>1.52</v>
      </c>
      <c r="L1492">
        <v>4470518</v>
      </c>
      <c r="M1492">
        <v>294113026.31999999</v>
      </c>
      <c r="N1492" s="2" t="s">
        <v>83</v>
      </c>
      <c r="O1492" s="2" t="s">
        <v>84</v>
      </c>
      <c r="P1492" s="2" t="s">
        <v>2904</v>
      </c>
      <c r="Q1492" s="2" t="s">
        <v>2905</v>
      </c>
      <c r="R1492" s="2" t="s">
        <v>29</v>
      </c>
      <c r="S1492" s="2" t="s">
        <v>30</v>
      </c>
    </row>
    <row r="1493" spans="1:19">
      <c r="A1493" s="1">
        <v>44562</v>
      </c>
      <c r="B1493" s="1">
        <v>44562</v>
      </c>
      <c r="C1493">
        <v>2022</v>
      </c>
      <c r="D1493">
        <v>1</v>
      </c>
      <c r="E1493" s="2" t="s">
        <v>87</v>
      </c>
      <c r="F1493" s="2" t="s">
        <v>88</v>
      </c>
      <c r="G1493" s="2" t="s">
        <v>80</v>
      </c>
      <c r="H1493" s="2" t="s">
        <v>81</v>
      </c>
      <c r="I1493" s="2" t="s">
        <v>82</v>
      </c>
      <c r="J1493" s="2" t="s">
        <v>24</v>
      </c>
      <c r="K1493">
        <v>0.4</v>
      </c>
      <c r="L1493">
        <v>569722</v>
      </c>
      <c r="M1493">
        <v>142430500</v>
      </c>
      <c r="N1493" s="2" t="s">
        <v>89</v>
      </c>
      <c r="O1493" s="2" t="s">
        <v>90</v>
      </c>
      <c r="P1493" s="2" t="s">
        <v>2906</v>
      </c>
      <c r="Q1493" s="2" t="s">
        <v>2907</v>
      </c>
      <c r="R1493" s="2" t="s">
        <v>29</v>
      </c>
      <c r="S1493" s="2" t="s">
        <v>30</v>
      </c>
    </row>
    <row r="1494" spans="1:19">
      <c r="A1494" s="1">
        <v>44562</v>
      </c>
      <c r="B1494" s="1">
        <v>44562</v>
      </c>
      <c r="C1494">
        <v>2022</v>
      </c>
      <c r="D1494">
        <v>1</v>
      </c>
      <c r="E1494" s="2" t="s">
        <v>93</v>
      </c>
      <c r="F1494" s="2" t="s">
        <v>94</v>
      </c>
      <c r="G1494" s="2" t="s">
        <v>80</v>
      </c>
      <c r="H1494" s="2" t="s">
        <v>81</v>
      </c>
      <c r="I1494" s="2" t="s">
        <v>82</v>
      </c>
      <c r="J1494" s="2" t="s">
        <v>24</v>
      </c>
      <c r="K1494">
        <v>0.26</v>
      </c>
      <c r="L1494">
        <v>4348558</v>
      </c>
      <c r="M1494">
        <v>1672522307.6900001</v>
      </c>
      <c r="N1494" s="2" t="s">
        <v>95</v>
      </c>
      <c r="O1494" s="2" t="s">
        <v>96</v>
      </c>
      <c r="P1494" s="2" t="s">
        <v>1941</v>
      </c>
      <c r="Q1494" s="2" t="s">
        <v>2908</v>
      </c>
      <c r="R1494" s="2" t="s">
        <v>29</v>
      </c>
      <c r="S1494" s="2" t="s">
        <v>30</v>
      </c>
    </row>
    <row r="1495" spans="1:19">
      <c r="A1495" s="1">
        <v>44562</v>
      </c>
      <c r="B1495" s="1">
        <v>44562</v>
      </c>
      <c r="C1495">
        <v>2022</v>
      </c>
      <c r="D1495">
        <v>1</v>
      </c>
      <c r="E1495" s="2" t="s">
        <v>99</v>
      </c>
      <c r="F1495" s="2" t="s">
        <v>100</v>
      </c>
      <c r="G1495" s="2" t="s">
        <v>80</v>
      </c>
      <c r="H1495" s="2" t="s">
        <v>81</v>
      </c>
      <c r="I1495" s="2" t="s">
        <v>82</v>
      </c>
      <c r="J1495" s="2" t="s">
        <v>101</v>
      </c>
      <c r="K1495">
        <v>0.93</v>
      </c>
      <c r="L1495">
        <v>12892869</v>
      </c>
      <c r="M1495">
        <v>1386330000</v>
      </c>
      <c r="N1495" s="2" t="s">
        <v>102</v>
      </c>
      <c r="O1495" s="2" t="s">
        <v>103</v>
      </c>
      <c r="P1495" s="2" t="s">
        <v>1527</v>
      </c>
      <c r="Q1495" s="2" t="s">
        <v>2909</v>
      </c>
      <c r="R1495" s="2" t="s">
        <v>29</v>
      </c>
      <c r="S1495" s="2" t="s">
        <v>30</v>
      </c>
    </row>
    <row r="1496" spans="1:19">
      <c r="A1496" s="1">
        <v>44562</v>
      </c>
      <c r="B1496" s="1">
        <v>44562</v>
      </c>
      <c r="C1496">
        <v>2022</v>
      </c>
      <c r="D1496">
        <v>1</v>
      </c>
      <c r="E1496" s="2" t="s">
        <v>106</v>
      </c>
      <c r="F1496" s="2" t="s">
        <v>107</v>
      </c>
      <c r="G1496" s="2" t="s">
        <v>80</v>
      </c>
      <c r="H1496" s="2" t="s">
        <v>81</v>
      </c>
      <c r="I1496" s="2" t="s">
        <v>82</v>
      </c>
      <c r="J1496" s="2" t="s">
        <v>24</v>
      </c>
      <c r="K1496">
        <v>0.28000000000000003</v>
      </c>
      <c r="L1496">
        <v>7974589</v>
      </c>
      <c r="M1496">
        <v>2848067500</v>
      </c>
      <c r="N1496" s="2" t="s">
        <v>108</v>
      </c>
      <c r="O1496" s="2" t="s">
        <v>109</v>
      </c>
      <c r="P1496" s="2" t="s">
        <v>2910</v>
      </c>
      <c r="Q1496" s="2" t="s">
        <v>2911</v>
      </c>
      <c r="R1496" s="2" t="s">
        <v>29</v>
      </c>
      <c r="S1496" s="2" t="s">
        <v>30</v>
      </c>
    </row>
    <row r="1497" spans="1:19">
      <c r="A1497" s="1">
        <v>44562</v>
      </c>
      <c r="B1497" s="1">
        <v>44562</v>
      </c>
      <c r="C1497">
        <v>2022</v>
      </c>
      <c r="D1497">
        <v>1</v>
      </c>
      <c r="E1497" s="2" t="s">
        <v>111</v>
      </c>
      <c r="F1497" s="2" t="s">
        <v>112</v>
      </c>
      <c r="G1497" s="2" t="s">
        <v>80</v>
      </c>
      <c r="H1497" s="2" t="s">
        <v>81</v>
      </c>
      <c r="I1497" s="2" t="s">
        <v>82</v>
      </c>
      <c r="J1497" s="2" t="s">
        <v>24</v>
      </c>
      <c r="K1497">
        <v>0.09</v>
      </c>
      <c r="L1497">
        <v>476415</v>
      </c>
      <c r="M1497">
        <v>529350000</v>
      </c>
      <c r="N1497" s="2" t="s">
        <v>113</v>
      </c>
      <c r="O1497" s="2" t="s">
        <v>114</v>
      </c>
      <c r="P1497" s="2" t="s">
        <v>534</v>
      </c>
      <c r="Q1497" s="2" t="s">
        <v>2912</v>
      </c>
      <c r="R1497" s="2" t="s">
        <v>29</v>
      </c>
      <c r="S1497" s="2" t="s">
        <v>30</v>
      </c>
    </row>
    <row r="1498" spans="1:19">
      <c r="A1498" s="1">
        <v>44562</v>
      </c>
      <c r="B1498" s="1">
        <v>44562</v>
      </c>
      <c r="C1498">
        <v>2022</v>
      </c>
      <c r="D1498">
        <v>1</v>
      </c>
      <c r="E1498" s="2" t="s">
        <v>117</v>
      </c>
      <c r="F1498" s="2" t="s">
        <v>118</v>
      </c>
      <c r="G1498" s="2" t="s">
        <v>80</v>
      </c>
      <c r="H1498" s="2" t="s">
        <v>81</v>
      </c>
      <c r="I1498" s="2" t="s">
        <v>82</v>
      </c>
      <c r="J1498" s="2" t="s">
        <v>59</v>
      </c>
      <c r="K1498">
        <v>2.54</v>
      </c>
      <c r="L1498">
        <v>17839802</v>
      </c>
      <c r="M1498">
        <v>702354409.45000005</v>
      </c>
      <c r="N1498" s="2" t="s">
        <v>119</v>
      </c>
      <c r="O1498" s="2" t="s">
        <v>120</v>
      </c>
      <c r="P1498" s="2" t="s">
        <v>2913</v>
      </c>
      <c r="Q1498" s="2" t="s">
        <v>2914</v>
      </c>
      <c r="R1498" s="2" t="s">
        <v>29</v>
      </c>
      <c r="S1498" s="2" t="s">
        <v>30</v>
      </c>
    </row>
    <row r="1499" spans="1:19">
      <c r="A1499" s="1">
        <v>44562</v>
      </c>
      <c r="B1499" s="1">
        <v>44562</v>
      </c>
      <c r="C1499">
        <v>2022</v>
      </c>
      <c r="D1499">
        <v>1</v>
      </c>
      <c r="E1499" s="2" t="s">
        <v>123</v>
      </c>
      <c r="F1499" s="2" t="s">
        <v>124</v>
      </c>
      <c r="G1499" s="2" t="s">
        <v>21</v>
      </c>
      <c r="H1499" s="2" t="s">
        <v>22</v>
      </c>
      <c r="I1499" s="2" t="s">
        <v>73</v>
      </c>
      <c r="J1499" s="2" t="s">
        <v>24</v>
      </c>
      <c r="K1499">
        <v>997.43</v>
      </c>
      <c r="L1499">
        <v>55033.55</v>
      </c>
      <c r="M1499">
        <v>5517.54</v>
      </c>
      <c r="N1499" s="2" t="s">
        <v>125</v>
      </c>
      <c r="O1499" s="2" t="s">
        <v>126</v>
      </c>
      <c r="P1499" s="2" t="s">
        <v>2915</v>
      </c>
      <c r="Q1499" s="2" t="s">
        <v>2916</v>
      </c>
      <c r="R1499" s="2" t="s">
        <v>29</v>
      </c>
      <c r="S1499" s="2" t="s">
        <v>30</v>
      </c>
    </row>
    <row r="1500" spans="1:19">
      <c r="A1500" s="1">
        <v>44562</v>
      </c>
      <c r="B1500" s="1">
        <v>44562</v>
      </c>
      <c r="C1500">
        <v>2022</v>
      </c>
      <c r="D1500">
        <v>1</v>
      </c>
      <c r="E1500" s="2" t="s">
        <v>129</v>
      </c>
      <c r="F1500" s="2" t="s">
        <v>130</v>
      </c>
      <c r="G1500" s="2" t="s">
        <v>21</v>
      </c>
      <c r="H1500" s="2" t="s">
        <v>22</v>
      </c>
      <c r="I1500" s="2" t="s">
        <v>73</v>
      </c>
      <c r="J1500" s="2" t="s">
        <v>24</v>
      </c>
      <c r="K1500">
        <v>960.63</v>
      </c>
      <c r="L1500">
        <v>32734.97</v>
      </c>
      <c r="M1500">
        <v>3407.66</v>
      </c>
      <c r="N1500" s="2" t="s">
        <v>131</v>
      </c>
      <c r="O1500" s="2" t="s">
        <v>132</v>
      </c>
      <c r="P1500" s="2" t="s">
        <v>2917</v>
      </c>
      <c r="Q1500" s="2" t="s">
        <v>2918</v>
      </c>
      <c r="R1500" s="2" t="s">
        <v>29</v>
      </c>
      <c r="S1500" s="2" t="s">
        <v>30</v>
      </c>
    </row>
    <row r="1501" spans="1:19">
      <c r="A1501" s="1">
        <v>44562</v>
      </c>
      <c r="B1501" s="1">
        <v>44562</v>
      </c>
      <c r="C1501">
        <v>2022</v>
      </c>
      <c r="D1501">
        <v>1</v>
      </c>
      <c r="E1501" s="2" t="s">
        <v>135</v>
      </c>
      <c r="F1501" s="2" t="s">
        <v>136</v>
      </c>
      <c r="G1501" s="2" t="s">
        <v>21</v>
      </c>
      <c r="H1501" s="2" t="s">
        <v>22</v>
      </c>
      <c r="I1501" s="2" t="s">
        <v>73</v>
      </c>
      <c r="J1501" s="2" t="s">
        <v>101</v>
      </c>
      <c r="K1501">
        <v>1958.05</v>
      </c>
      <c r="L1501">
        <v>87768.52</v>
      </c>
      <c r="M1501">
        <v>4482.45</v>
      </c>
      <c r="N1501" s="2" t="s">
        <v>137</v>
      </c>
      <c r="O1501" s="2" t="s">
        <v>138</v>
      </c>
      <c r="P1501" s="2" t="s">
        <v>2919</v>
      </c>
      <c r="Q1501" s="2" t="s">
        <v>2920</v>
      </c>
      <c r="R1501" s="2" t="s">
        <v>29</v>
      </c>
      <c r="S1501" s="2" t="s">
        <v>30</v>
      </c>
    </row>
    <row r="1502" spans="1:19">
      <c r="A1502" s="1">
        <v>44562</v>
      </c>
      <c r="B1502" s="1">
        <v>44562</v>
      </c>
      <c r="C1502">
        <v>2022</v>
      </c>
      <c r="D1502">
        <v>1</v>
      </c>
      <c r="E1502" s="2" t="s">
        <v>141</v>
      </c>
      <c r="F1502" s="2" t="s">
        <v>142</v>
      </c>
      <c r="G1502" s="2" t="s">
        <v>21</v>
      </c>
      <c r="H1502" s="2" t="s">
        <v>22</v>
      </c>
      <c r="I1502" s="2" t="s">
        <v>73</v>
      </c>
      <c r="J1502" s="2" t="s">
        <v>24</v>
      </c>
      <c r="K1502">
        <v>1268.48</v>
      </c>
      <c r="L1502">
        <v>22751.74</v>
      </c>
      <c r="M1502">
        <v>1793.62</v>
      </c>
      <c r="N1502" s="2" t="s">
        <v>143</v>
      </c>
      <c r="O1502" s="2" t="s">
        <v>144</v>
      </c>
      <c r="P1502" s="2" t="s">
        <v>2921</v>
      </c>
      <c r="Q1502" s="2" t="s">
        <v>2922</v>
      </c>
      <c r="R1502" s="2" t="s">
        <v>29</v>
      </c>
      <c r="S1502" s="2" t="s">
        <v>30</v>
      </c>
    </row>
    <row r="1503" spans="1:19">
      <c r="A1503" s="1">
        <v>44562</v>
      </c>
      <c r="B1503" s="1">
        <v>44562</v>
      </c>
      <c r="C1503">
        <v>2022</v>
      </c>
      <c r="D1503">
        <v>1</v>
      </c>
      <c r="E1503" s="2" t="s">
        <v>147</v>
      </c>
      <c r="F1503" s="2" t="s">
        <v>148</v>
      </c>
      <c r="G1503" s="2" t="s">
        <v>21</v>
      </c>
      <c r="H1503" s="2" t="s">
        <v>22</v>
      </c>
      <c r="I1503" s="2" t="s">
        <v>73</v>
      </c>
      <c r="J1503" s="2" t="s">
        <v>24</v>
      </c>
      <c r="K1503">
        <v>1924.51</v>
      </c>
      <c r="L1503">
        <v>37273.620000000003</v>
      </c>
      <c r="M1503">
        <v>1936.78</v>
      </c>
      <c r="N1503" s="2" t="s">
        <v>149</v>
      </c>
      <c r="O1503" s="2" t="s">
        <v>150</v>
      </c>
      <c r="P1503" s="2" t="s">
        <v>2923</v>
      </c>
      <c r="Q1503" s="2" t="s">
        <v>2924</v>
      </c>
      <c r="R1503" s="2" t="s">
        <v>29</v>
      </c>
      <c r="S1503" s="2" t="s">
        <v>30</v>
      </c>
    </row>
    <row r="1504" spans="1:19">
      <c r="A1504" s="1">
        <v>44562</v>
      </c>
      <c r="B1504" s="1">
        <v>44562</v>
      </c>
      <c r="C1504">
        <v>2022</v>
      </c>
      <c r="D1504">
        <v>1</v>
      </c>
      <c r="E1504" s="2" t="s">
        <v>153</v>
      </c>
      <c r="F1504" s="2" t="s">
        <v>154</v>
      </c>
      <c r="G1504" s="2" t="s">
        <v>21</v>
      </c>
      <c r="H1504" s="2" t="s">
        <v>22</v>
      </c>
      <c r="I1504" s="2" t="s">
        <v>73</v>
      </c>
      <c r="J1504" s="2" t="s">
        <v>101</v>
      </c>
      <c r="K1504">
        <v>3193</v>
      </c>
      <c r="L1504">
        <v>60025.36</v>
      </c>
      <c r="M1504">
        <v>1879.9</v>
      </c>
      <c r="N1504" s="2" t="s">
        <v>155</v>
      </c>
      <c r="O1504" s="2" t="s">
        <v>156</v>
      </c>
      <c r="P1504" s="2" t="s">
        <v>2925</v>
      </c>
      <c r="Q1504" s="2" t="s">
        <v>2926</v>
      </c>
      <c r="R1504" s="2" t="s">
        <v>29</v>
      </c>
      <c r="S1504" s="2" t="s">
        <v>30</v>
      </c>
    </row>
    <row r="1505" spans="1:19">
      <c r="A1505" s="1">
        <v>44562</v>
      </c>
      <c r="B1505" s="1">
        <v>44562</v>
      </c>
      <c r="C1505">
        <v>2022</v>
      </c>
      <c r="D1505">
        <v>1</v>
      </c>
      <c r="E1505" s="2" t="s">
        <v>159</v>
      </c>
      <c r="F1505" s="2" t="s">
        <v>160</v>
      </c>
      <c r="G1505" s="2" t="s">
        <v>21</v>
      </c>
      <c r="H1505" s="2" t="s">
        <v>22</v>
      </c>
      <c r="I1505" s="2" t="s">
        <v>66</v>
      </c>
      <c r="J1505" s="2" t="s">
        <v>59</v>
      </c>
      <c r="K1505">
        <v>1059.01</v>
      </c>
      <c r="L1505">
        <v>91553.73</v>
      </c>
      <c r="M1505">
        <v>8645.2199999999993</v>
      </c>
      <c r="N1505" s="2" t="s">
        <v>161</v>
      </c>
      <c r="O1505" s="2" t="s">
        <v>162</v>
      </c>
      <c r="P1505" s="2" t="s">
        <v>2927</v>
      </c>
      <c r="Q1505" s="2" t="s">
        <v>2928</v>
      </c>
      <c r="R1505" s="2" t="s">
        <v>29</v>
      </c>
      <c r="S1505" s="2" t="s">
        <v>30</v>
      </c>
    </row>
    <row r="1506" spans="1:19">
      <c r="A1506" s="1">
        <v>44562</v>
      </c>
      <c r="B1506" s="1">
        <v>44562</v>
      </c>
      <c r="C1506">
        <v>2022</v>
      </c>
      <c r="D1506">
        <v>1</v>
      </c>
      <c r="E1506" s="2" t="s">
        <v>165</v>
      </c>
      <c r="F1506" s="2" t="s">
        <v>166</v>
      </c>
      <c r="G1506" s="2" t="s">
        <v>21</v>
      </c>
      <c r="H1506" s="2" t="s">
        <v>22</v>
      </c>
      <c r="I1506" s="2" t="s">
        <v>23</v>
      </c>
      <c r="J1506" s="2" t="s">
        <v>24</v>
      </c>
      <c r="K1506">
        <v>0</v>
      </c>
      <c r="L1506">
        <v>0</v>
      </c>
      <c r="N1506" s="2" t="s">
        <v>167</v>
      </c>
      <c r="O1506" s="2" t="s">
        <v>168</v>
      </c>
      <c r="P1506" s="2" t="s">
        <v>639</v>
      </c>
      <c r="Q1506" s="2" t="s">
        <v>639</v>
      </c>
      <c r="R1506" s="2" t="s">
        <v>29</v>
      </c>
      <c r="S1506" s="2" t="s">
        <v>30</v>
      </c>
    </row>
    <row r="1507" spans="1:19">
      <c r="A1507" s="1">
        <v>44562</v>
      </c>
      <c r="B1507" s="1">
        <v>44562</v>
      </c>
      <c r="C1507">
        <v>2022</v>
      </c>
      <c r="D1507">
        <v>1</v>
      </c>
      <c r="E1507" s="2" t="s">
        <v>171</v>
      </c>
      <c r="F1507" s="2" t="s">
        <v>172</v>
      </c>
      <c r="G1507" s="2" t="s">
        <v>21</v>
      </c>
      <c r="H1507" s="2" t="s">
        <v>22</v>
      </c>
      <c r="I1507" s="2" t="s">
        <v>66</v>
      </c>
      <c r="J1507" s="2" t="s">
        <v>24</v>
      </c>
      <c r="N1507" s="2" t="s">
        <v>173</v>
      </c>
      <c r="O1507" s="2" t="s">
        <v>174</v>
      </c>
      <c r="P1507" s="2" t="s">
        <v>175</v>
      </c>
      <c r="Q1507" s="2" t="s">
        <v>175</v>
      </c>
      <c r="R1507" s="2" t="s">
        <v>640</v>
      </c>
      <c r="S1507" s="2" t="s">
        <v>641</v>
      </c>
    </row>
    <row r="1508" spans="1:19">
      <c r="A1508" s="1">
        <v>44562</v>
      </c>
      <c r="B1508" s="1">
        <v>44562</v>
      </c>
      <c r="C1508">
        <v>2022</v>
      </c>
      <c r="D1508">
        <v>1</v>
      </c>
      <c r="E1508" s="2" t="s">
        <v>177</v>
      </c>
      <c r="F1508" s="2" t="s">
        <v>178</v>
      </c>
      <c r="G1508" s="2" t="s">
        <v>21</v>
      </c>
      <c r="H1508" s="2" t="s">
        <v>22</v>
      </c>
      <c r="I1508" s="2" t="s">
        <v>23</v>
      </c>
      <c r="J1508" s="2" t="s">
        <v>24</v>
      </c>
      <c r="K1508">
        <v>4401.7299999999996</v>
      </c>
      <c r="L1508">
        <v>387006.75</v>
      </c>
      <c r="M1508">
        <v>8792.15</v>
      </c>
      <c r="N1508" s="2" t="s">
        <v>179</v>
      </c>
      <c r="O1508" s="2" t="s">
        <v>180</v>
      </c>
      <c r="P1508" s="2" t="s">
        <v>2929</v>
      </c>
      <c r="Q1508" s="2" t="s">
        <v>2930</v>
      </c>
      <c r="R1508" s="2" t="s">
        <v>29</v>
      </c>
      <c r="S1508" s="2" t="s">
        <v>30</v>
      </c>
    </row>
    <row r="1509" spans="1:19">
      <c r="A1509" s="1">
        <v>44562</v>
      </c>
      <c r="B1509" s="1">
        <v>44562</v>
      </c>
      <c r="C1509">
        <v>2022</v>
      </c>
      <c r="D1509">
        <v>1</v>
      </c>
      <c r="E1509" s="2" t="s">
        <v>183</v>
      </c>
      <c r="F1509" s="2" t="s">
        <v>184</v>
      </c>
      <c r="G1509" s="2" t="s">
        <v>185</v>
      </c>
      <c r="H1509" s="2" t="s">
        <v>22</v>
      </c>
      <c r="I1509" s="2" t="s">
        <v>186</v>
      </c>
      <c r="J1509" s="2" t="s">
        <v>24</v>
      </c>
      <c r="K1509">
        <v>2731.05</v>
      </c>
      <c r="L1509">
        <v>2694917.53</v>
      </c>
      <c r="M1509">
        <v>98676.98</v>
      </c>
      <c r="N1509" s="2" t="s">
        <v>187</v>
      </c>
      <c r="O1509" s="2" t="s">
        <v>188</v>
      </c>
      <c r="P1509" s="2" t="s">
        <v>2931</v>
      </c>
      <c r="Q1509" s="2" t="s">
        <v>2932</v>
      </c>
      <c r="R1509" s="2" t="s">
        <v>29</v>
      </c>
      <c r="S1509" s="2" t="s">
        <v>30</v>
      </c>
    </row>
    <row r="1510" spans="1:19">
      <c r="A1510" s="1">
        <v>44562</v>
      </c>
      <c r="B1510" s="1">
        <v>44562</v>
      </c>
      <c r="C1510">
        <v>2022</v>
      </c>
      <c r="D1510">
        <v>1</v>
      </c>
      <c r="E1510" s="2" t="s">
        <v>191</v>
      </c>
      <c r="F1510" s="2" t="s">
        <v>192</v>
      </c>
      <c r="G1510" s="2" t="s">
        <v>185</v>
      </c>
      <c r="H1510" s="2" t="s">
        <v>22</v>
      </c>
      <c r="I1510" s="2" t="s">
        <v>186</v>
      </c>
      <c r="J1510" s="2" t="s">
        <v>24</v>
      </c>
      <c r="K1510">
        <v>833.1</v>
      </c>
      <c r="L1510">
        <v>4718914.4000000004</v>
      </c>
      <c r="M1510">
        <v>566428.32999999996</v>
      </c>
      <c r="N1510" s="2" t="s">
        <v>193</v>
      </c>
      <c r="O1510" s="2" t="s">
        <v>194</v>
      </c>
      <c r="P1510" s="2" t="s">
        <v>2933</v>
      </c>
      <c r="Q1510" s="2" t="s">
        <v>2934</v>
      </c>
      <c r="R1510" s="2" t="s">
        <v>29</v>
      </c>
      <c r="S1510" s="2" t="s">
        <v>30</v>
      </c>
    </row>
    <row r="1511" spans="1:19">
      <c r="A1511" s="1">
        <v>44562</v>
      </c>
      <c r="B1511" s="1">
        <v>44562</v>
      </c>
      <c r="C1511">
        <v>2022</v>
      </c>
      <c r="D1511">
        <v>1</v>
      </c>
      <c r="E1511" s="2" t="s">
        <v>197</v>
      </c>
      <c r="F1511" s="2" t="s">
        <v>198</v>
      </c>
      <c r="G1511" s="2" t="s">
        <v>185</v>
      </c>
      <c r="H1511" s="2" t="s">
        <v>22</v>
      </c>
      <c r="I1511" s="2" t="s">
        <v>186</v>
      </c>
      <c r="J1511" s="2" t="s">
        <v>59</v>
      </c>
      <c r="K1511">
        <v>3564.14</v>
      </c>
      <c r="L1511">
        <v>7413831.9299999997</v>
      </c>
      <c r="M1511">
        <v>208011.8</v>
      </c>
      <c r="N1511" s="2" t="s">
        <v>199</v>
      </c>
      <c r="O1511" s="2" t="s">
        <v>200</v>
      </c>
      <c r="P1511" s="2" t="s">
        <v>2935</v>
      </c>
      <c r="Q1511" s="2" t="s">
        <v>2936</v>
      </c>
      <c r="R1511" s="2" t="s">
        <v>29</v>
      </c>
      <c r="S1511" s="2" t="s">
        <v>30</v>
      </c>
    </row>
    <row r="1512" spans="1:19">
      <c r="A1512" s="1">
        <v>44562</v>
      </c>
      <c r="B1512" s="1">
        <v>44562</v>
      </c>
      <c r="C1512">
        <v>2022</v>
      </c>
      <c r="D1512">
        <v>1</v>
      </c>
      <c r="E1512" s="2" t="s">
        <v>203</v>
      </c>
      <c r="F1512" s="2" t="s">
        <v>204</v>
      </c>
      <c r="G1512" s="2" t="s">
        <v>39</v>
      </c>
      <c r="H1512" s="2" t="s">
        <v>22</v>
      </c>
      <c r="I1512" s="2" t="s">
        <v>40</v>
      </c>
      <c r="J1512" s="2" t="s">
        <v>24</v>
      </c>
      <c r="K1512">
        <v>1125.54</v>
      </c>
      <c r="L1512">
        <v>28581.56</v>
      </c>
      <c r="M1512">
        <v>2539.36</v>
      </c>
      <c r="N1512" s="2" t="s">
        <v>205</v>
      </c>
      <c r="O1512" s="2" t="s">
        <v>206</v>
      </c>
      <c r="P1512" s="2" t="s">
        <v>2937</v>
      </c>
      <c r="Q1512" s="2" t="s">
        <v>2938</v>
      </c>
      <c r="R1512" s="2" t="s">
        <v>29</v>
      </c>
      <c r="S1512" s="2" t="s">
        <v>30</v>
      </c>
    </row>
    <row r="1513" spans="1:19">
      <c r="A1513" s="1">
        <v>44562</v>
      </c>
      <c r="B1513" s="1">
        <v>44562</v>
      </c>
      <c r="C1513">
        <v>2022</v>
      </c>
      <c r="D1513">
        <v>1</v>
      </c>
      <c r="E1513" s="2" t="s">
        <v>209</v>
      </c>
      <c r="F1513" s="2" t="s">
        <v>210</v>
      </c>
      <c r="G1513" s="2" t="s">
        <v>39</v>
      </c>
      <c r="H1513" s="2" t="s">
        <v>22</v>
      </c>
      <c r="I1513" s="2" t="s">
        <v>40</v>
      </c>
      <c r="J1513" s="2" t="s">
        <v>59</v>
      </c>
      <c r="K1513">
        <v>1125.54</v>
      </c>
      <c r="L1513">
        <v>28581.56</v>
      </c>
      <c r="M1513">
        <v>2539.36</v>
      </c>
      <c r="N1513" s="2" t="s">
        <v>211</v>
      </c>
      <c r="O1513" s="2" t="s">
        <v>212</v>
      </c>
      <c r="P1513" s="2" t="s">
        <v>2937</v>
      </c>
      <c r="Q1513" s="2" t="s">
        <v>2938</v>
      </c>
      <c r="R1513" s="2" t="s">
        <v>29</v>
      </c>
      <c r="S1513" s="2" t="s">
        <v>30</v>
      </c>
    </row>
    <row r="1514" spans="1:19">
      <c r="A1514" s="1">
        <v>44562</v>
      </c>
      <c r="B1514" s="1">
        <v>44562</v>
      </c>
      <c r="C1514">
        <v>2022</v>
      </c>
      <c r="D1514">
        <v>1</v>
      </c>
      <c r="E1514" s="2" t="s">
        <v>213</v>
      </c>
      <c r="F1514" s="2" t="s">
        <v>214</v>
      </c>
      <c r="G1514" s="2" t="s">
        <v>185</v>
      </c>
      <c r="H1514" s="2" t="s">
        <v>22</v>
      </c>
      <c r="I1514" s="2" t="s">
        <v>215</v>
      </c>
      <c r="J1514" s="2" t="s">
        <v>24</v>
      </c>
      <c r="K1514">
        <v>46025.97</v>
      </c>
      <c r="L1514">
        <v>1168400.79</v>
      </c>
      <c r="M1514">
        <v>2538.5700000000002</v>
      </c>
      <c r="N1514" s="2" t="s">
        <v>216</v>
      </c>
      <c r="O1514" s="2" t="s">
        <v>217</v>
      </c>
      <c r="P1514" s="2" t="s">
        <v>2939</v>
      </c>
      <c r="Q1514" s="2" t="s">
        <v>2940</v>
      </c>
      <c r="R1514" s="2" t="s">
        <v>29</v>
      </c>
      <c r="S1514" s="2" t="s">
        <v>30</v>
      </c>
    </row>
    <row r="1515" spans="1:19">
      <c r="A1515" s="1">
        <v>44562</v>
      </c>
      <c r="B1515" s="1">
        <v>44562</v>
      </c>
      <c r="C1515">
        <v>2022</v>
      </c>
      <c r="D1515">
        <v>1</v>
      </c>
      <c r="E1515" s="2" t="s">
        <v>220</v>
      </c>
      <c r="F1515" s="2" t="s">
        <v>221</v>
      </c>
      <c r="G1515" s="2" t="s">
        <v>185</v>
      </c>
      <c r="H1515" s="2" t="s">
        <v>22</v>
      </c>
      <c r="I1515" s="2" t="s">
        <v>215</v>
      </c>
      <c r="J1515" s="2" t="s">
        <v>24</v>
      </c>
      <c r="K1515">
        <v>3879.91</v>
      </c>
      <c r="L1515">
        <v>250455.1</v>
      </c>
      <c r="M1515">
        <v>6455.18</v>
      </c>
      <c r="N1515" s="2" t="s">
        <v>222</v>
      </c>
      <c r="O1515" s="2" t="s">
        <v>223</v>
      </c>
      <c r="P1515" s="2" t="s">
        <v>2941</v>
      </c>
      <c r="Q1515" s="2" t="s">
        <v>2942</v>
      </c>
      <c r="R1515" s="2" t="s">
        <v>29</v>
      </c>
      <c r="S1515" s="2" t="s">
        <v>30</v>
      </c>
    </row>
    <row r="1516" spans="1:19">
      <c r="A1516" s="1">
        <v>44562</v>
      </c>
      <c r="B1516" s="1">
        <v>44562</v>
      </c>
      <c r="C1516">
        <v>2022</v>
      </c>
      <c r="D1516">
        <v>1</v>
      </c>
      <c r="E1516" s="2" t="s">
        <v>226</v>
      </c>
      <c r="F1516" s="2" t="s">
        <v>227</v>
      </c>
      <c r="G1516" s="2" t="s">
        <v>185</v>
      </c>
      <c r="H1516" s="2" t="s">
        <v>22</v>
      </c>
      <c r="I1516" s="2" t="s">
        <v>215</v>
      </c>
      <c r="J1516" s="2" t="s">
        <v>59</v>
      </c>
      <c r="K1516">
        <v>49905.88</v>
      </c>
      <c r="L1516">
        <v>1418855.89</v>
      </c>
      <c r="M1516">
        <v>2843.06</v>
      </c>
      <c r="N1516" s="2" t="s">
        <v>228</v>
      </c>
      <c r="O1516" s="2" t="s">
        <v>229</v>
      </c>
      <c r="P1516" s="2" t="s">
        <v>2943</v>
      </c>
      <c r="Q1516" s="2" t="s">
        <v>2944</v>
      </c>
      <c r="R1516" s="2" t="s">
        <v>29</v>
      </c>
      <c r="S1516" s="2" t="s">
        <v>30</v>
      </c>
    </row>
    <row r="1517" spans="1:19">
      <c r="A1517" s="1">
        <v>44562</v>
      </c>
      <c r="B1517" s="1">
        <v>44562</v>
      </c>
      <c r="C1517">
        <v>2022</v>
      </c>
      <c r="D1517">
        <v>1</v>
      </c>
      <c r="E1517" s="2" t="s">
        <v>232</v>
      </c>
      <c r="F1517" s="2" t="s">
        <v>233</v>
      </c>
      <c r="G1517" s="2" t="s">
        <v>21</v>
      </c>
      <c r="H1517" s="2" t="s">
        <v>22</v>
      </c>
      <c r="I1517" s="2" t="s">
        <v>23</v>
      </c>
      <c r="J1517" s="2" t="s">
        <v>24</v>
      </c>
      <c r="K1517">
        <v>2053.15</v>
      </c>
      <c r="L1517">
        <v>126812.13</v>
      </c>
      <c r="M1517">
        <v>6176.47</v>
      </c>
      <c r="N1517" s="2" t="s">
        <v>234</v>
      </c>
      <c r="O1517" s="2" t="s">
        <v>235</v>
      </c>
      <c r="P1517" s="2" t="s">
        <v>2945</v>
      </c>
      <c r="Q1517" s="2" t="s">
        <v>2946</v>
      </c>
      <c r="R1517" s="2" t="s">
        <v>29</v>
      </c>
      <c r="S1517" s="2" t="s">
        <v>30</v>
      </c>
    </row>
    <row r="1518" spans="1:19">
      <c r="A1518" s="1">
        <v>44562</v>
      </c>
      <c r="B1518" s="1">
        <v>44562</v>
      </c>
      <c r="C1518">
        <v>2022</v>
      </c>
      <c r="D1518">
        <v>1</v>
      </c>
      <c r="E1518" s="2" t="s">
        <v>238</v>
      </c>
      <c r="F1518" s="2" t="s">
        <v>239</v>
      </c>
      <c r="G1518" s="2" t="s">
        <v>21</v>
      </c>
      <c r="H1518" s="2" t="s">
        <v>22</v>
      </c>
      <c r="I1518" s="2" t="s">
        <v>66</v>
      </c>
      <c r="J1518" s="2" t="s">
        <v>24</v>
      </c>
      <c r="K1518">
        <v>934.07</v>
      </c>
      <c r="L1518">
        <v>90702.74</v>
      </c>
      <c r="M1518">
        <v>9710.49</v>
      </c>
      <c r="N1518" s="2" t="s">
        <v>240</v>
      </c>
      <c r="O1518" s="2" t="s">
        <v>241</v>
      </c>
      <c r="P1518" s="2" t="s">
        <v>2947</v>
      </c>
      <c r="Q1518" s="2" t="s">
        <v>2948</v>
      </c>
      <c r="R1518" s="2" t="s">
        <v>29</v>
      </c>
      <c r="S1518" s="2" t="s">
        <v>30</v>
      </c>
    </row>
    <row r="1519" spans="1:19">
      <c r="A1519" s="1">
        <v>44562</v>
      </c>
      <c r="B1519" s="1">
        <v>44562</v>
      </c>
      <c r="C1519">
        <v>2022</v>
      </c>
      <c r="D1519">
        <v>1</v>
      </c>
      <c r="E1519" s="2" t="s">
        <v>244</v>
      </c>
      <c r="F1519" s="2" t="s">
        <v>245</v>
      </c>
      <c r="G1519" s="2" t="s">
        <v>21</v>
      </c>
      <c r="H1519" s="2" t="s">
        <v>22</v>
      </c>
      <c r="I1519" s="2" t="s">
        <v>23</v>
      </c>
      <c r="J1519" s="2" t="s">
        <v>24</v>
      </c>
      <c r="K1519">
        <v>3629.03</v>
      </c>
      <c r="L1519">
        <v>2442685.8199999998</v>
      </c>
      <c r="M1519">
        <v>67309.61</v>
      </c>
      <c r="N1519" s="2" t="s">
        <v>246</v>
      </c>
      <c r="O1519" s="2" t="s">
        <v>247</v>
      </c>
      <c r="P1519" s="2" t="s">
        <v>2949</v>
      </c>
      <c r="Q1519" s="2" t="s">
        <v>2950</v>
      </c>
      <c r="R1519" s="2" t="s">
        <v>29</v>
      </c>
      <c r="S1519" s="2" t="s">
        <v>30</v>
      </c>
    </row>
    <row r="1520" spans="1:19">
      <c r="A1520" s="1">
        <v>44562</v>
      </c>
      <c r="B1520" s="1">
        <v>44562</v>
      </c>
      <c r="C1520">
        <v>2022</v>
      </c>
      <c r="D1520">
        <v>1</v>
      </c>
      <c r="E1520" s="2" t="s">
        <v>250</v>
      </c>
      <c r="F1520" s="2" t="s">
        <v>251</v>
      </c>
      <c r="G1520" s="2" t="s">
        <v>21</v>
      </c>
      <c r="H1520" s="2" t="s">
        <v>22</v>
      </c>
      <c r="I1520" s="2" t="s">
        <v>66</v>
      </c>
      <c r="J1520" s="2" t="s">
        <v>24</v>
      </c>
      <c r="K1520">
        <v>100.47</v>
      </c>
      <c r="L1520">
        <v>123.43</v>
      </c>
      <c r="M1520">
        <v>122.85</v>
      </c>
      <c r="N1520" s="2" t="s">
        <v>252</v>
      </c>
      <c r="O1520" s="2" t="s">
        <v>253</v>
      </c>
      <c r="P1520" s="2" t="s">
        <v>2951</v>
      </c>
      <c r="Q1520" s="2" t="s">
        <v>2952</v>
      </c>
      <c r="R1520" s="2" t="s">
        <v>29</v>
      </c>
      <c r="S1520" s="2" t="s">
        <v>30</v>
      </c>
    </row>
    <row r="1521" spans="1:19">
      <c r="A1521" s="1">
        <v>44562</v>
      </c>
      <c r="B1521" s="1">
        <v>44562</v>
      </c>
      <c r="C1521">
        <v>2022</v>
      </c>
      <c r="D1521">
        <v>1</v>
      </c>
      <c r="E1521" s="2" t="s">
        <v>256</v>
      </c>
      <c r="F1521" s="2" t="s">
        <v>257</v>
      </c>
      <c r="G1521" s="2" t="s">
        <v>21</v>
      </c>
      <c r="H1521" s="2" t="s">
        <v>22</v>
      </c>
      <c r="I1521" s="2" t="s">
        <v>258</v>
      </c>
      <c r="J1521" s="2" t="s">
        <v>24</v>
      </c>
      <c r="K1521">
        <v>596.99</v>
      </c>
      <c r="L1521">
        <v>557721.29</v>
      </c>
      <c r="M1521">
        <v>93422.22</v>
      </c>
      <c r="N1521" s="2" t="s">
        <v>259</v>
      </c>
      <c r="O1521" s="2" t="s">
        <v>260</v>
      </c>
      <c r="P1521" s="2" t="s">
        <v>2953</v>
      </c>
      <c r="Q1521" s="2" t="s">
        <v>2954</v>
      </c>
      <c r="R1521" s="2" t="s">
        <v>29</v>
      </c>
      <c r="S1521" s="2" t="s">
        <v>30</v>
      </c>
    </row>
    <row r="1522" spans="1:19">
      <c r="A1522" s="1">
        <v>44562</v>
      </c>
      <c r="B1522" s="1">
        <v>44562</v>
      </c>
      <c r="C1522">
        <v>2022</v>
      </c>
      <c r="D1522">
        <v>1</v>
      </c>
      <c r="E1522" s="2" t="s">
        <v>263</v>
      </c>
      <c r="F1522" s="2" t="s">
        <v>264</v>
      </c>
      <c r="G1522" s="2" t="s">
        <v>21</v>
      </c>
      <c r="H1522" s="2" t="s">
        <v>22</v>
      </c>
      <c r="I1522" s="2" t="s">
        <v>258</v>
      </c>
      <c r="J1522" s="2" t="s">
        <v>24</v>
      </c>
      <c r="K1522">
        <v>0</v>
      </c>
      <c r="L1522">
        <v>0</v>
      </c>
      <c r="N1522" s="2" t="s">
        <v>265</v>
      </c>
      <c r="O1522" s="2" t="s">
        <v>266</v>
      </c>
      <c r="P1522" s="2" t="s">
        <v>639</v>
      </c>
      <c r="Q1522" s="2" t="s">
        <v>639</v>
      </c>
      <c r="R1522" s="2" t="s">
        <v>29</v>
      </c>
      <c r="S1522" s="2" t="s">
        <v>30</v>
      </c>
    </row>
    <row r="1523" spans="1:19">
      <c r="A1523" s="1">
        <v>44562</v>
      </c>
      <c r="B1523" s="1">
        <v>44562</v>
      </c>
      <c r="C1523">
        <v>2022</v>
      </c>
      <c r="D1523">
        <v>1</v>
      </c>
      <c r="E1523" s="2" t="s">
        <v>269</v>
      </c>
      <c r="F1523" s="2" t="s">
        <v>270</v>
      </c>
      <c r="G1523" s="2" t="s">
        <v>21</v>
      </c>
      <c r="H1523" s="2" t="s">
        <v>22</v>
      </c>
      <c r="I1523" s="2" t="s">
        <v>258</v>
      </c>
      <c r="J1523" s="2" t="s">
        <v>59</v>
      </c>
      <c r="K1523">
        <v>596.99</v>
      </c>
      <c r="L1523">
        <v>557721.29</v>
      </c>
      <c r="M1523">
        <v>93422.22</v>
      </c>
      <c r="N1523" s="2" t="s">
        <v>271</v>
      </c>
      <c r="O1523" s="2" t="s">
        <v>272</v>
      </c>
      <c r="P1523" s="2" t="s">
        <v>2953</v>
      </c>
      <c r="Q1523" s="2" t="s">
        <v>2954</v>
      </c>
      <c r="R1523" s="2" t="s">
        <v>29</v>
      </c>
      <c r="S1523" s="2" t="s">
        <v>30</v>
      </c>
    </row>
    <row r="1524" spans="1:19">
      <c r="A1524" s="1">
        <v>44562</v>
      </c>
      <c r="B1524" s="1">
        <v>44562</v>
      </c>
      <c r="C1524">
        <v>2022</v>
      </c>
      <c r="D1524">
        <v>1</v>
      </c>
      <c r="E1524" s="2" t="s">
        <v>275</v>
      </c>
      <c r="F1524" s="2" t="s">
        <v>276</v>
      </c>
      <c r="G1524" s="2" t="s">
        <v>39</v>
      </c>
      <c r="H1524" s="2" t="s">
        <v>22</v>
      </c>
      <c r="I1524" s="2" t="s">
        <v>40</v>
      </c>
      <c r="J1524" s="2" t="s">
        <v>24</v>
      </c>
      <c r="K1524">
        <v>2.08</v>
      </c>
      <c r="L1524">
        <v>19.59</v>
      </c>
      <c r="M1524">
        <v>941.83</v>
      </c>
      <c r="N1524" s="2" t="s">
        <v>277</v>
      </c>
      <c r="O1524" s="2" t="s">
        <v>278</v>
      </c>
      <c r="P1524" s="2" t="s">
        <v>692</v>
      </c>
      <c r="Q1524" s="2" t="s">
        <v>2800</v>
      </c>
      <c r="R1524" s="2" t="s">
        <v>29</v>
      </c>
      <c r="S1524" s="2" t="s">
        <v>30</v>
      </c>
    </row>
    <row r="1525" spans="1:19">
      <c r="A1525" s="1">
        <v>44562</v>
      </c>
      <c r="B1525" s="1">
        <v>44562</v>
      </c>
      <c r="C1525">
        <v>2022</v>
      </c>
      <c r="D1525">
        <v>1</v>
      </c>
      <c r="E1525" s="2" t="s">
        <v>281</v>
      </c>
      <c r="F1525" s="2" t="s">
        <v>282</v>
      </c>
      <c r="G1525" s="2" t="s">
        <v>39</v>
      </c>
      <c r="H1525" s="2" t="s">
        <v>22</v>
      </c>
      <c r="I1525" s="2" t="s">
        <v>40</v>
      </c>
      <c r="J1525" s="2" t="s">
        <v>24</v>
      </c>
      <c r="K1525">
        <v>0.05</v>
      </c>
      <c r="L1525">
        <v>0.28000000000000003</v>
      </c>
      <c r="M1525">
        <v>560</v>
      </c>
      <c r="N1525" s="2" t="s">
        <v>283</v>
      </c>
      <c r="O1525" s="2" t="s">
        <v>284</v>
      </c>
      <c r="P1525" s="2" t="s">
        <v>516</v>
      </c>
      <c r="Q1525" s="2" t="s">
        <v>2910</v>
      </c>
      <c r="R1525" s="2" t="s">
        <v>29</v>
      </c>
      <c r="S1525" s="2" t="s">
        <v>30</v>
      </c>
    </row>
    <row r="1526" spans="1:19">
      <c r="A1526" s="1">
        <v>44562</v>
      </c>
      <c r="B1526" s="1">
        <v>44562</v>
      </c>
      <c r="C1526">
        <v>2022</v>
      </c>
      <c r="D1526">
        <v>1</v>
      </c>
      <c r="E1526" s="2" t="s">
        <v>287</v>
      </c>
      <c r="F1526" s="2" t="s">
        <v>288</v>
      </c>
      <c r="G1526" s="2" t="s">
        <v>39</v>
      </c>
      <c r="H1526" s="2" t="s">
        <v>22</v>
      </c>
      <c r="I1526" s="2" t="s">
        <v>40</v>
      </c>
      <c r="J1526" s="2" t="s">
        <v>59</v>
      </c>
      <c r="K1526">
        <v>2.13</v>
      </c>
      <c r="L1526">
        <v>19.87</v>
      </c>
      <c r="M1526">
        <v>932.86</v>
      </c>
      <c r="N1526" s="2" t="s">
        <v>289</v>
      </c>
      <c r="O1526" s="2" t="s">
        <v>290</v>
      </c>
      <c r="P1526" s="2" t="s">
        <v>2955</v>
      </c>
      <c r="Q1526" s="2" t="s">
        <v>2956</v>
      </c>
      <c r="R1526" s="2" t="s">
        <v>29</v>
      </c>
      <c r="S1526" s="2" t="s">
        <v>30</v>
      </c>
    </row>
    <row r="1527" spans="1:19">
      <c r="A1527" s="1">
        <v>44562</v>
      </c>
      <c r="B1527" s="1">
        <v>44562</v>
      </c>
      <c r="C1527">
        <v>2022</v>
      </c>
      <c r="D1527">
        <v>1</v>
      </c>
      <c r="E1527" s="2" t="s">
        <v>293</v>
      </c>
      <c r="F1527" s="2" t="s">
        <v>294</v>
      </c>
      <c r="G1527" s="2" t="s">
        <v>21</v>
      </c>
      <c r="H1527" s="2" t="s">
        <v>22</v>
      </c>
      <c r="I1527" s="2" t="s">
        <v>295</v>
      </c>
      <c r="J1527" s="2" t="s">
        <v>24</v>
      </c>
      <c r="K1527">
        <v>1076.3499999999999</v>
      </c>
      <c r="L1527">
        <v>2638.9</v>
      </c>
      <c r="M1527">
        <v>245.17</v>
      </c>
      <c r="N1527" s="2" t="s">
        <v>296</v>
      </c>
      <c r="O1527" s="2" t="s">
        <v>297</v>
      </c>
      <c r="P1527" s="2" t="s">
        <v>2957</v>
      </c>
      <c r="Q1527" s="2" t="s">
        <v>2958</v>
      </c>
      <c r="R1527" s="2" t="s">
        <v>29</v>
      </c>
      <c r="S1527" s="2" t="s">
        <v>30</v>
      </c>
    </row>
    <row r="1528" spans="1:19">
      <c r="A1528" s="1">
        <v>44562</v>
      </c>
      <c r="B1528" s="1">
        <v>44562</v>
      </c>
      <c r="C1528">
        <v>2022</v>
      </c>
      <c r="D1528">
        <v>1</v>
      </c>
      <c r="E1528" s="2" t="s">
        <v>300</v>
      </c>
      <c r="F1528" s="2" t="s">
        <v>301</v>
      </c>
      <c r="G1528" s="2" t="s">
        <v>21</v>
      </c>
      <c r="H1528" s="2" t="s">
        <v>22</v>
      </c>
      <c r="I1528" s="2" t="s">
        <v>295</v>
      </c>
      <c r="J1528" s="2" t="s">
        <v>24</v>
      </c>
      <c r="K1528">
        <v>117.57</v>
      </c>
      <c r="L1528">
        <v>2368.34</v>
      </c>
      <c r="M1528">
        <v>2014.41</v>
      </c>
      <c r="N1528" s="2" t="s">
        <v>302</v>
      </c>
      <c r="O1528" s="2" t="s">
        <v>303</v>
      </c>
      <c r="P1528" s="2" t="s">
        <v>2959</v>
      </c>
      <c r="Q1528" s="2" t="s">
        <v>2960</v>
      </c>
      <c r="R1528" s="2" t="s">
        <v>29</v>
      </c>
      <c r="S1528" s="2" t="s">
        <v>30</v>
      </c>
    </row>
    <row r="1529" spans="1:19">
      <c r="A1529" s="1">
        <v>44562</v>
      </c>
      <c r="B1529" s="1">
        <v>44562</v>
      </c>
      <c r="C1529">
        <v>2022</v>
      </c>
      <c r="D1529">
        <v>1</v>
      </c>
      <c r="E1529" s="2" t="s">
        <v>306</v>
      </c>
      <c r="F1529" s="2" t="s">
        <v>307</v>
      </c>
      <c r="G1529" s="2" t="s">
        <v>21</v>
      </c>
      <c r="H1529" s="2" t="s">
        <v>22</v>
      </c>
      <c r="I1529" s="2" t="s">
        <v>295</v>
      </c>
      <c r="J1529" s="2" t="s">
        <v>101</v>
      </c>
      <c r="K1529">
        <v>1193.9100000000001</v>
      </c>
      <c r="L1529">
        <v>5007.24</v>
      </c>
      <c r="M1529">
        <v>419.4</v>
      </c>
      <c r="N1529" s="2" t="s">
        <v>308</v>
      </c>
      <c r="O1529" s="2" t="s">
        <v>309</v>
      </c>
      <c r="P1529" s="2" t="s">
        <v>2961</v>
      </c>
      <c r="Q1529" s="2" t="s">
        <v>2962</v>
      </c>
      <c r="R1529" s="2" t="s">
        <v>29</v>
      </c>
      <c r="S1529" s="2" t="s">
        <v>30</v>
      </c>
    </row>
    <row r="1530" spans="1:19">
      <c r="A1530" s="1">
        <v>44562</v>
      </c>
      <c r="B1530" s="1">
        <v>44562</v>
      </c>
      <c r="C1530">
        <v>2022</v>
      </c>
      <c r="D1530">
        <v>1</v>
      </c>
      <c r="E1530" s="2" t="s">
        <v>312</v>
      </c>
      <c r="F1530" s="2" t="s">
        <v>313</v>
      </c>
      <c r="G1530" s="2" t="s">
        <v>21</v>
      </c>
      <c r="H1530" s="2" t="s">
        <v>22</v>
      </c>
      <c r="I1530" s="2" t="s">
        <v>295</v>
      </c>
      <c r="J1530" s="2" t="s">
        <v>59</v>
      </c>
      <c r="K1530">
        <v>5807.67</v>
      </c>
      <c r="L1530">
        <v>24796.400000000001</v>
      </c>
      <c r="M1530">
        <v>426.96</v>
      </c>
      <c r="N1530" s="2" t="s">
        <v>314</v>
      </c>
      <c r="O1530" s="2" t="s">
        <v>315</v>
      </c>
      <c r="P1530" s="2" t="s">
        <v>2963</v>
      </c>
      <c r="Q1530" s="2" t="s">
        <v>2964</v>
      </c>
      <c r="R1530" s="2" t="s">
        <v>29</v>
      </c>
      <c r="S1530" s="2" t="s">
        <v>30</v>
      </c>
    </row>
    <row r="1531" spans="1:19">
      <c r="A1531" s="1">
        <v>44562</v>
      </c>
      <c r="B1531" s="1">
        <v>44562</v>
      </c>
      <c r="C1531">
        <v>2022</v>
      </c>
      <c r="D1531">
        <v>1</v>
      </c>
      <c r="E1531" s="2" t="s">
        <v>318</v>
      </c>
      <c r="F1531" s="2" t="s">
        <v>319</v>
      </c>
      <c r="G1531" s="2" t="s">
        <v>21</v>
      </c>
      <c r="H1531" s="2" t="s">
        <v>22</v>
      </c>
      <c r="I1531" s="2" t="s">
        <v>295</v>
      </c>
      <c r="J1531" s="2" t="s">
        <v>24</v>
      </c>
      <c r="K1531">
        <v>4613.76</v>
      </c>
      <c r="L1531">
        <v>19789.169999999998</v>
      </c>
      <c r="M1531">
        <v>428.92</v>
      </c>
      <c r="N1531" s="2" t="s">
        <v>320</v>
      </c>
      <c r="O1531" s="2" t="s">
        <v>321</v>
      </c>
      <c r="P1531" s="2" t="s">
        <v>2965</v>
      </c>
      <c r="Q1531" s="2" t="s">
        <v>2966</v>
      </c>
      <c r="R1531" s="2" t="s">
        <v>29</v>
      </c>
      <c r="S1531" s="2" t="s">
        <v>30</v>
      </c>
    </row>
    <row r="1532" spans="1:19">
      <c r="A1532" s="1">
        <v>44562</v>
      </c>
      <c r="B1532" s="1">
        <v>44562</v>
      </c>
      <c r="C1532">
        <v>2022</v>
      </c>
      <c r="D1532">
        <v>1</v>
      </c>
      <c r="E1532" s="2" t="s">
        <v>324</v>
      </c>
      <c r="F1532" s="2" t="s">
        <v>325</v>
      </c>
      <c r="G1532" s="2" t="s">
        <v>21</v>
      </c>
      <c r="H1532" s="2" t="s">
        <v>22</v>
      </c>
      <c r="I1532" s="2" t="s">
        <v>23</v>
      </c>
      <c r="J1532" s="2" t="s">
        <v>59</v>
      </c>
      <c r="K1532">
        <v>57367.3</v>
      </c>
      <c r="L1532">
        <v>3806627.76</v>
      </c>
      <c r="M1532">
        <v>6635.54</v>
      </c>
      <c r="N1532" s="2" t="s">
        <v>326</v>
      </c>
      <c r="O1532" s="2" t="s">
        <v>327</v>
      </c>
      <c r="P1532" s="2" t="s">
        <v>2967</v>
      </c>
      <c r="Q1532" s="2" t="s">
        <v>2968</v>
      </c>
      <c r="R1532" s="2" t="s">
        <v>29</v>
      </c>
      <c r="S1532" s="2" t="s">
        <v>30</v>
      </c>
    </row>
    <row r="1533" spans="1:19">
      <c r="A1533" s="1">
        <v>44562</v>
      </c>
      <c r="B1533" s="1">
        <v>44562</v>
      </c>
      <c r="C1533">
        <v>2022</v>
      </c>
      <c r="D1533">
        <v>1</v>
      </c>
      <c r="E1533" s="2" t="s">
        <v>330</v>
      </c>
      <c r="F1533" s="2" t="s">
        <v>331</v>
      </c>
      <c r="G1533" s="2" t="s">
        <v>21</v>
      </c>
      <c r="H1533" s="2" t="s">
        <v>332</v>
      </c>
      <c r="I1533" s="2" t="s">
        <v>333</v>
      </c>
      <c r="J1533" s="2" t="s">
        <v>24</v>
      </c>
      <c r="K1533">
        <v>180.08</v>
      </c>
      <c r="L1533">
        <v>9285159.4800000004</v>
      </c>
      <c r="M1533">
        <v>5156130.32</v>
      </c>
      <c r="N1533" s="2" t="s">
        <v>334</v>
      </c>
      <c r="O1533" s="2" t="s">
        <v>335</v>
      </c>
      <c r="P1533" s="2" t="s">
        <v>2969</v>
      </c>
      <c r="Q1533" s="2" t="s">
        <v>2970</v>
      </c>
      <c r="R1533" s="2" t="s">
        <v>29</v>
      </c>
      <c r="S1533" s="2" t="s">
        <v>30</v>
      </c>
    </row>
    <row r="1534" spans="1:19">
      <c r="A1534" s="1">
        <v>44562</v>
      </c>
      <c r="B1534" s="1">
        <v>44562</v>
      </c>
      <c r="C1534">
        <v>2022</v>
      </c>
      <c r="D1534">
        <v>1</v>
      </c>
      <c r="E1534" s="2" t="s">
        <v>338</v>
      </c>
      <c r="F1534" s="2" t="s">
        <v>339</v>
      </c>
      <c r="G1534" s="2" t="s">
        <v>21</v>
      </c>
      <c r="H1534" s="2" t="s">
        <v>332</v>
      </c>
      <c r="I1534" s="2" t="s">
        <v>333</v>
      </c>
      <c r="J1534" s="2" t="s">
        <v>24</v>
      </c>
      <c r="K1534">
        <v>1.21</v>
      </c>
      <c r="L1534">
        <v>1163950.02</v>
      </c>
      <c r="M1534">
        <v>96194216.530000001</v>
      </c>
      <c r="N1534" s="2" t="s">
        <v>340</v>
      </c>
      <c r="O1534" s="2" t="s">
        <v>341</v>
      </c>
      <c r="P1534" s="2" t="s">
        <v>2971</v>
      </c>
      <c r="Q1534" s="2" t="s">
        <v>2972</v>
      </c>
      <c r="R1534" s="2" t="s">
        <v>29</v>
      </c>
      <c r="S1534" s="2" t="s">
        <v>30</v>
      </c>
    </row>
    <row r="1535" spans="1:19">
      <c r="A1535" s="1">
        <v>44562</v>
      </c>
      <c r="B1535" s="1">
        <v>44562</v>
      </c>
      <c r="C1535">
        <v>2022</v>
      </c>
      <c r="D1535">
        <v>1</v>
      </c>
      <c r="E1535" s="2" t="s">
        <v>344</v>
      </c>
      <c r="F1535" s="2" t="s">
        <v>345</v>
      </c>
      <c r="G1535" s="2" t="s">
        <v>21</v>
      </c>
      <c r="H1535" s="2" t="s">
        <v>332</v>
      </c>
      <c r="I1535" s="2" t="s">
        <v>333</v>
      </c>
      <c r="J1535" s="2" t="s">
        <v>59</v>
      </c>
      <c r="K1535">
        <v>181.29</v>
      </c>
      <c r="L1535">
        <v>10449109.5</v>
      </c>
      <c r="M1535">
        <v>5763753.9299999997</v>
      </c>
      <c r="N1535" s="2" t="s">
        <v>346</v>
      </c>
      <c r="O1535" s="2" t="s">
        <v>347</v>
      </c>
      <c r="P1535" s="2" t="s">
        <v>2973</v>
      </c>
      <c r="Q1535" s="2" t="s">
        <v>2974</v>
      </c>
      <c r="R1535" s="2" t="s">
        <v>29</v>
      </c>
      <c r="S1535" s="2" t="s">
        <v>30</v>
      </c>
    </row>
    <row r="1536" spans="1:19">
      <c r="A1536" s="1">
        <v>44562</v>
      </c>
      <c r="B1536" s="1">
        <v>44562</v>
      </c>
      <c r="C1536">
        <v>2022</v>
      </c>
      <c r="D1536">
        <v>1</v>
      </c>
      <c r="E1536" s="2" t="s">
        <v>350</v>
      </c>
      <c r="F1536" s="2" t="s">
        <v>351</v>
      </c>
      <c r="G1536" s="2" t="s">
        <v>21</v>
      </c>
      <c r="H1536" s="2" t="s">
        <v>22</v>
      </c>
      <c r="I1536" s="2" t="s">
        <v>352</v>
      </c>
      <c r="J1536" s="2" t="s">
        <v>353</v>
      </c>
      <c r="K1536">
        <v>69566.320000000007</v>
      </c>
      <c r="L1536">
        <v>14519881.26</v>
      </c>
      <c r="M1536">
        <v>20872</v>
      </c>
      <c r="N1536" s="2" t="s">
        <v>354</v>
      </c>
      <c r="O1536" s="2" t="s">
        <v>355</v>
      </c>
      <c r="P1536" s="2" t="s">
        <v>2975</v>
      </c>
      <c r="Q1536" s="2" t="s">
        <v>2976</v>
      </c>
      <c r="R1536" s="2" t="s">
        <v>29</v>
      </c>
      <c r="S1536" s="2" t="s">
        <v>30</v>
      </c>
    </row>
    <row r="1537" spans="1:19">
      <c r="A1537" s="1">
        <v>44562</v>
      </c>
      <c r="B1537" s="1">
        <v>44562</v>
      </c>
      <c r="C1537">
        <v>2022</v>
      </c>
      <c r="D1537">
        <v>1</v>
      </c>
      <c r="E1537" s="2" t="s">
        <v>358</v>
      </c>
      <c r="F1537" s="2" t="s">
        <v>359</v>
      </c>
      <c r="G1537" s="2" t="s">
        <v>21</v>
      </c>
      <c r="H1537" s="2" t="s">
        <v>22</v>
      </c>
      <c r="I1537" s="2" t="s">
        <v>352</v>
      </c>
      <c r="J1537" s="2" t="s">
        <v>353</v>
      </c>
      <c r="K1537">
        <v>70163.31</v>
      </c>
      <c r="L1537">
        <v>15077602.550000001</v>
      </c>
      <c r="M1537">
        <v>21489.3</v>
      </c>
      <c r="N1537" s="2" t="s">
        <v>360</v>
      </c>
      <c r="O1537" s="2" t="s">
        <v>361</v>
      </c>
      <c r="P1537" s="2" t="s">
        <v>2977</v>
      </c>
      <c r="Q1537" s="2" t="s">
        <v>2978</v>
      </c>
      <c r="R1537" s="2" t="s">
        <v>29</v>
      </c>
      <c r="S1537" s="2" t="s">
        <v>30</v>
      </c>
    </row>
    <row r="1538" spans="1:19">
      <c r="A1538" s="1">
        <v>44562</v>
      </c>
      <c r="B1538" s="1">
        <v>44562</v>
      </c>
      <c r="C1538">
        <v>2022</v>
      </c>
      <c r="D1538">
        <v>1</v>
      </c>
      <c r="E1538" s="2" t="s">
        <v>364</v>
      </c>
      <c r="F1538" s="2" t="s">
        <v>365</v>
      </c>
      <c r="G1538" s="2" t="s">
        <v>21</v>
      </c>
      <c r="H1538" s="2" t="s">
        <v>22</v>
      </c>
      <c r="I1538" s="2" t="s">
        <v>352</v>
      </c>
      <c r="J1538" s="2" t="s">
        <v>353</v>
      </c>
      <c r="K1538">
        <v>69982.02</v>
      </c>
      <c r="L1538">
        <v>4628493.0599999996</v>
      </c>
      <c r="M1538">
        <v>6613.83</v>
      </c>
      <c r="N1538" s="2" t="s">
        <v>366</v>
      </c>
      <c r="O1538" s="2" t="s">
        <v>367</v>
      </c>
      <c r="P1538" s="2" t="s">
        <v>2979</v>
      </c>
      <c r="Q1538" s="2" t="s">
        <v>2980</v>
      </c>
      <c r="R1538" s="2" t="s">
        <v>29</v>
      </c>
      <c r="S1538" s="2" t="s">
        <v>30</v>
      </c>
    </row>
    <row r="1539" spans="1:19">
      <c r="A1539" s="1">
        <v>44562</v>
      </c>
      <c r="B1539" s="1">
        <v>44562</v>
      </c>
      <c r="C1539">
        <v>2022</v>
      </c>
      <c r="D1539">
        <v>1</v>
      </c>
      <c r="E1539" s="2" t="s">
        <v>370</v>
      </c>
      <c r="F1539" s="2" t="s">
        <v>371</v>
      </c>
      <c r="G1539" s="2" t="s">
        <v>21</v>
      </c>
      <c r="H1539" s="2" t="s">
        <v>22</v>
      </c>
      <c r="I1539" s="2" t="s">
        <v>23</v>
      </c>
      <c r="J1539" s="2" t="s">
        <v>24</v>
      </c>
      <c r="K1539">
        <v>46171.56</v>
      </c>
      <c r="L1539">
        <v>831993.09</v>
      </c>
      <c r="M1539">
        <v>1801.96</v>
      </c>
      <c r="N1539" s="2" t="s">
        <v>372</v>
      </c>
      <c r="O1539" s="2" t="s">
        <v>373</v>
      </c>
      <c r="P1539" s="2" t="s">
        <v>2981</v>
      </c>
      <c r="Q1539" s="2" t="s">
        <v>2982</v>
      </c>
      <c r="R1539" s="2" t="s">
        <v>29</v>
      </c>
      <c r="S1539" s="2" t="s">
        <v>30</v>
      </c>
    </row>
    <row r="1540" spans="1:19">
      <c r="A1540" s="1">
        <v>44562</v>
      </c>
      <c r="B1540" s="1">
        <v>44562</v>
      </c>
      <c r="C1540">
        <v>2022</v>
      </c>
      <c r="D1540">
        <v>1</v>
      </c>
      <c r="E1540" s="2" t="s">
        <v>376</v>
      </c>
      <c r="F1540" s="2" t="s">
        <v>377</v>
      </c>
      <c r="G1540" s="2" t="s">
        <v>21</v>
      </c>
      <c r="H1540" s="2" t="s">
        <v>22</v>
      </c>
      <c r="I1540" s="2" t="s">
        <v>23</v>
      </c>
      <c r="J1540" s="2" t="s">
        <v>378</v>
      </c>
      <c r="K1540">
        <v>0.81</v>
      </c>
      <c r="L1540">
        <v>11.01</v>
      </c>
      <c r="M1540">
        <v>1359.26</v>
      </c>
      <c r="N1540" s="2" t="s">
        <v>379</v>
      </c>
      <c r="O1540" s="2" t="s">
        <v>380</v>
      </c>
      <c r="P1540" s="2" t="s">
        <v>2983</v>
      </c>
      <c r="Q1540" s="2" t="s">
        <v>2984</v>
      </c>
      <c r="R1540" s="2" t="s">
        <v>29</v>
      </c>
      <c r="S1540" s="2" t="s">
        <v>30</v>
      </c>
    </row>
    <row r="1541" spans="1:19">
      <c r="A1541" s="1">
        <v>44593</v>
      </c>
      <c r="B1541" s="1">
        <v>44593</v>
      </c>
      <c r="C1541">
        <v>2022</v>
      </c>
      <c r="D1541">
        <v>2</v>
      </c>
      <c r="E1541" s="2" t="s">
        <v>19</v>
      </c>
      <c r="F1541" s="2" t="s">
        <v>20</v>
      </c>
      <c r="G1541" s="2" t="s">
        <v>21</v>
      </c>
      <c r="H1541" s="2" t="s">
        <v>22</v>
      </c>
      <c r="I1541" s="2" t="s">
        <v>23</v>
      </c>
      <c r="J1541" s="2" t="s">
        <v>24</v>
      </c>
      <c r="K1541">
        <v>0.51</v>
      </c>
      <c r="L1541">
        <v>27.77</v>
      </c>
      <c r="M1541">
        <v>5445.1</v>
      </c>
      <c r="N1541" s="2" t="s">
        <v>25</v>
      </c>
      <c r="O1541" s="2" t="s">
        <v>26</v>
      </c>
      <c r="P1541" s="2" t="s">
        <v>1646</v>
      </c>
      <c r="Q1541" s="2" t="s">
        <v>2985</v>
      </c>
      <c r="R1541" s="2" t="s">
        <v>29</v>
      </c>
      <c r="S1541" s="2" t="s">
        <v>30</v>
      </c>
    </row>
    <row r="1542" spans="1:19">
      <c r="A1542" s="1">
        <v>44593</v>
      </c>
      <c r="B1542" s="1">
        <v>44593</v>
      </c>
      <c r="C1542">
        <v>2022</v>
      </c>
      <c r="D1542">
        <v>2</v>
      </c>
      <c r="E1542" s="2" t="s">
        <v>31</v>
      </c>
      <c r="F1542" s="2" t="s">
        <v>32</v>
      </c>
      <c r="G1542" s="2" t="s">
        <v>21</v>
      </c>
      <c r="H1542" s="2" t="s">
        <v>22</v>
      </c>
      <c r="I1542" s="2" t="s">
        <v>23</v>
      </c>
      <c r="J1542" s="2" t="s">
        <v>24</v>
      </c>
      <c r="K1542">
        <v>651.66999999999996</v>
      </c>
      <c r="L1542">
        <v>13152.02</v>
      </c>
      <c r="M1542">
        <v>2018.2</v>
      </c>
      <c r="N1542" s="2" t="s">
        <v>33</v>
      </c>
      <c r="O1542" s="2" t="s">
        <v>34</v>
      </c>
      <c r="P1542" s="2" t="s">
        <v>2986</v>
      </c>
      <c r="Q1542" s="2" t="s">
        <v>2987</v>
      </c>
      <c r="R1542" s="2" t="s">
        <v>29</v>
      </c>
      <c r="S1542" s="2" t="s">
        <v>30</v>
      </c>
    </row>
    <row r="1543" spans="1:19">
      <c r="A1543" s="1">
        <v>44593</v>
      </c>
      <c r="B1543" s="1">
        <v>44593</v>
      </c>
      <c r="C1543">
        <v>2022</v>
      </c>
      <c r="D1543">
        <v>2</v>
      </c>
      <c r="E1543" s="2" t="s">
        <v>37</v>
      </c>
      <c r="F1543" s="2" t="s">
        <v>38</v>
      </c>
      <c r="G1543" s="2" t="s">
        <v>39</v>
      </c>
      <c r="H1543" s="2" t="s">
        <v>22</v>
      </c>
      <c r="I1543" s="2" t="s">
        <v>40</v>
      </c>
      <c r="J1543" s="2" t="s">
        <v>24</v>
      </c>
      <c r="K1543">
        <v>5.29</v>
      </c>
      <c r="L1543">
        <v>263.73</v>
      </c>
      <c r="M1543">
        <v>4985.4399999999996</v>
      </c>
      <c r="N1543" s="2" t="s">
        <v>41</v>
      </c>
      <c r="O1543" s="2" t="s">
        <v>42</v>
      </c>
      <c r="P1543" s="2" t="s">
        <v>2988</v>
      </c>
      <c r="Q1543" s="2" t="s">
        <v>2989</v>
      </c>
      <c r="R1543" s="2" t="s">
        <v>29</v>
      </c>
      <c r="S1543" s="2" t="s">
        <v>30</v>
      </c>
    </row>
    <row r="1544" spans="1:19">
      <c r="A1544" s="1">
        <v>44593</v>
      </c>
      <c r="B1544" s="1">
        <v>44593</v>
      </c>
      <c r="C1544">
        <v>2022</v>
      </c>
      <c r="D1544">
        <v>2</v>
      </c>
      <c r="E1544" s="2" t="s">
        <v>45</v>
      </c>
      <c r="F1544" s="2" t="s">
        <v>46</v>
      </c>
      <c r="G1544" s="2" t="s">
        <v>39</v>
      </c>
      <c r="H1544" s="2" t="s">
        <v>22</v>
      </c>
      <c r="I1544" s="2" t="s">
        <v>40</v>
      </c>
      <c r="J1544" s="2" t="s">
        <v>24</v>
      </c>
      <c r="K1544">
        <v>5263.17</v>
      </c>
      <c r="L1544">
        <v>255218.03</v>
      </c>
      <c r="M1544">
        <v>4849.13</v>
      </c>
      <c r="N1544" s="2" t="s">
        <v>47</v>
      </c>
      <c r="O1544" s="2" t="s">
        <v>48</v>
      </c>
      <c r="P1544" s="2" t="s">
        <v>2990</v>
      </c>
      <c r="Q1544" s="2" t="s">
        <v>2991</v>
      </c>
      <c r="R1544" s="2" t="s">
        <v>29</v>
      </c>
      <c r="S1544" s="2" t="s">
        <v>30</v>
      </c>
    </row>
    <row r="1545" spans="1:19">
      <c r="A1545" s="1">
        <v>44593</v>
      </c>
      <c r="B1545" s="1">
        <v>44593</v>
      </c>
      <c r="C1545">
        <v>2022</v>
      </c>
      <c r="D1545">
        <v>2</v>
      </c>
      <c r="E1545" s="2" t="s">
        <v>51</v>
      </c>
      <c r="F1545" s="2" t="s">
        <v>52</v>
      </c>
      <c r="G1545" s="2" t="s">
        <v>39</v>
      </c>
      <c r="H1545" s="2" t="s">
        <v>22</v>
      </c>
      <c r="I1545" s="2" t="s">
        <v>40</v>
      </c>
      <c r="J1545" s="2" t="s">
        <v>24</v>
      </c>
      <c r="K1545">
        <v>28.2</v>
      </c>
      <c r="L1545">
        <v>980.75</v>
      </c>
      <c r="M1545">
        <v>3477.84</v>
      </c>
      <c r="N1545" s="2" t="s">
        <v>53</v>
      </c>
      <c r="O1545" s="2" t="s">
        <v>54</v>
      </c>
      <c r="P1545" s="2" t="s">
        <v>2992</v>
      </c>
      <c r="Q1545" s="2" t="s">
        <v>2993</v>
      </c>
      <c r="R1545" s="2" t="s">
        <v>29</v>
      </c>
      <c r="S1545" s="2" t="s">
        <v>30</v>
      </c>
    </row>
    <row r="1546" spans="1:19">
      <c r="A1546" s="1">
        <v>44593</v>
      </c>
      <c r="B1546" s="1">
        <v>44593</v>
      </c>
      <c r="C1546">
        <v>2022</v>
      </c>
      <c r="D1546">
        <v>2</v>
      </c>
      <c r="E1546" s="2" t="s">
        <v>57</v>
      </c>
      <c r="F1546" s="2" t="s">
        <v>58</v>
      </c>
      <c r="G1546" s="2" t="s">
        <v>39</v>
      </c>
      <c r="H1546" s="2" t="s">
        <v>22</v>
      </c>
      <c r="I1546" s="2" t="s">
        <v>40</v>
      </c>
      <c r="J1546" s="2" t="s">
        <v>59</v>
      </c>
      <c r="K1546">
        <v>5296.66</v>
      </c>
      <c r="L1546">
        <v>256462.51</v>
      </c>
      <c r="M1546">
        <v>4841.97</v>
      </c>
      <c r="N1546" s="2" t="s">
        <v>60</v>
      </c>
      <c r="O1546" s="2" t="s">
        <v>61</v>
      </c>
      <c r="P1546" s="2" t="s">
        <v>2994</v>
      </c>
      <c r="Q1546" s="2" t="s">
        <v>2995</v>
      </c>
      <c r="R1546" s="2" t="s">
        <v>29</v>
      </c>
      <c r="S1546" s="2" t="s">
        <v>30</v>
      </c>
    </row>
    <row r="1547" spans="1:19">
      <c r="A1547" s="1">
        <v>44593</v>
      </c>
      <c r="B1547" s="1">
        <v>44593</v>
      </c>
      <c r="C1547">
        <v>2022</v>
      </c>
      <c r="D1547">
        <v>2</v>
      </c>
      <c r="E1547" s="2" t="s">
        <v>64</v>
      </c>
      <c r="F1547" s="2" t="s">
        <v>65</v>
      </c>
      <c r="G1547" s="2" t="s">
        <v>21</v>
      </c>
      <c r="H1547" s="2" t="s">
        <v>22</v>
      </c>
      <c r="I1547" s="2" t="s">
        <v>66</v>
      </c>
      <c r="J1547" s="2" t="s">
        <v>24</v>
      </c>
      <c r="K1547">
        <v>15.23</v>
      </c>
      <c r="L1547">
        <v>506.21</v>
      </c>
      <c r="M1547">
        <v>3323.77</v>
      </c>
      <c r="N1547" s="2" t="s">
        <v>67</v>
      </c>
      <c r="O1547" s="2" t="s">
        <v>68</v>
      </c>
      <c r="P1547" s="2" t="s">
        <v>2279</v>
      </c>
      <c r="Q1547" s="2" t="s">
        <v>2996</v>
      </c>
      <c r="R1547" s="2" t="s">
        <v>29</v>
      </c>
      <c r="S1547" s="2" t="s">
        <v>30</v>
      </c>
    </row>
    <row r="1548" spans="1:19">
      <c r="A1548" s="1">
        <v>44593</v>
      </c>
      <c r="B1548" s="1">
        <v>44593</v>
      </c>
      <c r="C1548">
        <v>2022</v>
      </c>
      <c r="D1548">
        <v>2</v>
      </c>
      <c r="E1548" s="2" t="s">
        <v>71</v>
      </c>
      <c r="F1548" s="2" t="s">
        <v>72</v>
      </c>
      <c r="G1548" s="2" t="s">
        <v>21</v>
      </c>
      <c r="H1548" s="2" t="s">
        <v>22</v>
      </c>
      <c r="I1548" s="2" t="s">
        <v>73</v>
      </c>
      <c r="J1548" s="2" t="s">
        <v>59</v>
      </c>
      <c r="K1548">
        <v>4840.47</v>
      </c>
      <c r="L1548">
        <v>143111.15</v>
      </c>
      <c r="M1548">
        <v>2956.55</v>
      </c>
      <c r="N1548" s="2" t="s">
        <v>74</v>
      </c>
      <c r="O1548" s="2" t="s">
        <v>75</v>
      </c>
      <c r="P1548" s="2" t="s">
        <v>2997</v>
      </c>
      <c r="Q1548" s="2" t="s">
        <v>2998</v>
      </c>
      <c r="R1548" s="2" t="s">
        <v>29</v>
      </c>
      <c r="S1548" s="2" t="s">
        <v>30</v>
      </c>
    </row>
    <row r="1549" spans="1:19">
      <c r="A1549" s="1">
        <v>44593</v>
      </c>
      <c r="B1549" s="1">
        <v>44593</v>
      </c>
      <c r="C1549">
        <v>2022</v>
      </c>
      <c r="D1549">
        <v>2</v>
      </c>
      <c r="E1549" s="2" t="s">
        <v>78</v>
      </c>
      <c r="F1549" s="2" t="s">
        <v>79</v>
      </c>
      <c r="G1549" s="2" t="s">
        <v>80</v>
      </c>
      <c r="H1549" s="2" t="s">
        <v>81</v>
      </c>
      <c r="I1549" s="2" t="s">
        <v>82</v>
      </c>
      <c r="J1549" s="2" t="s">
        <v>24</v>
      </c>
      <c r="K1549">
        <v>1.73</v>
      </c>
      <c r="L1549">
        <v>4540145.0199999996</v>
      </c>
      <c r="M1549">
        <v>262436128.31999999</v>
      </c>
      <c r="N1549" s="2" t="s">
        <v>83</v>
      </c>
      <c r="O1549" s="2" t="s">
        <v>84</v>
      </c>
      <c r="P1549" s="2" t="s">
        <v>2611</v>
      </c>
      <c r="Q1549" s="2" t="s">
        <v>2999</v>
      </c>
      <c r="R1549" s="2" t="s">
        <v>29</v>
      </c>
      <c r="S1549" s="2" t="s">
        <v>30</v>
      </c>
    </row>
    <row r="1550" spans="1:19">
      <c r="A1550" s="1">
        <v>44593</v>
      </c>
      <c r="B1550" s="1">
        <v>44593</v>
      </c>
      <c r="C1550">
        <v>2022</v>
      </c>
      <c r="D1550">
        <v>2</v>
      </c>
      <c r="E1550" s="2" t="s">
        <v>87</v>
      </c>
      <c r="F1550" s="2" t="s">
        <v>88</v>
      </c>
      <c r="G1550" s="2" t="s">
        <v>80</v>
      </c>
      <c r="H1550" s="2" t="s">
        <v>81</v>
      </c>
      <c r="I1550" s="2" t="s">
        <v>82</v>
      </c>
      <c r="J1550" s="2" t="s">
        <v>24</v>
      </c>
      <c r="K1550">
        <v>0.57999999999999996</v>
      </c>
      <c r="L1550">
        <v>721037.65</v>
      </c>
      <c r="M1550">
        <v>124316836.20999999</v>
      </c>
      <c r="N1550" s="2" t="s">
        <v>89</v>
      </c>
      <c r="O1550" s="2" t="s">
        <v>90</v>
      </c>
      <c r="P1550" s="2" t="s">
        <v>3000</v>
      </c>
      <c r="Q1550" s="2" t="s">
        <v>3001</v>
      </c>
      <c r="R1550" s="2" t="s">
        <v>29</v>
      </c>
      <c r="S1550" s="2" t="s">
        <v>30</v>
      </c>
    </row>
    <row r="1551" spans="1:19">
      <c r="A1551" s="1">
        <v>44593</v>
      </c>
      <c r="B1551" s="1">
        <v>44593</v>
      </c>
      <c r="C1551">
        <v>2022</v>
      </c>
      <c r="D1551">
        <v>2</v>
      </c>
      <c r="E1551" s="2" t="s">
        <v>93</v>
      </c>
      <c r="F1551" s="2" t="s">
        <v>94</v>
      </c>
      <c r="G1551" s="2" t="s">
        <v>80</v>
      </c>
      <c r="H1551" s="2" t="s">
        <v>81</v>
      </c>
      <c r="I1551" s="2" t="s">
        <v>82</v>
      </c>
      <c r="J1551" s="2" t="s">
        <v>24</v>
      </c>
      <c r="K1551">
        <v>0.25</v>
      </c>
      <c r="L1551">
        <v>4221392.08</v>
      </c>
      <c r="M1551">
        <v>1688556832</v>
      </c>
      <c r="N1551" s="2" t="s">
        <v>95</v>
      </c>
      <c r="O1551" s="2" t="s">
        <v>96</v>
      </c>
      <c r="P1551" s="2" t="s">
        <v>876</v>
      </c>
      <c r="Q1551" s="2" t="s">
        <v>3002</v>
      </c>
      <c r="R1551" s="2" t="s">
        <v>29</v>
      </c>
      <c r="S1551" s="2" t="s">
        <v>30</v>
      </c>
    </row>
    <row r="1552" spans="1:19">
      <c r="A1552" s="1">
        <v>44593</v>
      </c>
      <c r="B1552" s="1">
        <v>44593</v>
      </c>
      <c r="C1552">
        <v>2022</v>
      </c>
      <c r="D1552">
        <v>2</v>
      </c>
      <c r="E1552" s="2" t="s">
        <v>99</v>
      </c>
      <c r="F1552" s="2" t="s">
        <v>100</v>
      </c>
      <c r="G1552" s="2" t="s">
        <v>80</v>
      </c>
      <c r="H1552" s="2" t="s">
        <v>81</v>
      </c>
      <c r="I1552" s="2" t="s">
        <v>82</v>
      </c>
      <c r="J1552" s="2" t="s">
        <v>101</v>
      </c>
      <c r="K1552">
        <v>1.1000000000000001</v>
      </c>
      <c r="L1552">
        <v>12914110.98</v>
      </c>
      <c r="M1552">
        <v>1174010089.0899999</v>
      </c>
      <c r="N1552" s="2" t="s">
        <v>102</v>
      </c>
      <c r="O1552" s="2" t="s">
        <v>103</v>
      </c>
      <c r="P1552" s="2" t="s">
        <v>2809</v>
      </c>
      <c r="Q1552" s="2" t="s">
        <v>3003</v>
      </c>
      <c r="R1552" s="2" t="s">
        <v>29</v>
      </c>
      <c r="S1552" s="2" t="s">
        <v>30</v>
      </c>
    </row>
    <row r="1553" spans="1:19">
      <c r="A1553" s="1">
        <v>44593</v>
      </c>
      <c r="B1553" s="1">
        <v>44593</v>
      </c>
      <c r="C1553">
        <v>2022</v>
      </c>
      <c r="D1553">
        <v>2</v>
      </c>
      <c r="E1553" s="2" t="s">
        <v>106</v>
      </c>
      <c r="F1553" s="2" t="s">
        <v>107</v>
      </c>
      <c r="G1553" s="2" t="s">
        <v>80</v>
      </c>
      <c r="H1553" s="2" t="s">
        <v>81</v>
      </c>
      <c r="I1553" s="2" t="s">
        <v>82</v>
      </c>
      <c r="J1553" s="2" t="s">
        <v>24</v>
      </c>
      <c r="K1553">
        <v>0.27</v>
      </c>
      <c r="L1553">
        <v>7971681.25</v>
      </c>
      <c r="M1553">
        <v>2952474537.04</v>
      </c>
      <c r="N1553" s="2" t="s">
        <v>108</v>
      </c>
      <c r="O1553" s="2" t="s">
        <v>109</v>
      </c>
      <c r="P1553" s="2" t="s">
        <v>980</v>
      </c>
      <c r="Q1553" s="2" t="s">
        <v>3004</v>
      </c>
      <c r="R1553" s="2" t="s">
        <v>29</v>
      </c>
      <c r="S1553" s="2" t="s">
        <v>30</v>
      </c>
    </row>
    <row r="1554" spans="1:19">
      <c r="A1554" s="1">
        <v>44593</v>
      </c>
      <c r="B1554" s="1">
        <v>44593</v>
      </c>
      <c r="C1554">
        <v>2022</v>
      </c>
      <c r="D1554">
        <v>2</v>
      </c>
      <c r="E1554" s="2" t="s">
        <v>111</v>
      </c>
      <c r="F1554" s="2" t="s">
        <v>112</v>
      </c>
      <c r="G1554" s="2" t="s">
        <v>80</v>
      </c>
      <c r="H1554" s="2" t="s">
        <v>81</v>
      </c>
      <c r="I1554" s="2" t="s">
        <v>82</v>
      </c>
      <c r="J1554" s="2" t="s">
        <v>24</v>
      </c>
      <c r="K1554">
        <v>0.1</v>
      </c>
      <c r="L1554">
        <v>540330</v>
      </c>
      <c r="M1554">
        <v>540330000</v>
      </c>
      <c r="N1554" s="2" t="s">
        <v>113</v>
      </c>
      <c r="O1554" s="2" t="s">
        <v>114</v>
      </c>
      <c r="P1554" s="2" t="s">
        <v>425</v>
      </c>
      <c r="Q1554" s="2" t="s">
        <v>3005</v>
      </c>
      <c r="R1554" s="2" t="s">
        <v>29</v>
      </c>
      <c r="S1554" s="2" t="s">
        <v>30</v>
      </c>
    </row>
    <row r="1555" spans="1:19">
      <c r="A1555" s="1">
        <v>44593</v>
      </c>
      <c r="B1555" s="1">
        <v>44593</v>
      </c>
      <c r="C1555">
        <v>2022</v>
      </c>
      <c r="D1555">
        <v>2</v>
      </c>
      <c r="E1555" s="2" t="s">
        <v>117</v>
      </c>
      <c r="F1555" s="2" t="s">
        <v>118</v>
      </c>
      <c r="G1555" s="2" t="s">
        <v>80</v>
      </c>
      <c r="H1555" s="2" t="s">
        <v>81</v>
      </c>
      <c r="I1555" s="2" t="s">
        <v>82</v>
      </c>
      <c r="J1555" s="2" t="s">
        <v>59</v>
      </c>
      <c r="K1555">
        <v>2.92</v>
      </c>
      <c r="L1555">
        <v>17994586</v>
      </c>
      <c r="M1555">
        <v>616252945.21000004</v>
      </c>
      <c r="N1555" s="2" t="s">
        <v>119</v>
      </c>
      <c r="O1555" s="2" t="s">
        <v>120</v>
      </c>
      <c r="P1555" s="2" t="s">
        <v>1947</v>
      </c>
      <c r="Q1555" s="2" t="s">
        <v>3006</v>
      </c>
      <c r="R1555" s="2" t="s">
        <v>29</v>
      </c>
      <c r="S1555" s="2" t="s">
        <v>30</v>
      </c>
    </row>
    <row r="1556" spans="1:19">
      <c r="A1556" s="1">
        <v>44593</v>
      </c>
      <c r="B1556" s="1">
        <v>44593</v>
      </c>
      <c r="C1556">
        <v>2022</v>
      </c>
      <c r="D1556">
        <v>2</v>
      </c>
      <c r="E1556" s="2" t="s">
        <v>123</v>
      </c>
      <c r="F1556" s="2" t="s">
        <v>124</v>
      </c>
      <c r="G1556" s="2" t="s">
        <v>21</v>
      </c>
      <c r="H1556" s="2" t="s">
        <v>22</v>
      </c>
      <c r="I1556" s="2" t="s">
        <v>73</v>
      </c>
      <c r="J1556" s="2" t="s">
        <v>24</v>
      </c>
      <c r="K1556">
        <v>920.84</v>
      </c>
      <c r="L1556">
        <v>53541.23</v>
      </c>
      <c r="M1556">
        <v>5814.39</v>
      </c>
      <c r="N1556" s="2" t="s">
        <v>125</v>
      </c>
      <c r="O1556" s="2" t="s">
        <v>126</v>
      </c>
      <c r="P1556" s="2" t="s">
        <v>3007</v>
      </c>
      <c r="Q1556" s="2" t="s">
        <v>3008</v>
      </c>
      <c r="R1556" s="2" t="s">
        <v>29</v>
      </c>
      <c r="S1556" s="2" t="s">
        <v>30</v>
      </c>
    </row>
    <row r="1557" spans="1:19">
      <c r="A1557" s="1">
        <v>44593</v>
      </c>
      <c r="B1557" s="1">
        <v>44593</v>
      </c>
      <c r="C1557">
        <v>2022</v>
      </c>
      <c r="D1557">
        <v>2</v>
      </c>
      <c r="E1557" s="2" t="s">
        <v>129</v>
      </c>
      <c r="F1557" s="2" t="s">
        <v>130</v>
      </c>
      <c r="G1557" s="2" t="s">
        <v>21</v>
      </c>
      <c r="H1557" s="2" t="s">
        <v>22</v>
      </c>
      <c r="I1557" s="2" t="s">
        <v>73</v>
      </c>
      <c r="J1557" s="2" t="s">
        <v>24</v>
      </c>
      <c r="K1557">
        <v>963.4</v>
      </c>
      <c r="L1557">
        <v>32499.8</v>
      </c>
      <c r="M1557">
        <v>3373.45</v>
      </c>
      <c r="N1557" s="2" t="s">
        <v>131</v>
      </c>
      <c r="O1557" s="2" t="s">
        <v>132</v>
      </c>
      <c r="P1557" s="2" t="s">
        <v>3009</v>
      </c>
      <c r="Q1557" s="2" t="s">
        <v>3010</v>
      </c>
      <c r="R1557" s="2" t="s">
        <v>29</v>
      </c>
      <c r="S1557" s="2" t="s">
        <v>30</v>
      </c>
    </row>
    <row r="1558" spans="1:19">
      <c r="A1558" s="1">
        <v>44593</v>
      </c>
      <c r="B1558" s="1">
        <v>44593</v>
      </c>
      <c r="C1558">
        <v>2022</v>
      </c>
      <c r="D1558">
        <v>2</v>
      </c>
      <c r="E1558" s="2" t="s">
        <v>135</v>
      </c>
      <c r="F1558" s="2" t="s">
        <v>136</v>
      </c>
      <c r="G1558" s="2" t="s">
        <v>21</v>
      </c>
      <c r="H1558" s="2" t="s">
        <v>22</v>
      </c>
      <c r="I1558" s="2" t="s">
        <v>73</v>
      </c>
      <c r="J1558" s="2" t="s">
        <v>101</v>
      </c>
      <c r="K1558">
        <v>1884.24</v>
      </c>
      <c r="L1558">
        <v>86041.03</v>
      </c>
      <c r="M1558">
        <v>4566.3500000000004</v>
      </c>
      <c r="N1558" s="2" t="s">
        <v>137</v>
      </c>
      <c r="O1558" s="2" t="s">
        <v>138</v>
      </c>
      <c r="P1558" s="2" t="s">
        <v>3011</v>
      </c>
      <c r="Q1558" s="2" t="s">
        <v>3012</v>
      </c>
      <c r="R1558" s="2" t="s">
        <v>29</v>
      </c>
      <c r="S1558" s="2" t="s">
        <v>30</v>
      </c>
    </row>
    <row r="1559" spans="1:19">
      <c r="A1559" s="1">
        <v>44593</v>
      </c>
      <c r="B1559" s="1">
        <v>44593</v>
      </c>
      <c r="C1559">
        <v>2022</v>
      </c>
      <c r="D1559">
        <v>2</v>
      </c>
      <c r="E1559" s="2" t="s">
        <v>141</v>
      </c>
      <c r="F1559" s="2" t="s">
        <v>142</v>
      </c>
      <c r="G1559" s="2" t="s">
        <v>21</v>
      </c>
      <c r="H1559" s="2" t="s">
        <v>22</v>
      </c>
      <c r="I1559" s="2" t="s">
        <v>73</v>
      </c>
      <c r="J1559" s="2" t="s">
        <v>24</v>
      </c>
      <c r="K1559">
        <v>1110.78</v>
      </c>
      <c r="L1559">
        <v>20694.150000000001</v>
      </c>
      <c r="M1559">
        <v>1863.03</v>
      </c>
      <c r="N1559" s="2" t="s">
        <v>143</v>
      </c>
      <c r="O1559" s="2" t="s">
        <v>144</v>
      </c>
      <c r="P1559" s="2" t="s">
        <v>3013</v>
      </c>
      <c r="Q1559" s="2" t="s">
        <v>3014</v>
      </c>
      <c r="R1559" s="2" t="s">
        <v>29</v>
      </c>
      <c r="S1559" s="2" t="s">
        <v>30</v>
      </c>
    </row>
    <row r="1560" spans="1:19">
      <c r="A1560" s="1">
        <v>44593</v>
      </c>
      <c r="B1560" s="1">
        <v>44593</v>
      </c>
      <c r="C1560">
        <v>2022</v>
      </c>
      <c r="D1560">
        <v>2</v>
      </c>
      <c r="E1560" s="2" t="s">
        <v>147</v>
      </c>
      <c r="F1560" s="2" t="s">
        <v>148</v>
      </c>
      <c r="G1560" s="2" t="s">
        <v>21</v>
      </c>
      <c r="H1560" s="2" t="s">
        <v>22</v>
      </c>
      <c r="I1560" s="2" t="s">
        <v>73</v>
      </c>
      <c r="J1560" s="2" t="s">
        <v>24</v>
      </c>
      <c r="K1560">
        <v>1845.45</v>
      </c>
      <c r="L1560">
        <v>36375.97</v>
      </c>
      <c r="M1560">
        <v>1971.12</v>
      </c>
      <c r="N1560" s="2" t="s">
        <v>149</v>
      </c>
      <c r="O1560" s="2" t="s">
        <v>150</v>
      </c>
      <c r="P1560" s="2" t="s">
        <v>3015</v>
      </c>
      <c r="Q1560" s="2" t="s">
        <v>3016</v>
      </c>
      <c r="R1560" s="2" t="s">
        <v>29</v>
      </c>
      <c r="S1560" s="2" t="s">
        <v>30</v>
      </c>
    </row>
    <row r="1561" spans="1:19">
      <c r="A1561" s="1">
        <v>44593</v>
      </c>
      <c r="B1561" s="1">
        <v>44593</v>
      </c>
      <c r="C1561">
        <v>2022</v>
      </c>
      <c r="D1561">
        <v>2</v>
      </c>
      <c r="E1561" s="2" t="s">
        <v>153</v>
      </c>
      <c r="F1561" s="2" t="s">
        <v>154</v>
      </c>
      <c r="G1561" s="2" t="s">
        <v>21</v>
      </c>
      <c r="H1561" s="2" t="s">
        <v>22</v>
      </c>
      <c r="I1561" s="2" t="s">
        <v>73</v>
      </c>
      <c r="J1561" s="2" t="s">
        <v>101</v>
      </c>
      <c r="K1561">
        <v>2956.23</v>
      </c>
      <c r="L1561">
        <v>57070.12</v>
      </c>
      <c r="M1561">
        <v>1930.5</v>
      </c>
      <c r="N1561" s="2" t="s">
        <v>155</v>
      </c>
      <c r="O1561" s="2" t="s">
        <v>156</v>
      </c>
      <c r="P1561" s="2" t="s">
        <v>3017</v>
      </c>
      <c r="Q1561" s="2" t="s">
        <v>3018</v>
      </c>
      <c r="R1561" s="2" t="s">
        <v>29</v>
      </c>
      <c r="S1561" s="2" t="s">
        <v>30</v>
      </c>
    </row>
    <row r="1562" spans="1:19">
      <c r="A1562" s="1">
        <v>44593</v>
      </c>
      <c r="B1562" s="1">
        <v>44593</v>
      </c>
      <c r="C1562">
        <v>2022</v>
      </c>
      <c r="D1562">
        <v>2</v>
      </c>
      <c r="E1562" s="2" t="s">
        <v>159</v>
      </c>
      <c r="F1562" s="2" t="s">
        <v>160</v>
      </c>
      <c r="G1562" s="2" t="s">
        <v>21</v>
      </c>
      <c r="H1562" s="2" t="s">
        <v>22</v>
      </c>
      <c r="I1562" s="2" t="s">
        <v>66</v>
      </c>
      <c r="J1562" s="2" t="s">
        <v>59</v>
      </c>
      <c r="K1562">
        <v>1089.3</v>
      </c>
      <c r="L1562">
        <v>90746.07</v>
      </c>
      <c r="M1562">
        <v>8330.68</v>
      </c>
      <c r="N1562" s="2" t="s">
        <v>161</v>
      </c>
      <c r="O1562" s="2" t="s">
        <v>162</v>
      </c>
      <c r="P1562" s="2" t="s">
        <v>3019</v>
      </c>
      <c r="Q1562" s="2" t="s">
        <v>3020</v>
      </c>
      <c r="R1562" s="2" t="s">
        <v>29</v>
      </c>
      <c r="S1562" s="2" t="s">
        <v>30</v>
      </c>
    </row>
    <row r="1563" spans="1:19">
      <c r="A1563" s="1">
        <v>44593</v>
      </c>
      <c r="B1563" s="1">
        <v>44593</v>
      </c>
      <c r="C1563">
        <v>2022</v>
      </c>
      <c r="D1563">
        <v>2</v>
      </c>
      <c r="E1563" s="2" t="s">
        <v>165</v>
      </c>
      <c r="F1563" s="2" t="s">
        <v>166</v>
      </c>
      <c r="G1563" s="2" t="s">
        <v>21</v>
      </c>
      <c r="H1563" s="2" t="s">
        <v>22</v>
      </c>
      <c r="I1563" s="2" t="s">
        <v>23</v>
      </c>
      <c r="J1563" s="2" t="s">
        <v>24</v>
      </c>
      <c r="K1563">
        <v>0</v>
      </c>
      <c r="L1563">
        <v>0</v>
      </c>
      <c r="N1563" s="2" t="s">
        <v>167</v>
      </c>
      <c r="O1563" s="2" t="s">
        <v>168</v>
      </c>
      <c r="P1563" s="2" t="s">
        <v>639</v>
      </c>
      <c r="Q1563" s="2" t="s">
        <v>639</v>
      </c>
      <c r="R1563" s="2" t="s">
        <v>29</v>
      </c>
      <c r="S1563" s="2" t="s">
        <v>30</v>
      </c>
    </row>
    <row r="1564" spans="1:19">
      <c r="A1564" s="1">
        <v>44593</v>
      </c>
      <c r="B1564" s="1">
        <v>44593</v>
      </c>
      <c r="C1564">
        <v>2022</v>
      </c>
      <c r="D1564">
        <v>2</v>
      </c>
      <c r="E1564" s="2" t="s">
        <v>171</v>
      </c>
      <c r="F1564" s="2" t="s">
        <v>172</v>
      </c>
      <c r="G1564" s="2" t="s">
        <v>21</v>
      </c>
      <c r="H1564" s="2" t="s">
        <v>22</v>
      </c>
      <c r="I1564" s="2" t="s">
        <v>66</v>
      </c>
      <c r="J1564" s="2" t="s">
        <v>24</v>
      </c>
      <c r="N1564" s="2" t="s">
        <v>173</v>
      </c>
      <c r="O1564" s="2" t="s">
        <v>174</v>
      </c>
      <c r="P1564" s="2" t="s">
        <v>175</v>
      </c>
      <c r="Q1564" s="2" t="s">
        <v>175</v>
      </c>
      <c r="R1564" s="2" t="s">
        <v>640</v>
      </c>
      <c r="S1564" s="2" t="s">
        <v>641</v>
      </c>
    </row>
    <row r="1565" spans="1:19">
      <c r="A1565" s="1">
        <v>44593</v>
      </c>
      <c r="B1565" s="1">
        <v>44593</v>
      </c>
      <c r="C1565">
        <v>2022</v>
      </c>
      <c r="D1565">
        <v>2</v>
      </c>
      <c r="E1565" s="2" t="s">
        <v>177</v>
      </c>
      <c r="F1565" s="2" t="s">
        <v>178</v>
      </c>
      <c r="G1565" s="2" t="s">
        <v>21</v>
      </c>
      <c r="H1565" s="2" t="s">
        <v>22</v>
      </c>
      <c r="I1565" s="2" t="s">
        <v>23</v>
      </c>
      <c r="J1565" s="2" t="s">
        <v>24</v>
      </c>
      <c r="K1565">
        <v>4209.3100000000004</v>
      </c>
      <c r="L1565">
        <v>384404.04</v>
      </c>
      <c r="M1565">
        <v>9132.23</v>
      </c>
      <c r="N1565" s="2" t="s">
        <v>179</v>
      </c>
      <c r="O1565" s="2" t="s">
        <v>180</v>
      </c>
      <c r="P1565" s="2" t="s">
        <v>3021</v>
      </c>
      <c r="Q1565" s="2" t="s">
        <v>3022</v>
      </c>
      <c r="R1565" s="2" t="s">
        <v>29</v>
      </c>
      <c r="S1565" s="2" t="s">
        <v>30</v>
      </c>
    </row>
    <row r="1566" spans="1:19">
      <c r="A1566" s="1">
        <v>44593</v>
      </c>
      <c r="B1566" s="1">
        <v>44593</v>
      </c>
      <c r="C1566">
        <v>2022</v>
      </c>
      <c r="D1566">
        <v>2</v>
      </c>
      <c r="E1566" s="2" t="s">
        <v>183</v>
      </c>
      <c r="F1566" s="2" t="s">
        <v>184</v>
      </c>
      <c r="G1566" s="2" t="s">
        <v>185</v>
      </c>
      <c r="H1566" s="2" t="s">
        <v>22</v>
      </c>
      <c r="I1566" s="2" t="s">
        <v>186</v>
      </c>
      <c r="J1566" s="2" t="s">
        <v>24</v>
      </c>
      <c r="K1566">
        <v>2493.6799999999998</v>
      </c>
      <c r="L1566">
        <v>2622348.61</v>
      </c>
      <c r="M1566">
        <v>105159.79</v>
      </c>
      <c r="N1566" s="2" t="s">
        <v>187</v>
      </c>
      <c r="O1566" s="2" t="s">
        <v>188</v>
      </c>
      <c r="P1566" s="2" t="s">
        <v>3023</v>
      </c>
      <c r="Q1566" s="2" t="s">
        <v>3024</v>
      </c>
      <c r="R1566" s="2" t="s">
        <v>29</v>
      </c>
      <c r="S1566" s="2" t="s">
        <v>30</v>
      </c>
    </row>
    <row r="1567" spans="1:19">
      <c r="A1567" s="1">
        <v>44593</v>
      </c>
      <c r="B1567" s="1">
        <v>44593</v>
      </c>
      <c r="C1567">
        <v>2022</v>
      </c>
      <c r="D1567">
        <v>2</v>
      </c>
      <c r="E1567" s="2" t="s">
        <v>191</v>
      </c>
      <c r="F1567" s="2" t="s">
        <v>192</v>
      </c>
      <c r="G1567" s="2" t="s">
        <v>185</v>
      </c>
      <c r="H1567" s="2" t="s">
        <v>22</v>
      </c>
      <c r="I1567" s="2" t="s">
        <v>186</v>
      </c>
      <c r="J1567" s="2" t="s">
        <v>24</v>
      </c>
      <c r="K1567">
        <v>780.51</v>
      </c>
      <c r="L1567">
        <v>4169925.62</v>
      </c>
      <c r="M1567">
        <v>534256.53</v>
      </c>
      <c r="N1567" s="2" t="s">
        <v>193</v>
      </c>
      <c r="O1567" s="2" t="s">
        <v>194</v>
      </c>
      <c r="P1567" s="2" t="s">
        <v>3025</v>
      </c>
      <c r="Q1567" s="2" t="s">
        <v>3026</v>
      </c>
      <c r="R1567" s="2" t="s">
        <v>29</v>
      </c>
      <c r="S1567" s="2" t="s">
        <v>30</v>
      </c>
    </row>
    <row r="1568" spans="1:19">
      <c r="A1568" s="1">
        <v>44593</v>
      </c>
      <c r="B1568" s="1">
        <v>44593</v>
      </c>
      <c r="C1568">
        <v>2022</v>
      </c>
      <c r="D1568">
        <v>2</v>
      </c>
      <c r="E1568" s="2" t="s">
        <v>197</v>
      </c>
      <c r="F1568" s="2" t="s">
        <v>198</v>
      </c>
      <c r="G1568" s="2" t="s">
        <v>185</v>
      </c>
      <c r="H1568" s="2" t="s">
        <v>22</v>
      </c>
      <c r="I1568" s="2" t="s">
        <v>186</v>
      </c>
      <c r="J1568" s="2" t="s">
        <v>59</v>
      </c>
      <c r="K1568">
        <v>3274.19</v>
      </c>
      <c r="L1568">
        <v>6792274.2300000004</v>
      </c>
      <c r="M1568">
        <v>207448.99</v>
      </c>
      <c r="N1568" s="2" t="s">
        <v>199</v>
      </c>
      <c r="O1568" s="2" t="s">
        <v>200</v>
      </c>
      <c r="P1568" s="2" t="s">
        <v>3027</v>
      </c>
      <c r="Q1568" s="2" t="s">
        <v>3028</v>
      </c>
      <c r="R1568" s="2" t="s">
        <v>29</v>
      </c>
      <c r="S1568" s="2" t="s">
        <v>30</v>
      </c>
    </row>
    <row r="1569" spans="1:19">
      <c r="A1569" s="1">
        <v>44593</v>
      </c>
      <c r="B1569" s="1">
        <v>44593</v>
      </c>
      <c r="C1569">
        <v>2022</v>
      </c>
      <c r="D1569">
        <v>2</v>
      </c>
      <c r="E1569" s="2" t="s">
        <v>203</v>
      </c>
      <c r="F1569" s="2" t="s">
        <v>204</v>
      </c>
      <c r="G1569" s="2" t="s">
        <v>39</v>
      </c>
      <c r="H1569" s="2" t="s">
        <v>22</v>
      </c>
      <c r="I1569" s="2" t="s">
        <v>40</v>
      </c>
      <c r="J1569" s="2" t="s">
        <v>24</v>
      </c>
      <c r="K1569">
        <v>928.46</v>
      </c>
      <c r="L1569">
        <v>24974.57</v>
      </c>
      <c r="M1569">
        <v>2689.89</v>
      </c>
      <c r="N1569" s="2" t="s">
        <v>205</v>
      </c>
      <c r="O1569" s="2" t="s">
        <v>206</v>
      </c>
      <c r="P1569" s="2" t="s">
        <v>3029</v>
      </c>
      <c r="Q1569" s="2" t="s">
        <v>3030</v>
      </c>
      <c r="R1569" s="2" t="s">
        <v>29</v>
      </c>
      <c r="S1569" s="2" t="s">
        <v>30</v>
      </c>
    </row>
    <row r="1570" spans="1:19">
      <c r="A1570" s="1">
        <v>44593</v>
      </c>
      <c r="B1570" s="1">
        <v>44593</v>
      </c>
      <c r="C1570">
        <v>2022</v>
      </c>
      <c r="D1570">
        <v>2</v>
      </c>
      <c r="E1570" s="2" t="s">
        <v>209</v>
      </c>
      <c r="F1570" s="2" t="s">
        <v>210</v>
      </c>
      <c r="G1570" s="2" t="s">
        <v>39</v>
      </c>
      <c r="H1570" s="2" t="s">
        <v>22</v>
      </c>
      <c r="I1570" s="2" t="s">
        <v>40</v>
      </c>
      <c r="J1570" s="2" t="s">
        <v>59</v>
      </c>
      <c r="K1570">
        <v>928.46</v>
      </c>
      <c r="L1570">
        <v>24974.57</v>
      </c>
      <c r="M1570">
        <v>2689.89</v>
      </c>
      <c r="N1570" s="2" t="s">
        <v>211</v>
      </c>
      <c r="O1570" s="2" t="s">
        <v>212</v>
      </c>
      <c r="P1570" s="2" t="s">
        <v>3029</v>
      </c>
      <c r="Q1570" s="2" t="s">
        <v>3030</v>
      </c>
      <c r="R1570" s="2" t="s">
        <v>29</v>
      </c>
      <c r="S1570" s="2" t="s">
        <v>30</v>
      </c>
    </row>
    <row r="1571" spans="1:19">
      <c r="A1571" s="1">
        <v>44593</v>
      </c>
      <c r="B1571" s="1">
        <v>44593</v>
      </c>
      <c r="C1571">
        <v>2022</v>
      </c>
      <c r="D1571">
        <v>2</v>
      </c>
      <c r="E1571" s="2" t="s">
        <v>213</v>
      </c>
      <c r="F1571" s="2" t="s">
        <v>214</v>
      </c>
      <c r="G1571" s="2" t="s">
        <v>185</v>
      </c>
      <c r="H1571" s="2" t="s">
        <v>22</v>
      </c>
      <c r="I1571" s="2" t="s">
        <v>215</v>
      </c>
      <c r="J1571" s="2" t="s">
        <v>24</v>
      </c>
      <c r="K1571">
        <v>44665.47</v>
      </c>
      <c r="L1571">
        <v>1144323.73</v>
      </c>
      <c r="M1571">
        <v>2561.9899999999998</v>
      </c>
      <c r="N1571" s="2" t="s">
        <v>216</v>
      </c>
      <c r="O1571" s="2" t="s">
        <v>217</v>
      </c>
      <c r="P1571" s="2" t="s">
        <v>3031</v>
      </c>
      <c r="Q1571" s="2" t="s">
        <v>3032</v>
      </c>
      <c r="R1571" s="2" t="s">
        <v>29</v>
      </c>
      <c r="S1571" s="2" t="s">
        <v>30</v>
      </c>
    </row>
    <row r="1572" spans="1:19">
      <c r="A1572" s="1">
        <v>44593</v>
      </c>
      <c r="B1572" s="1">
        <v>44593</v>
      </c>
      <c r="C1572">
        <v>2022</v>
      </c>
      <c r="D1572">
        <v>2</v>
      </c>
      <c r="E1572" s="2" t="s">
        <v>220</v>
      </c>
      <c r="F1572" s="2" t="s">
        <v>221</v>
      </c>
      <c r="G1572" s="2" t="s">
        <v>185</v>
      </c>
      <c r="H1572" s="2" t="s">
        <v>22</v>
      </c>
      <c r="I1572" s="2" t="s">
        <v>215</v>
      </c>
      <c r="J1572" s="2" t="s">
        <v>24</v>
      </c>
      <c r="K1572">
        <v>3626.98</v>
      </c>
      <c r="L1572">
        <v>246930.66</v>
      </c>
      <c r="M1572">
        <v>6808.16</v>
      </c>
      <c r="N1572" s="2" t="s">
        <v>222</v>
      </c>
      <c r="O1572" s="2" t="s">
        <v>223</v>
      </c>
      <c r="P1572" s="2" t="s">
        <v>3033</v>
      </c>
      <c r="Q1572" s="2" t="s">
        <v>3034</v>
      </c>
      <c r="R1572" s="2" t="s">
        <v>29</v>
      </c>
      <c r="S1572" s="2" t="s">
        <v>30</v>
      </c>
    </row>
    <row r="1573" spans="1:19">
      <c r="A1573" s="1">
        <v>44593</v>
      </c>
      <c r="B1573" s="1">
        <v>44593</v>
      </c>
      <c r="C1573">
        <v>2022</v>
      </c>
      <c r="D1573">
        <v>2</v>
      </c>
      <c r="E1573" s="2" t="s">
        <v>226</v>
      </c>
      <c r="F1573" s="2" t="s">
        <v>227</v>
      </c>
      <c r="G1573" s="2" t="s">
        <v>185</v>
      </c>
      <c r="H1573" s="2" t="s">
        <v>22</v>
      </c>
      <c r="I1573" s="2" t="s">
        <v>215</v>
      </c>
      <c r="J1573" s="2" t="s">
        <v>59</v>
      </c>
      <c r="K1573">
        <v>48292.44</v>
      </c>
      <c r="L1573">
        <v>1391254.39</v>
      </c>
      <c r="M1573">
        <v>2880.89</v>
      </c>
      <c r="N1573" s="2" t="s">
        <v>228</v>
      </c>
      <c r="O1573" s="2" t="s">
        <v>229</v>
      </c>
      <c r="P1573" s="2" t="s">
        <v>3035</v>
      </c>
      <c r="Q1573" s="2" t="s">
        <v>3036</v>
      </c>
      <c r="R1573" s="2" t="s">
        <v>29</v>
      </c>
      <c r="S1573" s="2" t="s">
        <v>30</v>
      </c>
    </row>
    <row r="1574" spans="1:19">
      <c r="A1574" s="1">
        <v>44593</v>
      </c>
      <c r="B1574" s="1">
        <v>44593</v>
      </c>
      <c r="C1574">
        <v>2022</v>
      </c>
      <c r="D1574">
        <v>2</v>
      </c>
      <c r="E1574" s="2" t="s">
        <v>232</v>
      </c>
      <c r="F1574" s="2" t="s">
        <v>233</v>
      </c>
      <c r="G1574" s="2" t="s">
        <v>21</v>
      </c>
      <c r="H1574" s="2" t="s">
        <v>22</v>
      </c>
      <c r="I1574" s="2" t="s">
        <v>23</v>
      </c>
      <c r="J1574" s="2" t="s">
        <v>24</v>
      </c>
      <c r="K1574">
        <v>1536.56</v>
      </c>
      <c r="L1574">
        <v>104998.31</v>
      </c>
      <c r="M1574">
        <v>6833.34</v>
      </c>
      <c r="N1574" s="2" t="s">
        <v>234</v>
      </c>
      <c r="O1574" s="2" t="s">
        <v>235</v>
      </c>
      <c r="P1574" s="2" t="s">
        <v>3037</v>
      </c>
      <c r="Q1574" s="2" t="s">
        <v>3038</v>
      </c>
      <c r="R1574" s="2" t="s">
        <v>29</v>
      </c>
      <c r="S1574" s="2" t="s">
        <v>30</v>
      </c>
    </row>
    <row r="1575" spans="1:19">
      <c r="A1575" s="1">
        <v>44593</v>
      </c>
      <c r="B1575" s="1">
        <v>44593</v>
      </c>
      <c r="C1575">
        <v>2022</v>
      </c>
      <c r="D1575">
        <v>2</v>
      </c>
      <c r="E1575" s="2" t="s">
        <v>238</v>
      </c>
      <c r="F1575" s="2" t="s">
        <v>239</v>
      </c>
      <c r="G1575" s="2" t="s">
        <v>21</v>
      </c>
      <c r="H1575" s="2" t="s">
        <v>22</v>
      </c>
      <c r="I1575" s="2" t="s">
        <v>66</v>
      </c>
      <c r="J1575" s="2" t="s">
        <v>24</v>
      </c>
      <c r="K1575">
        <v>948.2</v>
      </c>
      <c r="L1575">
        <v>90056.03</v>
      </c>
      <c r="M1575">
        <v>9497.58</v>
      </c>
      <c r="N1575" s="2" t="s">
        <v>240</v>
      </c>
      <c r="O1575" s="2" t="s">
        <v>241</v>
      </c>
      <c r="P1575" s="2" t="s">
        <v>3039</v>
      </c>
      <c r="Q1575" s="2" t="s">
        <v>3040</v>
      </c>
      <c r="R1575" s="2" t="s">
        <v>29</v>
      </c>
      <c r="S1575" s="2" t="s">
        <v>30</v>
      </c>
    </row>
    <row r="1576" spans="1:19">
      <c r="A1576" s="1">
        <v>44593</v>
      </c>
      <c r="B1576" s="1">
        <v>44593</v>
      </c>
      <c r="C1576">
        <v>2022</v>
      </c>
      <c r="D1576">
        <v>2</v>
      </c>
      <c r="E1576" s="2" t="s">
        <v>244</v>
      </c>
      <c r="F1576" s="2" t="s">
        <v>245</v>
      </c>
      <c r="G1576" s="2" t="s">
        <v>21</v>
      </c>
      <c r="H1576" s="2" t="s">
        <v>22</v>
      </c>
      <c r="I1576" s="2" t="s">
        <v>23</v>
      </c>
      <c r="J1576" s="2" t="s">
        <v>24</v>
      </c>
      <c r="K1576">
        <v>3632.58</v>
      </c>
      <c r="L1576">
        <v>2477058.56</v>
      </c>
      <c r="M1576">
        <v>68190.06</v>
      </c>
      <c r="N1576" s="2" t="s">
        <v>246</v>
      </c>
      <c r="O1576" s="2" t="s">
        <v>247</v>
      </c>
      <c r="P1576" s="2" t="s">
        <v>3041</v>
      </c>
      <c r="Q1576" s="2" t="s">
        <v>3042</v>
      </c>
      <c r="R1576" s="2" t="s">
        <v>29</v>
      </c>
      <c r="S1576" s="2" t="s">
        <v>30</v>
      </c>
    </row>
    <row r="1577" spans="1:19">
      <c r="A1577" s="1">
        <v>44593</v>
      </c>
      <c r="B1577" s="1">
        <v>44593</v>
      </c>
      <c r="C1577">
        <v>2022</v>
      </c>
      <c r="D1577">
        <v>2</v>
      </c>
      <c r="E1577" s="2" t="s">
        <v>250</v>
      </c>
      <c r="F1577" s="2" t="s">
        <v>251</v>
      </c>
      <c r="G1577" s="2" t="s">
        <v>21</v>
      </c>
      <c r="H1577" s="2" t="s">
        <v>22</v>
      </c>
      <c r="I1577" s="2" t="s">
        <v>66</v>
      </c>
      <c r="J1577" s="2" t="s">
        <v>24</v>
      </c>
      <c r="K1577">
        <v>125.87</v>
      </c>
      <c r="L1577">
        <v>183.83</v>
      </c>
      <c r="M1577">
        <v>146.05000000000001</v>
      </c>
      <c r="N1577" s="2" t="s">
        <v>252</v>
      </c>
      <c r="O1577" s="2" t="s">
        <v>253</v>
      </c>
      <c r="P1577" s="2" t="s">
        <v>3043</v>
      </c>
      <c r="Q1577" s="2" t="s">
        <v>3044</v>
      </c>
      <c r="R1577" s="2" t="s">
        <v>29</v>
      </c>
      <c r="S1577" s="2" t="s">
        <v>30</v>
      </c>
    </row>
    <row r="1578" spans="1:19">
      <c r="A1578" s="1">
        <v>44593</v>
      </c>
      <c r="B1578" s="1">
        <v>44593</v>
      </c>
      <c r="C1578">
        <v>2022</v>
      </c>
      <c r="D1578">
        <v>2</v>
      </c>
      <c r="E1578" s="2" t="s">
        <v>256</v>
      </c>
      <c r="F1578" s="2" t="s">
        <v>257</v>
      </c>
      <c r="G1578" s="2" t="s">
        <v>21</v>
      </c>
      <c r="H1578" s="2" t="s">
        <v>22</v>
      </c>
      <c r="I1578" s="2" t="s">
        <v>258</v>
      </c>
      <c r="J1578" s="2" t="s">
        <v>24</v>
      </c>
      <c r="K1578">
        <v>581.98</v>
      </c>
      <c r="L1578">
        <v>615320.85</v>
      </c>
      <c r="M1578">
        <v>105728.87</v>
      </c>
      <c r="N1578" s="2" t="s">
        <v>259</v>
      </c>
      <c r="O1578" s="2" t="s">
        <v>260</v>
      </c>
      <c r="P1578" s="2" t="s">
        <v>3045</v>
      </c>
      <c r="Q1578" s="2" t="s">
        <v>3046</v>
      </c>
      <c r="R1578" s="2" t="s">
        <v>29</v>
      </c>
      <c r="S1578" s="2" t="s">
        <v>30</v>
      </c>
    </row>
    <row r="1579" spans="1:19">
      <c r="A1579" s="1">
        <v>44593</v>
      </c>
      <c r="B1579" s="1">
        <v>44593</v>
      </c>
      <c r="C1579">
        <v>2022</v>
      </c>
      <c r="D1579">
        <v>2</v>
      </c>
      <c r="E1579" s="2" t="s">
        <v>263</v>
      </c>
      <c r="F1579" s="2" t="s">
        <v>264</v>
      </c>
      <c r="G1579" s="2" t="s">
        <v>21</v>
      </c>
      <c r="H1579" s="2" t="s">
        <v>22</v>
      </c>
      <c r="I1579" s="2" t="s">
        <v>258</v>
      </c>
      <c r="J1579" s="2" t="s">
        <v>24</v>
      </c>
      <c r="K1579">
        <v>0</v>
      </c>
      <c r="L1579">
        <v>0</v>
      </c>
      <c r="N1579" s="2" t="s">
        <v>265</v>
      </c>
      <c r="O1579" s="2" t="s">
        <v>266</v>
      </c>
      <c r="P1579" s="2" t="s">
        <v>639</v>
      </c>
      <c r="Q1579" s="2" t="s">
        <v>639</v>
      </c>
      <c r="R1579" s="2" t="s">
        <v>29</v>
      </c>
      <c r="S1579" s="2" t="s">
        <v>30</v>
      </c>
    </row>
    <row r="1580" spans="1:19">
      <c r="A1580" s="1">
        <v>44593</v>
      </c>
      <c r="B1580" s="1">
        <v>44593</v>
      </c>
      <c r="C1580">
        <v>2022</v>
      </c>
      <c r="D1580">
        <v>2</v>
      </c>
      <c r="E1580" s="2" t="s">
        <v>269</v>
      </c>
      <c r="F1580" s="2" t="s">
        <v>270</v>
      </c>
      <c r="G1580" s="2" t="s">
        <v>21</v>
      </c>
      <c r="H1580" s="2" t="s">
        <v>22</v>
      </c>
      <c r="I1580" s="2" t="s">
        <v>258</v>
      </c>
      <c r="J1580" s="2" t="s">
        <v>59</v>
      </c>
      <c r="K1580">
        <v>581.98</v>
      </c>
      <c r="L1580">
        <v>615320.85</v>
      </c>
      <c r="M1580">
        <v>105728.87</v>
      </c>
      <c r="N1580" s="2" t="s">
        <v>271</v>
      </c>
      <c r="O1580" s="2" t="s">
        <v>272</v>
      </c>
      <c r="P1580" s="2" t="s">
        <v>3045</v>
      </c>
      <c r="Q1580" s="2" t="s">
        <v>3046</v>
      </c>
      <c r="R1580" s="2" t="s">
        <v>29</v>
      </c>
      <c r="S1580" s="2" t="s">
        <v>30</v>
      </c>
    </row>
    <row r="1581" spans="1:19">
      <c r="A1581" s="1">
        <v>44593</v>
      </c>
      <c r="B1581" s="1">
        <v>44593</v>
      </c>
      <c r="C1581">
        <v>2022</v>
      </c>
      <c r="D1581">
        <v>2</v>
      </c>
      <c r="E1581" s="2" t="s">
        <v>275</v>
      </c>
      <c r="F1581" s="2" t="s">
        <v>276</v>
      </c>
      <c r="G1581" s="2" t="s">
        <v>39</v>
      </c>
      <c r="H1581" s="2" t="s">
        <v>22</v>
      </c>
      <c r="I1581" s="2" t="s">
        <v>40</v>
      </c>
      <c r="J1581" s="2" t="s">
        <v>24</v>
      </c>
      <c r="K1581">
        <v>2.15</v>
      </c>
      <c r="L1581">
        <v>20.260000000000002</v>
      </c>
      <c r="M1581">
        <v>942.33</v>
      </c>
      <c r="N1581" s="2" t="s">
        <v>277</v>
      </c>
      <c r="O1581" s="2" t="s">
        <v>278</v>
      </c>
      <c r="P1581" s="2" t="s">
        <v>3047</v>
      </c>
      <c r="Q1581" s="2" t="s">
        <v>3048</v>
      </c>
      <c r="R1581" s="2" t="s">
        <v>29</v>
      </c>
      <c r="S1581" s="2" t="s">
        <v>30</v>
      </c>
    </row>
    <row r="1582" spans="1:19">
      <c r="A1582" s="1">
        <v>44593</v>
      </c>
      <c r="B1582" s="1">
        <v>44593</v>
      </c>
      <c r="C1582">
        <v>2022</v>
      </c>
      <c r="D1582">
        <v>2</v>
      </c>
      <c r="E1582" s="2" t="s">
        <v>281</v>
      </c>
      <c r="F1582" s="2" t="s">
        <v>282</v>
      </c>
      <c r="G1582" s="2" t="s">
        <v>39</v>
      </c>
      <c r="H1582" s="2" t="s">
        <v>22</v>
      </c>
      <c r="I1582" s="2" t="s">
        <v>40</v>
      </c>
      <c r="J1582" s="2" t="s">
        <v>24</v>
      </c>
      <c r="K1582">
        <v>0.04</v>
      </c>
      <c r="L1582">
        <v>0.2</v>
      </c>
      <c r="M1582">
        <v>500</v>
      </c>
      <c r="N1582" s="2" t="s">
        <v>283</v>
      </c>
      <c r="O1582" s="2" t="s">
        <v>284</v>
      </c>
      <c r="P1582" s="2" t="s">
        <v>115</v>
      </c>
      <c r="Q1582" s="2" t="s">
        <v>1142</v>
      </c>
      <c r="R1582" s="2" t="s">
        <v>29</v>
      </c>
      <c r="S1582" s="2" t="s">
        <v>30</v>
      </c>
    </row>
    <row r="1583" spans="1:19">
      <c r="A1583" s="1">
        <v>44593</v>
      </c>
      <c r="B1583" s="1">
        <v>44593</v>
      </c>
      <c r="C1583">
        <v>2022</v>
      </c>
      <c r="D1583">
        <v>2</v>
      </c>
      <c r="E1583" s="2" t="s">
        <v>287</v>
      </c>
      <c r="F1583" s="2" t="s">
        <v>288</v>
      </c>
      <c r="G1583" s="2" t="s">
        <v>39</v>
      </c>
      <c r="H1583" s="2" t="s">
        <v>22</v>
      </c>
      <c r="I1583" s="2" t="s">
        <v>40</v>
      </c>
      <c r="J1583" s="2" t="s">
        <v>59</v>
      </c>
      <c r="K1583">
        <v>2.19</v>
      </c>
      <c r="L1583">
        <v>20.46</v>
      </c>
      <c r="M1583">
        <v>934.25</v>
      </c>
      <c r="N1583" s="2" t="s">
        <v>289</v>
      </c>
      <c r="O1583" s="2" t="s">
        <v>290</v>
      </c>
      <c r="P1583" s="2" t="s">
        <v>3049</v>
      </c>
      <c r="Q1583" s="2" t="s">
        <v>3050</v>
      </c>
      <c r="R1583" s="2" t="s">
        <v>29</v>
      </c>
      <c r="S1583" s="2" t="s">
        <v>30</v>
      </c>
    </row>
    <row r="1584" spans="1:19">
      <c r="A1584" s="1">
        <v>44593</v>
      </c>
      <c r="B1584" s="1">
        <v>44593</v>
      </c>
      <c r="C1584">
        <v>2022</v>
      </c>
      <c r="D1584">
        <v>2</v>
      </c>
      <c r="E1584" s="2" t="s">
        <v>293</v>
      </c>
      <c r="F1584" s="2" t="s">
        <v>294</v>
      </c>
      <c r="G1584" s="2" t="s">
        <v>21</v>
      </c>
      <c r="H1584" s="2" t="s">
        <v>22</v>
      </c>
      <c r="I1584" s="2" t="s">
        <v>295</v>
      </c>
      <c r="J1584" s="2" t="s">
        <v>24</v>
      </c>
      <c r="K1584">
        <v>1038.46</v>
      </c>
      <c r="L1584">
        <v>2303.73</v>
      </c>
      <c r="M1584">
        <v>221.84</v>
      </c>
      <c r="N1584" s="2" t="s">
        <v>296</v>
      </c>
      <c r="O1584" s="2" t="s">
        <v>297</v>
      </c>
      <c r="P1584" s="2" t="s">
        <v>3051</v>
      </c>
      <c r="Q1584" s="2" t="s">
        <v>3052</v>
      </c>
      <c r="R1584" s="2" t="s">
        <v>29</v>
      </c>
      <c r="S1584" s="2" t="s">
        <v>30</v>
      </c>
    </row>
    <row r="1585" spans="1:19">
      <c r="A1585" s="1">
        <v>44593</v>
      </c>
      <c r="B1585" s="1">
        <v>44593</v>
      </c>
      <c r="C1585">
        <v>2022</v>
      </c>
      <c r="D1585">
        <v>2</v>
      </c>
      <c r="E1585" s="2" t="s">
        <v>300</v>
      </c>
      <c r="F1585" s="2" t="s">
        <v>301</v>
      </c>
      <c r="G1585" s="2" t="s">
        <v>21</v>
      </c>
      <c r="H1585" s="2" t="s">
        <v>22</v>
      </c>
      <c r="I1585" s="2" t="s">
        <v>295</v>
      </c>
      <c r="J1585" s="2" t="s">
        <v>24</v>
      </c>
      <c r="K1585">
        <v>126.61</v>
      </c>
      <c r="L1585">
        <v>3360.17</v>
      </c>
      <c r="M1585">
        <v>2653.95</v>
      </c>
      <c r="N1585" s="2" t="s">
        <v>302</v>
      </c>
      <c r="O1585" s="2" t="s">
        <v>303</v>
      </c>
      <c r="P1585" s="2" t="s">
        <v>3053</v>
      </c>
      <c r="Q1585" s="2" t="s">
        <v>3054</v>
      </c>
      <c r="R1585" s="2" t="s">
        <v>29</v>
      </c>
      <c r="S1585" s="2" t="s">
        <v>30</v>
      </c>
    </row>
    <row r="1586" spans="1:19">
      <c r="A1586" s="1">
        <v>44593</v>
      </c>
      <c r="B1586" s="1">
        <v>44593</v>
      </c>
      <c r="C1586">
        <v>2022</v>
      </c>
      <c r="D1586">
        <v>2</v>
      </c>
      <c r="E1586" s="2" t="s">
        <v>306</v>
      </c>
      <c r="F1586" s="2" t="s">
        <v>307</v>
      </c>
      <c r="G1586" s="2" t="s">
        <v>21</v>
      </c>
      <c r="H1586" s="2" t="s">
        <v>22</v>
      </c>
      <c r="I1586" s="2" t="s">
        <v>295</v>
      </c>
      <c r="J1586" s="2" t="s">
        <v>101</v>
      </c>
      <c r="K1586">
        <v>1165.07</v>
      </c>
      <c r="L1586">
        <v>5663.9</v>
      </c>
      <c r="M1586">
        <v>486.14</v>
      </c>
      <c r="N1586" s="2" t="s">
        <v>308</v>
      </c>
      <c r="O1586" s="2" t="s">
        <v>309</v>
      </c>
      <c r="P1586" s="2" t="s">
        <v>3055</v>
      </c>
      <c r="Q1586" s="2" t="s">
        <v>3056</v>
      </c>
      <c r="R1586" s="2" t="s">
        <v>29</v>
      </c>
      <c r="S1586" s="2" t="s">
        <v>30</v>
      </c>
    </row>
    <row r="1587" spans="1:19">
      <c r="A1587" s="1">
        <v>44593</v>
      </c>
      <c r="B1587" s="1">
        <v>44593</v>
      </c>
      <c r="C1587">
        <v>2022</v>
      </c>
      <c r="D1587">
        <v>2</v>
      </c>
      <c r="E1587" s="2" t="s">
        <v>312</v>
      </c>
      <c r="F1587" s="2" t="s">
        <v>313</v>
      </c>
      <c r="G1587" s="2" t="s">
        <v>21</v>
      </c>
      <c r="H1587" s="2" t="s">
        <v>22</v>
      </c>
      <c r="I1587" s="2" t="s">
        <v>295</v>
      </c>
      <c r="J1587" s="2" t="s">
        <v>59</v>
      </c>
      <c r="K1587">
        <v>5551.16</v>
      </c>
      <c r="L1587">
        <v>22922.959999999999</v>
      </c>
      <c r="M1587">
        <v>412.94</v>
      </c>
      <c r="N1587" s="2" t="s">
        <v>314</v>
      </c>
      <c r="O1587" s="2" t="s">
        <v>315</v>
      </c>
      <c r="P1587" s="2" t="s">
        <v>3057</v>
      </c>
      <c r="Q1587" s="2" t="s">
        <v>3058</v>
      </c>
      <c r="R1587" s="2" t="s">
        <v>29</v>
      </c>
      <c r="S1587" s="2" t="s">
        <v>30</v>
      </c>
    </row>
    <row r="1588" spans="1:19">
      <c r="A1588" s="1">
        <v>44593</v>
      </c>
      <c r="B1588" s="1">
        <v>44593</v>
      </c>
      <c r="C1588">
        <v>2022</v>
      </c>
      <c r="D1588">
        <v>2</v>
      </c>
      <c r="E1588" s="2" t="s">
        <v>318</v>
      </c>
      <c r="F1588" s="2" t="s">
        <v>319</v>
      </c>
      <c r="G1588" s="2" t="s">
        <v>21</v>
      </c>
      <c r="H1588" s="2" t="s">
        <v>22</v>
      </c>
      <c r="I1588" s="2" t="s">
        <v>295</v>
      </c>
      <c r="J1588" s="2" t="s">
        <v>24</v>
      </c>
      <c r="K1588">
        <v>4386.09</v>
      </c>
      <c r="L1588">
        <v>17259.060000000001</v>
      </c>
      <c r="M1588">
        <v>393.5</v>
      </c>
      <c r="N1588" s="2" t="s">
        <v>320</v>
      </c>
      <c r="O1588" s="2" t="s">
        <v>321</v>
      </c>
      <c r="P1588" s="2" t="s">
        <v>3059</v>
      </c>
      <c r="Q1588" s="2" t="s">
        <v>3060</v>
      </c>
      <c r="R1588" s="2" t="s">
        <v>29</v>
      </c>
      <c r="S1588" s="2" t="s">
        <v>30</v>
      </c>
    </row>
    <row r="1589" spans="1:19">
      <c r="A1589" s="1">
        <v>44593</v>
      </c>
      <c r="B1589" s="1">
        <v>44593</v>
      </c>
      <c r="C1589">
        <v>2022</v>
      </c>
      <c r="D1589">
        <v>2</v>
      </c>
      <c r="E1589" s="2" t="s">
        <v>324</v>
      </c>
      <c r="F1589" s="2" t="s">
        <v>325</v>
      </c>
      <c r="G1589" s="2" t="s">
        <v>21</v>
      </c>
      <c r="H1589" s="2" t="s">
        <v>22</v>
      </c>
      <c r="I1589" s="2" t="s">
        <v>23</v>
      </c>
      <c r="J1589" s="2" t="s">
        <v>59</v>
      </c>
      <c r="K1589">
        <v>55305.52</v>
      </c>
      <c r="L1589">
        <v>3806483.72</v>
      </c>
      <c r="M1589">
        <v>6882.65</v>
      </c>
      <c r="N1589" s="2" t="s">
        <v>326</v>
      </c>
      <c r="O1589" s="2" t="s">
        <v>327</v>
      </c>
      <c r="P1589" s="2" t="s">
        <v>3061</v>
      </c>
      <c r="Q1589" s="2" t="s">
        <v>3062</v>
      </c>
      <c r="R1589" s="2" t="s">
        <v>29</v>
      </c>
      <c r="S1589" s="2" t="s">
        <v>30</v>
      </c>
    </row>
    <row r="1590" spans="1:19">
      <c r="A1590" s="1">
        <v>44593</v>
      </c>
      <c r="B1590" s="1">
        <v>44593</v>
      </c>
      <c r="C1590">
        <v>2022</v>
      </c>
      <c r="D1590">
        <v>2</v>
      </c>
      <c r="E1590" s="2" t="s">
        <v>330</v>
      </c>
      <c r="F1590" s="2" t="s">
        <v>331</v>
      </c>
      <c r="G1590" s="2" t="s">
        <v>21</v>
      </c>
      <c r="H1590" s="2" t="s">
        <v>332</v>
      </c>
      <c r="I1590" s="2" t="s">
        <v>333</v>
      </c>
      <c r="J1590" s="2" t="s">
        <v>24</v>
      </c>
      <c r="K1590">
        <v>179.15</v>
      </c>
      <c r="L1590">
        <v>9277355.75</v>
      </c>
      <c r="M1590">
        <v>5178540.75</v>
      </c>
      <c r="N1590" s="2" t="s">
        <v>334</v>
      </c>
      <c r="O1590" s="2" t="s">
        <v>335</v>
      </c>
      <c r="P1590" s="2" t="s">
        <v>3063</v>
      </c>
      <c r="Q1590" s="2" t="s">
        <v>3064</v>
      </c>
      <c r="R1590" s="2" t="s">
        <v>29</v>
      </c>
      <c r="S1590" s="2" t="s">
        <v>30</v>
      </c>
    </row>
    <row r="1591" spans="1:19">
      <c r="A1591" s="1">
        <v>44593</v>
      </c>
      <c r="B1591" s="1">
        <v>44593</v>
      </c>
      <c r="C1591">
        <v>2022</v>
      </c>
      <c r="D1591">
        <v>2</v>
      </c>
      <c r="E1591" s="2" t="s">
        <v>338</v>
      </c>
      <c r="F1591" s="2" t="s">
        <v>339</v>
      </c>
      <c r="G1591" s="2" t="s">
        <v>21</v>
      </c>
      <c r="H1591" s="2" t="s">
        <v>332</v>
      </c>
      <c r="I1591" s="2" t="s">
        <v>333</v>
      </c>
      <c r="J1591" s="2" t="s">
        <v>24</v>
      </c>
      <c r="K1591">
        <v>1.1299999999999999</v>
      </c>
      <c r="L1591">
        <v>1047262.06</v>
      </c>
      <c r="M1591">
        <v>92678058.409999996</v>
      </c>
      <c r="N1591" s="2" t="s">
        <v>340</v>
      </c>
      <c r="O1591" s="2" t="s">
        <v>341</v>
      </c>
      <c r="P1591" s="2" t="s">
        <v>3065</v>
      </c>
      <c r="Q1591" s="2" t="s">
        <v>3066</v>
      </c>
      <c r="R1591" s="2" t="s">
        <v>29</v>
      </c>
      <c r="S1591" s="2" t="s">
        <v>30</v>
      </c>
    </row>
    <row r="1592" spans="1:19">
      <c r="A1592" s="1">
        <v>44593</v>
      </c>
      <c r="B1592" s="1">
        <v>44593</v>
      </c>
      <c r="C1592">
        <v>2022</v>
      </c>
      <c r="D1592">
        <v>2</v>
      </c>
      <c r="E1592" s="2" t="s">
        <v>344</v>
      </c>
      <c r="F1592" s="2" t="s">
        <v>345</v>
      </c>
      <c r="G1592" s="2" t="s">
        <v>21</v>
      </c>
      <c r="H1592" s="2" t="s">
        <v>332</v>
      </c>
      <c r="I1592" s="2" t="s">
        <v>333</v>
      </c>
      <c r="J1592" s="2" t="s">
        <v>59</v>
      </c>
      <c r="K1592">
        <v>180.29</v>
      </c>
      <c r="L1592">
        <v>10324617.82</v>
      </c>
      <c r="M1592">
        <v>5726672.4800000004</v>
      </c>
      <c r="N1592" s="2" t="s">
        <v>346</v>
      </c>
      <c r="O1592" s="2" t="s">
        <v>347</v>
      </c>
      <c r="P1592" s="2" t="s">
        <v>3067</v>
      </c>
      <c r="Q1592" s="2" t="s">
        <v>3068</v>
      </c>
      <c r="R1592" s="2" t="s">
        <v>29</v>
      </c>
      <c r="S1592" s="2" t="s">
        <v>30</v>
      </c>
    </row>
    <row r="1593" spans="1:19">
      <c r="A1593" s="1">
        <v>44593</v>
      </c>
      <c r="B1593" s="1">
        <v>44593</v>
      </c>
      <c r="C1593">
        <v>2022</v>
      </c>
      <c r="D1593">
        <v>2</v>
      </c>
      <c r="E1593" s="2" t="s">
        <v>350</v>
      </c>
      <c r="F1593" s="2" t="s">
        <v>351</v>
      </c>
      <c r="G1593" s="2" t="s">
        <v>21</v>
      </c>
      <c r="H1593" s="2" t="s">
        <v>22</v>
      </c>
      <c r="I1593" s="2" t="s">
        <v>352</v>
      </c>
      <c r="J1593" s="2" t="s">
        <v>353</v>
      </c>
      <c r="K1593">
        <v>66966.73</v>
      </c>
      <c r="L1593">
        <v>14387881.720000001</v>
      </c>
      <c r="M1593">
        <v>21485.119999999999</v>
      </c>
      <c r="N1593" s="2" t="s">
        <v>354</v>
      </c>
      <c r="O1593" s="2" t="s">
        <v>355</v>
      </c>
      <c r="P1593" s="2" t="s">
        <v>3069</v>
      </c>
      <c r="Q1593" s="2" t="s">
        <v>3070</v>
      </c>
      <c r="R1593" s="2" t="s">
        <v>29</v>
      </c>
      <c r="S1593" s="2" t="s">
        <v>30</v>
      </c>
    </row>
    <row r="1594" spans="1:19">
      <c r="A1594" s="1">
        <v>44593</v>
      </c>
      <c r="B1594" s="1">
        <v>44593</v>
      </c>
      <c r="C1594">
        <v>2022</v>
      </c>
      <c r="D1594">
        <v>2</v>
      </c>
      <c r="E1594" s="2" t="s">
        <v>358</v>
      </c>
      <c r="F1594" s="2" t="s">
        <v>359</v>
      </c>
      <c r="G1594" s="2" t="s">
        <v>21</v>
      </c>
      <c r="H1594" s="2" t="s">
        <v>22</v>
      </c>
      <c r="I1594" s="2" t="s">
        <v>352</v>
      </c>
      <c r="J1594" s="2" t="s">
        <v>353</v>
      </c>
      <c r="K1594">
        <v>67548.710000000006</v>
      </c>
      <c r="L1594">
        <v>15003202.57</v>
      </c>
      <c r="M1594">
        <v>22210.94</v>
      </c>
      <c r="N1594" s="2" t="s">
        <v>360</v>
      </c>
      <c r="O1594" s="2" t="s">
        <v>361</v>
      </c>
      <c r="P1594" s="2" t="s">
        <v>3071</v>
      </c>
      <c r="Q1594" s="2" t="s">
        <v>3072</v>
      </c>
      <c r="R1594" s="2" t="s">
        <v>29</v>
      </c>
      <c r="S1594" s="2" t="s">
        <v>30</v>
      </c>
    </row>
    <row r="1595" spans="1:19">
      <c r="A1595" s="1">
        <v>44593</v>
      </c>
      <c r="B1595" s="1">
        <v>44593</v>
      </c>
      <c r="C1595">
        <v>2022</v>
      </c>
      <c r="D1595">
        <v>2</v>
      </c>
      <c r="E1595" s="2" t="s">
        <v>364</v>
      </c>
      <c r="F1595" s="2" t="s">
        <v>365</v>
      </c>
      <c r="G1595" s="2" t="s">
        <v>21</v>
      </c>
      <c r="H1595" s="2" t="s">
        <v>22</v>
      </c>
      <c r="I1595" s="2" t="s">
        <v>352</v>
      </c>
      <c r="J1595" s="2" t="s">
        <v>353</v>
      </c>
      <c r="K1595">
        <v>67368.429999999993</v>
      </c>
      <c r="L1595">
        <v>4678584.76</v>
      </c>
      <c r="M1595">
        <v>6944.77</v>
      </c>
      <c r="N1595" s="2" t="s">
        <v>366</v>
      </c>
      <c r="O1595" s="2" t="s">
        <v>367</v>
      </c>
      <c r="P1595" s="2" t="s">
        <v>3073</v>
      </c>
      <c r="Q1595" s="2" t="s">
        <v>3074</v>
      </c>
      <c r="R1595" s="2" t="s">
        <v>29</v>
      </c>
      <c r="S1595" s="2" t="s">
        <v>30</v>
      </c>
    </row>
    <row r="1596" spans="1:19">
      <c r="A1596" s="1">
        <v>44593</v>
      </c>
      <c r="B1596" s="1">
        <v>44593</v>
      </c>
      <c r="C1596">
        <v>2022</v>
      </c>
      <c r="D1596">
        <v>2</v>
      </c>
      <c r="E1596" s="2" t="s">
        <v>370</v>
      </c>
      <c r="F1596" s="2" t="s">
        <v>371</v>
      </c>
      <c r="G1596" s="2" t="s">
        <v>21</v>
      </c>
      <c r="H1596" s="2" t="s">
        <v>22</v>
      </c>
      <c r="I1596" s="2" t="s">
        <v>23</v>
      </c>
      <c r="J1596" s="2" t="s">
        <v>24</v>
      </c>
      <c r="K1596">
        <v>45274.89</v>
      </c>
      <c r="L1596">
        <v>826843.02</v>
      </c>
      <c r="M1596">
        <v>1826.27</v>
      </c>
      <c r="N1596" s="2" t="s">
        <v>372</v>
      </c>
      <c r="O1596" s="2" t="s">
        <v>373</v>
      </c>
      <c r="P1596" s="2" t="s">
        <v>3075</v>
      </c>
      <c r="Q1596" s="2" t="s">
        <v>3076</v>
      </c>
      <c r="R1596" s="2" t="s">
        <v>29</v>
      </c>
      <c r="S1596" s="2" t="s">
        <v>30</v>
      </c>
    </row>
    <row r="1597" spans="1:19">
      <c r="A1597" s="1">
        <v>44593</v>
      </c>
      <c r="B1597" s="1">
        <v>44593</v>
      </c>
      <c r="C1597">
        <v>2022</v>
      </c>
      <c r="D1597">
        <v>2</v>
      </c>
      <c r="E1597" s="2" t="s">
        <v>376</v>
      </c>
      <c r="F1597" s="2" t="s">
        <v>377</v>
      </c>
      <c r="G1597" s="2" t="s">
        <v>21</v>
      </c>
      <c r="H1597" s="2" t="s">
        <v>22</v>
      </c>
      <c r="I1597" s="2" t="s">
        <v>23</v>
      </c>
      <c r="J1597" s="2" t="s">
        <v>378</v>
      </c>
      <c r="K1597">
        <v>0.68</v>
      </c>
      <c r="L1597">
        <v>10.3</v>
      </c>
      <c r="M1597">
        <v>1514.71</v>
      </c>
      <c r="N1597" s="2" t="s">
        <v>379</v>
      </c>
      <c r="O1597" s="2" t="s">
        <v>380</v>
      </c>
      <c r="P1597" s="2" t="s">
        <v>808</v>
      </c>
      <c r="Q1597" s="2" t="s">
        <v>3077</v>
      </c>
      <c r="R1597" s="2" t="s">
        <v>29</v>
      </c>
      <c r="S1597" s="2" t="s">
        <v>30</v>
      </c>
    </row>
    <row r="1598" spans="1:19">
      <c r="A1598" s="1">
        <v>44621</v>
      </c>
      <c r="B1598" s="1">
        <v>44621</v>
      </c>
      <c r="C1598">
        <v>2022</v>
      </c>
      <c r="D1598">
        <v>3</v>
      </c>
      <c r="E1598" s="2" t="s">
        <v>19</v>
      </c>
      <c r="F1598" s="2" t="s">
        <v>20</v>
      </c>
      <c r="G1598" s="2" t="s">
        <v>21</v>
      </c>
      <c r="H1598" s="2" t="s">
        <v>22</v>
      </c>
      <c r="I1598" s="2" t="s">
        <v>23</v>
      </c>
      <c r="J1598" s="2" t="s">
        <v>24</v>
      </c>
      <c r="K1598">
        <v>0.56000000000000005</v>
      </c>
      <c r="L1598">
        <v>34.85</v>
      </c>
      <c r="M1598">
        <v>6223.21</v>
      </c>
      <c r="N1598" s="2" t="s">
        <v>25</v>
      </c>
      <c r="O1598" s="2" t="s">
        <v>26</v>
      </c>
      <c r="P1598" s="2" t="s">
        <v>930</v>
      </c>
      <c r="Q1598" s="2" t="s">
        <v>3078</v>
      </c>
      <c r="R1598" s="2" t="s">
        <v>29</v>
      </c>
      <c r="S1598" s="2" t="s">
        <v>30</v>
      </c>
    </row>
    <row r="1599" spans="1:19">
      <c r="A1599" s="1">
        <v>44621</v>
      </c>
      <c r="B1599" s="1">
        <v>44621</v>
      </c>
      <c r="C1599">
        <v>2022</v>
      </c>
      <c r="D1599">
        <v>3</v>
      </c>
      <c r="E1599" s="2" t="s">
        <v>31</v>
      </c>
      <c r="F1599" s="2" t="s">
        <v>32</v>
      </c>
      <c r="G1599" s="2" t="s">
        <v>21</v>
      </c>
      <c r="H1599" s="2" t="s">
        <v>22</v>
      </c>
      <c r="I1599" s="2" t="s">
        <v>23</v>
      </c>
      <c r="J1599" s="2" t="s">
        <v>24</v>
      </c>
      <c r="K1599">
        <v>1400.66</v>
      </c>
      <c r="L1599">
        <v>15564.56</v>
      </c>
      <c r="M1599">
        <v>1111.23</v>
      </c>
      <c r="N1599" s="2" t="s">
        <v>33</v>
      </c>
      <c r="O1599" s="2" t="s">
        <v>34</v>
      </c>
      <c r="P1599" s="2" t="s">
        <v>3079</v>
      </c>
      <c r="Q1599" s="2" t="s">
        <v>3080</v>
      </c>
      <c r="R1599" s="2" t="s">
        <v>29</v>
      </c>
      <c r="S1599" s="2" t="s">
        <v>30</v>
      </c>
    </row>
    <row r="1600" spans="1:19">
      <c r="A1600" s="1">
        <v>44621</v>
      </c>
      <c r="B1600" s="1">
        <v>44621</v>
      </c>
      <c r="C1600">
        <v>2022</v>
      </c>
      <c r="D1600">
        <v>3</v>
      </c>
      <c r="E1600" s="2" t="s">
        <v>37</v>
      </c>
      <c r="F1600" s="2" t="s">
        <v>38</v>
      </c>
      <c r="G1600" s="2" t="s">
        <v>39</v>
      </c>
      <c r="H1600" s="2" t="s">
        <v>22</v>
      </c>
      <c r="I1600" s="2" t="s">
        <v>40</v>
      </c>
      <c r="J1600" s="2" t="s">
        <v>24</v>
      </c>
      <c r="K1600">
        <v>6.8</v>
      </c>
      <c r="L1600">
        <v>343.75</v>
      </c>
      <c r="M1600">
        <v>5055.1499999999996</v>
      </c>
      <c r="N1600" s="2" t="s">
        <v>41</v>
      </c>
      <c r="O1600" s="2" t="s">
        <v>42</v>
      </c>
      <c r="P1600" s="2" t="s">
        <v>3081</v>
      </c>
      <c r="Q1600" s="2" t="s">
        <v>3082</v>
      </c>
      <c r="R1600" s="2" t="s">
        <v>29</v>
      </c>
      <c r="S1600" s="2" t="s">
        <v>30</v>
      </c>
    </row>
    <row r="1601" spans="1:19">
      <c r="A1601" s="1">
        <v>44621</v>
      </c>
      <c r="B1601" s="1">
        <v>44621</v>
      </c>
      <c r="C1601">
        <v>2022</v>
      </c>
      <c r="D1601">
        <v>3</v>
      </c>
      <c r="E1601" s="2" t="s">
        <v>45</v>
      </c>
      <c r="F1601" s="2" t="s">
        <v>46</v>
      </c>
      <c r="G1601" s="2" t="s">
        <v>39</v>
      </c>
      <c r="H1601" s="2" t="s">
        <v>22</v>
      </c>
      <c r="I1601" s="2" t="s">
        <v>40</v>
      </c>
      <c r="J1601" s="2" t="s">
        <v>24</v>
      </c>
      <c r="K1601">
        <v>5927.87</v>
      </c>
      <c r="L1601">
        <v>285892.55</v>
      </c>
      <c r="M1601">
        <v>4822.8500000000004</v>
      </c>
      <c r="N1601" s="2" t="s">
        <v>47</v>
      </c>
      <c r="O1601" s="2" t="s">
        <v>48</v>
      </c>
      <c r="P1601" s="2" t="s">
        <v>3083</v>
      </c>
      <c r="Q1601" s="2" t="s">
        <v>3084</v>
      </c>
      <c r="R1601" s="2" t="s">
        <v>29</v>
      </c>
      <c r="S1601" s="2" t="s">
        <v>30</v>
      </c>
    </row>
    <row r="1602" spans="1:19">
      <c r="A1602" s="1">
        <v>44621</v>
      </c>
      <c r="B1602" s="1">
        <v>44621</v>
      </c>
      <c r="C1602">
        <v>2022</v>
      </c>
      <c r="D1602">
        <v>3</v>
      </c>
      <c r="E1602" s="2" t="s">
        <v>51</v>
      </c>
      <c r="F1602" s="2" t="s">
        <v>52</v>
      </c>
      <c r="G1602" s="2" t="s">
        <v>39</v>
      </c>
      <c r="H1602" s="2" t="s">
        <v>22</v>
      </c>
      <c r="I1602" s="2" t="s">
        <v>40</v>
      </c>
      <c r="J1602" s="2" t="s">
        <v>24</v>
      </c>
      <c r="K1602">
        <v>32.15</v>
      </c>
      <c r="L1602">
        <v>1137.1300000000001</v>
      </c>
      <c r="M1602">
        <v>3536.95</v>
      </c>
      <c r="N1602" s="2" t="s">
        <v>53</v>
      </c>
      <c r="O1602" s="2" t="s">
        <v>54</v>
      </c>
      <c r="P1602" s="2" t="s">
        <v>3085</v>
      </c>
      <c r="Q1602" s="2" t="s">
        <v>3086</v>
      </c>
      <c r="R1602" s="2" t="s">
        <v>29</v>
      </c>
      <c r="S1602" s="2" t="s">
        <v>30</v>
      </c>
    </row>
    <row r="1603" spans="1:19">
      <c r="A1603" s="1">
        <v>44621</v>
      </c>
      <c r="B1603" s="1">
        <v>44621</v>
      </c>
      <c r="C1603">
        <v>2022</v>
      </c>
      <c r="D1603">
        <v>3</v>
      </c>
      <c r="E1603" s="2" t="s">
        <v>57</v>
      </c>
      <c r="F1603" s="2" t="s">
        <v>58</v>
      </c>
      <c r="G1603" s="2" t="s">
        <v>39</v>
      </c>
      <c r="H1603" s="2" t="s">
        <v>22</v>
      </c>
      <c r="I1603" s="2" t="s">
        <v>40</v>
      </c>
      <c r="J1603" s="2" t="s">
        <v>59</v>
      </c>
      <c r="K1603">
        <v>5966.82</v>
      </c>
      <c r="L1603">
        <v>287373.44</v>
      </c>
      <c r="M1603">
        <v>4816.1899999999996</v>
      </c>
      <c r="N1603" s="2" t="s">
        <v>60</v>
      </c>
      <c r="O1603" s="2" t="s">
        <v>61</v>
      </c>
      <c r="P1603" s="2" t="s">
        <v>3087</v>
      </c>
      <c r="Q1603" s="2" t="s">
        <v>3088</v>
      </c>
      <c r="R1603" s="2" t="s">
        <v>29</v>
      </c>
      <c r="S1603" s="2" t="s">
        <v>30</v>
      </c>
    </row>
    <row r="1604" spans="1:19">
      <c r="A1604" s="1">
        <v>44621</v>
      </c>
      <c r="B1604" s="1">
        <v>44621</v>
      </c>
      <c r="C1604">
        <v>2022</v>
      </c>
      <c r="D1604">
        <v>3</v>
      </c>
      <c r="E1604" s="2" t="s">
        <v>64</v>
      </c>
      <c r="F1604" s="2" t="s">
        <v>65</v>
      </c>
      <c r="G1604" s="2" t="s">
        <v>21</v>
      </c>
      <c r="H1604" s="2" t="s">
        <v>22</v>
      </c>
      <c r="I1604" s="2" t="s">
        <v>66</v>
      </c>
      <c r="J1604" s="2" t="s">
        <v>24</v>
      </c>
      <c r="K1604">
        <v>19.47</v>
      </c>
      <c r="L1604">
        <v>640.21</v>
      </c>
      <c r="M1604">
        <v>3288.19</v>
      </c>
      <c r="N1604" s="2" t="s">
        <v>67</v>
      </c>
      <c r="O1604" s="2" t="s">
        <v>68</v>
      </c>
      <c r="P1604" s="2" t="s">
        <v>3089</v>
      </c>
      <c r="Q1604" s="2" t="s">
        <v>3090</v>
      </c>
      <c r="R1604" s="2" t="s">
        <v>29</v>
      </c>
      <c r="S1604" s="2" t="s">
        <v>30</v>
      </c>
    </row>
    <row r="1605" spans="1:19">
      <c r="A1605" s="1">
        <v>44621</v>
      </c>
      <c r="B1605" s="1">
        <v>44621</v>
      </c>
      <c r="C1605">
        <v>2022</v>
      </c>
      <c r="D1605">
        <v>3</v>
      </c>
      <c r="E1605" s="2" t="s">
        <v>71</v>
      </c>
      <c r="F1605" s="2" t="s">
        <v>72</v>
      </c>
      <c r="G1605" s="2" t="s">
        <v>21</v>
      </c>
      <c r="H1605" s="2" t="s">
        <v>22</v>
      </c>
      <c r="I1605" s="2" t="s">
        <v>73</v>
      </c>
      <c r="J1605" s="2" t="s">
        <v>59</v>
      </c>
      <c r="K1605">
        <v>5512.7</v>
      </c>
      <c r="L1605">
        <v>171158.6</v>
      </c>
      <c r="M1605">
        <v>3104.81</v>
      </c>
      <c r="N1605" s="2" t="s">
        <v>74</v>
      </c>
      <c r="O1605" s="2" t="s">
        <v>75</v>
      </c>
      <c r="P1605" s="2" t="s">
        <v>3091</v>
      </c>
      <c r="Q1605" s="2" t="s">
        <v>3092</v>
      </c>
      <c r="R1605" s="2" t="s">
        <v>29</v>
      </c>
      <c r="S1605" s="2" t="s">
        <v>30</v>
      </c>
    </row>
    <row r="1606" spans="1:19">
      <c r="A1606" s="1">
        <v>44621</v>
      </c>
      <c r="B1606" s="1">
        <v>44621</v>
      </c>
      <c r="C1606">
        <v>2022</v>
      </c>
      <c r="D1606">
        <v>3</v>
      </c>
      <c r="E1606" s="2" t="s">
        <v>78</v>
      </c>
      <c r="F1606" s="2" t="s">
        <v>79</v>
      </c>
      <c r="G1606" s="2" t="s">
        <v>80</v>
      </c>
      <c r="H1606" s="2" t="s">
        <v>81</v>
      </c>
      <c r="I1606" s="2" t="s">
        <v>82</v>
      </c>
      <c r="J1606" s="2" t="s">
        <v>24</v>
      </c>
      <c r="K1606">
        <v>2.11</v>
      </c>
      <c r="L1606">
        <v>6232193.4699999997</v>
      </c>
      <c r="M1606">
        <v>295364619.43000001</v>
      </c>
      <c r="N1606" s="2" t="s">
        <v>83</v>
      </c>
      <c r="O1606" s="2" t="s">
        <v>84</v>
      </c>
      <c r="P1606" s="2" t="s">
        <v>3093</v>
      </c>
      <c r="Q1606" s="2" t="s">
        <v>3094</v>
      </c>
      <c r="R1606" s="2" t="s">
        <v>29</v>
      </c>
      <c r="S1606" s="2" t="s">
        <v>30</v>
      </c>
    </row>
    <row r="1607" spans="1:19">
      <c r="A1607" s="1">
        <v>44621</v>
      </c>
      <c r="B1607" s="1">
        <v>44621</v>
      </c>
      <c r="C1607">
        <v>2022</v>
      </c>
      <c r="D1607">
        <v>3</v>
      </c>
      <c r="E1607" s="2" t="s">
        <v>87</v>
      </c>
      <c r="F1607" s="2" t="s">
        <v>88</v>
      </c>
      <c r="G1607" s="2" t="s">
        <v>80</v>
      </c>
      <c r="H1607" s="2" t="s">
        <v>81</v>
      </c>
      <c r="I1607" s="2" t="s">
        <v>82</v>
      </c>
      <c r="J1607" s="2" t="s">
        <v>24</v>
      </c>
      <c r="K1607">
        <v>0.46</v>
      </c>
      <c r="L1607">
        <v>660442.85</v>
      </c>
      <c r="M1607">
        <v>143574532.61000001</v>
      </c>
      <c r="N1607" s="2" t="s">
        <v>89</v>
      </c>
      <c r="O1607" s="2" t="s">
        <v>90</v>
      </c>
      <c r="P1607" s="2" t="s">
        <v>2711</v>
      </c>
      <c r="Q1607" s="2" t="s">
        <v>3095</v>
      </c>
      <c r="R1607" s="2" t="s">
        <v>29</v>
      </c>
      <c r="S1607" s="2" t="s">
        <v>30</v>
      </c>
    </row>
    <row r="1608" spans="1:19">
      <c r="A1608" s="1">
        <v>44621</v>
      </c>
      <c r="B1608" s="1">
        <v>44621</v>
      </c>
      <c r="C1608">
        <v>2022</v>
      </c>
      <c r="D1608">
        <v>3</v>
      </c>
      <c r="E1608" s="2" t="s">
        <v>93</v>
      </c>
      <c r="F1608" s="2" t="s">
        <v>94</v>
      </c>
      <c r="G1608" s="2" t="s">
        <v>80</v>
      </c>
      <c r="H1608" s="2" t="s">
        <v>81</v>
      </c>
      <c r="I1608" s="2" t="s">
        <v>82</v>
      </c>
      <c r="J1608" s="2" t="s">
        <v>24</v>
      </c>
      <c r="K1608">
        <v>0.3</v>
      </c>
      <c r="L1608">
        <v>5341281.7</v>
      </c>
      <c r="M1608">
        <v>1780427233.3299999</v>
      </c>
      <c r="N1608" s="2" t="s">
        <v>95</v>
      </c>
      <c r="O1608" s="2" t="s">
        <v>96</v>
      </c>
      <c r="P1608" s="2" t="s">
        <v>2807</v>
      </c>
      <c r="Q1608" s="2" t="s">
        <v>3096</v>
      </c>
      <c r="R1608" s="2" t="s">
        <v>29</v>
      </c>
      <c r="S1608" s="2" t="s">
        <v>30</v>
      </c>
    </row>
    <row r="1609" spans="1:19">
      <c r="A1609" s="1">
        <v>44621</v>
      </c>
      <c r="B1609" s="1">
        <v>44621</v>
      </c>
      <c r="C1609">
        <v>2022</v>
      </c>
      <c r="D1609">
        <v>3</v>
      </c>
      <c r="E1609" s="2" t="s">
        <v>99</v>
      </c>
      <c r="F1609" s="2" t="s">
        <v>100</v>
      </c>
      <c r="G1609" s="2" t="s">
        <v>80</v>
      </c>
      <c r="H1609" s="2" t="s">
        <v>81</v>
      </c>
      <c r="I1609" s="2" t="s">
        <v>82</v>
      </c>
      <c r="J1609" s="2" t="s">
        <v>101</v>
      </c>
      <c r="K1609">
        <v>1.04</v>
      </c>
      <c r="L1609">
        <v>13682353.550000001</v>
      </c>
      <c r="M1609">
        <v>1315610918.27</v>
      </c>
      <c r="N1609" s="2" t="s">
        <v>102</v>
      </c>
      <c r="O1609" s="2" t="s">
        <v>103</v>
      </c>
      <c r="P1609" s="2" t="s">
        <v>405</v>
      </c>
      <c r="Q1609" s="2" t="s">
        <v>3097</v>
      </c>
      <c r="R1609" s="2" t="s">
        <v>29</v>
      </c>
      <c r="S1609" s="2" t="s">
        <v>30</v>
      </c>
    </row>
    <row r="1610" spans="1:19">
      <c r="A1610" s="1">
        <v>44621</v>
      </c>
      <c r="B1610" s="1">
        <v>44621</v>
      </c>
      <c r="C1610">
        <v>2022</v>
      </c>
      <c r="D1610">
        <v>3</v>
      </c>
      <c r="E1610" s="2" t="s">
        <v>106</v>
      </c>
      <c r="F1610" s="2" t="s">
        <v>107</v>
      </c>
      <c r="G1610" s="2" t="s">
        <v>80</v>
      </c>
      <c r="H1610" s="2" t="s">
        <v>81</v>
      </c>
      <c r="I1610" s="2" t="s">
        <v>82</v>
      </c>
      <c r="J1610" s="2" t="s">
        <v>24</v>
      </c>
      <c r="K1610">
        <v>0.27</v>
      </c>
      <c r="L1610">
        <v>7680629</v>
      </c>
      <c r="M1610">
        <v>2844677407.4099998</v>
      </c>
      <c r="N1610" s="2" t="s">
        <v>108</v>
      </c>
      <c r="O1610" s="2" t="s">
        <v>109</v>
      </c>
      <c r="P1610" s="2" t="s">
        <v>980</v>
      </c>
      <c r="Q1610" s="2" t="s">
        <v>3098</v>
      </c>
      <c r="R1610" s="2" t="s">
        <v>29</v>
      </c>
      <c r="S1610" s="2" t="s">
        <v>30</v>
      </c>
    </row>
    <row r="1611" spans="1:19">
      <c r="A1611" s="1">
        <v>44621</v>
      </c>
      <c r="B1611" s="1">
        <v>44621</v>
      </c>
      <c r="C1611">
        <v>2022</v>
      </c>
      <c r="D1611">
        <v>3</v>
      </c>
      <c r="E1611" s="2" t="s">
        <v>111</v>
      </c>
      <c r="F1611" s="2" t="s">
        <v>112</v>
      </c>
      <c r="G1611" s="2" t="s">
        <v>80</v>
      </c>
      <c r="H1611" s="2" t="s">
        <v>81</v>
      </c>
      <c r="I1611" s="2" t="s">
        <v>82</v>
      </c>
      <c r="J1611" s="2" t="s">
        <v>24</v>
      </c>
      <c r="K1611">
        <v>0.11</v>
      </c>
      <c r="L1611">
        <v>674180.38</v>
      </c>
      <c r="M1611">
        <v>612891254.54999995</v>
      </c>
      <c r="N1611" s="2" t="s">
        <v>113</v>
      </c>
      <c r="O1611" s="2" t="s">
        <v>114</v>
      </c>
      <c r="P1611" s="2" t="s">
        <v>1291</v>
      </c>
      <c r="Q1611" s="2" t="s">
        <v>3099</v>
      </c>
      <c r="R1611" s="2" t="s">
        <v>29</v>
      </c>
      <c r="S1611" s="2" t="s">
        <v>30</v>
      </c>
    </row>
    <row r="1612" spans="1:19">
      <c r="A1612" s="1">
        <v>44621</v>
      </c>
      <c r="B1612" s="1">
        <v>44621</v>
      </c>
      <c r="C1612">
        <v>2022</v>
      </c>
      <c r="D1612">
        <v>3</v>
      </c>
      <c r="E1612" s="2" t="s">
        <v>117</v>
      </c>
      <c r="F1612" s="2" t="s">
        <v>118</v>
      </c>
      <c r="G1612" s="2" t="s">
        <v>80</v>
      </c>
      <c r="H1612" s="2" t="s">
        <v>81</v>
      </c>
      <c r="I1612" s="2" t="s">
        <v>82</v>
      </c>
      <c r="J1612" s="2" t="s">
        <v>59</v>
      </c>
      <c r="K1612">
        <v>3.25</v>
      </c>
      <c r="L1612">
        <v>20588727.399999999</v>
      </c>
      <c r="M1612">
        <v>633499304.62</v>
      </c>
      <c r="N1612" s="2" t="s">
        <v>119</v>
      </c>
      <c r="O1612" s="2" t="s">
        <v>120</v>
      </c>
      <c r="P1612" s="2" t="s">
        <v>3100</v>
      </c>
      <c r="Q1612" s="2" t="s">
        <v>3101</v>
      </c>
      <c r="R1612" s="2" t="s">
        <v>29</v>
      </c>
      <c r="S1612" s="2" t="s">
        <v>30</v>
      </c>
    </row>
    <row r="1613" spans="1:19">
      <c r="A1613" s="1">
        <v>44621</v>
      </c>
      <c r="B1613" s="1">
        <v>44621</v>
      </c>
      <c r="C1613">
        <v>2022</v>
      </c>
      <c r="D1613">
        <v>3</v>
      </c>
      <c r="E1613" s="2" t="s">
        <v>123</v>
      </c>
      <c r="F1613" s="2" t="s">
        <v>124</v>
      </c>
      <c r="G1613" s="2" t="s">
        <v>21</v>
      </c>
      <c r="H1613" s="2" t="s">
        <v>22</v>
      </c>
      <c r="I1613" s="2" t="s">
        <v>73</v>
      </c>
      <c r="J1613" s="2" t="s">
        <v>24</v>
      </c>
      <c r="K1613">
        <v>1103.18</v>
      </c>
      <c r="L1613">
        <v>68329.789999999994</v>
      </c>
      <c r="M1613">
        <v>6193.89</v>
      </c>
      <c r="N1613" s="2" t="s">
        <v>125</v>
      </c>
      <c r="O1613" s="2" t="s">
        <v>126</v>
      </c>
      <c r="P1613" s="2" t="s">
        <v>3102</v>
      </c>
      <c r="Q1613" s="2" t="s">
        <v>3103</v>
      </c>
      <c r="R1613" s="2" t="s">
        <v>29</v>
      </c>
      <c r="S1613" s="2" t="s">
        <v>30</v>
      </c>
    </row>
    <row r="1614" spans="1:19">
      <c r="A1614" s="1">
        <v>44621</v>
      </c>
      <c r="B1614" s="1">
        <v>44621</v>
      </c>
      <c r="C1614">
        <v>2022</v>
      </c>
      <c r="D1614">
        <v>3</v>
      </c>
      <c r="E1614" s="2" t="s">
        <v>129</v>
      </c>
      <c r="F1614" s="2" t="s">
        <v>130</v>
      </c>
      <c r="G1614" s="2" t="s">
        <v>21</v>
      </c>
      <c r="H1614" s="2" t="s">
        <v>22</v>
      </c>
      <c r="I1614" s="2" t="s">
        <v>73</v>
      </c>
      <c r="J1614" s="2" t="s">
        <v>24</v>
      </c>
      <c r="K1614">
        <v>1134.33</v>
      </c>
      <c r="L1614">
        <v>38776.949999999997</v>
      </c>
      <c r="M1614">
        <v>3418.49</v>
      </c>
      <c r="N1614" s="2" t="s">
        <v>131</v>
      </c>
      <c r="O1614" s="2" t="s">
        <v>132</v>
      </c>
      <c r="P1614" s="2" t="s">
        <v>3104</v>
      </c>
      <c r="Q1614" s="2" t="s">
        <v>3105</v>
      </c>
      <c r="R1614" s="2" t="s">
        <v>29</v>
      </c>
      <c r="S1614" s="2" t="s">
        <v>30</v>
      </c>
    </row>
    <row r="1615" spans="1:19">
      <c r="A1615" s="1">
        <v>44621</v>
      </c>
      <c r="B1615" s="1">
        <v>44621</v>
      </c>
      <c r="C1615">
        <v>2022</v>
      </c>
      <c r="D1615">
        <v>3</v>
      </c>
      <c r="E1615" s="2" t="s">
        <v>135</v>
      </c>
      <c r="F1615" s="2" t="s">
        <v>136</v>
      </c>
      <c r="G1615" s="2" t="s">
        <v>21</v>
      </c>
      <c r="H1615" s="2" t="s">
        <v>22</v>
      </c>
      <c r="I1615" s="2" t="s">
        <v>73</v>
      </c>
      <c r="J1615" s="2" t="s">
        <v>101</v>
      </c>
      <c r="K1615">
        <v>2237.5100000000002</v>
      </c>
      <c r="L1615">
        <v>107106.74</v>
      </c>
      <c r="M1615">
        <v>4786.87</v>
      </c>
      <c r="N1615" s="2" t="s">
        <v>137</v>
      </c>
      <c r="O1615" s="2" t="s">
        <v>138</v>
      </c>
      <c r="P1615" s="2" t="s">
        <v>3106</v>
      </c>
      <c r="Q1615" s="2" t="s">
        <v>3107</v>
      </c>
      <c r="R1615" s="2" t="s">
        <v>29</v>
      </c>
      <c r="S1615" s="2" t="s">
        <v>30</v>
      </c>
    </row>
    <row r="1616" spans="1:19">
      <c r="A1616" s="1">
        <v>44621</v>
      </c>
      <c r="B1616" s="1">
        <v>44621</v>
      </c>
      <c r="C1616">
        <v>2022</v>
      </c>
      <c r="D1616">
        <v>3</v>
      </c>
      <c r="E1616" s="2" t="s">
        <v>141</v>
      </c>
      <c r="F1616" s="2" t="s">
        <v>142</v>
      </c>
      <c r="G1616" s="2" t="s">
        <v>21</v>
      </c>
      <c r="H1616" s="2" t="s">
        <v>22</v>
      </c>
      <c r="I1616" s="2" t="s">
        <v>73</v>
      </c>
      <c r="J1616" s="2" t="s">
        <v>24</v>
      </c>
      <c r="K1616">
        <v>1196.73</v>
      </c>
      <c r="L1616">
        <v>23281.87</v>
      </c>
      <c r="M1616">
        <v>1945.46</v>
      </c>
      <c r="N1616" s="2" t="s">
        <v>143</v>
      </c>
      <c r="O1616" s="2" t="s">
        <v>144</v>
      </c>
      <c r="P1616" s="2" t="s">
        <v>3108</v>
      </c>
      <c r="Q1616" s="2" t="s">
        <v>3109</v>
      </c>
      <c r="R1616" s="2" t="s">
        <v>29</v>
      </c>
      <c r="S1616" s="2" t="s">
        <v>30</v>
      </c>
    </row>
    <row r="1617" spans="1:19">
      <c r="A1617" s="1">
        <v>44621</v>
      </c>
      <c r="B1617" s="1">
        <v>44621</v>
      </c>
      <c r="C1617">
        <v>2022</v>
      </c>
      <c r="D1617">
        <v>3</v>
      </c>
      <c r="E1617" s="2" t="s">
        <v>147</v>
      </c>
      <c r="F1617" s="2" t="s">
        <v>148</v>
      </c>
      <c r="G1617" s="2" t="s">
        <v>21</v>
      </c>
      <c r="H1617" s="2" t="s">
        <v>22</v>
      </c>
      <c r="I1617" s="2" t="s">
        <v>73</v>
      </c>
      <c r="J1617" s="2" t="s">
        <v>24</v>
      </c>
      <c r="K1617">
        <v>2078.4499999999998</v>
      </c>
      <c r="L1617">
        <v>40770</v>
      </c>
      <c r="M1617">
        <v>1961.56</v>
      </c>
      <c r="N1617" s="2" t="s">
        <v>149</v>
      </c>
      <c r="O1617" s="2" t="s">
        <v>150</v>
      </c>
      <c r="P1617" s="2" t="s">
        <v>3110</v>
      </c>
      <c r="Q1617" s="2" t="s">
        <v>3111</v>
      </c>
      <c r="R1617" s="2" t="s">
        <v>29</v>
      </c>
      <c r="S1617" s="2" t="s">
        <v>30</v>
      </c>
    </row>
    <row r="1618" spans="1:19">
      <c r="A1618" s="1">
        <v>44621</v>
      </c>
      <c r="B1618" s="1">
        <v>44621</v>
      </c>
      <c r="C1618">
        <v>2022</v>
      </c>
      <c r="D1618">
        <v>3</v>
      </c>
      <c r="E1618" s="2" t="s">
        <v>153</v>
      </c>
      <c r="F1618" s="2" t="s">
        <v>154</v>
      </c>
      <c r="G1618" s="2" t="s">
        <v>21</v>
      </c>
      <c r="H1618" s="2" t="s">
        <v>22</v>
      </c>
      <c r="I1618" s="2" t="s">
        <v>73</v>
      </c>
      <c r="J1618" s="2" t="s">
        <v>101</v>
      </c>
      <c r="K1618">
        <v>3275.19</v>
      </c>
      <c r="L1618">
        <v>64051.87</v>
      </c>
      <c r="M1618">
        <v>1955.67</v>
      </c>
      <c r="N1618" s="2" t="s">
        <v>155</v>
      </c>
      <c r="O1618" s="2" t="s">
        <v>156</v>
      </c>
      <c r="P1618" s="2" t="s">
        <v>3112</v>
      </c>
      <c r="Q1618" s="2" t="s">
        <v>3113</v>
      </c>
      <c r="R1618" s="2" t="s">
        <v>29</v>
      </c>
      <c r="S1618" s="2" t="s">
        <v>30</v>
      </c>
    </row>
    <row r="1619" spans="1:19">
      <c r="A1619" s="1">
        <v>44621</v>
      </c>
      <c r="B1619" s="1">
        <v>44621</v>
      </c>
      <c r="C1619">
        <v>2022</v>
      </c>
      <c r="D1619">
        <v>3</v>
      </c>
      <c r="E1619" s="2" t="s">
        <v>159</v>
      </c>
      <c r="F1619" s="2" t="s">
        <v>160</v>
      </c>
      <c r="G1619" s="2" t="s">
        <v>21</v>
      </c>
      <c r="H1619" s="2" t="s">
        <v>22</v>
      </c>
      <c r="I1619" s="2" t="s">
        <v>66</v>
      </c>
      <c r="J1619" s="2" t="s">
        <v>59</v>
      </c>
      <c r="K1619">
        <v>1136.67</v>
      </c>
      <c r="L1619">
        <v>98645.32</v>
      </c>
      <c r="M1619">
        <v>8678.4500000000007</v>
      </c>
      <c r="N1619" s="2" t="s">
        <v>161</v>
      </c>
      <c r="O1619" s="2" t="s">
        <v>162</v>
      </c>
      <c r="P1619" s="2" t="s">
        <v>3114</v>
      </c>
      <c r="Q1619" s="2" t="s">
        <v>3115</v>
      </c>
      <c r="R1619" s="2" t="s">
        <v>29</v>
      </c>
      <c r="S1619" s="2" t="s">
        <v>30</v>
      </c>
    </row>
    <row r="1620" spans="1:19">
      <c r="A1620" s="1">
        <v>44621</v>
      </c>
      <c r="B1620" s="1">
        <v>44621</v>
      </c>
      <c r="C1620">
        <v>2022</v>
      </c>
      <c r="D1620">
        <v>3</v>
      </c>
      <c r="E1620" s="2" t="s">
        <v>165</v>
      </c>
      <c r="F1620" s="2" t="s">
        <v>166</v>
      </c>
      <c r="G1620" s="2" t="s">
        <v>21</v>
      </c>
      <c r="H1620" s="2" t="s">
        <v>22</v>
      </c>
      <c r="I1620" s="2" t="s">
        <v>23</v>
      </c>
      <c r="J1620" s="2" t="s">
        <v>24</v>
      </c>
      <c r="K1620">
        <v>0</v>
      </c>
      <c r="L1620">
        <v>0</v>
      </c>
      <c r="N1620" s="2" t="s">
        <v>167</v>
      </c>
      <c r="O1620" s="2" t="s">
        <v>168</v>
      </c>
      <c r="P1620" s="2" t="s">
        <v>639</v>
      </c>
      <c r="Q1620" s="2" t="s">
        <v>639</v>
      </c>
      <c r="R1620" s="2" t="s">
        <v>29</v>
      </c>
      <c r="S1620" s="2" t="s">
        <v>30</v>
      </c>
    </row>
    <row r="1621" spans="1:19">
      <c r="A1621" s="1">
        <v>44621</v>
      </c>
      <c r="B1621" s="1">
        <v>44621</v>
      </c>
      <c r="C1621">
        <v>2022</v>
      </c>
      <c r="D1621">
        <v>3</v>
      </c>
      <c r="E1621" s="2" t="s">
        <v>171</v>
      </c>
      <c r="F1621" s="2" t="s">
        <v>172</v>
      </c>
      <c r="G1621" s="2" t="s">
        <v>21</v>
      </c>
      <c r="H1621" s="2" t="s">
        <v>22</v>
      </c>
      <c r="I1621" s="2" t="s">
        <v>66</v>
      </c>
      <c r="J1621" s="2" t="s">
        <v>24</v>
      </c>
      <c r="N1621" s="2" t="s">
        <v>173</v>
      </c>
      <c r="O1621" s="2" t="s">
        <v>174</v>
      </c>
      <c r="P1621" s="2" t="s">
        <v>175</v>
      </c>
      <c r="Q1621" s="2" t="s">
        <v>175</v>
      </c>
      <c r="R1621" s="2" t="s">
        <v>640</v>
      </c>
      <c r="S1621" s="2" t="s">
        <v>641</v>
      </c>
    </row>
    <row r="1622" spans="1:19">
      <c r="A1622" s="1">
        <v>44621</v>
      </c>
      <c r="B1622" s="1">
        <v>44621</v>
      </c>
      <c r="C1622">
        <v>2022</v>
      </c>
      <c r="D1622">
        <v>3</v>
      </c>
      <c r="E1622" s="2" t="s">
        <v>177</v>
      </c>
      <c r="F1622" s="2" t="s">
        <v>178</v>
      </c>
      <c r="G1622" s="2" t="s">
        <v>21</v>
      </c>
      <c r="H1622" s="2" t="s">
        <v>22</v>
      </c>
      <c r="I1622" s="2" t="s">
        <v>23</v>
      </c>
      <c r="J1622" s="2" t="s">
        <v>24</v>
      </c>
      <c r="K1622">
        <v>4920.01</v>
      </c>
      <c r="L1622">
        <v>462278.81</v>
      </c>
      <c r="M1622">
        <v>9395.89</v>
      </c>
      <c r="N1622" s="2" t="s">
        <v>179</v>
      </c>
      <c r="O1622" s="2" t="s">
        <v>180</v>
      </c>
      <c r="P1622" s="2" t="s">
        <v>3116</v>
      </c>
      <c r="Q1622" s="2" t="s">
        <v>3117</v>
      </c>
      <c r="R1622" s="2" t="s">
        <v>29</v>
      </c>
      <c r="S1622" s="2" t="s">
        <v>30</v>
      </c>
    </row>
    <row r="1623" spans="1:19">
      <c r="A1623" s="1">
        <v>44621</v>
      </c>
      <c r="B1623" s="1">
        <v>44621</v>
      </c>
      <c r="C1623">
        <v>2022</v>
      </c>
      <c r="D1623">
        <v>3</v>
      </c>
      <c r="E1623" s="2" t="s">
        <v>183</v>
      </c>
      <c r="F1623" s="2" t="s">
        <v>184</v>
      </c>
      <c r="G1623" s="2" t="s">
        <v>185</v>
      </c>
      <c r="H1623" s="2" t="s">
        <v>22</v>
      </c>
      <c r="I1623" s="2" t="s">
        <v>186</v>
      </c>
      <c r="J1623" s="2" t="s">
        <v>24</v>
      </c>
      <c r="K1623">
        <v>2962.02</v>
      </c>
      <c r="L1623">
        <v>3509015.71</v>
      </c>
      <c r="M1623">
        <v>118466.98</v>
      </c>
      <c r="N1623" s="2" t="s">
        <v>187</v>
      </c>
      <c r="O1623" s="2" t="s">
        <v>188</v>
      </c>
      <c r="P1623" s="2" t="s">
        <v>3118</v>
      </c>
      <c r="Q1623" s="2" t="s">
        <v>3119</v>
      </c>
      <c r="R1623" s="2" t="s">
        <v>29</v>
      </c>
      <c r="S1623" s="2" t="s">
        <v>30</v>
      </c>
    </row>
    <row r="1624" spans="1:19">
      <c r="A1624" s="1">
        <v>44621</v>
      </c>
      <c r="B1624" s="1">
        <v>44621</v>
      </c>
      <c r="C1624">
        <v>2022</v>
      </c>
      <c r="D1624">
        <v>3</v>
      </c>
      <c r="E1624" s="2" t="s">
        <v>191</v>
      </c>
      <c r="F1624" s="2" t="s">
        <v>192</v>
      </c>
      <c r="G1624" s="2" t="s">
        <v>185</v>
      </c>
      <c r="H1624" s="2" t="s">
        <v>22</v>
      </c>
      <c r="I1624" s="2" t="s">
        <v>186</v>
      </c>
      <c r="J1624" s="2" t="s">
        <v>24</v>
      </c>
      <c r="K1624">
        <v>962.84</v>
      </c>
      <c r="L1624">
        <v>5341586.93</v>
      </c>
      <c r="M1624">
        <v>554774.1</v>
      </c>
      <c r="N1624" s="2" t="s">
        <v>193</v>
      </c>
      <c r="O1624" s="2" t="s">
        <v>194</v>
      </c>
      <c r="P1624" s="2" t="s">
        <v>3120</v>
      </c>
      <c r="Q1624" s="2" t="s">
        <v>3121</v>
      </c>
      <c r="R1624" s="2" t="s">
        <v>29</v>
      </c>
      <c r="S1624" s="2" t="s">
        <v>30</v>
      </c>
    </row>
    <row r="1625" spans="1:19">
      <c r="A1625" s="1">
        <v>44621</v>
      </c>
      <c r="B1625" s="1">
        <v>44621</v>
      </c>
      <c r="C1625">
        <v>2022</v>
      </c>
      <c r="D1625">
        <v>3</v>
      </c>
      <c r="E1625" s="2" t="s">
        <v>197</v>
      </c>
      <c r="F1625" s="2" t="s">
        <v>198</v>
      </c>
      <c r="G1625" s="2" t="s">
        <v>185</v>
      </c>
      <c r="H1625" s="2" t="s">
        <v>22</v>
      </c>
      <c r="I1625" s="2" t="s">
        <v>186</v>
      </c>
      <c r="J1625" s="2" t="s">
        <v>59</v>
      </c>
      <c r="K1625">
        <v>3924.86</v>
      </c>
      <c r="L1625">
        <v>8850602.6400000006</v>
      </c>
      <c r="M1625">
        <v>225501.1</v>
      </c>
      <c r="N1625" s="2" t="s">
        <v>199</v>
      </c>
      <c r="O1625" s="2" t="s">
        <v>200</v>
      </c>
      <c r="P1625" s="2" t="s">
        <v>3122</v>
      </c>
      <c r="Q1625" s="2" t="s">
        <v>3123</v>
      </c>
      <c r="R1625" s="2" t="s">
        <v>29</v>
      </c>
      <c r="S1625" s="2" t="s">
        <v>30</v>
      </c>
    </row>
    <row r="1626" spans="1:19">
      <c r="A1626" s="1">
        <v>44621</v>
      </c>
      <c r="B1626" s="1">
        <v>44621</v>
      </c>
      <c r="C1626">
        <v>2022</v>
      </c>
      <c r="D1626">
        <v>3</v>
      </c>
      <c r="E1626" s="2" t="s">
        <v>203</v>
      </c>
      <c r="F1626" s="2" t="s">
        <v>204</v>
      </c>
      <c r="G1626" s="2" t="s">
        <v>39</v>
      </c>
      <c r="H1626" s="2" t="s">
        <v>22</v>
      </c>
      <c r="I1626" s="2" t="s">
        <v>40</v>
      </c>
      <c r="J1626" s="2" t="s">
        <v>24</v>
      </c>
      <c r="K1626">
        <v>1032.68</v>
      </c>
      <c r="L1626">
        <v>28479.1</v>
      </c>
      <c r="M1626">
        <v>2757.79</v>
      </c>
      <c r="N1626" s="2" t="s">
        <v>205</v>
      </c>
      <c r="O1626" s="2" t="s">
        <v>206</v>
      </c>
      <c r="P1626" s="2" t="s">
        <v>3124</v>
      </c>
      <c r="Q1626" s="2" t="s">
        <v>3125</v>
      </c>
      <c r="R1626" s="2" t="s">
        <v>29</v>
      </c>
      <c r="S1626" s="2" t="s">
        <v>30</v>
      </c>
    </row>
    <row r="1627" spans="1:19">
      <c r="A1627" s="1">
        <v>44621</v>
      </c>
      <c r="B1627" s="1">
        <v>44621</v>
      </c>
      <c r="C1627">
        <v>2022</v>
      </c>
      <c r="D1627">
        <v>3</v>
      </c>
      <c r="E1627" s="2" t="s">
        <v>209</v>
      </c>
      <c r="F1627" s="2" t="s">
        <v>210</v>
      </c>
      <c r="G1627" s="2" t="s">
        <v>39</v>
      </c>
      <c r="H1627" s="2" t="s">
        <v>22</v>
      </c>
      <c r="I1627" s="2" t="s">
        <v>40</v>
      </c>
      <c r="J1627" s="2" t="s">
        <v>59</v>
      </c>
      <c r="K1627">
        <v>1032.68</v>
      </c>
      <c r="L1627">
        <v>28479.1</v>
      </c>
      <c r="M1627">
        <v>2757.79</v>
      </c>
      <c r="N1627" s="2" t="s">
        <v>211</v>
      </c>
      <c r="O1627" s="2" t="s">
        <v>212</v>
      </c>
      <c r="P1627" s="2" t="s">
        <v>3124</v>
      </c>
      <c r="Q1627" s="2" t="s">
        <v>3125</v>
      </c>
      <c r="R1627" s="2" t="s">
        <v>29</v>
      </c>
      <c r="S1627" s="2" t="s">
        <v>30</v>
      </c>
    </row>
    <row r="1628" spans="1:19">
      <c r="A1628" s="1">
        <v>44621</v>
      </c>
      <c r="B1628" s="1">
        <v>44621</v>
      </c>
      <c r="C1628">
        <v>2022</v>
      </c>
      <c r="D1628">
        <v>3</v>
      </c>
      <c r="E1628" s="2" t="s">
        <v>213</v>
      </c>
      <c r="F1628" s="2" t="s">
        <v>214</v>
      </c>
      <c r="G1628" s="2" t="s">
        <v>185</v>
      </c>
      <c r="H1628" s="2" t="s">
        <v>22</v>
      </c>
      <c r="I1628" s="2" t="s">
        <v>215</v>
      </c>
      <c r="J1628" s="2" t="s">
        <v>24</v>
      </c>
      <c r="K1628">
        <v>52903.29</v>
      </c>
      <c r="L1628">
        <v>1350066.94</v>
      </c>
      <c r="M1628">
        <v>2551.9499999999998</v>
      </c>
      <c r="N1628" s="2" t="s">
        <v>216</v>
      </c>
      <c r="O1628" s="2" t="s">
        <v>217</v>
      </c>
      <c r="P1628" s="2" t="s">
        <v>3126</v>
      </c>
      <c r="Q1628" s="2" t="s">
        <v>3127</v>
      </c>
      <c r="R1628" s="2" t="s">
        <v>29</v>
      </c>
      <c r="S1628" s="2" t="s">
        <v>30</v>
      </c>
    </row>
    <row r="1629" spans="1:19">
      <c r="A1629" s="1">
        <v>44621</v>
      </c>
      <c r="B1629" s="1">
        <v>44621</v>
      </c>
      <c r="C1629">
        <v>2022</v>
      </c>
      <c r="D1629">
        <v>3</v>
      </c>
      <c r="E1629" s="2" t="s">
        <v>220</v>
      </c>
      <c r="F1629" s="2" t="s">
        <v>221</v>
      </c>
      <c r="G1629" s="2" t="s">
        <v>185</v>
      </c>
      <c r="H1629" s="2" t="s">
        <v>22</v>
      </c>
      <c r="I1629" s="2" t="s">
        <v>215</v>
      </c>
      <c r="J1629" s="2" t="s">
        <v>24</v>
      </c>
      <c r="K1629">
        <v>4218.03</v>
      </c>
      <c r="L1629">
        <v>298559.46000000002</v>
      </c>
      <c r="M1629">
        <v>7078.17</v>
      </c>
      <c r="N1629" s="2" t="s">
        <v>222</v>
      </c>
      <c r="O1629" s="2" t="s">
        <v>223</v>
      </c>
      <c r="P1629" s="2" t="s">
        <v>3128</v>
      </c>
      <c r="Q1629" s="2" t="s">
        <v>3129</v>
      </c>
      <c r="R1629" s="2" t="s">
        <v>29</v>
      </c>
      <c r="S1629" s="2" t="s">
        <v>30</v>
      </c>
    </row>
    <row r="1630" spans="1:19">
      <c r="A1630" s="1">
        <v>44621</v>
      </c>
      <c r="B1630" s="1">
        <v>44621</v>
      </c>
      <c r="C1630">
        <v>2022</v>
      </c>
      <c r="D1630">
        <v>3</v>
      </c>
      <c r="E1630" s="2" t="s">
        <v>226</v>
      </c>
      <c r="F1630" s="2" t="s">
        <v>227</v>
      </c>
      <c r="G1630" s="2" t="s">
        <v>185</v>
      </c>
      <c r="H1630" s="2" t="s">
        <v>22</v>
      </c>
      <c r="I1630" s="2" t="s">
        <v>215</v>
      </c>
      <c r="J1630" s="2" t="s">
        <v>59</v>
      </c>
      <c r="K1630">
        <v>57121.32</v>
      </c>
      <c r="L1630">
        <v>1648626.4</v>
      </c>
      <c r="M1630">
        <v>2886.18</v>
      </c>
      <c r="N1630" s="2" t="s">
        <v>228</v>
      </c>
      <c r="O1630" s="2" t="s">
        <v>229</v>
      </c>
      <c r="P1630" s="2" t="s">
        <v>3130</v>
      </c>
      <c r="Q1630" s="2" t="s">
        <v>3131</v>
      </c>
      <c r="R1630" s="2" t="s">
        <v>29</v>
      </c>
      <c r="S1630" s="2" t="s">
        <v>30</v>
      </c>
    </row>
    <row r="1631" spans="1:19">
      <c r="A1631" s="1">
        <v>44621</v>
      </c>
      <c r="B1631" s="1">
        <v>44621</v>
      </c>
      <c r="C1631">
        <v>2022</v>
      </c>
      <c r="D1631">
        <v>3</v>
      </c>
      <c r="E1631" s="2" t="s">
        <v>232</v>
      </c>
      <c r="F1631" s="2" t="s">
        <v>233</v>
      </c>
      <c r="G1631" s="2" t="s">
        <v>21</v>
      </c>
      <c r="H1631" s="2" t="s">
        <v>22</v>
      </c>
      <c r="I1631" s="2" t="s">
        <v>23</v>
      </c>
      <c r="J1631" s="2" t="s">
        <v>24</v>
      </c>
      <c r="K1631">
        <v>1825.88</v>
      </c>
      <c r="L1631">
        <v>131428.16</v>
      </c>
      <c r="M1631">
        <v>7198.07</v>
      </c>
      <c r="N1631" s="2" t="s">
        <v>234</v>
      </c>
      <c r="O1631" s="2" t="s">
        <v>235</v>
      </c>
      <c r="P1631" s="2" t="s">
        <v>3132</v>
      </c>
      <c r="Q1631" s="2" t="s">
        <v>3133</v>
      </c>
      <c r="R1631" s="2" t="s">
        <v>29</v>
      </c>
      <c r="S1631" s="2" t="s">
        <v>30</v>
      </c>
    </row>
    <row r="1632" spans="1:19">
      <c r="A1632" s="1">
        <v>44621</v>
      </c>
      <c r="B1632" s="1">
        <v>44621</v>
      </c>
      <c r="C1632">
        <v>2022</v>
      </c>
      <c r="D1632">
        <v>3</v>
      </c>
      <c r="E1632" s="2" t="s">
        <v>238</v>
      </c>
      <c r="F1632" s="2" t="s">
        <v>239</v>
      </c>
      <c r="G1632" s="2" t="s">
        <v>21</v>
      </c>
      <c r="H1632" s="2" t="s">
        <v>22</v>
      </c>
      <c r="I1632" s="2" t="s">
        <v>66</v>
      </c>
      <c r="J1632" s="2" t="s">
        <v>24</v>
      </c>
      <c r="K1632">
        <v>979.27</v>
      </c>
      <c r="L1632">
        <v>97801.22</v>
      </c>
      <c r="M1632">
        <v>9987.16</v>
      </c>
      <c r="N1632" s="2" t="s">
        <v>240</v>
      </c>
      <c r="O1632" s="2" t="s">
        <v>241</v>
      </c>
      <c r="P1632" s="2" t="s">
        <v>3134</v>
      </c>
      <c r="Q1632" s="2" t="s">
        <v>3135</v>
      </c>
      <c r="R1632" s="2" t="s">
        <v>29</v>
      </c>
      <c r="S1632" s="2" t="s">
        <v>30</v>
      </c>
    </row>
    <row r="1633" spans="1:19">
      <c r="A1633" s="1">
        <v>44621</v>
      </c>
      <c r="B1633" s="1">
        <v>44621</v>
      </c>
      <c r="C1633">
        <v>2022</v>
      </c>
      <c r="D1633">
        <v>3</v>
      </c>
      <c r="E1633" s="2" t="s">
        <v>244</v>
      </c>
      <c r="F1633" s="2" t="s">
        <v>245</v>
      </c>
      <c r="G1633" s="2" t="s">
        <v>21</v>
      </c>
      <c r="H1633" s="2" t="s">
        <v>22</v>
      </c>
      <c r="I1633" s="2" t="s">
        <v>23</v>
      </c>
      <c r="J1633" s="2" t="s">
        <v>24</v>
      </c>
      <c r="K1633">
        <v>4314.2</v>
      </c>
      <c r="L1633">
        <v>3492578.21</v>
      </c>
      <c r="M1633">
        <v>80955.41</v>
      </c>
      <c r="N1633" s="2" t="s">
        <v>246</v>
      </c>
      <c r="O1633" s="2" t="s">
        <v>247</v>
      </c>
      <c r="P1633" s="2" t="s">
        <v>3136</v>
      </c>
      <c r="Q1633" s="2" t="s">
        <v>3137</v>
      </c>
      <c r="R1633" s="2" t="s">
        <v>29</v>
      </c>
      <c r="S1633" s="2" t="s">
        <v>30</v>
      </c>
    </row>
    <row r="1634" spans="1:19">
      <c r="A1634" s="1">
        <v>44621</v>
      </c>
      <c r="B1634" s="1">
        <v>44621</v>
      </c>
      <c r="C1634">
        <v>2022</v>
      </c>
      <c r="D1634">
        <v>3</v>
      </c>
      <c r="E1634" s="2" t="s">
        <v>250</v>
      </c>
      <c r="F1634" s="2" t="s">
        <v>251</v>
      </c>
      <c r="G1634" s="2" t="s">
        <v>21</v>
      </c>
      <c r="H1634" s="2" t="s">
        <v>22</v>
      </c>
      <c r="I1634" s="2" t="s">
        <v>66</v>
      </c>
      <c r="J1634" s="2" t="s">
        <v>24</v>
      </c>
      <c r="K1634">
        <v>137.93</v>
      </c>
      <c r="L1634">
        <v>203.89</v>
      </c>
      <c r="M1634">
        <v>147.82</v>
      </c>
      <c r="N1634" s="2" t="s">
        <v>252</v>
      </c>
      <c r="O1634" s="2" t="s">
        <v>253</v>
      </c>
      <c r="P1634" s="2" t="s">
        <v>3138</v>
      </c>
      <c r="Q1634" s="2" t="s">
        <v>3139</v>
      </c>
      <c r="R1634" s="2" t="s">
        <v>29</v>
      </c>
      <c r="S1634" s="2" t="s">
        <v>30</v>
      </c>
    </row>
    <row r="1635" spans="1:19">
      <c r="A1635" s="1">
        <v>44621</v>
      </c>
      <c r="B1635" s="1">
        <v>44621</v>
      </c>
      <c r="C1635">
        <v>2022</v>
      </c>
      <c r="D1635">
        <v>3</v>
      </c>
      <c r="E1635" s="2" t="s">
        <v>256</v>
      </c>
      <c r="F1635" s="2" t="s">
        <v>257</v>
      </c>
      <c r="G1635" s="2" t="s">
        <v>21</v>
      </c>
      <c r="H1635" s="2" t="s">
        <v>22</v>
      </c>
      <c r="I1635" s="2" t="s">
        <v>258</v>
      </c>
      <c r="J1635" s="2" t="s">
        <v>24</v>
      </c>
      <c r="K1635">
        <v>702.93</v>
      </c>
      <c r="L1635">
        <v>694335.27</v>
      </c>
      <c r="M1635">
        <v>98777.3</v>
      </c>
      <c r="N1635" s="2" t="s">
        <v>259</v>
      </c>
      <c r="O1635" s="2" t="s">
        <v>260</v>
      </c>
      <c r="P1635" s="2" t="s">
        <v>3140</v>
      </c>
      <c r="Q1635" s="2" t="s">
        <v>3141</v>
      </c>
      <c r="R1635" s="2" t="s">
        <v>29</v>
      </c>
      <c r="S1635" s="2" t="s">
        <v>30</v>
      </c>
    </row>
    <row r="1636" spans="1:19">
      <c r="A1636" s="1">
        <v>44621</v>
      </c>
      <c r="B1636" s="1">
        <v>44621</v>
      </c>
      <c r="C1636">
        <v>2022</v>
      </c>
      <c r="D1636">
        <v>3</v>
      </c>
      <c r="E1636" s="2" t="s">
        <v>263</v>
      </c>
      <c r="F1636" s="2" t="s">
        <v>264</v>
      </c>
      <c r="G1636" s="2" t="s">
        <v>21</v>
      </c>
      <c r="H1636" s="2" t="s">
        <v>22</v>
      </c>
      <c r="I1636" s="2" t="s">
        <v>258</v>
      </c>
      <c r="J1636" s="2" t="s">
        <v>24</v>
      </c>
      <c r="K1636">
        <v>0</v>
      </c>
      <c r="L1636">
        <v>0</v>
      </c>
      <c r="N1636" s="2" t="s">
        <v>265</v>
      </c>
      <c r="O1636" s="2" t="s">
        <v>266</v>
      </c>
      <c r="P1636" s="2" t="s">
        <v>639</v>
      </c>
      <c r="Q1636" s="2" t="s">
        <v>639</v>
      </c>
      <c r="R1636" s="2" t="s">
        <v>29</v>
      </c>
      <c r="S1636" s="2" t="s">
        <v>30</v>
      </c>
    </row>
    <row r="1637" spans="1:19">
      <c r="A1637" s="1">
        <v>44621</v>
      </c>
      <c r="B1637" s="1">
        <v>44621</v>
      </c>
      <c r="C1637">
        <v>2022</v>
      </c>
      <c r="D1637">
        <v>3</v>
      </c>
      <c r="E1637" s="2" t="s">
        <v>269</v>
      </c>
      <c r="F1637" s="2" t="s">
        <v>270</v>
      </c>
      <c r="G1637" s="2" t="s">
        <v>21</v>
      </c>
      <c r="H1637" s="2" t="s">
        <v>22</v>
      </c>
      <c r="I1637" s="2" t="s">
        <v>258</v>
      </c>
      <c r="J1637" s="2" t="s">
        <v>59</v>
      </c>
      <c r="K1637">
        <v>702.93</v>
      </c>
      <c r="L1637">
        <v>694335.27</v>
      </c>
      <c r="M1637">
        <v>98777.3</v>
      </c>
      <c r="N1637" s="2" t="s">
        <v>271</v>
      </c>
      <c r="O1637" s="2" t="s">
        <v>272</v>
      </c>
      <c r="P1637" s="2" t="s">
        <v>3140</v>
      </c>
      <c r="Q1637" s="2" t="s">
        <v>3141</v>
      </c>
      <c r="R1637" s="2" t="s">
        <v>29</v>
      </c>
      <c r="S1637" s="2" t="s">
        <v>30</v>
      </c>
    </row>
    <row r="1638" spans="1:19">
      <c r="A1638" s="1">
        <v>44621</v>
      </c>
      <c r="B1638" s="1">
        <v>44621</v>
      </c>
      <c r="C1638">
        <v>2022</v>
      </c>
      <c r="D1638">
        <v>3</v>
      </c>
      <c r="E1638" s="2" t="s">
        <v>275</v>
      </c>
      <c r="F1638" s="2" t="s">
        <v>276</v>
      </c>
      <c r="G1638" s="2" t="s">
        <v>39</v>
      </c>
      <c r="H1638" s="2" t="s">
        <v>22</v>
      </c>
      <c r="I1638" s="2" t="s">
        <v>40</v>
      </c>
      <c r="J1638" s="2" t="s">
        <v>24</v>
      </c>
      <c r="K1638">
        <v>2.21</v>
      </c>
      <c r="L1638">
        <v>21.31</v>
      </c>
      <c r="M1638">
        <v>964.25</v>
      </c>
      <c r="N1638" s="2" t="s">
        <v>277</v>
      </c>
      <c r="O1638" s="2" t="s">
        <v>278</v>
      </c>
      <c r="P1638" s="2" t="s">
        <v>3142</v>
      </c>
      <c r="Q1638" s="2" t="s">
        <v>3143</v>
      </c>
      <c r="R1638" s="2" t="s">
        <v>29</v>
      </c>
      <c r="S1638" s="2" t="s">
        <v>30</v>
      </c>
    </row>
    <row r="1639" spans="1:19">
      <c r="A1639" s="1">
        <v>44621</v>
      </c>
      <c r="B1639" s="1">
        <v>44621</v>
      </c>
      <c r="C1639">
        <v>2022</v>
      </c>
      <c r="D1639">
        <v>3</v>
      </c>
      <c r="E1639" s="2" t="s">
        <v>281</v>
      </c>
      <c r="F1639" s="2" t="s">
        <v>282</v>
      </c>
      <c r="G1639" s="2" t="s">
        <v>39</v>
      </c>
      <c r="H1639" s="2" t="s">
        <v>22</v>
      </c>
      <c r="I1639" s="2" t="s">
        <v>40</v>
      </c>
      <c r="J1639" s="2" t="s">
        <v>24</v>
      </c>
      <c r="K1639">
        <v>0.09</v>
      </c>
      <c r="L1639">
        <v>0.47</v>
      </c>
      <c r="M1639">
        <v>522.22</v>
      </c>
      <c r="N1639" s="2" t="s">
        <v>283</v>
      </c>
      <c r="O1639" s="2" t="s">
        <v>284</v>
      </c>
      <c r="P1639" s="2" t="s">
        <v>534</v>
      </c>
      <c r="Q1639" s="2" t="s">
        <v>1840</v>
      </c>
      <c r="R1639" s="2" t="s">
        <v>29</v>
      </c>
      <c r="S1639" s="2" t="s">
        <v>30</v>
      </c>
    </row>
    <row r="1640" spans="1:19">
      <c r="A1640" s="1">
        <v>44621</v>
      </c>
      <c r="B1640" s="1">
        <v>44621</v>
      </c>
      <c r="C1640">
        <v>2022</v>
      </c>
      <c r="D1640">
        <v>3</v>
      </c>
      <c r="E1640" s="2" t="s">
        <v>287</v>
      </c>
      <c r="F1640" s="2" t="s">
        <v>288</v>
      </c>
      <c r="G1640" s="2" t="s">
        <v>39</v>
      </c>
      <c r="H1640" s="2" t="s">
        <v>22</v>
      </c>
      <c r="I1640" s="2" t="s">
        <v>40</v>
      </c>
      <c r="J1640" s="2" t="s">
        <v>59</v>
      </c>
      <c r="K1640">
        <v>2.2999999999999998</v>
      </c>
      <c r="L1640">
        <v>21.79</v>
      </c>
      <c r="M1640">
        <v>947.39</v>
      </c>
      <c r="N1640" s="2" t="s">
        <v>289</v>
      </c>
      <c r="O1640" s="2" t="s">
        <v>290</v>
      </c>
      <c r="P1640" s="2" t="s">
        <v>3144</v>
      </c>
      <c r="Q1640" s="2" t="s">
        <v>1892</v>
      </c>
      <c r="R1640" s="2" t="s">
        <v>29</v>
      </c>
      <c r="S1640" s="2" t="s">
        <v>30</v>
      </c>
    </row>
    <row r="1641" spans="1:19">
      <c r="A1641" s="1">
        <v>44621</v>
      </c>
      <c r="B1641" s="1">
        <v>44621</v>
      </c>
      <c r="C1641">
        <v>2022</v>
      </c>
      <c r="D1641">
        <v>3</v>
      </c>
      <c r="E1641" s="2" t="s">
        <v>293</v>
      </c>
      <c r="F1641" s="2" t="s">
        <v>294</v>
      </c>
      <c r="G1641" s="2" t="s">
        <v>21</v>
      </c>
      <c r="H1641" s="2" t="s">
        <v>22</v>
      </c>
      <c r="I1641" s="2" t="s">
        <v>295</v>
      </c>
      <c r="J1641" s="2" t="s">
        <v>24</v>
      </c>
      <c r="K1641">
        <v>1288.3399999999999</v>
      </c>
      <c r="L1641">
        <v>2701.36</v>
      </c>
      <c r="M1641">
        <v>209.68</v>
      </c>
      <c r="N1641" s="2" t="s">
        <v>296</v>
      </c>
      <c r="O1641" s="2" t="s">
        <v>297</v>
      </c>
      <c r="P1641" s="2" t="s">
        <v>3145</v>
      </c>
      <c r="Q1641" s="2" t="s">
        <v>3146</v>
      </c>
      <c r="R1641" s="2" t="s">
        <v>29</v>
      </c>
      <c r="S1641" s="2" t="s">
        <v>30</v>
      </c>
    </row>
    <row r="1642" spans="1:19">
      <c r="A1642" s="1">
        <v>44621</v>
      </c>
      <c r="B1642" s="1">
        <v>44621</v>
      </c>
      <c r="C1642">
        <v>2022</v>
      </c>
      <c r="D1642">
        <v>3</v>
      </c>
      <c r="E1642" s="2" t="s">
        <v>300</v>
      </c>
      <c r="F1642" s="2" t="s">
        <v>301</v>
      </c>
      <c r="G1642" s="2" t="s">
        <v>21</v>
      </c>
      <c r="H1642" s="2" t="s">
        <v>22</v>
      </c>
      <c r="I1642" s="2" t="s">
        <v>295</v>
      </c>
      <c r="J1642" s="2" t="s">
        <v>24</v>
      </c>
      <c r="K1642">
        <v>164.77</v>
      </c>
      <c r="L1642">
        <v>2859.7</v>
      </c>
      <c r="M1642">
        <v>1735.57</v>
      </c>
      <c r="N1642" s="2" t="s">
        <v>302</v>
      </c>
      <c r="O1642" s="2" t="s">
        <v>303</v>
      </c>
      <c r="P1642" s="2" t="s">
        <v>3147</v>
      </c>
      <c r="Q1642" s="2" t="s">
        <v>3148</v>
      </c>
      <c r="R1642" s="2" t="s">
        <v>29</v>
      </c>
      <c r="S1642" s="2" t="s">
        <v>30</v>
      </c>
    </row>
    <row r="1643" spans="1:19">
      <c r="A1643" s="1">
        <v>44621</v>
      </c>
      <c r="B1643" s="1">
        <v>44621</v>
      </c>
      <c r="C1643">
        <v>2022</v>
      </c>
      <c r="D1643">
        <v>3</v>
      </c>
      <c r="E1643" s="2" t="s">
        <v>306</v>
      </c>
      <c r="F1643" s="2" t="s">
        <v>307</v>
      </c>
      <c r="G1643" s="2" t="s">
        <v>21</v>
      </c>
      <c r="H1643" s="2" t="s">
        <v>22</v>
      </c>
      <c r="I1643" s="2" t="s">
        <v>295</v>
      </c>
      <c r="J1643" s="2" t="s">
        <v>101</v>
      </c>
      <c r="K1643">
        <v>1453.1</v>
      </c>
      <c r="L1643">
        <v>5561.06</v>
      </c>
      <c r="M1643">
        <v>382.7</v>
      </c>
      <c r="N1643" s="2" t="s">
        <v>308</v>
      </c>
      <c r="O1643" s="2" t="s">
        <v>309</v>
      </c>
      <c r="P1643" s="2" t="s">
        <v>3149</v>
      </c>
      <c r="Q1643" s="2" t="s">
        <v>3150</v>
      </c>
      <c r="R1643" s="2" t="s">
        <v>29</v>
      </c>
      <c r="S1643" s="2" t="s">
        <v>30</v>
      </c>
    </row>
    <row r="1644" spans="1:19">
      <c r="A1644" s="1">
        <v>44621</v>
      </c>
      <c r="B1644" s="1">
        <v>44621</v>
      </c>
      <c r="C1644">
        <v>2022</v>
      </c>
      <c r="D1644">
        <v>3</v>
      </c>
      <c r="E1644" s="2" t="s">
        <v>312</v>
      </c>
      <c r="F1644" s="2" t="s">
        <v>313</v>
      </c>
      <c r="G1644" s="2" t="s">
        <v>21</v>
      </c>
      <c r="H1644" s="2" t="s">
        <v>22</v>
      </c>
      <c r="I1644" s="2" t="s">
        <v>295</v>
      </c>
      <c r="J1644" s="2" t="s">
        <v>59</v>
      </c>
      <c r="K1644">
        <v>6469.96</v>
      </c>
      <c r="L1644">
        <v>25615.49</v>
      </c>
      <c r="M1644">
        <v>395.91</v>
      </c>
      <c r="N1644" s="2" t="s">
        <v>314</v>
      </c>
      <c r="O1644" s="2" t="s">
        <v>315</v>
      </c>
      <c r="P1644" s="2" t="s">
        <v>3151</v>
      </c>
      <c r="Q1644" s="2" t="s">
        <v>3152</v>
      </c>
      <c r="R1644" s="2" t="s">
        <v>29</v>
      </c>
      <c r="S1644" s="2" t="s">
        <v>30</v>
      </c>
    </row>
    <row r="1645" spans="1:19">
      <c r="A1645" s="1">
        <v>44621</v>
      </c>
      <c r="B1645" s="1">
        <v>44621</v>
      </c>
      <c r="C1645">
        <v>2022</v>
      </c>
      <c r="D1645">
        <v>3</v>
      </c>
      <c r="E1645" s="2" t="s">
        <v>318</v>
      </c>
      <c r="F1645" s="2" t="s">
        <v>319</v>
      </c>
      <c r="G1645" s="2" t="s">
        <v>21</v>
      </c>
      <c r="H1645" s="2" t="s">
        <v>22</v>
      </c>
      <c r="I1645" s="2" t="s">
        <v>295</v>
      </c>
      <c r="J1645" s="2" t="s">
        <v>24</v>
      </c>
      <c r="K1645">
        <v>5016.8599999999997</v>
      </c>
      <c r="L1645">
        <v>20054.43</v>
      </c>
      <c r="M1645">
        <v>399.74</v>
      </c>
      <c r="N1645" s="2" t="s">
        <v>320</v>
      </c>
      <c r="O1645" s="2" t="s">
        <v>321</v>
      </c>
      <c r="P1645" s="2" t="s">
        <v>3153</v>
      </c>
      <c r="Q1645" s="2" t="s">
        <v>3154</v>
      </c>
      <c r="R1645" s="2" t="s">
        <v>29</v>
      </c>
      <c r="S1645" s="2" t="s">
        <v>30</v>
      </c>
    </row>
    <row r="1646" spans="1:19">
      <c r="A1646" s="1">
        <v>44621</v>
      </c>
      <c r="B1646" s="1">
        <v>44621</v>
      </c>
      <c r="C1646">
        <v>2022</v>
      </c>
      <c r="D1646">
        <v>3</v>
      </c>
      <c r="E1646" s="2" t="s">
        <v>324</v>
      </c>
      <c r="F1646" s="2" t="s">
        <v>325</v>
      </c>
      <c r="G1646" s="2" t="s">
        <v>21</v>
      </c>
      <c r="H1646" s="2" t="s">
        <v>22</v>
      </c>
      <c r="I1646" s="2" t="s">
        <v>23</v>
      </c>
      <c r="J1646" s="2" t="s">
        <v>59</v>
      </c>
      <c r="K1646">
        <v>66517.820000000007</v>
      </c>
      <c r="L1646">
        <v>5062466.26</v>
      </c>
      <c r="M1646">
        <v>7610.69</v>
      </c>
      <c r="N1646" s="2" t="s">
        <v>326</v>
      </c>
      <c r="O1646" s="2" t="s">
        <v>327</v>
      </c>
      <c r="P1646" s="2" t="s">
        <v>3155</v>
      </c>
      <c r="Q1646" s="2" t="s">
        <v>3156</v>
      </c>
      <c r="R1646" s="2" t="s">
        <v>29</v>
      </c>
      <c r="S1646" s="2" t="s">
        <v>30</v>
      </c>
    </row>
    <row r="1647" spans="1:19">
      <c r="A1647" s="1">
        <v>44621</v>
      </c>
      <c r="B1647" s="1">
        <v>44621</v>
      </c>
      <c r="C1647">
        <v>2022</v>
      </c>
      <c r="D1647">
        <v>3</v>
      </c>
      <c r="E1647" s="2" t="s">
        <v>330</v>
      </c>
      <c r="F1647" s="2" t="s">
        <v>331</v>
      </c>
      <c r="G1647" s="2" t="s">
        <v>21</v>
      </c>
      <c r="H1647" s="2" t="s">
        <v>332</v>
      </c>
      <c r="I1647" s="2" t="s">
        <v>333</v>
      </c>
      <c r="J1647" s="2" t="s">
        <v>24</v>
      </c>
      <c r="K1647">
        <v>228.68</v>
      </c>
      <c r="L1647">
        <v>13069668.93</v>
      </c>
      <c r="M1647">
        <v>5715265.4100000001</v>
      </c>
      <c r="N1647" s="2" t="s">
        <v>334</v>
      </c>
      <c r="O1647" s="2" t="s">
        <v>335</v>
      </c>
      <c r="P1647" s="2" t="s">
        <v>3157</v>
      </c>
      <c r="Q1647" s="2" t="s">
        <v>3158</v>
      </c>
      <c r="R1647" s="2" t="s">
        <v>29</v>
      </c>
      <c r="S1647" s="2" t="s">
        <v>30</v>
      </c>
    </row>
    <row r="1648" spans="1:19">
      <c r="A1648" s="1">
        <v>44621</v>
      </c>
      <c r="B1648" s="1">
        <v>44621</v>
      </c>
      <c r="C1648">
        <v>2022</v>
      </c>
      <c r="D1648">
        <v>3</v>
      </c>
      <c r="E1648" s="2" t="s">
        <v>338</v>
      </c>
      <c r="F1648" s="2" t="s">
        <v>339</v>
      </c>
      <c r="G1648" s="2" t="s">
        <v>21</v>
      </c>
      <c r="H1648" s="2" t="s">
        <v>332</v>
      </c>
      <c r="I1648" s="2" t="s">
        <v>333</v>
      </c>
      <c r="J1648" s="2" t="s">
        <v>24</v>
      </c>
      <c r="K1648">
        <v>1.36</v>
      </c>
      <c r="L1648">
        <v>1389286.12</v>
      </c>
      <c r="M1648">
        <v>102153391.18000001</v>
      </c>
      <c r="N1648" s="2" t="s">
        <v>340</v>
      </c>
      <c r="O1648" s="2" t="s">
        <v>341</v>
      </c>
      <c r="P1648" s="2" t="s">
        <v>1003</v>
      </c>
      <c r="Q1648" s="2" t="s">
        <v>3159</v>
      </c>
      <c r="R1648" s="2" t="s">
        <v>29</v>
      </c>
      <c r="S1648" s="2" t="s">
        <v>30</v>
      </c>
    </row>
    <row r="1649" spans="1:19">
      <c r="A1649" s="1">
        <v>44621</v>
      </c>
      <c r="B1649" s="1">
        <v>44621</v>
      </c>
      <c r="C1649">
        <v>2022</v>
      </c>
      <c r="D1649">
        <v>3</v>
      </c>
      <c r="E1649" s="2" t="s">
        <v>344</v>
      </c>
      <c r="F1649" s="2" t="s">
        <v>345</v>
      </c>
      <c r="G1649" s="2" t="s">
        <v>21</v>
      </c>
      <c r="H1649" s="2" t="s">
        <v>332</v>
      </c>
      <c r="I1649" s="2" t="s">
        <v>333</v>
      </c>
      <c r="J1649" s="2" t="s">
        <v>59</v>
      </c>
      <c r="K1649">
        <v>230.04</v>
      </c>
      <c r="L1649">
        <v>14458955.039999999</v>
      </c>
      <c r="M1649">
        <v>6285409.0800000001</v>
      </c>
      <c r="N1649" s="2" t="s">
        <v>346</v>
      </c>
      <c r="O1649" s="2" t="s">
        <v>347</v>
      </c>
      <c r="P1649" s="2" t="s">
        <v>3160</v>
      </c>
      <c r="Q1649" s="2" t="s">
        <v>3161</v>
      </c>
      <c r="R1649" s="2" t="s">
        <v>29</v>
      </c>
      <c r="S1649" s="2" t="s">
        <v>30</v>
      </c>
    </row>
    <row r="1650" spans="1:19">
      <c r="A1650" s="1">
        <v>44621</v>
      </c>
      <c r="B1650" s="1">
        <v>44621</v>
      </c>
      <c r="C1650">
        <v>2022</v>
      </c>
      <c r="D1650">
        <v>3</v>
      </c>
      <c r="E1650" s="2" t="s">
        <v>350</v>
      </c>
      <c r="F1650" s="2" t="s">
        <v>351</v>
      </c>
      <c r="G1650" s="2" t="s">
        <v>21</v>
      </c>
      <c r="H1650" s="2" t="s">
        <v>22</v>
      </c>
      <c r="I1650" s="2" t="s">
        <v>352</v>
      </c>
      <c r="J1650" s="2" t="s">
        <v>353</v>
      </c>
      <c r="K1650">
        <v>79867.19</v>
      </c>
      <c r="L1650">
        <v>19816840.719999999</v>
      </c>
      <c r="M1650">
        <v>24812.240000000002</v>
      </c>
      <c r="N1650" s="2" t="s">
        <v>354</v>
      </c>
      <c r="O1650" s="2" t="s">
        <v>355</v>
      </c>
      <c r="P1650" s="2" t="s">
        <v>3162</v>
      </c>
      <c r="Q1650" s="2" t="s">
        <v>3163</v>
      </c>
      <c r="R1650" s="2" t="s">
        <v>29</v>
      </c>
      <c r="S1650" s="2" t="s">
        <v>30</v>
      </c>
    </row>
    <row r="1651" spans="1:19">
      <c r="A1651" s="1">
        <v>44621</v>
      </c>
      <c r="B1651" s="1">
        <v>44621</v>
      </c>
      <c r="C1651">
        <v>2022</v>
      </c>
      <c r="D1651">
        <v>3</v>
      </c>
      <c r="E1651" s="2" t="s">
        <v>358</v>
      </c>
      <c r="F1651" s="2" t="s">
        <v>359</v>
      </c>
      <c r="G1651" s="2" t="s">
        <v>21</v>
      </c>
      <c r="H1651" s="2" t="s">
        <v>22</v>
      </c>
      <c r="I1651" s="2" t="s">
        <v>352</v>
      </c>
      <c r="J1651" s="2" t="s">
        <v>353</v>
      </c>
      <c r="K1651">
        <v>80570.12</v>
      </c>
      <c r="L1651">
        <v>20511175.989999998</v>
      </c>
      <c r="M1651">
        <v>25457.55</v>
      </c>
      <c r="N1651" s="2" t="s">
        <v>360</v>
      </c>
      <c r="O1651" s="2" t="s">
        <v>361</v>
      </c>
      <c r="P1651" s="2" t="s">
        <v>3164</v>
      </c>
      <c r="Q1651" s="2" t="s">
        <v>3165</v>
      </c>
      <c r="R1651" s="2" t="s">
        <v>29</v>
      </c>
      <c r="S1651" s="2" t="s">
        <v>30</v>
      </c>
    </row>
    <row r="1652" spans="1:19">
      <c r="A1652" s="1">
        <v>44621</v>
      </c>
      <c r="B1652" s="1">
        <v>44621</v>
      </c>
      <c r="C1652">
        <v>2022</v>
      </c>
      <c r="D1652">
        <v>3</v>
      </c>
      <c r="E1652" s="2" t="s">
        <v>364</v>
      </c>
      <c r="F1652" s="2" t="s">
        <v>365</v>
      </c>
      <c r="G1652" s="2" t="s">
        <v>21</v>
      </c>
      <c r="H1652" s="2" t="s">
        <v>22</v>
      </c>
      <c r="I1652" s="2" t="s">
        <v>352</v>
      </c>
      <c r="J1652" s="2" t="s">
        <v>353</v>
      </c>
      <c r="K1652">
        <v>80340.08</v>
      </c>
      <c r="L1652">
        <v>6052220.9500000002</v>
      </c>
      <c r="M1652">
        <v>7533.25</v>
      </c>
      <c r="N1652" s="2" t="s">
        <v>366</v>
      </c>
      <c r="O1652" s="2" t="s">
        <v>367</v>
      </c>
      <c r="P1652" s="2" t="s">
        <v>3166</v>
      </c>
      <c r="Q1652" s="2" t="s">
        <v>3167</v>
      </c>
      <c r="R1652" s="2" t="s">
        <v>29</v>
      </c>
      <c r="S1652" s="2" t="s">
        <v>30</v>
      </c>
    </row>
    <row r="1653" spans="1:19">
      <c r="A1653" s="1">
        <v>44621</v>
      </c>
      <c r="B1653" s="1">
        <v>44621</v>
      </c>
      <c r="C1653">
        <v>2022</v>
      </c>
      <c r="D1653">
        <v>3</v>
      </c>
      <c r="E1653" s="2" t="s">
        <v>370</v>
      </c>
      <c r="F1653" s="2" t="s">
        <v>371</v>
      </c>
      <c r="G1653" s="2" t="s">
        <v>21</v>
      </c>
      <c r="H1653" s="2" t="s">
        <v>22</v>
      </c>
      <c r="I1653" s="2" t="s">
        <v>23</v>
      </c>
      <c r="J1653" s="2" t="s">
        <v>24</v>
      </c>
      <c r="K1653">
        <v>54056.51</v>
      </c>
      <c r="L1653">
        <v>960581.67</v>
      </c>
      <c r="M1653">
        <v>1777</v>
      </c>
      <c r="N1653" s="2" t="s">
        <v>372</v>
      </c>
      <c r="O1653" s="2" t="s">
        <v>373</v>
      </c>
      <c r="P1653" s="2" t="s">
        <v>3168</v>
      </c>
      <c r="Q1653" s="2" t="s">
        <v>3169</v>
      </c>
      <c r="R1653" s="2" t="s">
        <v>29</v>
      </c>
      <c r="S1653" s="2" t="s">
        <v>30</v>
      </c>
    </row>
    <row r="1654" spans="1:19">
      <c r="A1654" s="1">
        <v>44621</v>
      </c>
      <c r="B1654" s="1">
        <v>44621</v>
      </c>
      <c r="C1654">
        <v>2022</v>
      </c>
      <c r="D1654">
        <v>3</v>
      </c>
      <c r="E1654" s="2" t="s">
        <v>376</v>
      </c>
      <c r="F1654" s="2" t="s">
        <v>377</v>
      </c>
      <c r="G1654" s="2" t="s">
        <v>21</v>
      </c>
      <c r="H1654" s="2" t="s">
        <v>22</v>
      </c>
      <c r="I1654" s="2" t="s">
        <v>23</v>
      </c>
      <c r="J1654" s="2" t="s">
        <v>378</v>
      </c>
      <c r="K1654">
        <v>0.91</v>
      </c>
      <c r="L1654">
        <v>12</v>
      </c>
      <c r="M1654">
        <v>1318.68</v>
      </c>
      <c r="N1654" s="2" t="s">
        <v>379</v>
      </c>
      <c r="O1654" s="2" t="s">
        <v>380</v>
      </c>
      <c r="P1654" s="2" t="s">
        <v>1223</v>
      </c>
      <c r="Q1654" s="2" t="s">
        <v>3170</v>
      </c>
      <c r="R1654" s="2" t="s">
        <v>29</v>
      </c>
      <c r="S1654" s="2" t="s">
        <v>30</v>
      </c>
    </row>
    <row r="1655" spans="1:19">
      <c r="A1655" s="1">
        <v>44652</v>
      </c>
      <c r="B1655" s="1">
        <v>44652</v>
      </c>
      <c r="C1655">
        <v>2022</v>
      </c>
      <c r="D1655">
        <v>4</v>
      </c>
      <c r="E1655" s="2" t="s">
        <v>19</v>
      </c>
      <c r="F1655" s="2" t="s">
        <v>20</v>
      </c>
      <c r="G1655" s="2" t="s">
        <v>21</v>
      </c>
      <c r="H1655" s="2" t="s">
        <v>22</v>
      </c>
      <c r="I1655" s="2" t="s">
        <v>23</v>
      </c>
      <c r="J1655" s="2" t="s">
        <v>24</v>
      </c>
      <c r="K1655">
        <v>0.55000000000000004</v>
      </c>
      <c r="L1655">
        <v>32.840000000000003</v>
      </c>
      <c r="M1655">
        <v>5970.91</v>
      </c>
      <c r="N1655" s="2" t="s">
        <v>25</v>
      </c>
      <c r="O1655" s="2" t="s">
        <v>26</v>
      </c>
      <c r="P1655" s="2" t="s">
        <v>2613</v>
      </c>
      <c r="Q1655" s="2" t="s">
        <v>3171</v>
      </c>
      <c r="R1655" s="2" t="s">
        <v>29</v>
      </c>
      <c r="S1655" s="2" t="s">
        <v>30</v>
      </c>
    </row>
    <row r="1656" spans="1:19">
      <c r="A1656" s="1">
        <v>44652</v>
      </c>
      <c r="B1656" s="1">
        <v>44652</v>
      </c>
      <c r="C1656">
        <v>2022</v>
      </c>
      <c r="D1656">
        <v>4</v>
      </c>
      <c r="E1656" s="2" t="s">
        <v>31</v>
      </c>
      <c r="F1656" s="2" t="s">
        <v>32</v>
      </c>
      <c r="G1656" s="2" t="s">
        <v>21</v>
      </c>
      <c r="H1656" s="2" t="s">
        <v>22</v>
      </c>
      <c r="I1656" s="2" t="s">
        <v>23</v>
      </c>
      <c r="J1656" s="2" t="s">
        <v>24</v>
      </c>
      <c r="K1656">
        <v>1119.53</v>
      </c>
      <c r="L1656">
        <v>11118.1</v>
      </c>
      <c r="M1656">
        <v>993.1</v>
      </c>
      <c r="N1656" s="2" t="s">
        <v>33</v>
      </c>
      <c r="O1656" s="2" t="s">
        <v>34</v>
      </c>
      <c r="P1656" s="2" t="s">
        <v>3172</v>
      </c>
      <c r="Q1656" s="2" t="s">
        <v>3173</v>
      </c>
      <c r="R1656" s="2" t="s">
        <v>29</v>
      </c>
      <c r="S1656" s="2" t="s">
        <v>30</v>
      </c>
    </row>
    <row r="1657" spans="1:19">
      <c r="A1657" s="1">
        <v>44652</v>
      </c>
      <c r="B1657" s="1">
        <v>44652</v>
      </c>
      <c r="C1657">
        <v>2022</v>
      </c>
      <c r="D1657">
        <v>4</v>
      </c>
      <c r="E1657" s="2" t="s">
        <v>37</v>
      </c>
      <c r="F1657" s="2" t="s">
        <v>38</v>
      </c>
      <c r="G1657" s="2" t="s">
        <v>39</v>
      </c>
      <c r="H1657" s="2" t="s">
        <v>22</v>
      </c>
      <c r="I1657" s="2" t="s">
        <v>40</v>
      </c>
      <c r="J1657" s="2" t="s">
        <v>24</v>
      </c>
      <c r="K1657">
        <v>6.12</v>
      </c>
      <c r="L1657">
        <v>302.67</v>
      </c>
      <c r="M1657">
        <v>4945.59</v>
      </c>
      <c r="N1657" s="2" t="s">
        <v>41</v>
      </c>
      <c r="O1657" s="2" t="s">
        <v>42</v>
      </c>
      <c r="P1657" s="2" t="s">
        <v>3174</v>
      </c>
      <c r="Q1657" s="2" t="s">
        <v>3175</v>
      </c>
      <c r="R1657" s="2" t="s">
        <v>29</v>
      </c>
      <c r="S1657" s="2" t="s">
        <v>30</v>
      </c>
    </row>
    <row r="1658" spans="1:19">
      <c r="A1658" s="1">
        <v>44652</v>
      </c>
      <c r="B1658" s="1">
        <v>44652</v>
      </c>
      <c r="C1658">
        <v>2022</v>
      </c>
      <c r="D1658">
        <v>4</v>
      </c>
      <c r="E1658" s="2" t="s">
        <v>45</v>
      </c>
      <c r="F1658" s="2" t="s">
        <v>46</v>
      </c>
      <c r="G1658" s="2" t="s">
        <v>39</v>
      </c>
      <c r="H1658" s="2" t="s">
        <v>22</v>
      </c>
      <c r="I1658" s="2" t="s">
        <v>40</v>
      </c>
      <c r="J1658" s="2" t="s">
        <v>24</v>
      </c>
      <c r="K1658">
        <v>5792.97</v>
      </c>
      <c r="L1658">
        <v>285011.12</v>
      </c>
      <c r="M1658">
        <v>4919.95</v>
      </c>
      <c r="N1658" s="2" t="s">
        <v>47</v>
      </c>
      <c r="O1658" s="2" t="s">
        <v>48</v>
      </c>
      <c r="P1658" s="2" t="s">
        <v>3176</v>
      </c>
      <c r="Q1658" s="2" t="s">
        <v>3177</v>
      </c>
      <c r="R1658" s="2" t="s">
        <v>29</v>
      </c>
      <c r="S1658" s="2" t="s">
        <v>30</v>
      </c>
    </row>
    <row r="1659" spans="1:19">
      <c r="A1659" s="1">
        <v>44652</v>
      </c>
      <c r="B1659" s="1">
        <v>44652</v>
      </c>
      <c r="C1659">
        <v>2022</v>
      </c>
      <c r="D1659">
        <v>4</v>
      </c>
      <c r="E1659" s="2" t="s">
        <v>51</v>
      </c>
      <c r="F1659" s="2" t="s">
        <v>52</v>
      </c>
      <c r="G1659" s="2" t="s">
        <v>39</v>
      </c>
      <c r="H1659" s="2" t="s">
        <v>22</v>
      </c>
      <c r="I1659" s="2" t="s">
        <v>40</v>
      </c>
      <c r="J1659" s="2" t="s">
        <v>24</v>
      </c>
      <c r="K1659">
        <v>31.28</v>
      </c>
      <c r="L1659">
        <v>1097.17</v>
      </c>
      <c r="M1659">
        <v>3507.58</v>
      </c>
      <c r="N1659" s="2" t="s">
        <v>53</v>
      </c>
      <c r="O1659" s="2" t="s">
        <v>54</v>
      </c>
      <c r="P1659" s="2" t="s">
        <v>3178</v>
      </c>
      <c r="Q1659" s="2" t="s">
        <v>3179</v>
      </c>
      <c r="R1659" s="2" t="s">
        <v>29</v>
      </c>
      <c r="S1659" s="2" t="s">
        <v>30</v>
      </c>
    </row>
    <row r="1660" spans="1:19">
      <c r="A1660" s="1">
        <v>44652</v>
      </c>
      <c r="B1660" s="1">
        <v>44652</v>
      </c>
      <c r="C1660">
        <v>2022</v>
      </c>
      <c r="D1660">
        <v>4</v>
      </c>
      <c r="E1660" s="2" t="s">
        <v>57</v>
      </c>
      <c r="F1660" s="2" t="s">
        <v>58</v>
      </c>
      <c r="G1660" s="2" t="s">
        <v>39</v>
      </c>
      <c r="H1660" s="2" t="s">
        <v>22</v>
      </c>
      <c r="I1660" s="2" t="s">
        <v>40</v>
      </c>
      <c r="J1660" s="2" t="s">
        <v>59</v>
      </c>
      <c r="K1660">
        <v>5830.37</v>
      </c>
      <c r="L1660">
        <v>286410.96000000002</v>
      </c>
      <c r="M1660">
        <v>4912.3999999999996</v>
      </c>
      <c r="N1660" s="2" t="s">
        <v>60</v>
      </c>
      <c r="O1660" s="2" t="s">
        <v>61</v>
      </c>
      <c r="P1660" s="2" t="s">
        <v>3180</v>
      </c>
      <c r="Q1660" s="2" t="s">
        <v>3181</v>
      </c>
      <c r="R1660" s="2" t="s">
        <v>29</v>
      </c>
      <c r="S1660" s="2" t="s">
        <v>30</v>
      </c>
    </row>
    <row r="1661" spans="1:19">
      <c r="A1661" s="1">
        <v>44652</v>
      </c>
      <c r="B1661" s="1">
        <v>44652</v>
      </c>
      <c r="C1661">
        <v>2022</v>
      </c>
      <c r="D1661">
        <v>4</v>
      </c>
      <c r="E1661" s="2" t="s">
        <v>64</v>
      </c>
      <c r="F1661" s="2" t="s">
        <v>65</v>
      </c>
      <c r="G1661" s="2" t="s">
        <v>21</v>
      </c>
      <c r="H1661" s="2" t="s">
        <v>22</v>
      </c>
      <c r="I1661" s="2" t="s">
        <v>66</v>
      </c>
      <c r="J1661" s="2" t="s">
        <v>24</v>
      </c>
      <c r="K1661">
        <v>16.760000000000002</v>
      </c>
      <c r="L1661">
        <v>579.53</v>
      </c>
      <c r="M1661">
        <v>3457.82</v>
      </c>
      <c r="N1661" s="2" t="s">
        <v>67</v>
      </c>
      <c r="O1661" s="2" t="s">
        <v>68</v>
      </c>
      <c r="P1661" s="2" t="s">
        <v>3182</v>
      </c>
      <c r="Q1661" s="2" t="s">
        <v>3183</v>
      </c>
      <c r="R1661" s="2" t="s">
        <v>29</v>
      </c>
      <c r="S1661" s="2" t="s">
        <v>30</v>
      </c>
    </row>
    <row r="1662" spans="1:19">
      <c r="A1662" s="1">
        <v>44652</v>
      </c>
      <c r="B1662" s="1">
        <v>44652</v>
      </c>
      <c r="C1662">
        <v>2022</v>
      </c>
      <c r="D1662">
        <v>4</v>
      </c>
      <c r="E1662" s="2" t="s">
        <v>71</v>
      </c>
      <c r="F1662" s="2" t="s">
        <v>72</v>
      </c>
      <c r="G1662" s="2" t="s">
        <v>21</v>
      </c>
      <c r="H1662" s="2" t="s">
        <v>22</v>
      </c>
      <c r="I1662" s="2" t="s">
        <v>73</v>
      </c>
      <c r="J1662" s="2" t="s">
        <v>59</v>
      </c>
      <c r="K1662">
        <v>5541.17</v>
      </c>
      <c r="L1662">
        <v>170520.88</v>
      </c>
      <c r="M1662">
        <v>3077.34</v>
      </c>
      <c r="N1662" s="2" t="s">
        <v>74</v>
      </c>
      <c r="O1662" s="2" t="s">
        <v>75</v>
      </c>
      <c r="P1662" s="2" t="s">
        <v>3184</v>
      </c>
      <c r="Q1662" s="2" t="s">
        <v>3185</v>
      </c>
      <c r="R1662" s="2" t="s">
        <v>29</v>
      </c>
      <c r="S1662" s="2" t="s">
        <v>30</v>
      </c>
    </row>
    <row r="1663" spans="1:19">
      <c r="A1663" s="1">
        <v>44652</v>
      </c>
      <c r="B1663" s="1">
        <v>44652</v>
      </c>
      <c r="C1663">
        <v>2022</v>
      </c>
      <c r="D1663">
        <v>4</v>
      </c>
      <c r="E1663" s="2" t="s">
        <v>78</v>
      </c>
      <c r="F1663" s="2" t="s">
        <v>79</v>
      </c>
      <c r="G1663" s="2" t="s">
        <v>80</v>
      </c>
      <c r="H1663" s="2" t="s">
        <v>81</v>
      </c>
      <c r="I1663" s="2" t="s">
        <v>82</v>
      </c>
      <c r="J1663" s="2" t="s">
        <v>24</v>
      </c>
      <c r="K1663">
        <v>1.87</v>
      </c>
      <c r="L1663">
        <v>6124935.9100000001</v>
      </c>
      <c r="M1663">
        <v>327536679.68000001</v>
      </c>
      <c r="N1663" s="2" t="s">
        <v>83</v>
      </c>
      <c r="O1663" s="2" t="s">
        <v>84</v>
      </c>
      <c r="P1663" s="2" t="s">
        <v>3186</v>
      </c>
      <c r="Q1663" s="2" t="s">
        <v>3187</v>
      </c>
      <c r="R1663" s="2" t="s">
        <v>29</v>
      </c>
      <c r="S1663" s="2" t="s">
        <v>30</v>
      </c>
    </row>
    <row r="1664" spans="1:19">
      <c r="A1664" s="1">
        <v>44652</v>
      </c>
      <c r="B1664" s="1">
        <v>44652</v>
      </c>
      <c r="C1664">
        <v>2022</v>
      </c>
      <c r="D1664">
        <v>4</v>
      </c>
      <c r="E1664" s="2" t="s">
        <v>87</v>
      </c>
      <c r="F1664" s="2" t="s">
        <v>88</v>
      </c>
      <c r="G1664" s="2" t="s">
        <v>80</v>
      </c>
      <c r="H1664" s="2" t="s">
        <v>81</v>
      </c>
      <c r="I1664" s="2" t="s">
        <v>82</v>
      </c>
      <c r="J1664" s="2" t="s">
        <v>24</v>
      </c>
      <c r="K1664">
        <v>0.59</v>
      </c>
      <c r="L1664">
        <v>870327.72</v>
      </c>
      <c r="M1664">
        <v>147513172.88</v>
      </c>
      <c r="N1664" s="2" t="s">
        <v>89</v>
      </c>
      <c r="O1664" s="2" t="s">
        <v>90</v>
      </c>
      <c r="P1664" s="2" t="s">
        <v>986</v>
      </c>
      <c r="Q1664" s="2" t="s">
        <v>3188</v>
      </c>
      <c r="R1664" s="2" t="s">
        <v>29</v>
      </c>
      <c r="S1664" s="2" t="s">
        <v>30</v>
      </c>
    </row>
    <row r="1665" spans="1:19">
      <c r="A1665" s="1">
        <v>44652</v>
      </c>
      <c r="B1665" s="1">
        <v>44652</v>
      </c>
      <c r="C1665">
        <v>2022</v>
      </c>
      <c r="D1665">
        <v>4</v>
      </c>
      <c r="E1665" s="2" t="s">
        <v>93</v>
      </c>
      <c r="F1665" s="2" t="s">
        <v>94</v>
      </c>
      <c r="G1665" s="2" t="s">
        <v>80</v>
      </c>
      <c r="H1665" s="2" t="s">
        <v>81</v>
      </c>
      <c r="I1665" s="2" t="s">
        <v>82</v>
      </c>
      <c r="J1665" s="2" t="s">
        <v>24</v>
      </c>
      <c r="K1665">
        <v>0.25</v>
      </c>
      <c r="L1665">
        <v>4315710.5599999996</v>
      </c>
      <c r="M1665">
        <v>1726284224</v>
      </c>
      <c r="N1665" s="2" t="s">
        <v>95</v>
      </c>
      <c r="O1665" s="2" t="s">
        <v>96</v>
      </c>
      <c r="P1665" s="2" t="s">
        <v>876</v>
      </c>
      <c r="Q1665" s="2" t="s">
        <v>3189</v>
      </c>
      <c r="R1665" s="2" t="s">
        <v>29</v>
      </c>
      <c r="S1665" s="2" t="s">
        <v>30</v>
      </c>
    </row>
    <row r="1666" spans="1:19">
      <c r="A1666" s="1">
        <v>44652</v>
      </c>
      <c r="B1666" s="1">
        <v>44652</v>
      </c>
      <c r="C1666">
        <v>2022</v>
      </c>
      <c r="D1666">
        <v>4</v>
      </c>
      <c r="E1666" s="2" t="s">
        <v>99</v>
      </c>
      <c r="F1666" s="2" t="s">
        <v>100</v>
      </c>
      <c r="G1666" s="2" t="s">
        <v>80</v>
      </c>
      <c r="H1666" s="2" t="s">
        <v>81</v>
      </c>
      <c r="I1666" s="2" t="s">
        <v>82</v>
      </c>
      <c r="J1666" s="2" t="s">
        <v>101</v>
      </c>
      <c r="K1666">
        <v>1.08</v>
      </c>
      <c r="L1666">
        <v>11915370.23</v>
      </c>
      <c r="M1666">
        <v>1103275021.3</v>
      </c>
      <c r="N1666" s="2" t="s">
        <v>102</v>
      </c>
      <c r="O1666" s="2" t="s">
        <v>103</v>
      </c>
      <c r="P1666" s="2" t="s">
        <v>1347</v>
      </c>
      <c r="Q1666" s="2" t="s">
        <v>3190</v>
      </c>
      <c r="R1666" s="2" t="s">
        <v>29</v>
      </c>
      <c r="S1666" s="2" t="s">
        <v>30</v>
      </c>
    </row>
    <row r="1667" spans="1:19">
      <c r="A1667" s="1">
        <v>44652</v>
      </c>
      <c r="B1667" s="1">
        <v>44652</v>
      </c>
      <c r="C1667">
        <v>2022</v>
      </c>
      <c r="D1667">
        <v>4</v>
      </c>
      <c r="E1667" s="2" t="s">
        <v>106</v>
      </c>
      <c r="F1667" s="2" t="s">
        <v>107</v>
      </c>
      <c r="G1667" s="2" t="s">
        <v>80</v>
      </c>
      <c r="H1667" s="2" t="s">
        <v>81</v>
      </c>
      <c r="I1667" s="2" t="s">
        <v>82</v>
      </c>
      <c r="J1667" s="2" t="s">
        <v>24</v>
      </c>
      <c r="K1667">
        <v>0.23</v>
      </c>
      <c r="L1667">
        <v>6729331.9500000002</v>
      </c>
      <c r="M1667">
        <v>2925796500</v>
      </c>
      <c r="N1667" s="2" t="s">
        <v>108</v>
      </c>
      <c r="O1667" s="2" t="s">
        <v>109</v>
      </c>
      <c r="P1667" s="2" t="s">
        <v>725</v>
      </c>
      <c r="Q1667" s="2" t="s">
        <v>3191</v>
      </c>
      <c r="R1667" s="2" t="s">
        <v>29</v>
      </c>
      <c r="S1667" s="2" t="s">
        <v>30</v>
      </c>
    </row>
    <row r="1668" spans="1:19">
      <c r="A1668" s="1">
        <v>44652</v>
      </c>
      <c r="B1668" s="1">
        <v>44652</v>
      </c>
      <c r="C1668">
        <v>2022</v>
      </c>
      <c r="D1668">
        <v>4</v>
      </c>
      <c r="E1668" s="2" t="s">
        <v>111</v>
      </c>
      <c r="F1668" s="2" t="s">
        <v>112</v>
      </c>
      <c r="G1668" s="2" t="s">
        <v>80</v>
      </c>
      <c r="H1668" s="2" t="s">
        <v>81</v>
      </c>
      <c r="I1668" s="2" t="s">
        <v>82</v>
      </c>
      <c r="J1668" s="2" t="s">
        <v>24</v>
      </c>
      <c r="K1668">
        <v>0.11</v>
      </c>
      <c r="L1668">
        <v>611554</v>
      </c>
      <c r="M1668">
        <v>555958181.82000005</v>
      </c>
      <c r="N1668" s="2" t="s">
        <v>113</v>
      </c>
      <c r="O1668" s="2" t="s">
        <v>114</v>
      </c>
      <c r="P1668" s="2" t="s">
        <v>1291</v>
      </c>
      <c r="Q1668" s="2" t="s">
        <v>3192</v>
      </c>
      <c r="R1668" s="2" t="s">
        <v>29</v>
      </c>
      <c r="S1668" s="2" t="s">
        <v>30</v>
      </c>
    </row>
    <row r="1669" spans="1:19">
      <c r="A1669" s="1">
        <v>44652</v>
      </c>
      <c r="B1669" s="1">
        <v>44652</v>
      </c>
      <c r="C1669">
        <v>2022</v>
      </c>
      <c r="D1669">
        <v>4</v>
      </c>
      <c r="E1669" s="2" t="s">
        <v>117</v>
      </c>
      <c r="F1669" s="2" t="s">
        <v>118</v>
      </c>
      <c r="G1669" s="2" t="s">
        <v>80</v>
      </c>
      <c r="H1669" s="2" t="s">
        <v>81</v>
      </c>
      <c r="I1669" s="2" t="s">
        <v>82</v>
      </c>
      <c r="J1669" s="2" t="s">
        <v>59</v>
      </c>
      <c r="K1669">
        <v>3.06</v>
      </c>
      <c r="L1669">
        <v>18651860.140000001</v>
      </c>
      <c r="M1669">
        <v>609537913.07000005</v>
      </c>
      <c r="N1669" s="2" t="s">
        <v>119</v>
      </c>
      <c r="O1669" s="2" t="s">
        <v>120</v>
      </c>
      <c r="P1669" s="2" t="s">
        <v>3193</v>
      </c>
      <c r="Q1669" s="2" t="s">
        <v>3194</v>
      </c>
      <c r="R1669" s="2" t="s">
        <v>29</v>
      </c>
      <c r="S1669" s="2" t="s">
        <v>30</v>
      </c>
    </row>
    <row r="1670" spans="1:19">
      <c r="A1670" s="1">
        <v>44652</v>
      </c>
      <c r="B1670" s="1">
        <v>44652</v>
      </c>
      <c r="C1670">
        <v>2022</v>
      </c>
      <c r="D1670">
        <v>4</v>
      </c>
      <c r="E1670" s="2" t="s">
        <v>123</v>
      </c>
      <c r="F1670" s="2" t="s">
        <v>124</v>
      </c>
      <c r="G1670" s="2" t="s">
        <v>21</v>
      </c>
      <c r="H1670" s="2" t="s">
        <v>22</v>
      </c>
      <c r="I1670" s="2" t="s">
        <v>73</v>
      </c>
      <c r="J1670" s="2" t="s">
        <v>24</v>
      </c>
      <c r="K1670">
        <v>1076.43</v>
      </c>
      <c r="L1670">
        <v>65652.38</v>
      </c>
      <c r="M1670">
        <v>6099.08</v>
      </c>
      <c r="N1670" s="2" t="s">
        <v>125</v>
      </c>
      <c r="O1670" s="2" t="s">
        <v>126</v>
      </c>
      <c r="P1670" s="2" t="s">
        <v>3195</v>
      </c>
      <c r="Q1670" s="2" t="s">
        <v>3196</v>
      </c>
      <c r="R1670" s="2" t="s">
        <v>29</v>
      </c>
      <c r="S1670" s="2" t="s">
        <v>30</v>
      </c>
    </row>
    <row r="1671" spans="1:19">
      <c r="A1671" s="1">
        <v>44652</v>
      </c>
      <c r="B1671" s="1">
        <v>44652</v>
      </c>
      <c r="C1671">
        <v>2022</v>
      </c>
      <c r="D1671">
        <v>4</v>
      </c>
      <c r="E1671" s="2" t="s">
        <v>129</v>
      </c>
      <c r="F1671" s="2" t="s">
        <v>130</v>
      </c>
      <c r="G1671" s="2" t="s">
        <v>21</v>
      </c>
      <c r="H1671" s="2" t="s">
        <v>22</v>
      </c>
      <c r="I1671" s="2" t="s">
        <v>73</v>
      </c>
      <c r="J1671" s="2" t="s">
        <v>24</v>
      </c>
      <c r="K1671">
        <v>1152.8699999999999</v>
      </c>
      <c r="L1671">
        <v>39806.82</v>
      </c>
      <c r="M1671">
        <v>3452.85</v>
      </c>
      <c r="N1671" s="2" t="s">
        <v>131</v>
      </c>
      <c r="O1671" s="2" t="s">
        <v>132</v>
      </c>
      <c r="P1671" s="2" t="s">
        <v>3197</v>
      </c>
      <c r="Q1671" s="2" t="s">
        <v>3198</v>
      </c>
      <c r="R1671" s="2" t="s">
        <v>29</v>
      </c>
      <c r="S1671" s="2" t="s">
        <v>30</v>
      </c>
    </row>
    <row r="1672" spans="1:19">
      <c r="A1672" s="1">
        <v>44652</v>
      </c>
      <c r="B1672" s="1">
        <v>44652</v>
      </c>
      <c r="C1672">
        <v>2022</v>
      </c>
      <c r="D1672">
        <v>4</v>
      </c>
      <c r="E1672" s="2" t="s">
        <v>135</v>
      </c>
      <c r="F1672" s="2" t="s">
        <v>136</v>
      </c>
      <c r="G1672" s="2" t="s">
        <v>21</v>
      </c>
      <c r="H1672" s="2" t="s">
        <v>22</v>
      </c>
      <c r="I1672" s="2" t="s">
        <v>73</v>
      </c>
      <c r="J1672" s="2" t="s">
        <v>101</v>
      </c>
      <c r="K1672">
        <v>2229.3000000000002</v>
      </c>
      <c r="L1672">
        <v>105459.2</v>
      </c>
      <c r="M1672">
        <v>4730.6000000000004</v>
      </c>
      <c r="N1672" s="2" t="s">
        <v>137</v>
      </c>
      <c r="O1672" s="2" t="s">
        <v>138</v>
      </c>
      <c r="P1672" s="2" t="s">
        <v>3199</v>
      </c>
      <c r="Q1672" s="2" t="s">
        <v>3200</v>
      </c>
      <c r="R1672" s="2" t="s">
        <v>29</v>
      </c>
      <c r="S1672" s="2" t="s">
        <v>30</v>
      </c>
    </row>
    <row r="1673" spans="1:19">
      <c r="A1673" s="1">
        <v>44652</v>
      </c>
      <c r="B1673" s="1">
        <v>44652</v>
      </c>
      <c r="C1673">
        <v>2022</v>
      </c>
      <c r="D1673">
        <v>4</v>
      </c>
      <c r="E1673" s="2" t="s">
        <v>141</v>
      </c>
      <c r="F1673" s="2" t="s">
        <v>142</v>
      </c>
      <c r="G1673" s="2" t="s">
        <v>21</v>
      </c>
      <c r="H1673" s="2" t="s">
        <v>22</v>
      </c>
      <c r="I1673" s="2" t="s">
        <v>73</v>
      </c>
      <c r="J1673" s="2" t="s">
        <v>24</v>
      </c>
      <c r="K1673">
        <v>1180.0999999999999</v>
      </c>
      <c r="L1673">
        <v>21531.93</v>
      </c>
      <c r="M1673">
        <v>1824.59</v>
      </c>
      <c r="N1673" s="2" t="s">
        <v>143</v>
      </c>
      <c r="O1673" s="2" t="s">
        <v>144</v>
      </c>
      <c r="P1673" s="2" t="s">
        <v>3201</v>
      </c>
      <c r="Q1673" s="2" t="s">
        <v>3202</v>
      </c>
      <c r="R1673" s="2" t="s">
        <v>29</v>
      </c>
      <c r="S1673" s="2" t="s">
        <v>30</v>
      </c>
    </row>
    <row r="1674" spans="1:19">
      <c r="A1674" s="1">
        <v>44652</v>
      </c>
      <c r="B1674" s="1">
        <v>44652</v>
      </c>
      <c r="C1674">
        <v>2022</v>
      </c>
      <c r="D1674">
        <v>4</v>
      </c>
      <c r="E1674" s="2" t="s">
        <v>147</v>
      </c>
      <c r="F1674" s="2" t="s">
        <v>148</v>
      </c>
      <c r="G1674" s="2" t="s">
        <v>21</v>
      </c>
      <c r="H1674" s="2" t="s">
        <v>22</v>
      </c>
      <c r="I1674" s="2" t="s">
        <v>73</v>
      </c>
      <c r="J1674" s="2" t="s">
        <v>24</v>
      </c>
      <c r="K1674">
        <v>2131.77</v>
      </c>
      <c r="L1674">
        <v>43529.74</v>
      </c>
      <c r="M1674">
        <v>2041.95</v>
      </c>
      <c r="N1674" s="2" t="s">
        <v>149</v>
      </c>
      <c r="O1674" s="2" t="s">
        <v>150</v>
      </c>
      <c r="P1674" s="2" t="s">
        <v>3203</v>
      </c>
      <c r="Q1674" s="2" t="s">
        <v>3204</v>
      </c>
      <c r="R1674" s="2" t="s">
        <v>29</v>
      </c>
      <c r="S1674" s="2" t="s">
        <v>30</v>
      </c>
    </row>
    <row r="1675" spans="1:19">
      <c r="A1675" s="1">
        <v>44652</v>
      </c>
      <c r="B1675" s="1">
        <v>44652</v>
      </c>
      <c r="C1675">
        <v>2022</v>
      </c>
      <c r="D1675">
        <v>4</v>
      </c>
      <c r="E1675" s="2" t="s">
        <v>153</v>
      </c>
      <c r="F1675" s="2" t="s">
        <v>154</v>
      </c>
      <c r="G1675" s="2" t="s">
        <v>21</v>
      </c>
      <c r="H1675" s="2" t="s">
        <v>22</v>
      </c>
      <c r="I1675" s="2" t="s">
        <v>73</v>
      </c>
      <c r="J1675" s="2" t="s">
        <v>101</v>
      </c>
      <c r="K1675">
        <v>3311.87</v>
      </c>
      <c r="L1675">
        <v>65061.67</v>
      </c>
      <c r="M1675">
        <v>1964.5</v>
      </c>
      <c r="N1675" s="2" t="s">
        <v>155</v>
      </c>
      <c r="O1675" s="2" t="s">
        <v>156</v>
      </c>
      <c r="P1675" s="2" t="s">
        <v>3205</v>
      </c>
      <c r="Q1675" s="2" t="s">
        <v>3206</v>
      </c>
      <c r="R1675" s="2" t="s">
        <v>29</v>
      </c>
      <c r="S1675" s="2" t="s">
        <v>30</v>
      </c>
    </row>
    <row r="1676" spans="1:19">
      <c r="A1676" s="1">
        <v>44652</v>
      </c>
      <c r="B1676" s="1">
        <v>44652</v>
      </c>
      <c r="C1676">
        <v>2022</v>
      </c>
      <c r="D1676">
        <v>4</v>
      </c>
      <c r="E1676" s="2" t="s">
        <v>159</v>
      </c>
      <c r="F1676" s="2" t="s">
        <v>160</v>
      </c>
      <c r="G1676" s="2" t="s">
        <v>21</v>
      </c>
      <c r="H1676" s="2" t="s">
        <v>22</v>
      </c>
      <c r="I1676" s="2" t="s">
        <v>66</v>
      </c>
      <c r="J1676" s="2" t="s">
        <v>59</v>
      </c>
      <c r="K1676">
        <v>1121.68</v>
      </c>
      <c r="L1676">
        <v>93616.33</v>
      </c>
      <c r="M1676">
        <v>8346.08</v>
      </c>
      <c r="N1676" s="2" t="s">
        <v>161</v>
      </c>
      <c r="O1676" s="2" t="s">
        <v>162</v>
      </c>
      <c r="P1676" s="2" t="s">
        <v>3207</v>
      </c>
      <c r="Q1676" s="2" t="s">
        <v>3208</v>
      </c>
      <c r="R1676" s="2" t="s">
        <v>29</v>
      </c>
      <c r="S1676" s="2" t="s">
        <v>30</v>
      </c>
    </row>
    <row r="1677" spans="1:19">
      <c r="A1677" s="1">
        <v>44652</v>
      </c>
      <c r="B1677" s="1">
        <v>44652</v>
      </c>
      <c r="C1677">
        <v>2022</v>
      </c>
      <c r="D1677">
        <v>4</v>
      </c>
      <c r="E1677" s="2" t="s">
        <v>165</v>
      </c>
      <c r="F1677" s="2" t="s">
        <v>166</v>
      </c>
      <c r="G1677" s="2" t="s">
        <v>21</v>
      </c>
      <c r="H1677" s="2" t="s">
        <v>22</v>
      </c>
      <c r="I1677" s="2" t="s">
        <v>23</v>
      </c>
      <c r="J1677" s="2" t="s">
        <v>24</v>
      </c>
      <c r="K1677">
        <v>0</v>
      </c>
      <c r="L1677">
        <v>0</v>
      </c>
      <c r="N1677" s="2" t="s">
        <v>167</v>
      </c>
      <c r="O1677" s="2" t="s">
        <v>168</v>
      </c>
      <c r="P1677" s="2" t="s">
        <v>639</v>
      </c>
      <c r="Q1677" s="2" t="s">
        <v>639</v>
      </c>
      <c r="R1677" s="2" t="s">
        <v>29</v>
      </c>
      <c r="S1677" s="2" t="s">
        <v>30</v>
      </c>
    </row>
    <row r="1678" spans="1:19">
      <c r="A1678" s="1">
        <v>44652</v>
      </c>
      <c r="B1678" s="1">
        <v>44652</v>
      </c>
      <c r="C1678">
        <v>2022</v>
      </c>
      <c r="D1678">
        <v>4</v>
      </c>
      <c r="E1678" s="2" t="s">
        <v>171</v>
      </c>
      <c r="F1678" s="2" t="s">
        <v>172</v>
      </c>
      <c r="G1678" s="2" t="s">
        <v>21</v>
      </c>
      <c r="H1678" s="2" t="s">
        <v>22</v>
      </c>
      <c r="I1678" s="2" t="s">
        <v>66</v>
      </c>
      <c r="J1678" s="2" t="s">
        <v>24</v>
      </c>
      <c r="N1678" s="2" t="s">
        <v>173</v>
      </c>
      <c r="O1678" s="2" t="s">
        <v>174</v>
      </c>
      <c r="P1678" s="2" t="s">
        <v>175</v>
      </c>
      <c r="Q1678" s="2" t="s">
        <v>175</v>
      </c>
      <c r="R1678" s="2" t="s">
        <v>640</v>
      </c>
      <c r="S1678" s="2" t="s">
        <v>641</v>
      </c>
    </row>
    <row r="1679" spans="1:19">
      <c r="A1679" s="1">
        <v>44652</v>
      </c>
      <c r="B1679" s="1">
        <v>44652</v>
      </c>
      <c r="C1679">
        <v>2022</v>
      </c>
      <c r="D1679">
        <v>4</v>
      </c>
      <c r="E1679" s="2" t="s">
        <v>177</v>
      </c>
      <c r="F1679" s="2" t="s">
        <v>178</v>
      </c>
      <c r="G1679" s="2" t="s">
        <v>21</v>
      </c>
      <c r="H1679" s="2" t="s">
        <v>22</v>
      </c>
      <c r="I1679" s="2" t="s">
        <v>23</v>
      </c>
      <c r="J1679" s="2" t="s">
        <v>24</v>
      </c>
      <c r="K1679">
        <v>4716.26</v>
      </c>
      <c r="L1679">
        <v>444669.9</v>
      </c>
      <c r="M1679">
        <v>9428.44</v>
      </c>
      <c r="N1679" s="2" t="s">
        <v>179</v>
      </c>
      <c r="O1679" s="2" t="s">
        <v>180</v>
      </c>
      <c r="P1679" s="2" t="s">
        <v>3209</v>
      </c>
      <c r="Q1679" s="2" t="s">
        <v>3210</v>
      </c>
      <c r="R1679" s="2" t="s">
        <v>29</v>
      </c>
      <c r="S1679" s="2" t="s">
        <v>30</v>
      </c>
    </row>
    <row r="1680" spans="1:19">
      <c r="A1680" s="1">
        <v>44652</v>
      </c>
      <c r="B1680" s="1">
        <v>44652</v>
      </c>
      <c r="C1680">
        <v>2022</v>
      </c>
      <c r="D1680">
        <v>4</v>
      </c>
      <c r="E1680" s="2" t="s">
        <v>183</v>
      </c>
      <c r="F1680" s="2" t="s">
        <v>184</v>
      </c>
      <c r="G1680" s="2" t="s">
        <v>185</v>
      </c>
      <c r="H1680" s="2" t="s">
        <v>22</v>
      </c>
      <c r="I1680" s="2" t="s">
        <v>186</v>
      </c>
      <c r="J1680" s="2" t="s">
        <v>24</v>
      </c>
      <c r="K1680">
        <v>2703.63</v>
      </c>
      <c r="L1680">
        <v>2922621.96</v>
      </c>
      <c r="M1680">
        <v>108099.92</v>
      </c>
      <c r="N1680" s="2" t="s">
        <v>187</v>
      </c>
      <c r="O1680" s="2" t="s">
        <v>188</v>
      </c>
      <c r="P1680" s="2" t="s">
        <v>3211</v>
      </c>
      <c r="Q1680" s="2" t="s">
        <v>3212</v>
      </c>
      <c r="R1680" s="2" t="s">
        <v>29</v>
      </c>
      <c r="S1680" s="2" t="s">
        <v>30</v>
      </c>
    </row>
    <row r="1681" spans="1:19">
      <c r="A1681" s="1">
        <v>44652</v>
      </c>
      <c r="B1681" s="1">
        <v>44652</v>
      </c>
      <c r="C1681">
        <v>2022</v>
      </c>
      <c r="D1681">
        <v>4</v>
      </c>
      <c r="E1681" s="2" t="s">
        <v>191</v>
      </c>
      <c r="F1681" s="2" t="s">
        <v>192</v>
      </c>
      <c r="G1681" s="2" t="s">
        <v>185</v>
      </c>
      <c r="H1681" s="2" t="s">
        <v>22</v>
      </c>
      <c r="I1681" s="2" t="s">
        <v>186</v>
      </c>
      <c r="J1681" s="2" t="s">
        <v>24</v>
      </c>
      <c r="K1681">
        <v>967.14</v>
      </c>
      <c r="L1681">
        <v>4297280.99</v>
      </c>
      <c r="M1681">
        <v>444328.74</v>
      </c>
      <c r="N1681" s="2" t="s">
        <v>193</v>
      </c>
      <c r="O1681" s="2" t="s">
        <v>194</v>
      </c>
      <c r="P1681" s="2" t="s">
        <v>3213</v>
      </c>
      <c r="Q1681" s="2" t="s">
        <v>3214</v>
      </c>
      <c r="R1681" s="2" t="s">
        <v>29</v>
      </c>
      <c r="S1681" s="2" t="s">
        <v>30</v>
      </c>
    </row>
    <row r="1682" spans="1:19">
      <c r="A1682" s="1">
        <v>44652</v>
      </c>
      <c r="B1682" s="1">
        <v>44652</v>
      </c>
      <c r="C1682">
        <v>2022</v>
      </c>
      <c r="D1682">
        <v>4</v>
      </c>
      <c r="E1682" s="2" t="s">
        <v>197</v>
      </c>
      <c r="F1682" s="2" t="s">
        <v>198</v>
      </c>
      <c r="G1682" s="2" t="s">
        <v>185</v>
      </c>
      <c r="H1682" s="2" t="s">
        <v>22</v>
      </c>
      <c r="I1682" s="2" t="s">
        <v>186</v>
      </c>
      <c r="J1682" s="2" t="s">
        <v>59</v>
      </c>
      <c r="K1682">
        <v>3670.77</v>
      </c>
      <c r="L1682">
        <v>7219902.9500000002</v>
      </c>
      <c r="M1682">
        <v>196686.33</v>
      </c>
      <c r="N1682" s="2" t="s">
        <v>199</v>
      </c>
      <c r="O1682" s="2" t="s">
        <v>200</v>
      </c>
      <c r="P1682" s="2" t="s">
        <v>3215</v>
      </c>
      <c r="Q1682" s="2" t="s">
        <v>3216</v>
      </c>
      <c r="R1682" s="2" t="s">
        <v>29</v>
      </c>
      <c r="S1682" s="2" t="s">
        <v>30</v>
      </c>
    </row>
    <row r="1683" spans="1:19">
      <c r="A1683" s="1">
        <v>44652</v>
      </c>
      <c r="B1683" s="1">
        <v>44652</v>
      </c>
      <c r="C1683">
        <v>2022</v>
      </c>
      <c r="D1683">
        <v>4</v>
      </c>
      <c r="E1683" s="2" t="s">
        <v>203</v>
      </c>
      <c r="F1683" s="2" t="s">
        <v>204</v>
      </c>
      <c r="G1683" s="2" t="s">
        <v>39</v>
      </c>
      <c r="H1683" s="2" t="s">
        <v>22</v>
      </c>
      <c r="I1683" s="2" t="s">
        <v>40</v>
      </c>
      <c r="J1683" s="2" t="s">
        <v>24</v>
      </c>
      <c r="K1683">
        <v>984.19</v>
      </c>
      <c r="L1683">
        <v>27823.8</v>
      </c>
      <c r="M1683">
        <v>2827.08</v>
      </c>
      <c r="N1683" s="2" t="s">
        <v>205</v>
      </c>
      <c r="O1683" s="2" t="s">
        <v>206</v>
      </c>
      <c r="P1683" s="2" t="s">
        <v>3217</v>
      </c>
      <c r="Q1683" s="2" t="s">
        <v>3218</v>
      </c>
      <c r="R1683" s="2" t="s">
        <v>29</v>
      </c>
      <c r="S1683" s="2" t="s">
        <v>30</v>
      </c>
    </row>
    <row r="1684" spans="1:19">
      <c r="A1684" s="1">
        <v>44652</v>
      </c>
      <c r="B1684" s="1">
        <v>44652</v>
      </c>
      <c r="C1684">
        <v>2022</v>
      </c>
      <c r="D1684">
        <v>4</v>
      </c>
      <c r="E1684" s="2" t="s">
        <v>209</v>
      </c>
      <c r="F1684" s="2" t="s">
        <v>210</v>
      </c>
      <c r="G1684" s="2" t="s">
        <v>39</v>
      </c>
      <c r="H1684" s="2" t="s">
        <v>22</v>
      </c>
      <c r="I1684" s="2" t="s">
        <v>40</v>
      </c>
      <c r="J1684" s="2" t="s">
        <v>59</v>
      </c>
      <c r="K1684">
        <v>984.19</v>
      </c>
      <c r="L1684">
        <v>27823.8</v>
      </c>
      <c r="M1684">
        <v>2827.08</v>
      </c>
      <c r="N1684" s="2" t="s">
        <v>211</v>
      </c>
      <c r="O1684" s="2" t="s">
        <v>212</v>
      </c>
      <c r="P1684" s="2" t="s">
        <v>3217</v>
      </c>
      <c r="Q1684" s="2" t="s">
        <v>3218</v>
      </c>
      <c r="R1684" s="2" t="s">
        <v>29</v>
      </c>
      <c r="S1684" s="2" t="s">
        <v>30</v>
      </c>
    </row>
    <row r="1685" spans="1:19">
      <c r="A1685" s="1">
        <v>44652</v>
      </c>
      <c r="B1685" s="1">
        <v>44652</v>
      </c>
      <c r="C1685">
        <v>2022</v>
      </c>
      <c r="D1685">
        <v>4</v>
      </c>
      <c r="E1685" s="2" t="s">
        <v>213</v>
      </c>
      <c r="F1685" s="2" t="s">
        <v>214</v>
      </c>
      <c r="G1685" s="2" t="s">
        <v>185</v>
      </c>
      <c r="H1685" s="2" t="s">
        <v>22</v>
      </c>
      <c r="I1685" s="2" t="s">
        <v>215</v>
      </c>
      <c r="J1685" s="2" t="s">
        <v>24</v>
      </c>
      <c r="K1685">
        <v>49476.83</v>
      </c>
      <c r="L1685">
        <v>1294369.58</v>
      </c>
      <c r="M1685">
        <v>2616.11</v>
      </c>
      <c r="N1685" s="2" t="s">
        <v>216</v>
      </c>
      <c r="O1685" s="2" t="s">
        <v>217</v>
      </c>
      <c r="P1685" s="2" t="s">
        <v>3219</v>
      </c>
      <c r="Q1685" s="2" t="s">
        <v>3220</v>
      </c>
      <c r="R1685" s="2" t="s">
        <v>29</v>
      </c>
      <c r="S1685" s="2" t="s">
        <v>30</v>
      </c>
    </row>
    <row r="1686" spans="1:19">
      <c r="A1686" s="1">
        <v>44652</v>
      </c>
      <c r="B1686" s="1">
        <v>44652</v>
      </c>
      <c r="C1686">
        <v>2022</v>
      </c>
      <c r="D1686">
        <v>4</v>
      </c>
      <c r="E1686" s="2" t="s">
        <v>220</v>
      </c>
      <c r="F1686" s="2" t="s">
        <v>221</v>
      </c>
      <c r="G1686" s="2" t="s">
        <v>185</v>
      </c>
      <c r="H1686" s="2" t="s">
        <v>22</v>
      </c>
      <c r="I1686" s="2" t="s">
        <v>215</v>
      </c>
      <c r="J1686" s="2" t="s">
        <v>24</v>
      </c>
      <c r="K1686">
        <v>4515.8500000000004</v>
      </c>
      <c r="L1686">
        <v>312809.62</v>
      </c>
      <c r="M1686">
        <v>6926.93</v>
      </c>
      <c r="N1686" s="2" t="s">
        <v>222</v>
      </c>
      <c r="O1686" s="2" t="s">
        <v>223</v>
      </c>
      <c r="P1686" s="2" t="s">
        <v>3221</v>
      </c>
      <c r="Q1686" s="2" t="s">
        <v>3222</v>
      </c>
      <c r="R1686" s="2" t="s">
        <v>29</v>
      </c>
      <c r="S1686" s="2" t="s">
        <v>30</v>
      </c>
    </row>
    <row r="1687" spans="1:19">
      <c r="A1687" s="1">
        <v>44652</v>
      </c>
      <c r="B1687" s="1">
        <v>44652</v>
      </c>
      <c r="C1687">
        <v>2022</v>
      </c>
      <c r="D1687">
        <v>4</v>
      </c>
      <c r="E1687" s="2" t="s">
        <v>226</v>
      </c>
      <c r="F1687" s="2" t="s">
        <v>227</v>
      </c>
      <c r="G1687" s="2" t="s">
        <v>185</v>
      </c>
      <c r="H1687" s="2" t="s">
        <v>22</v>
      </c>
      <c r="I1687" s="2" t="s">
        <v>215</v>
      </c>
      <c r="J1687" s="2" t="s">
        <v>59</v>
      </c>
      <c r="K1687">
        <v>53992.68</v>
      </c>
      <c r="L1687">
        <v>1607179.21</v>
      </c>
      <c r="M1687">
        <v>2976.66</v>
      </c>
      <c r="N1687" s="2" t="s">
        <v>228</v>
      </c>
      <c r="O1687" s="2" t="s">
        <v>229</v>
      </c>
      <c r="P1687" s="2" t="s">
        <v>3223</v>
      </c>
      <c r="Q1687" s="2" t="s">
        <v>3224</v>
      </c>
      <c r="R1687" s="2" t="s">
        <v>29</v>
      </c>
      <c r="S1687" s="2" t="s">
        <v>30</v>
      </c>
    </row>
    <row r="1688" spans="1:19">
      <c r="A1688" s="1">
        <v>44652</v>
      </c>
      <c r="B1688" s="1">
        <v>44652</v>
      </c>
      <c r="C1688">
        <v>2022</v>
      </c>
      <c r="D1688">
        <v>4</v>
      </c>
      <c r="E1688" s="2" t="s">
        <v>232</v>
      </c>
      <c r="F1688" s="2" t="s">
        <v>233</v>
      </c>
      <c r="G1688" s="2" t="s">
        <v>21</v>
      </c>
      <c r="H1688" s="2" t="s">
        <v>22</v>
      </c>
      <c r="I1688" s="2" t="s">
        <v>23</v>
      </c>
      <c r="J1688" s="2" t="s">
        <v>24</v>
      </c>
      <c r="K1688">
        <v>1329.76</v>
      </c>
      <c r="L1688">
        <v>112353.85</v>
      </c>
      <c r="M1688">
        <v>8449.18</v>
      </c>
      <c r="N1688" s="2" t="s">
        <v>234</v>
      </c>
      <c r="O1688" s="2" t="s">
        <v>235</v>
      </c>
      <c r="P1688" s="2" t="s">
        <v>3225</v>
      </c>
      <c r="Q1688" s="2" t="s">
        <v>3226</v>
      </c>
      <c r="R1688" s="2" t="s">
        <v>29</v>
      </c>
      <c r="S1688" s="2" t="s">
        <v>30</v>
      </c>
    </row>
    <row r="1689" spans="1:19">
      <c r="A1689" s="1">
        <v>44652</v>
      </c>
      <c r="B1689" s="1">
        <v>44652</v>
      </c>
      <c r="C1689">
        <v>2022</v>
      </c>
      <c r="D1689">
        <v>4</v>
      </c>
      <c r="E1689" s="2" t="s">
        <v>238</v>
      </c>
      <c r="F1689" s="2" t="s">
        <v>239</v>
      </c>
      <c r="G1689" s="2" t="s">
        <v>21</v>
      </c>
      <c r="H1689" s="2" t="s">
        <v>22</v>
      </c>
      <c r="I1689" s="2" t="s">
        <v>66</v>
      </c>
      <c r="J1689" s="2" t="s">
        <v>24</v>
      </c>
      <c r="K1689">
        <v>996.72</v>
      </c>
      <c r="L1689">
        <v>92902.11</v>
      </c>
      <c r="M1689">
        <v>9320.7800000000007</v>
      </c>
      <c r="N1689" s="2" t="s">
        <v>240</v>
      </c>
      <c r="O1689" s="2" t="s">
        <v>241</v>
      </c>
      <c r="P1689" s="2" t="s">
        <v>3227</v>
      </c>
      <c r="Q1689" s="2" t="s">
        <v>3228</v>
      </c>
      <c r="R1689" s="2" t="s">
        <v>29</v>
      </c>
      <c r="S1689" s="2" t="s">
        <v>30</v>
      </c>
    </row>
    <row r="1690" spans="1:19">
      <c r="A1690" s="1">
        <v>44652</v>
      </c>
      <c r="B1690" s="1">
        <v>44652</v>
      </c>
      <c r="C1690">
        <v>2022</v>
      </c>
      <c r="D1690">
        <v>4</v>
      </c>
      <c r="E1690" s="2" t="s">
        <v>244</v>
      </c>
      <c r="F1690" s="2" t="s">
        <v>245</v>
      </c>
      <c r="G1690" s="2" t="s">
        <v>21</v>
      </c>
      <c r="H1690" s="2" t="s">
        <v>22</v>
      </c>
      <c r="I1690" s="2" t="s">
        <v>23</v>
      </c>
      <c r="J1690" s="2" t="s">
        <v>24</v>
      </c>
      <c r="K1690">
        <v>3737.59</v>
      </c>
      <c r="L1690">
        <v>2498586.9</v>
      </c>
      <c r="M1690">
        <v>66850.210000000006</v>
      </c>
      <c r="N1690" s="2" t="s">
        <v>246</v>
      </c>
      <c r="O1690" s="2" t="s">
        <v>247</v>
      </c>
      <c r="P1690" s="2" t="s">
        <v>3229</v>
      </c>
      <c r="Q1690" s="2" t="s">
        <v>3230</v>
      </c>
      <c r="R1690" s="2" t="s">
        <v>29</v>
      </c>
      <c r="S1690" s="2" t="s">
        <v>30</v>
      </c>
    </row>
    <row r="1691" spans="1:19">
      <c r="A1691" s="1">
        <v>44652</v>
      </c>
      <c r="B1691" s="1">
        <v>44652</v>
      </c>
      <c r="C1691">
        <v>2022</v>
      </c>
      <c r="D1691">
        <v>4</v>
      </c>
      <c r="E1691" s="2" t="s">
        <v>250</v>
      </c>
      <c r="F1691" s="2" t="s">
        <v>251</v>
      </c>
      <c r="G1691" s="2" t="s">
        <v>21</v>
      </c>
      <c r="H1691" s="2" t="s">
        <v>22</v>
      </c>
      <c r="I1691" s="2" t="s">
        <v>66</v>
      </c>
      <c r="J1691" s="2" t="s">
        <v>24</v>
      </c>
      <c r="K1691">
        <v>108.2</v>
      </c>
      <c r="L1691">
        <v>134.69</v>
      </c>
      <c r="M1691">
        <v>124.48</v>
      </c>
      <c r="N1691" s="2" t="s">
        <v>252</v>
      </c>
      <c r="O1691" s="2" t="s">
        <v>253</v>
      </c>
      <c r="P1691" s="2" t="s">
        <v>3231</v>
      </c>
      <c r="Q1691" s="2" t="s">
        <v>3232</v>
      </c>
      <c r="R1691" s="2" t="s">
        <v>29</v>
      </c>
      <c r="S1691" s="2" t="s">
        <v>30</v>
      </c>
    </row>
    <row r="1692" spans="1:19">
      <c r="A1692" s="1">
        <v>44652</v>
      </c>
      <c r="B1692" s="1">
        <v>44652</v>
      </c>
      <c r="C1692">
        <v>2022</v>
      </c>
      <c r="D1692">
        <v>4</v>
      </c>
      <c r="E1692" s="2" t="s">
        <v>256</v>
      </c>
      <c r="F1692" s="2" t="s">
        <v>257</v>
      </c>
      <c r="G1692" s="2" t="s">
        <v>21</v>
      </c>
      <c r="H1692" s="2" t="s">
        <v>22</v>
      </c>
      <c r="I1692" s="2" t="s">
        <v>258</v>
      </c>
      <c r="J1692" s="2" t="s">
        <v>24</v>
      </c>
      <c r="K1692">
        <v>624.01</v>
      </c>
      <c r="L1692">
        <v>670259.6</v>
      </c>
      <c r="M1692">
        <v>107411.68</v>
      </c>
      <c r="N1692" s="2" t="s">
        <v>259</v>
      </c>
      <c r="O1692" s="2" t="s">
        <v>260</v>
      </c>
      <c r="P1692" s="2" t="s">
        <v>3233</v>
      </c>
      <c r="Q1692" s="2" t="s">
        <v>3234</v>
      </c>
      <c r="R1692" s="2" t="s">
        <v>29</v>
      </c>
      <c r="S1692" s="2" t="s">
        <v>30</v>
      </c>
    </row>
    <row r="1693" spans="1:19">
      <c r="A1693" s="1">
        <v>44652</v>
      </c>
      <c r="B1693" s="1">
        <v>44652</v>
      </c>
      <c r="C1693">
        <v>2022</v>
      </c>
      <c r="D1693">
        <v>4</v>
      </c>
      <c r="E1693" s="2" t="s">
        <v>263</v>
      </c>
      <c r="F1693" s="2" t="s">
        <v>264</v>
      </c>
      <c r="G1693" s="2" t="s">
        <v>21</v>
      </c>
      <c r="H1693" s="2" t="s">
        <v>22</v>
      </c>
      <c r="I1693" s="2" t="s">
        <v>258</v>
      </c>
      <c r="J1693" s="2" t="s">
        <v>24</v>
      </c>
      <c r="K1693">
        <v>0</v>
      </c>
      <c r="L1693">
        <v>0</v>
      </c>
      <c r="N1693" s="2" t="s">
        <v>265</v>
      </c>
      <c r="O1693" s="2" t="s">
        <v>266</v>
      </c>
      <c r="P1693" s="2" t="s">
        <v>639</v>
      </c>
      <c r="Q1693" s="2" t="s">
        <v>639</v>
      </c>
      <c r="R1693" s="2" t="s">
        <v>29</v>
      </c>
      <c r="S1693" s="2" t="s">
        <v>30</v>
      </c>
    </row>
    <row r="1694" spans="1:19">
      <c r="A1694" s="1">
        <v>44652</v>
      </c>
      <c r="B1694" s="1">
        <v>44652</v>
      </c>
      <c r="C1694">
        <v>2022</v>
      </c>
      <c r="D1694">
        <v>4</v>
      </c>
      <c r="E1694" s="2" t="s">
        <v>269</v>
      </c>
      <c r="F1694" s="2" t="s">
        <v>270</v>
      </c>
      <c r="G1694" s="2" t="s">
        <v>21</v>
      </c>
      <c r="H1694" s="2" t="s">
        <v>22</v>
      </c>
      <c r="I1694" s="2" t="s">
        <v>258</v>
      </c>
      <c r="J1694" s="2" t="s">
        <v>59</v>
      </c>
      <c r="K1694">
        <v>624.01</v>
      </c>
      <c r="L1694">
        <v>670259.6</v>
      </c>
      <c r="M1694">
        <v>107411.68</v>
      </c>
      <c r="N1694" s="2" t="s">
        <v>271</v>
      </c>
      <c r="O1694" s="2" t="s">
        <v>272</v>
      </c>
      <c r="P1694" s="2" t="s">
        <v>3233</v>
      </c>
      <c r="Q1694" s="2" t="s">
        <v>3234</v>
      </c>
      <c r="R1694" s="2" t="s">
        <v>29</v>
      </c>
      <c r="S1694" s="2" t="s">
        <v>30</v>
      </c>
    </row>
    <row r="1695" spans="1:19">
      <c r="A1695" s="1">
        <v>44652</v>
      </c>
      <c r="B1695" s="1">
        <v>44652</v>
      </c>
      <c r="C1695">
        <v>2022</v>
      </c>
      <c r="D1695">
        <v>4</v>
      </c>
      <c r="E1695" s="2" t="s">
        <v>275</v>
      </c>
      <c r="F1695" s="2" t="s">
        <v>276</v>
      </c>
      <c r="G1695" s="2" t="s">
        <v>39</v>
      </c>
      <c r="H1695" s="2" t="s">
        <v>22</v>
      </c>
      <c r="I1695" s="2" t="s">
        <v>40</v>
      </c>
      <c r="J1695" s="2" t="s">
        <v>24</v>
      </c>
      <c r="K1695">
        <v>2.2400000000000002</v>
      </c>
      <c r="L1695">
        <v>21.92</v>
      </c>
      <c r="M1695">
        <v>978.57</v>
      </c>
      <c r="N1695" s="2" t="s">
        <v>277</v>
      </c>
      <c r="O1695" s="2" t="s">
        <v>278</v>
      </c>
      <c r="P1695" s="2" t="s">
        <v>1795</v>
      </c>
      <c r="Q1695" s="2" t="s">
        <v>3235</v>
      </c>
      <c r="R1695" s="2" t="s">
        <v>29</v>
      </c>
      <c r="S1695" s="2" t="s">
        <v>30</v>
      </c>
    </row>
    <row r="1696" spans="1:19">
      <c r="A1696" s="1">
        <v>44652</v>
      </c>
      <c r="B1696" s="1">
        <v>44652</v>
      </c>
      <c r="C1696">
        <v>2022</v>
      </c>
      <c r="D1696">
        <v>4</v>
      </c>
      <c r="E1696" s="2" t="s">
        <v>281</v>
      </c>
      <c r="F1696" s="2" t="s">
        <v>282</v>
      </c>
      <c r="G1696" s="2" t="s">
        <v>39</v>
      </c>
      <c r="H1696" s="2" t="s">
        <v>22</v>
      </c>
      <c r="I1696" s="2" t="s">
        <v>40</v>
      </c>
      <c r="J1696" s="2" t="s">
        <v>24</v>
      </c>
      <c r="K1696">
        <v>0.08</v>
      </c>
      <c r="L1696">
        <v>0.51</v>
      </c>
      <c r="M1696">
        <v>637.5</v>
      </c>
      <c r="N1696" s="2" t="s">
        <v>283</v>
      </c>
      <c r="O1696" s="2" t="s">
        <v>284</v>
      </c>
      <c r="P1696" s="2" t="s">
        <v>1393</v>
      </c>
      <c r="Q1696" s="2" t="s">
        <v>1646</v>
      </c>
      <c r="R1696" s="2" t="s">
        <v>29</v>
      </c>
      <c r="S1696" s="2" t="s">
        <v>30</v>
      </c>
    </row>
    <row r="1697" spans="1:19">
      <c r="A1697" s="1">
        <v>44652</v>
      </c>
      <c r="B1697" s="1">
        <v>44652</v>
      </c>
      <c r="C1697">
        <v>2022</v>
      </c>
      <c r="D1697">
        <v>4</v>
      </c>
      <c r="E1697" s="2" t="s">
        <v>287</v>
      </c>
      <c r="F1697" s="2" t="s">
        <v>288</v>
      </c>
      <c r="G1697" s="2" t="s">
        <v>39</v>
      </c>
      <c r="H1697" s="2" t="s">
        <v>22</v>
      </c>
      <c r="I1697" s="2" t="s">
        <v>40</v>
      </c>
      <c r="J1697" s="2" t="s">
        <v>59</v>
      </c>
      <c r="K1697">
        <v>2.3199999999999998</v>
      </c>
      <c r="L1697">
        <v>22.43</v>
      </c>
      <c r="M1697">
        <v>966.81</v>
      </c>
      <c r="N1697" s="2" t="s">
        <v>289</v>
      </c>
      <c r="O1697" s="2" t="s">
        <v>290</v>
      </c>
      <c r="P1697" s="2" t="s">
        <v>1750</v>
      </c>
      <c r="Q1697" s="2" t="s">
        <v>3236</v>
      </c>
      <c r="R1697" s="2" t="s">
        <v>29</v>
      </c>
      <c r="S1697" s="2" t="s">
        <v>30</v>
      </c>
    </row>
    <row r="1698" spans="1:19">
      <c r="A1698" s="1">
        <v>44652</v>
      </c>
      <c r="B1698" s="1">
        <v>44652</v>
      </c>
      <c r="C1698">
        <v>2022</v>
      </c>
      <c r="D1698">
        <v>4</v>
      </c>
      <c r="E1698" s="2" t="s">
        <v>293</v>
      </c>
      <c r="F1698" s="2" t="s">
        <v>294</v>
      </c>
      <c r="G1698" s="2" t="s">
        <v>21</v>
      </c>
      <c r="H1698" s="2" t="s">
        <v>22</v>
      </c>
      <c r="I1698" s="2" t="s">
        <v>295</v>
      </c>
      <c r="J1698" s="2" t="s">
        <v>24</v>
      </c>
      <c r="K1698">
        <v>1249.7</v>
      </c>
      <c r="L1698">
        <v>2770.12</v>
      </c>
      <c r="M1698">
        <v>221.66</v>
      </c>
      <c r="N1698" s="2" t="s">
        <v>296</v>
      </c>
      <c r="O1698" s="2" t="s">
        <v>297</v>
      </c>
      <c r="P1698" s="2" t="s">
        <v>3237</v>
      </c>
      <c r="Q1698" s="2" t="s">
        <v>3238</v>
      </c>
      <c r="R1698" s="2" t="s">
        <v>29</v>
      </c>
      <c r="S1698" s="2" t="s">
        <v>30</v>
      </c>
    </row>
    <row r="1699" spans="1:19">
      <c r="A1699" s="1">
        <v>44652</v>
      </c>
      <c r="B1699" s="1">
        <v>44652</v>
      </c>
      <c r="C1699">
        <v>2022</v>
      </c>
      <c r="D1699">
        <v>4</v>
      </c>
      <c r="E1699" s="2" t="s">
        <v>300</v>
      </c>
      <c r="F1699" s="2" t="s">
        <v>301</v>
      </c>
      <c r="G1699" s="2" t="s">
        <v>21</v>
      </c>
      <c r="H1699" s="2" t="s">
        <v>22</v>
      </c>
      <c r="I1699" s="2" t="s">
        <v>295</v>
      </c>
      <c r="J1699" s="2" t="s">
        <v>24</v>
      </c>
      <c r="K1699">
        <v>169.32</v>
      </c>
      <c r="L1699">
        <v>3186.83</v>
      </c>
      <c r="M1699">
        <v>1882.13</v>
      </c>
      <c r="N1699" s="2" t="s">
        <v>302</v>
      </c>
      <c r="O1699" s="2" t="s">
        <v>303</v>
      </c>
      <c r="P1699" s="2" t="s">
        <v>3239</v>
      </c>
      <c r="Q1699" s="2" t="s">
        <v>3240</v>
      </c>
      <c r="R1699" s="2" t="s">
        <v>29</v>
      </c>
      <c r="S1699" s="2" t="s">
        <v>30</v>
      </c>
    </row>
    <row r="1700" spans="1:19">
      <c r="A1700" s="1">
        <v>44652</v>
      </c>
      <c r="B1700" s="1">
        <v>44652</v>
      </c>
      <c r="C1700">
        <v>2022</v>
      </c>
      <c r="D1700">
        <v>4</v>
      </c>
      <c r="E1700" s="2" t="s">
        <v>306</v>
      </c>
      <c r="F1700" s="2" t="s">
        <v>307</v>
      </c>
      <c r="G1700" s="2" t="s">
        <v>21</v>
      </c>
      <c r="H1700" s="2" t="s">
        <v>22</v>
      </c>
      <c r="I1700" s="2" t="s">
        <v>295</v>
      </c>
      <c r="J1700" s="2" t="s">
        <v>101</v>
      </c>
      <c r="K1700">
        <v>1419.02</v>
      </c>
      <c r="L1700">
        <v>5956.96</v>
      </c>
      <c r="M1700">
        <v>419.79</v>
      </c>
      <c r="N1700" s="2" t="s">
        <v>308</v>
      </c>
      <c r="O1700" s="2" t="s">
        <v>309</v>
      </c>
      <c r="P1700" s="2" t="s">
        <v>3241</v>
      </c>
      <c r="Q1700" s="2" t="s">
        <v>3242</v>
      </c>
      <c r="R1700" s="2" t="s">
        <v>29</v>
      </c>
      <c r="S1700" s="2" t="s">
        <v>30</v>
      </c>
    </row>
    <row r="1701" spans="1:19">
      <c r="A1701" s="1">
        <v>44652</v>
      </c>
      <c r="B1701" s="1">
        <v>44652</v>
      </c>
      <c r="C1701">
        <v>2022</v>
      </c>
      <c r="D1701">
        <v>4</v>
      </c>
      <c r="E1701" s="2" t="s">
        <v>312</v>
      </c>
      <c r="F1701" s="2" t="s">
        <v>313</v>
      </c>
      <c r="G1701" s="2" t="s">
        <v>21</v>
      </c>
      <c r="H1701" s="2" t="s">
        <v>22</v>
      </c>
      <c r="I1701" s="2" t="s">
        <v>295</v>
      </c>
      <c r="J1701" s="2" t="s">
        <v>59</v>
      </c>
      <c r="K1701">
        <v>6455.19</v>
      </c>
      <c r="L1701">
        <v>25316.57</v>
      </c>
      <c r="M1701">
        <v>392.19</v>
      </c>
      <c r="N1701" s="2" t="s">
        <v>314</v>
      </c>
      <c r="O1701" s="2" t="s">
        <v>315</v>
      </c>
      <c r="P1701" s="2" t="s">
        <v>3243</v>
      </c>
      <c r="Q1701" s="2" t="s">
        <v>3244</v>
      </c>
      <c r="R1701" s="2" t="s">
        <v>29</v>
      </c>
      <c r="S1701" s="2" t="s">
        <v>30</v>
      </c>
    </row>
    <row r="1702" spans="1:19">
      <c r="A1702" s="1">
        <v>44652</v>
      </c>
      <c r="B1702" s="1">
        <v>44652</v>
      </c>
      <c r="C1702">
        <v>2022</v>
      </c>
      <c r="D1702">
        <v>4</v>
      </c>
      <c r="E1702" s="2" t="s">
        <v>318</v>
      </c>
      <c r="F1702" s="2" t="s">
        <v>319</v>
      </c>
      <c r="G1702" s="2" t="s">
        <v>21</v>
      </c>
      <c r="H1702" s="2" t="s">
        <v>22</v>
      </c>
      <c r="I1702" s="2" t="s">
        <v>295</v>
      </c>
      <c r="J1702" s="2" t="s">
        <v>24</v>
      </c>
      <c r="K1702">
        <v>5036.17</v>
      </c>
      <c r="L1702">
        <v>19359.61</v>
      </c>
      <c r="M1702">
        <v>384.41</v>
      </c>
      <c r="N1702" s="2" t="s">
        <v>320</v>
      </c>
      <c r="O1702" s="2" t="s">
        <v>321</v>
      </c>
      <c r="P1702" s="2" t="s">
        <v>3245</v>
      </c>
      <c r="Q1702" s="2" t="s">
        <v>3246</v>
      </c>
      <c r="R1702" s="2" t="s">
        <v>29</v>
      </c>
      <c r="S1702" s="2" t="s">
        <v>30</v>
      </c>
    </row>
    <row r="1703" spans="1:19">
      <c r="A1703" s="1">
        <v>44652</v>
      </c>
      <c r="B1703" s="1">
        <v>44652</v>
      </c>
      <c r="C1703">
        <v>2022</v>
      </c>
      <c r="D1703">
        <v>4</v>
      </c>
      <c r="E1703" s="2" t="s">
        <v>324</v>
      </c>
      <c r="F1703" s="2" t="s">
        <v>325</v>
      </c>
      <c r="G1703" s="2" t="s">
        <v>21</v>
      </c>
      <c r="H1703" s="2" t="s">
        <v>22</v>
      </c>
      <c r="I1703" s="2" t="s">
        <v>23</v>
      </c>
      <c r="J1703" s="2" t="s">
        <v>59</v>
      </c>
      <c r="K1703">
        <v>66747.570000000007</v>
      </c>
      <c r="L1703">
        <v>4050335.04</v>
      </c>
      <c r="M1703">
        <v>6068.14</v>
      </c>
      <c r="N1703" s="2" t="s">
        <v>326</v>
      </c>
      <c r="O1703" s="2" t="s">
        <v>327</v>
      </c>
      <c r="P1703" s="2" t="s">
        <v>3247</v>
      </c>
      <c r="Q1703" s="2" t="s">
        <v>3248</v>
      </c>
      <c r="R1703" s="2" t="s">
        <v>29</v>
      </c>
      <c r="S1703" s="2" t="s">
        <v>30</v>
      </c>
    </row>
    <row r="1704" spans="1:19">
      <c r="A1704" s="1">
        <v>44652</v>
      </c>
      <c r="B1704" s="1">
        <v>44652</v>
      </c>
      <c r="C1704">
        <v>2022</v>
      </c>
      <c r="D1704">
        <v>4</v>
      </c>
      <c r="E1704" s="2" t="s">
        <v>330</v>
      </c>
      <c r="F1704" s="2" t="s">
        <v>331</v>
      </c>
      <c r="G1704" s="2" t="s">
        <v>21</v>
      </c>
      <c r="H1704" s="2" t="s">
        <v>332</v>
      </c>
      <c r="I1704" s="2" t="s">
        <v>333</v>
      </c>
      <c r="J1704" s="2" t="s">
        <v>24</v>
      </c>
      <c r="K1704">
        <v>194.11</v>
      </c>
      <c r="L1704">
        <v>9780600.2799999993</v>
      </c>
      <c r="M1704">
        <v>5038689.55</v>
      </c>
      <c r="N1704" s="2" t="s">
        <v>334</v>
      </c>
      <c r="O1704" s="2" t="s">
        <v>335</v>
      </c>
      <c r="P1704" s="2" t="s">
        <v>3249</v>
      </c>
      <c r="Q1704" s="2" t="s">
        <v>3250</v>
      </c>
      <c r="R1704" s="2" t="s">
        <v>29</v>
      </c>
      <c r="S1704" s="2" t="s">
        <v>30</v>
      </c>
    </row>
    <row r="1705" spans="1:19">
      <c r="A1705" s="1">
        <v>44652</v>
      </c>
      <c r="B1705" s="1">
        <v>44652</v>
      </c>
      <c r="C1705">
        <v>2022</v>
      </c>
      <c r="D1705">
        <v>4</v>
      </c>
      <c r="E1705" s="2" t="s">
        <v>338</v>
      </c>
      <c r="F1705" s="2" t="s">
        <v>339</v>
      </c>
      <c r="G1705" s="2" t="s">
        <v>21</v>
      </c>
      <c r="H1705" s="2" t="s">
        <v>332</v>
      </c>
      <c r="I1705" s="2" t="s">
        <v>333</v>
      </c>
      <c r="J1705" s="2" t="s">
        <v>24</v>
      </c>
      <c r="K1705">
        <v>1.21</v>
      </c>
      <c r="L1705">
        <v>1316994.2</v>
      </c>
      <c r="M1705">
        <v>108842495.87</v>
      </c>
      <c r="N1705" s="2" t="s">
        <v>340</v>
      </c>
      <c r="O1705" s="2" t="s">
        <v>341</v>
      </c>
      <c r="P1705" s="2" t="s">
        <v>2971</v>
      </c>
      <c r="Q1705" s="2" t="s">
        <v>3251</v>
      </c>
      <c r="R1705" s="2" t="s">
        <v>29</v>
      </c>
      <c r="S1705" s="2" t="s">
        <v>30</v>
      </c>
    </row>
    <row r="1706" spans="1:19">
      <c r="A1706" s="1">
        <v>44652</v>
      </c>
      <c r="B1706" s="1">
        <v>44652</v>
      </c>
      <c r="C1706">
        <v>2022</v>
      </c>
      <c r="D1706">
        <v>4</v>
      </c>
      <c r="E1706" s="2" t="s">
        <v>344</v>
      </c>
      <c r="F1706" s="2" t="s">
        <v>345</v>
      </c>
      <c r="G1706" s="2" t="s">
        <v>21</v>
      </c>
      <c r="H1706" s="2" t="s">
        <v>332</v>
      </c>
      <c r="I1706" s="2" t="s">
        <v>333</v>
      </c>
      <c r="J1706" s="2" t="s">
        <v>59</v>
      </c>
      <c r="K1706">
        <v>195.32</v>
      </c>
      <c r="L1706">
        <v>11097594.49</v>
      </c>
      <c r="M1706">
        <v>5681750.2000000002</v>
      </c>
      <c r="N1706" s="2" t="s">
        <v>346</v>
      </c>
      <c r="O1706" s="2" t="s">
        <v>347</v>
      </c>
      <c r="P1706" s="2" t="s">
        <v>3252</v>
      </c>
      <c r="Q1706" s="2" t="s">
        <v>3253</v>
      </c>
      <c r="R1706" s="2" t="s">
        <v>29</v>
      </c>
      <c r="S1706" s="2" t="s">
        <v>30</v>
      </c>
    </row>
    <row r="1707" spans="1:19">
      <c r="A1707" s="1">
        <v>44652</v>
      </c>
      <c r="B1707" s="1">
        <v>44652</v>
      </c>
      <c r="C1707">
        <v>2022</v>
      </c>
      <c r="D1707">
        <v>4</v>
      </c>
      <c r="E1707" s="2" t="s">
        <v>350</v>
      </c>
      <c r="F1707" s="2" t="s">
        <v>351</v>
      </c>
      <c r="G1707" s="2" t="s">
        <v>21</v>
      </c>
      <c r="H1707" s="2" t="s">
        <v>22</v>
      </c>
      <c r="I1707" s="2" t="s">
        <v>352</v>
      </c>
      <c r="J1707" s="2" t="s">
        <v>353</v>
      </c>
      <c r="K1707">
        <v>80060.94</v>
      </c>
      <c r="L1707">
        <v>15437383.300000001</v>
      </c>
      <c r="M1707">
        <v>19282.04</v>
      </c>
      <c r="N1707" s="2" t="s">
        <v>354</v>
      </c>
      <c r="O1707" s="2" t="s">
        <v>355</v>
      </c>
      <c r="P1707" s="2" t="s">
        <v>3254</v>
      </c>
      <c r="Q1707" s="2" t="s">
        <v>3255</v>
      </c>
      <c r="R1707" s="2" t="s">
        <v>29</v>
      </c>
      <c r="S1707" s="2" t="s">
        <v>30</v>
      </c>
    </row>
    <row r="1708" spans="1:19">
      <c r="A1708" s="1">
        <v>44652</v>
      </c>
      <c r="B1708" s="1">
        <v>44652</v>
      </c>
      <c r="C1708">
        <v>2022</v>
      </c>
      <c r="D1708">
        <v>4</v>
      </c>
      <c r="E1708" s="2" t="s">
        <v>358</v>
      </c>
      <c r="F1708" s="2" t="s">
        <v>359</v>
      </c>
      <c r="G1708" s="2" t="s">
        <v>21</v>
      </c>
      <c r="H1708" s="2" t="s">
        <v>22</v>
      </c>
      <c r="I1708" s="2" t="s">
        <v>352</v>
      </c>
      <c r="J1708" s="2" t="s">
        <v>353</v>
      </c>
      <c r="K1708">
        <v>80684.95</v>
      </c>
      <c r="L1708">
        <v>16107642.9</v>
      </c>
      <c r="M1708">
        <v>19963.63</v>
      </c>
      <c r="N1708" s="2" t="s">
        <v>360</v>
      </c>
      <c r="O1708" s="2" t="s">
        <v>361</v>
      </c>
      <c r="P1708" s="2" t="s">
        <v>3256</v>
      </c>
      <c r="Q1708" s="2" t="s">
        <v>3257</v>
      </c>
      <c r="R1708" s="2" t="s">
        <v>29</v>
      </c>
      <c r="S1708" s="2" t="s">
        <v>30</v>
      </c>
    </row>
    <row r="1709" spans="1:19">
      <c r="A1709" s="1">
        <v>44652</v>
      </c>
      <c r="B1709" s="1">
        <v>44652</v>
      </c>
      <c r="C1709">
        <v>2022</v>
      </c>
      <c r="D1709">
        <v>4</v>
      </c>
      <c r="E1709" s="2" t="s">
        <v>364</v>
      </c>
      <c r="F1709" s="2" t="s">
        <v>365</v>
      </c>
      <c r="G1709" s="2" t="s">
        <v>21</v>
      </c>
      <c r="H1709" s="2" t="s">
        <v>22</v>
      </c>
      <c r="I1709" s="2" t="s">
        <v>352</v>
      </c>
      <c r="J1709" s="2" t="s">
        <v>353</v>
      </c>
      <c r="K1709">
        <v>80489.63</v>
      </c>
      <c r="L1709">
        <v>5010048.42</v>
      </c>
      <c r="M1709">
        <v>6224.46</v>
      </c>
      <c r="N1709" s="2" t="s">
        <v>366</v>
      </c>
      <c r="O1709" s="2" t="s">
        <v>367</v>
      </c>
      <c r="P1709" s="2" t="s">
        <v>3258</v>
      </c>
      <c r="Q1709" s="2" t="s">
        <v>3259</v>
      </c>
      <c r="R1709" s="2" t="s">
        <v>29</v>
      </c>
      <c r="S1709" s="2" t="s">
        <v>30</v>
      </c>
    </row>
    <row r="1710" spans="1:19">
      <c r="A1710" s="1">
        <v>44652</v>
      </c>
      <c r="B1710" s="1">
        <v>44652</v>
      </c>
      <c r="C1710">
        <v>2022</v>
      </c>
      <c r="D1710">
        <v>4</v>
      </c>
      <c r="E1710" s="2" t="s">
        <v>370</v>
      </c>
      <c r="F1710" s="2" t="s">
        <v>371</v>
      </c>
      <c r="G1710" s="2" t="s">
        <v>21</v>
      </c>
      <c r="H1710" s="2" t="s">
        <v>22</v>
      </c>
      <c r="I1710" s="2" t="s">
        <v>23</v>
      </c>
      <c r="J1710" s="2" t="s">
        <v>24</v>
      </c>
      <c r="K1710">
        <v>55843.88</v>
      </c>
      <c r="L1710">
        <v>983573.45</v>
      </c>
      <c r="M1710">
        <v>1761.29</v>
      </c>
      <c r="N1710" s="2" t="s">
        <v>372</v>
      </c>
      <c r="O1710" s="2" t="s">
        <v>373</v>
      </c>
      <c r="P1710" s="2" t="s">
        <v>3260</v>
      </c>
      <c r="Q1710" s="2" t="s">
        <v>3261</v>
      </c>
      <c r="R1710" s="2" t="s">
        <v>29</v>
      </c>
      <c r="S1710" s="2" t="s">
        <v>30</v>
      </c>
    </row>
    <row r="1711" spans="1:19">
      <c r="A1711" s="1">
        <v>44652</v>
      </c>
      <c r="B1711" s="1">
        <v>44652</v>
      </c>
      <c r="C1711">
        <v>2022</v>
      </c>
      <c r="D1711">
        <v>4</v>
      </c>
      <c r="E1711" s="2" t="s">
        <v>376</v>
      </c>
      <c r="F1711" s="2" t="s">
        <v>377</v>
      </c>
      <c r="G1711" s="2" t="s">
        <v>21</v>
      </c>
      <c r="H1711" s="2" t="s">
        <v>22</v>
      </c>
      <c r="I1711" s="2" t="s">
        <v>23</v>
      </c>
      <c r="J1711" s="2" t="s">
        <v>378</v>
      </c>
      <c r="K1711">
        <v>0.86</v>
      </c>
      <c r="L1711">
        <v>12.1</v>
      </c>
      <c r="M1711">
        <v>1406.98</v>
      </c>
      <c r="N1711" s="2" t="s">
        <v>379</v>
      </c>
      <c r="O1711" s="2" t="s">
        <v>380</v>
      </c>
      <c r="P1711" s="2" t="s">
        <v>723</v>
      </c>
      <c r="Q1711" s="2" t="s">
        <v>3262</v>
      </c>
      <c r="R1711" s="2" t="s">
        <v>29</v>
      </c>
      <c r="S1711" s="2" t="s">
        <v>30</v>
      </c>
    </row>
    <row r="1712" spans="1:19">
      <c r="A1712" s="1">
        <v>44682</v>
      </c>
      <c r="B1712" s="1">
        <v>44682</v>
      </c>
      <c r="C1712">
        <v>2022</v>
      </c>
      <c r="D1712">
        <v>5</v>
      </c>
      <c r="E1712" s="2" t="s">
        <v>19</v>
      </c>
      <c r="F1712" s="2" t="s">
        <v>20</v>
      </c>
      <c r="G1712" s="2" t="s">
        <v>21</v>
      </c>
      <c r="H1712" s="2" t="s">
        <v>22</v>
      </c>
      <c r="I1712" s="2" t="s">
        <v>23</v>
      </c>
      <c r="J1712" s="2" t="s">
        <v>24</v>
      </c>
      <c r="K1712">
        <v>0.57999999999999996</v>
      </c>
      <c r="L1712">
        <v>36.04</v>
      </c>
      <c r="M1712">
        <v>6213.79</v>
      </c>
      <c r="N1712" s="2" t="s">
        <v>25</v>
      </c>
      <c r="O1712" s="2" t="s">
        <v>26</v>
      </c>
      <c r="P1712" s="2" t="s">
        <v>3000</v>
      </c>
      <c r="Q1712" s="2" t="s">
        <v>3263</v>
      </c>
      <c r="R1712" s="2" t="s">
        <v>29</v>
      </c>
      <c r="S1712" s="2" t="s">
        <v>30</v>
      </c>
    </row>
    <row r="1713" spans="1:19">
      <c r="A1713" s="1">
        <v>44682</v>
      </c>
      <c r="B1713" s="1">
        <v>44682</v>
      </c>
      <c r="C1713">
        <v>2022</v>
      </c>
      <c r="D1713">
        <v>5</v>
      </c>
      <c r="E1713" s="2" t="s">
        <v>31</v>
      </c>
      <c r="F1713" s="2" t="s">
        <v>32</v>
      </c>
      <c r="G1713" s="2" t="s">
        <v>21</v>
      </c>
      <c r="H1713" s="2" t="s">
        <v>22</v>
      </c>
      <c r="I1713" s="2" t="s">
        <v>23</v>
      </c>
      <c r="J1713" s="2" t="s">
        <v>24</v>
      </c>
      <c r="K1713">
        <v>2268.0300000000002</v>
      </c>
      <c r="L1713">
        <v>41011.49</v>
      </c>
      <c r="M1713">
        <v>1808.24</v>
      </c>
      <c r="N1713" s="2" t="s">
        <v>33</v>
      </c>
      <c r="O1713" s="2" t="s">
        <v>34</v>
      </c>
      <c r="P1713" s="2" t="s">
        <v>3264</v>
      </c>
      <c r="Q1713" s="2" t="s">
        <v>3265</v>
      </c>
      <c r="R1713" s="2" t="s">
        <v>29</v>
      </c>
      <c r="S1713" s="2" t="s">
        <v>30</v>
      </c>
    </row>
    <row r="1714" spans="1:19">
      <c r="A1714" s="1">
        <v>44682</v>
      </c>
      <c r="B1714" s="1">
        <v>44682</v>
      </c>
      <c r="C1714">
        <v>2022</v>
      </c>
      <c r="D1714">
        <v>5</v>
      </c>
      <c r="E1714" s="2" t="s">
        <v>37</v>
      </c>
      <c r="F1714" s="2" t="s">
        <v>38</v>
      </c>
      <c r="G1714" s="2" t="s">
        <v>39</v>
      </c>
      <c r="H1714" s="2" t="s">
        <v>22</v>
      </c>
      <c r="I1714" s="2" t="s">
        <v>40</v>
      </c>
      <c r="J1714" s="2" t="s">
        <v>24</v>
      </c>
      <c r="K1714">
        <v>6.64</v>
      </c>
      <c r="L1714">
        <v>328.08</v>
      </c>
      <c r="M1714">
        <v>4940.96</v>
      </c>
      <c r="N1714" s="2" t="s">
        <v>41</v>
      </c>
      <c r="O1714" s="2" t="s">
        <v>42</v>
      </c>
      <c r="P1714" s="2" t="s">
        <v>3266</v>
      </c>
      <c r="Q1714" s="2" t="s">
        <v>3267</v>
      </c>
      <c r="R1714" s="2" t="s">
        <v>29</v>
      </c>
      <c r="S1714" s="2" t="s">
        <v>30</v>
      </c>
    </row>
    <row r="1715" spans="1:19">
      <c r="A1715" s="1">
        <v>44682</v>
      </c>
      <c r="B1715" s="1">
        <v>44682</v>
      </c>
      <c r="C1715">
        <v>2022</v>
      </c>
      <c r="D1715">
        <v>5</v>
      </c>
      <c r="E1715" s="2" t="s">
        <v>45</v>
      </c>
      <c r="F1715" s="2" t="s">
        <v>46</v>
      </c>
      <c r="G1715" s="2" t="s">
        <v>39</v>
      </c>
      <c r="H1715" s="2" t="s">
        <v>22</v>
      </c>
      <c r="I1715" s="2" t="s">
        <v>40</v>
      </c>
      <c r="J1715" s="2" t="s">
        <v>24</v>
      </c>
      <c r="K1715">
        <v>5829.01</v>
      </c>
      <c r="L1715">
        <v>278832.78000000003</v>
      </c>
      <c r="M1715">
        <v>4783.54</v>
      </c>
      <c r="N1715" s="2" t="s">
        <v>47</v>
      </c>
      <c r="O1715" s="2" t="s">
        <v>48</v>
      </c>
      <c r="P1715" s="2" t="s">
        <v>3268</v>
      </c>
      <c r="Q1715" s="2" t="s">
        <v>3269</v>
      </c>
      <c r="R1715" s="2" t="s">
        <v>29</v>
      </c>
      <c r="S1715" s="2" t="s">
        <v>30</v>
      </c>
    </row>
    <row r="1716" spans="1:19">
      <c r="A1716" s="1">
        <v>44682</v>
      </c>
      <c r="B1716" s="1">
        <v>44682</v>
      </c>
      <c r="C1716">
        <v>2022</v>
      </c>
      <c r="D1716">
        <v>5</v>
      </c>
      <c r="E1716" s="2" t="s">
        <v>51</v>
      </c>
      <c r="F1716" s="2" t="s">
        <v>52</v>
      </c>
      <c r="G1716" s="2" t="s">
        <v>39</v>
      </c>
      <c r="H1716" s="2" t="s">
        <v>22</v>
      </c>
      <c r="I1716" s="2" t="s">
        <v>40</v>
      </c>
      <c r="J1716" s="2" t="s">
        <v>24</v>
      </c>
      <c r="K1716">
        <v>32.79</v>
      </c>
      <c r="L1716">
        <v>1105.8499999999999</v>
      </c>
      <c r="M1716">
        <v>3372.52</v>
      </c>
      <c r="N1716" s="2" t="s">
        <v>53</v>
      </c>
      <c r="O1716" s="2" t="s">
        <v>54</v>
      </c>
      <c r="P1716" s="2" t="s">
        <v>3270</v>
      </c>
      <c r="Q1716" s="2" t="s">
        <v>3271</v>
      </c>
      <c r="R1716" s="2" t="s">
        <v>29</v>
      </c>
      <c r="S1716" s="2" t="s">
        <v>30</v>
      </c>
    </row>
    <row r="1717" spans="1:19">
      <c r="A1717" s="1">
        <v>44682</v>
      </c>
      <c r="B1717" s="1">
        <v>44682</v>
      </c>
      <c r="C1717">
        <v>2022</v>
      </c>
      <c r="D1717">
        <v>5</v>
      </c>
      <c r="E1717" s="2" t="s">
        <v>57</v>
      </c>
      <c r="F1717" s="2" t="s">
        <v>58</v>
      </c>
      <c r="G1717" s="2" t="s">
        <v>39</v>
      </c>
      <c r="H1717" s="2" t="s">
        <v>22</v>
      </c>
      <c r="I1717" s="2" t="s">
        <v>40</v>
      </c>
      <c r="J1717" s="2" t="s">
        <v>59</v>
      </c>
      <c r="K1717">
        <v>5868.45</v>
      </c>
      <c r="L1717">
        <v>280266.7</v>
      </c>
      <c r="M1717">
        <v>4775.82</v>
      </c>
      <c r="N1717" s="2" t="s">
        <v>60</v>
      </c>
      <c r="O1717" s="2" t="s">
        <v>61</v>
      </c>
      <c r="P1717" s="2" t="s">
        <v>3272</v>
      </c>
      <c r="Q1717" s="2" t="s">
        <v>3273</v>
      </c>
      <c r="R1717" s="2" t="s">
        <v>29</v>
      </c>
      <c r="S1717" s="2" t="s">
        <v>30</v>
      </c>
    </row>
    <row r="1718" spans="1:19">
      <c r="A1718" s="1">
        <v>44682</v>
      </c>
      <c r="B1718" s="1">
        <v>44682</v>
      </c>
      <c r="C1718">
        <v>2022</v>
      </c>
      <c r="D1718">
        <v>5</v>
      </c>
      <c r="E1718" s="2" t="s">
        <v>64</v>
      </c>
      <c r="F1718" s="2" t="s">
        <v>65</v>
      </c>
      <c r="G1718" s="2" t="s">
        <v>21</v>
      </c>
      <c r="H1718" s="2" t="s">
        <v>22</v>
      </c>
      <c r="I1718" s="2" t="s">
        <v>66</v>
      </c>
      <c r="J1718" s="2" t="s">
        <v>24</v>
      </c>
      <c r="K1718">
        <v>17.809999999999999</v>
      </c>
      <c r="L1718">
        <v>571.34</v>
      </c>
      <c r="M1718">
        <v>3207.97</v>
      </c>
      <c r="N1718" s="2" t="s">
        <v>67</v>
      </c>
      <c r="O1718" s="2" t="s">
        <v>68</v>
      </c>
      <c r="P1718" s="2" t="s">
        <v>3274</v>
      </c>
      <c r="Q1718" s="2" t="s">
        <v>3275</v>
      </c>
      <c r="R1718" s="2" t="s">
        <v>29</v>
      </c>
      <c r="S1718" s="2" t="s">
        <v>30</v>
      </c>
    </row>
    <row r="1719" spans="1:19">
      <c r="A1719" s="1">
        <v>44682</v>
      </c>
      <c r="B1719" s="1">
        <v>44682</v>
      </c>
      <c r="C1719">
        <v>2022</v>
      </c>
      <c r="D1719">
        <v>5</v>
      </c>
      <c r="E1719" s="2" t="s">
        <v>71</v>
      </c>
      <c r="F1719" s="2" t="s">
        <v>72</v>
      </c>
      <c r="G1719" s="2" t="s">
        <v>21</v>
      </c>
      <c r="H1719" s="2" t="s">
        <v>22</v>
      </c>
      <c r="I1719" s="2" t="s">
        <v>73</v>
      </c>
      <c r="J1719" s="2" t="s">
        <v>59</v>
      </c>
      <c r="K1719">
        <v>5693.68</v>
      </c>
      <c r="L1719">
        <v>179493.5</v>
      </c>
      <c r="M1719">
        <v>3152.5</v>
      </c>
      <c r="N1719" s="2" t="s">
        <v>74</v>
      </c>
      <c r="O1719" s="2" t="s">
        <v>75</v>
      </c>
      <c r="P1719" s="2" t="s">
        <v>3276</v>
      </c>
      <c r="Q1719" s="2" t="s">
        <v>3277</v>
      </c>
      <c r="R1719" s="2" t="s">
        <v>29</v>
      </c>
      <c r="S1719" s="2" t="s">
        <v>30</v>
      </c>
    </row>
    <row r="1720" spans="1:19">
      <c r="A1720" s="1">
        <v>44682</v>
      </c>
      <c r="B1720" s="1">
        <v>44682</v>
      </c>
      <c r="C1720">
        <v>2022</v>
      </c>
      <c r="D1720">
        <v>5</v>
      </c>
      <c r="E1720" s="2" t="s">
        <v>78</v>
      </c>
      <c r="F1720" s="2" t="s">
        <v>79</v>
      </c>
      <c r="G1720" s="2" t="s">
        <v>80</v>
      </c>
      <c r="H1720" s="2" t="s">
        <v>81</v>
      </c>
      <c r="I1720" s="2" t="s">
        <v>82</v>
      </c>
      <c r="J1720" s="2" t="s">
        <v>24</v>
      </c>
      <c r="K1720">
        <v>1.98</v>
      </c>
      <c r="L1720">
        <v>6039212.5599999996</v>
      </c>
      <c r="M1720">
        <v>305010735.35000002</v>
      </c>
      <c r="N1720" s="2" t="s">
        <v>83</v>
      </c>
      <c r="O1720" s="2" t="s">
        <v>84</v>
      </c>
      <c r="P1720" s="2" t="s">
        <v>1890</v>
      </c>
      <c r="Q1720" s="2" t="s">
        <v>3278</v>
      </c>
      <c r="R1720" s="2" t="s">
        <v>29</v>
      </c>
      <c r="S1720" s="2" t="s">
        <v>30</v>
      </c>
    </row>
    <row r="1721" spans="1:19">
      <c r="A1721" s="1">
        <v>44682</v>
      </c>
      <c r="B1721" s="1">
        <v>44682</v>
      </c>
      <c r="C1721">
        <v>2022</v>
      </c>
      <c r="D1721">
        <v>5</v>
      </c>
      <c r="E1721" s="2" t="s">
        <v>87</v>
      </c>
      <c r="F1721" s="2" t="s">
        <v>88</v>
      </c>
      <c r="G1721" s="2" t="s">
        <v>80</v>
      </c>
      <c r="H1721" s="2" t="s">
        <v>81</v>
      </c>
      <c r="I1721" s="2" t="s">
        <v>82</v>
      </c>
      <c r="J1721" s="2" t="s">
        <v>24</v>
      </c>
      <c r="K1721">
        <v>0.66</v>
      </c>
      <c r="L1721">
        <v>832089.15</v>
      </c>
      <c r="M1721">
        <v>126074113.64</v>
      </c>
      <c r="N1721" s="2" t="s">
        <v>89</v>
      </c>
      <c r="O1721" s="2" t="s">
        <v>90</v>
      </c>
      <c r="P1721" s="2" t="s">
        <v>509</v>
      </c>
      <c r="Q1721" s="2" t="s">
        <v>3279</v>
      </c>
      <c r="R1721" s="2" t="s">
        <v>29</v>
      </c>
      <c r="S1721" s="2" t="s">
        <v>30</v>
      </c>
    </row>
    <row r="1722" spans="1:19">
      <c r="A1722" s="1">
        <v>44682</v>
      </c>
      <c r="B1722" s="1">
        <v>44682</v>
      </c>
      <c r="C1722">
        <v>2022</v>
      </c>
      <c r="D1722">
        <v>5</v>
      </c>
      <c r="E1722" s="2" t="s">
        <v>93</v>
      </c>
      <c r="F1722" s="2" t="s">
        <v>94</v>
      </c>
      <c r="G1722" s="2" t="s">
        <v>80</v>
      </c>
      <c r="H1722" s="2" t="s">
        <v>81</v>
      </c>
      <c r="I1722" s="2" t="s">
        <v>82</v>
      </c>
      <c r="J1722" s="2" t="s">
        <v>24</v>
      </c>
      <c r="K1722">
        <v>0.31</v>
      </c>
      <c r="L1722">
        <v>4940038.32</v>
      </c>
      <c r="M1722">
        <v>1593560748.3900001</v>
      </c>
      <c r="N1722" s="2" t="s">
        <v>95</v>
      </c>
      <c r="O1722" s="2" t="s">
        <v>96</v>
      </c>
      <c r="P1722" s="2" t="s">
        <v>2811</v>
      </c>
      <c r="Q1722" s="2" t="s">
        <v>3280</v>
      </c>
      <c r="R1722" s="2" t="s">
        <v>29</v>
      </c>
      <c r="S1722" s="2" t="s">
        <v>30</v>
      </c>
    </row>
    <row r="1723" spans="1:19">
      <c r="A1723" s="1">
        <v>44682</v>
      </c>
      <c r="B1723" s="1">
        <v>44682</v>
      </c>
      <c r="C1723">
        <v>2022</v>
      </c>
      <c r="D1723">
        <v>5</v>
      </c>
      <c r="E1723" s="2" t="s">
        <v>99</v>
      </c>
      <c r="F1723" s="2" t="s">
        <v>100</v>
      </c>
      <c r="G1723" s="2" t="s">
        <v>80</v>
      </c>
      <c r="H1723" s="2" t="s">
        <v>81</v>
      </c>
      <c r="I1723" s="2" t="s">
        <v>82</v>
      </c>
      <c r="J1723" s="2" t="s">
        <v>101</v>
      </c>
      <c r="K1723">
        <v>1.23</v>
      </c>
      <c r="L1723">
        <v>13110275.42</v>
      </c>
      <c r="M1723">
        <v>1065876050.41</v>
      </c>
      <c r="N1723" s="2" t="s">
        <v>102</v>
      </c>
      <c r="O1723" s="2" t="s">
        <v>103</v>
      </c>
      <c r="P1723" s="2" t="s">
        <v>3281</v>
      </c>
      <c r="Q1723" s="2" t="s">
        <v>3282</v>
      </c>
      <c r="R1723" s="2" t="s">
        <v>29</v>
      </c>
      <c r="S1723" s="2" t="s">
        <v>30</v>
      </c>
    </row>
    <row r="1724" spans="1:19">
      <c r="A1724" s="1">
        <v>44682</v>
      </c>
      <c r="B1724" s="1">
        <v>44682</v>
      </c>
      <c r="C1724">
        <v>2022</v>
      </c>
      <c r="D1724">
        <v>5</v>
      </c>
      <c r="E1724" s="2" t="s">
        <v>106</v>
      </c>
      <c r="F1724" s="2" t="s">
        <v>107</v>
      </c>
      <c r="G1724" s="2" t="s">
        <v>80</v>
      </c>
      <c r="H1724" s="2" t="s">
        <v>81</v>
      </c>
      <c r="I1724" s="2" t="s">
        <v>82</v>
      </c>
      <c r="J1724" s="2" t="s">
        <v>24</v>
      </c>
      <c r="K1724">
        <v>0.26</v>
      </c>
      <c r="L1724">
        <v>7338147.9500000002</v>
      </c>
      <c r="M1724">
        <v>2822364596.1500001</v>
      </c>
      <c r="N1724" s="2" t="s">
        <v>108</v>
      </c>
      <c r="O1724" s="2" t="s">
        <v>109</v>
      </c>
      <c r="P1724" s="2" t="s">
        <v>1941</v>
      </c>
      <c r="Q1724" s="2" t="s">
        <v>3283</v>
      </c>
      <c r="R1724" s="2" t="s">
        <v>29</v>
      </c>
      <c r="S1724" s="2" t="s">
        <v>30</v>
      </c>
    </row>
    <row r="1725" spans="1:19">
      <c r="A1725" s="1">
        <v>44682</v>
      </c>
      <c r="B1725" s="1">
        <v>44682</v>
      </c>
      <c r="C1725">
        <v>2022</v>
      </c>
      <c r="D1725">
        <v>5</v>
      </c>
      <c r="E1725" s="2" t="s">
        <v>111</v>
      </c>
      <c r="F1725" s="2" t="s">
        <v>112</v>
      </c>
      <c r="G1725" s="2" t="s">
        <v>80</v>
      </c>
      <c r="H1725" s="2" t="s">
        <v>81</v>
      </c>
      <c r="I1725" s="2" t="s">
        <v>82</v>
      </c>
      <c r="J1725" s="2" t="s">
        <v>24</v>
      </c>
      <c r="K1725">
        <v>0.11</v>
      </c>
      <c r="L1725">
        <v>592850.99</v>
      </c>
      <c r="M1725">
        <v>538955445.45000005</v>
      </c>
      <c r="N1725" s="2" t="s">
        <v>113</v>
      </c>
      <c r="O1725" s="2" t="s">
        <v>114</v>
      </c>
      <c r="P1725" s="2" t="s">
        <v>1291</v>
      </c>
      <c r="Q1725" s="2" t="s">
        <v>3284</v>
      </c>
      <c r="R1725" s="2" t="s">
        <v>29</v>
      </c>
      <c r="S1725" s="2" t="s">
        <v>30</v>
      </c>
    </row>
    <row r="1726" spans="1:19">
      <c r="A1726" s="1">
        <v>44682</v>
      </c>
      <c r="B1726" s="1">
        <v>44682</v>
      </c>
      <c r="C1726">
        <v>2022</v>
      </c>
      <c r="D1726">
        <v>5</v>
      </c>
      <c r="E1726" s="2" t="s">
        <v>117</v>
      </c>
      <c r="F1726" s="2" t="s">
        <v>118</v>
      </c>
      <c r="G1726" s="2" t="s">
        <v>80</v>
      </c>
      <c r="H1726" s="2" t="s">
        <v>81</v>
      </c>
      <c r="I1726" s="2" t="s">
        <v>82</v>
      </c>
      <c r="J1726" s="2" t="s">
        <v>59</v>
      </c>
      <c r="K1726">
        <v>3.32</v>
      </c>
      <c r="L1726">
        <v>19742338.98</v>
      </c>
      <c r="M1726">
        <v>594648764.46000004</v>
      </c>
      <c r="N1726" s="2" t="s">
        <v>119</v>
      </c>
      <c r="O1726" s="2" t="s">
        <v>120</v>
      </c>
      <c r="P1726" s="2" t="s">
        <v>3285</v>
      </c>
      <c r="Q1726" s="2" t="s">
        <v>3286</v>
      </c>
      <c r="R1726" s="2" t="s">
        <v>29</v>
      </c>
      <c r="S1726" s="2" t="s">
        <v>30</v>
      </c>
    </row>
    <row r="1727" spans="1:19">
      <c r="A1727" s="1">
        <v>44682</v>
      </c>
      <c r="B1727" s="1">
        <v>44682</v>
      </c>
      <c r="C1727">
        <v>2022</v>
      </c>
      <c r="D1727">
        <v>5</v>
      </c>
      <c r="E1727" s="2" t="s">
        <v>123</v>
      </c>
      <c r="F1727" s="2" t="s">
        <v>124</v>
      </c>
      <c r="G1727" s="2" t="s">
        <v>21</v>
      </c>
      <c r="H1727" s="2" t="s">
        <v>22</v>
      </c>
      <c r="I1727" s="2" t="s">
        <v>73</v>
      </c>
      <c r="J1727" s="2" t="s">
        <v>24</v>
      </c>
      <c r="K1727">
        <v>1157.77</v>
      </c>
      <c r="L1727">
        <v>71427.98</v>
      </c>
      <c r="M1727">
        <v>6169.44</v>
      </c>
      <c r="N1727" s="2" t="s">
        <v>125</v>
      </c>
      <c r="O1727" s="2" t="s">
        <v>126</v>
      </c>
      <c r="P1727" s="2" t="s">
        <v>3287</v>
      </c>
      <c r="Q1727" s="2" t="s">
        <v>3288</v>
      </c>
      <c r="R1727" s="2" t="s">
        <v>29</v>
      </c>
      <c r="S1727" s="2" t="s">
        <v>30</v>
      </c>
    </row>
    <row r="1728" spans="1:19">
      <c r="A1728" s="1">
        <v>44682</v>
      </c>
      <c r="B1728" s="1">
        <v>44682</v>
      </c>
      <c r="C1728">
        <v>2022</v>
      </c>
      <c r="D1728">
        <v>5</v>
      </c>
      <c r="E1728" s="2" t="s">
        <v>129</v>
      </c>
      <c r="F1728" s="2" t="s">
        <v>130</v>
      </c>
      <c r="G1728" s="2" t="s">
        <v>21</v>
      </c>
      <c r="H1728" s="2" t="s">
        <v>22</v>
      </c>
      <c r="I1728" s="2" t="s">
        <v>73</v>
      </c>
      <c r="J1728" s="2" t="s">
        <v>24</v>
      </c>
      <c r="K1728">
        <v>1220.26</v>
      </c>
      <c r="L1728">
        <v>42265.61</v>
      </c>
      <c r="M1728">
        <v>3463.66</v>
      </c>
      <c r="N1728" s="2" t="s">
        <v>131</v>
      </c>
      <c r="O1728" s="2" t="s">
        <v>132</v>
      </c>
      <c r="P1728" s="2" t="s">
        <v>3289</v>
      </c>
      <c r="Q1728" s="2" t="s">
        <v>3290</v>
      </c>
      <c r="R1728" s="2" t="s">
        <v>29</v>
      </c>
      <c r="S1728" s="2" t="s">
        <v>30</v>
      </c>
    </row>
    <row r="1729" spans="1:19">
      <c r="A1729" s="1">
        <v>44682</v>
      </c>
      <c r="B1729" s="1">
        <v>44682</v>
      </c>
      <c r="C1729">
        <v>2022</v>
      </c>
      <c r="D1729">
        <v>5</v>
      </c>
      <c r="E1729" s="2" t="s">
        <v>135</v>
      </c>
      <c r="F1729" s="2" t="s">
        <v>136</v>
      </c>
      <c r="G1729" s="2" t="s">
        <v>21</v>
      </c>
      <c r="H1729" s="2" t="s">
        <v>22</v>
      </c>
      <c r="I1729" s="2" t="s">
        <v>73</v>
      </c>
      <c r="J1729" s="2" t="s">
        <v>101</v>
      </c>
      <c r="K1729">
        <v>2378.0300000000002</v>
      </c>
      <c r="L1729">
        <v>113693.59</v>
      </c>
      <c r="M1729">
        <v>4781</v>
      </c>
      <c r="N1729" s="2" t="s">
        <v>137</v>
      </c>
      <c r="O1729" s="2" t="s">
        <v>138</v>
      </c>
      <c r="P1729" s="2" t="s">
        <v>3291</v>
      </c>
      <c r="Q1729" s="2" t="s">
        <v>3292</v>
      </c>
      <c r="R1729" s="2" t="s">
        <v>29</v>
      </c>
      <c r="S1729" s="2" t="s">
        <v>30</v>
      </c>
    </row>
    <row r="1730" spans="1:19">
      <c r="A1730" s="1">
        <v>44682</v>
      </c>
      <c r="B1730" s="1">
        <v>44682</v>
      </c>
      <c r="C1730">
        <v>2022</v>
      </c>
      <c r="D1730">
        <v>5</v>
      </c>
      <c r="E1730" s="2" t="s">
        <v>141</v>
      </c>
      <c r="F1730" s="2" t="s">
        <v>142</v>
      </c>
      <c r="G1730" s="2" t="s">
        <v>21</v>
      </c>
      <c r="H1730" s="2" t="s">
        <v>22</v>
      </c>
      <c r="I1730" s="2" t="s">
        <v>73</v>
      </c>
      <c r="J1730" s="2" t="s">
        <v>24</v>
      </c>
      <c r="K1730">
        <v>1165.3699999999999</v>
      </c>
      <c r="L1730">
        <v>21527.360000000001</v>
      </c>
      <c r="M1730">
        <v>1847.26</v>
      </c>
      <c r="N1730" s="2" t="s">
        <v>143</v>
      </c>
      <c r="O1730" s="2" t="s">
        <v>144</v>
      </c>
      <c r="P1730" s="2" t="s">
        <v>3293</v>
      </c>
      <c r="Q1730" s="2" t="s">
        <v>3294</v>
      </c>
      <c r="R1730" s="2" t="s">
        <v>29</v>
      </c>
      <c r="S1730" s="2" t="s">
        <v>30</v>
      </c>
    </row>
    <row r="1731" spans="1:19">
      <c r="A1731" s="1">
        <v>44682</v>
      </c>
      <c r="B1731" s="1">
        <v>44682</v>
      </c>
      <c r="C1731">
        <v>2022</v>
      </c>
      <c r="D1731">
        <v>5</v>
      </c>
      <c r="E1731" s="2" t="s">
        <v>147</v>
      </c>
      <c r="F1731" s="2" t="s">
        <v>148</v>
      </c>
      <c r="G1731" s="2" t="s">
        <v>21</v>
      </c>
      <c r="H1731" s="2" t="s">
        <v>22</v>
      </c>
      <c r="I1731" s="2" t="s">
        <v>73</v>
      </c>
      <c r="J1731" s="2" t="s">
        <v>24</v>
      </c>
      <c r="K1731">
        <v>2150.2800000000002</v>
      </c>
      <c r="L1731">
        <v>44272.55</v>
      </c>
      <c r="M1731">
        <v>2058.92</v>
      </c>
      <c r="N1731" s="2" t="s">
        <v>149</v>
      </c>
      <c r="O1731" s="2" t="s">
        <v>150</v>
      </c>
      <c r="P1731" s="2" t="s">
        <v>3295</v>
      </c>
      <c r="Q1731" s="2" t="s">
        <v>3296</v>
      </c>
      <c r="R1731" s="2" t="s">
        <v>29</v>
      </c>
      <c r="S1731" s="2" t="s">
        <v>30</v>
      </c>
    </row>
    <row r="1732" spans="1:19">
      <c r="A1732" s="1">
        <v>44682</v>
      </c>
      <c r="B1732" s="1">
        <v>44682</v>
      </c>
      <c r="C1732">
        <v>2022</v>
      </c>
      <c r="D1732">
        <v>5</v>
      </c>
      <c r="E1732" s="2" t="s">
        <v>153</v>
      </c>
      <c r="F1732" s="2" t="s">
        <v>154</v>
      </c>
      <c r="G1732" s="2" t="s">
        <v>21</v>
      </c>
      <c r="H1732" s="2" t="s">
        <v>22</v>
      </c>
      <c r="I1732" s="2" t="s">
        <v>73</v>
      </c>
      <c r="J1732" s="2" t="s">
        <v>101</v>
      </c>
      <c r="K1732">
        <v>3315.65</v>
      </c>
      <c r="L1732">
        <v>65799.91</v>
      </c>
      <c r="M1732">
        <v>1984.53</v>
      </c>
      <c r="N1732" s="2" t="s">
        <v>155</v>
      </c>
      <c r="O1732" s="2" t="s">
        <v>156</v>
      </c>
      <c r="P1732" s="2" t="s">
        <v>3297</v>
      </c>
      <c r="Q1732" s="2" t="s">
        <v>3298</v>
      </c>
      <c r="R1732" s="2" t="s">
        <v>29</v>
      </c>
      <c r="S1732" s="2" t="s">
        <v>30</v>
      </c>
    </row>
    <row r="1733" spans="1:19">
      <c r="A1733" s="1">
        <v>44682</v>
      </c>
      <c r="B1733" s="1">
        <v>44682</v>
      </c>
      <c r="C1733">
        <v>2022</v>
      </c>
      <c r="D1733">
        <v>5</v>
      </c>
      <c r="E1733" s="2" t="s">
        <v>159</v>
      </c>
      <c r="F1733" s="2" t="s">
        <v>160</v>
      </c>
      <c r="G1733" s="2" t="s">
        <v>21</v>
      </c>
      <c r="H1733" s="2" t="s">
        <v>22</v>
      </c>
      <c r="I1733" s="2" t="s">
        <v>66</v>
      </c>
      <c r="J1733" s="2" t="s">
        <v>59</v>
      </c>
      <c r="K1733">
        <v>1177.32</v>
      </c>
      <c r="L1733">
        <v>95541.51</v>
      </c>
      <c r="M1733">
        <v>8115.17</v>
      </c>
      <c r="N1733" s="2" t="s">
        <v>161</v>
      </c>
      <c r="O1733" s="2" t="s">
        <v>162</v>
      </c>
      <c r="P1733" s="2" t="s">
        <v>3299</v>
      </c>
      <c r="Q1733" s="2" t="s">
        <v>3300</v>
      </c>
      <c r="R1733" s="2" t="s">
        <v>29</v>
      </c>
      <c r="S1733" s="2" t="s">
        <v>30</v>
      </c>
    </row>
    <row r="1734" spans="1:19">
      <c r="A1734" s="1">
        <v>44682</v>
      </c>
      <c r="B1734" s="1">
        <v>44682</v>
      </c>
      <c r="C1734">
        <v>2022</v>
      </c>
      <c r="D1734">
        <v>5</v>
      </c>
      <c r="E1734" s="2" t="s">
        <v>165</v>
      </c>
      <c r="F1734" s="2" t="s">
        <v>166</v>
      </c>
      <c r="G1734" s="2" t="s">
        <v>21</v>
      </c>
      <c r="H1734" s="2" t="s">
        <v>22</v>
      </c>
      <c r="I1734" s="2" t="s">
        <v>23</v>
      </c>
      <c r="J1734" s="2" t="s">
        <v>24</v>
      </c>
      <c r="N1734" s="2" t="s">
        <v>167</v>
      </c>
      <c r="O1734" s="2" t="s">
        <v>168</v>
      </c>
      <c r="P1734" s="2" t="s">
        <v>175</v>
      </c>
      <c r="Q1734" s="2" t="s">
        <v>175</v>
      </c>
      <c r="R1734" s="2" t="s">
        <v>640</v>
      </c>
      <c r="S1734" s="2" t="s">
        <v>641</v>
      </c>
    </row>
    <row r="1735" spans="1:19">
      <c r="A1735" s="1">
        <v>44682</v>
      </c>
      <c r="B1735" s="1">
        <v>44682</v>
      </c>
      <c r="C1735">
        <v>2022</v>
      </c>
      <c r="D1735">
        <v>5</v>
      </c>
      <c r="E1735" s="2" t="s">
        <v>171</v>
      </c>
      <c r="F1735" s="2" t="s">
        <v>172</v>
      </c>
      <c r="G1735" s="2" t="s">
        <v>21</v>
      </c>
      <c r="H1735" s="2" t="s">
        <v>22</v>
      </c>
      <c r="I1735" s="2" t="s">
        <v>66</v>
      </c>
      <c r="J1735" s="2" t="s">
        <v>24</v>
      </c>
      <c r="N1735" s="2" t="s">
        <v>173</v>
      </c>
      <c r="O1735" s="2" t="s">
        <v>174</v>
      </c>
      <c r="P1735" s="2" t="s">
        <v>175</v>
      </c>
      <c r="Q1735" s="2" t="s">
        <v>175</v>
      </c>
      <c r="R1735" s="2" t="s">
        <v>640</v>
      </c>
      <c r="S1735" s="2" t="s">
        <v>641</v>
      </c>
    </row>
    <row r="1736" spans="1:19">
      <c r="A1736" s="1">
        <v>44682</v>
      </c>
      <c r="B1736" s="1">
        <v>44682</v>
      </c>
      <c r="C1736">
        <v>2022</v>
      </c>
      <c r="D1736">
        <v>5</v>
      </c>
      <c r="E1736" s="2" t="s">
        <v>177</v>
      </c>
      <c r="F1736" s="2" t="s">
        <v>178</v>
      </c>
      <c r="G1736" s="2" t="s">
        <v>21</v>
      </c>
      <c r="H1736" s="2" t="s">
        <v>22</v>
      </c>
      <c r="I1736" s="2" t="s">
        <v>23</v>
      </c>
      <c r="J1736" s="2" t="s">
        <v>24</v>
      </c>
      <c r="K1736">
        <v>4848.13</v>
      </c>
      <c r="L1736">
        <v>452328.12</v>
      </c>
      <c r="M1736">
        <v>9329.9500000000007</v>
      </c>
      <c r="N1736" s="2" t="s">
        <v>179</v>
      </c>
      <c r="O1736" s="2" t="s">
        <v>180</v>
      </c>
      <c r="P1736" s="2" t="s">
        <v>3301</v>
      </c>
      <c r="Q1736" s="2" t="s">
        <v>3302</v>
      </c>
      <c r="R1736" s="2" t="s">
        <v>29</v>
      </c>
      <c r="S1736" s="2" t="s">
        <v>30</v>
      </c>
    </row>
    <row r="1737" spans="1:19">
      <c r="A1737" s="1">
        <v>44682</v>
      </c>
      <c r="B1737" s="1">
        <v>44682</v>
      </c>
      <c r="C1737">
        <v>2022</v>
      </c>
      <c r="D1737">
        <v>5</v>
      </c>
      <c r="E1737" s="2" t="s">
        <v>183</v>
      </c>
      <c r="F1737" s="2" t="s">
        <v>184</v>
      </c>
      <c r="G1737" s="2" t="s">
        <v>185</v>
      </c>
      <c r="H1737" s="2" t="s">
        <v>22</v>
      </c>
      <c r="I1737" s="2" t="s">
        <v>186</v>
      </c>
      <c r="J1737" s="2" t="s">
        <v>24</v>
      </c>
      <c r="K1737">
        <v>2339.58</v>
      </c>
      <c r="L1737">
        <v>2079615.24</v>
      </c>
      <c r="M1737">
        <v>88888.4</v>
      </c>
      <c r="N1737" s="2" t="s">
        <v>187</v>
      </c>
      <c r="O1737" s="2" t="s">
        <v>188</v>
      </c>
      <c r="P1737" s="2" t="s">
        <v>3303</v>
      </c>
      <c r="Q1737" s="2" t="s">
        <v>3304</v>
      </c>
      <c r="R1737" s="2" t="s">
        <v>29</v>
      </c>
      <c r="S1737" s="2" t="s">
        <v>30</v>
      </c>
    </row>
    <row r="1738" spans="1:19">
      <c r="A1738" s="1">
        <v>44682</v>
      </c>
      <c r="B1738" s="1">
        <v>44682</v>
      </c>
      <c r="C1738">
        <v>2022</v>
      </c>
      <c r="D1738">
        <v>5</v>
      </c>
      <c r="E1738" s="2" t="s">
        <v>191</v>
      </c>
      <c r="F1738" s="2" t="s">
        <v>192</v>
      </c>
      <c r="G1738" s="2" t="s">
        <v>185</v>
      </c>
      <c r="H1738" s="2" t="s">
        <v>22</v>
      </c>
      <c r="I1738" s="2" t="s">
        <v>186</v>
      </c>
      <c r="J1738" s="2" t="s">
        <v>24</v>
      </c>
      <c r="K1738">
        <v>675.57</v>
      </c>
      <c r="L1738">
        <v>3628328.42</v>
      </c>
      <c r="M1738">
        <v>537076.6</v>
      </c>
      <c r="N1738" s="2" t="s">
        <v>193</v>
      </c>
      <c r="O1738" s="2" t="s">
        <v>194</v>
      </c>
      <c r="P1738" s="2" t="s">
        <v>3305</v>
      </c>
      <c r="Q1738" s="2" t="s">
        <v>3306</v>
      </c>
      <c r="R1738" s="2" t="s">
        <v>29</v>
      </c>
      <c r="S1738" s="2" t="s">
        <v>30</v>
      </c>
    </row>
    <row r="1739" spans="1:19">
      <c r="A1739" s="1">
        <v>44682</v>
      </c>
      <c r="B1739" s="1">
        <v>44682</v>
      </c>
      <c r="C1739">
        <v>2022</v>
      </c>
      <c r="D1739">
        <v>5</v>
      </c>
      <c r="E1739" s="2" t="s">
        <v>197</v>
      </c>
      <c r="F1739" s="2" t="s">
        <v>198</v>
      </c>
      <c r="G1739" s="2" t="s">
        <v>185</v>
      </c>
      <c r="H1739" s="2" t="s">
        <v>22</v>
      </c>
      <c r="I1739" s="2" t="s">
        <v>186</v>
      </c>
      <c r="J1739" s="2" t="s">
        <v>59</v>
      </c>
      <c r="K1739">
        <v>3015.15</v>
      </c>
      <c r="L1739">
        <v>5707943.6600000001</v>
      </c>
      <c r="M1739">
        <v>189308.78</v>
      </c>
      <c r="N1739" s="2" t="s">
        <v>199</v>
      </c>
      <c r="O1739" s="2" t="s">
        <v>200</v>
      </c>
      <c r="P1739" s="2" t="s">
        <v>3307</v>
      </c>
      <c r="Q1739" s="2" t="s">
        <v>3308</v>
      </c>
      <c r="R1739" s="2" t="s">
        <v>29</v>
      </c>
      <c r="S1739" s="2" t="s">
        <v>30</v>
      </c>
    </row>
    <row r="1740" spans="1:19">
      <c r="A1740" s="1">
        <v>44682</v>
      </c>
      <c r="B1740" s="1">
        <v>44682</v>
      </c>
      <c r="C1740">
        <v>2022</v>
      </c>
      <c r="D1740">
        <v>5</v>
      </c>
      <c r="E1740" s="2" t="s">
        <v>203</v>
      </c>
      <c r="F1740" s="2" t="s">
        <v>204</v>
      </c>
      <c r="G1740" s="2" t="s">
        <v>39</v>
      </c>
      <c r="H1740" s="2" t="s">
        <v>22</v>
      </c>
      <c r="I1740" s="2" t="s">
        <v>40</v>
      </c>
      <c r="J1740" s="2" t="s">
        <v>24</v>
      </c>
      <c r="K1740">
        <v>1073.6600000000001</v>
      </c>
      <c r="L1740">
        <v>29827.78</v>
      </c>
      <c r="M1740">
        <v>2778.14</v>
      </c>
      <c r="N1740" s="2" t="s">
        <v>205</v>
      </c>
      <c r="O1740" s="2" t="s">
        <v>206</v>
      </c>
      <c r="P1740" s="2" t="s">
        <v>3309</v>
      </c>
      <c r="Q1740" s="2" t="s">
        <v>3310</v>
      </c>
      <c r="R1740" s="2" t="s">
        <v>29</v>
      </c>
      <c r="S1740" s="2" t="s">
        <v>30</v>
      </c>
    </row>
    <row r="1741" spans="1:19">
      <c r="A1741" s="1">
        <v>44682</v>
      </c>
      <c r="B1741" s="1">
        <v>44682</v>
      </c>
      <c r="C1741">
        <v>2022</v>
      </c>
      <c r="D1741">
        <v>5</v>
      </c>
      <c r="E1741" s="2" t="s">
        <v>209</v>
      </c>
      <c r="F1741" s="2" t="s">
        <v>210</v>
      </c>
      <c r="G1741" s="2" t="s">
        <v>39</v>
      </c>
      <c r="H1741" s="2" t="s">
        <v>22</v>
      </c>
      <c r="I1741" s="2" t="s">
        <v>40</v>
      </c>
      <c r="J1741" s="2" t="s">
        <v>59</v>
      </c>
      <c r="K1741">
        <v>1073.6600000000001</v>
      </c>
      <c r="L1741">
        <v>29827.78</v>
      </c>
      <c r="M1741">
        <v>2778.14</v>
      </c>
      <c r="N1741" s="2" t="s">
        <v>211</v>
      </c>
      <c r="O1741" s="2" t="s">
        <v>212</v>
      </c>
      <c r="P1741" s="2" t="s">
        <v>3309</v>
      </c>
      <c r="Q1741" s="2" t="s">
        <v>3310</v>
      </c>
      <c r="R1741" s="2" t="s">
        <v>29</v>
      </c>
      <c r="S1741" s="2" t="s">
        <v>30</v>
      </c>
    </row>
    <row r="1742" spans="1:19">
      <c r="A1742" s="1">
        <v>44682</v>
      </c>
      <c r="B1742" s="1">
        <v>44682</v>
      </c>
      <c r="C1742">
        <v>2022</v>
      </c>
      <c r="D1742">
        <v>5</v>
      </c>
      <c r="E1742" s="2" t="s">
        <v>213</v>
      </c>
      <c r="F1742" s="2" t="s">
        <v>214</v>
      </c>
      <c r="G1742" s="2" t="s">
        <v>185</v>
      </c>
      <c r="H1742" s="2" t="s">
        <v>22</v>
      </c>
      <c r="I1742" s="2" t="s">
        <v>215</v>
      </c>
      <c r="J1742" s="2" t="s">
        <v>24</v>
      </c>
      <c r="K1742">
        <v>53278.71</v>
      </c>
      <c r="L1742">
        <v>1354104.79</v>
      </c>
      <c r="M1742">
        <v>2541.5500000000002</v>
      </c>
      <c r="N1742" s="2" t="s">
        <v>216</v>
      </c>
      <c r="O1742" s="2" t="s">
        <v>217</v>
      </c>
      <c r="P1742" s="2" t="s">
        <v>3311</v>
      </c>
      <c r="Q1742" s="2" t="s">
        <v>3312</v>
      </c>
      <c r="R1742" s="2" t="s">
        <v>29</v>
      </c>
      <c r="S1742" s="2" t="s">
        <v>30</v>
      </c>
    </row>
    <row r="1743" spans="1:19">
      <c r="A1743" s="1">
        <v>44682</v>
      </c>
      <c r="B1743" s="1">
        <v>44682</v>
      </c>
      <c r="C1743">
        <v>2022</v>
      </c>
      <c r="D1743">
        <v>5</v>
      </c>
      <c r="E1743" s="2" t="s">
        <v>220</v>
      </c>
      <c r="F1743" s="2" t="s">
        <v>221</v>
      </c>
      <c r="G1743" s="2" t="s">
        <v>185</v>
      </c>
      <c r="H1743" s="2" t="s">
        <v>22</v>
      </c>
      <c r="I1743" s="2" t="s">
        <v>215</v>
      </c>
      <c r="J1743" s="2" t="s">
        <v>24</v>
      </c>
      <c r="K1743">
        <v>4617.4799999999996</v>
      </c>
      <c r="L1743">
        <v>318546.26</v>
      </c>
      <c r="M1743">
        <v>6898.7</v>
      </c>
      <c r="N1743" s="2" t="s">
        <v>222</v>
      </c>
      <c r="O1743" s="2" t="s">
        <v>223</v>
      </c>
      <c r="P1743" s="2" t="s">
        <v>3313</v>
      </c>
      <c r="Q1743" s="2" t="s">
        <v>3314</v>
      </c>
      <c r="R1743" s="2" t="s">
        <v>29</v>
      </c>
      <c r="S1743" s="2" t="s">
        <v>30</v>
      </c>
    </row>
    <row r="1744" spans="1:19">
      <c r="A1744" s="1">
        <v>44682</v>
      </c>
      <c r="B1744" s="1">
        <v>44682</v>
      </c>
      <c r="C1744">
        <v>2022</v>
      </c>
      <c r="D1744">
        <v>5</v>
      </c>
      <c r="E1744" s="2" t="s">
        <v>226</v>
      </c>
      <c r="F1744" s="2" t="s">
        <v>227</v>
      </c>
      <c r="G1744" s="2" t="s">
        <v>185</v>
      </c>
      <c r="H1744" s="2" t="s">
        <v>22</v>
      </c>
      <c r="I1744" s="2" t="s">
        <v>215</v>
      </c>
      <c r="J1744" s="2" t="s">
        <v>59</v>
      </c>
      <c r="K1744">
        <v>57896.19</v>
      </c>
      <c r="L1744">
        <v>1672651.06</v>
      </c>
      <c r="M1744">
        <v>2889.05</v>
      </c>
      <c r="N1744" s="2" t="s">
        <v>228</v>
      </c>
      <c r="O1744" s="2" t="s">
        <v>229</v>
      </c>
      <c r="P1744" s="2" t="s">
        <v>3315</v>
      </c>
      <c r="Q1744" s="2" t="s">
        <v>3316</v>
      </c>
      <c r="R1744" s="2" t="s">
        <v>29</v>
      </c>
      <c r="S1744" s="2" t="s">
        <v>30</v>
      </c>
    </row>
    <row r="1745" spans="1:19">
      <c r="A1745" s="1">
        <v>44682</v>
      </c>
      <c r="B1745" s="1">
        <v>44682</v>
      </c>
      <c r="C1745">
        <v>2022</v>
      </c>
      <c r="D1745">
        <v>5</v>
      </c>
      <c r="E1745" s="2" t="s">
        <v>232</v>
      </c>
      <c r="F1745" s="2" t="s">
        <v>233</v>
      </c>
      <c r="G1745" s="2" t="s">
        <v>21</v>
      </c>
      <c r="H1745" s="2" t="s">
        <v>22</v>
      </c>
      <c r="I1745" s="2" t="s">
        <v>23</v>
      </c>
      <c r="J1745" s="2" t="s">
        <v>24</v>
      </c>
      <c r="K1745">
        <v>1794.53</v>
      </c>
      <c r="L1745">
        <v>97341.4</v>
      </c>
      <c r="M1745">
        <v>5424.34</v>
      </c>
      <c r="N1745" s="2" t="s">
        <v>234</v>
      </c>
      <c r="O1745" s="2" t="s">
        <v>235</v>
      </c>
      <c r="P1745" s="2" t="s">
        <v>3317</v>
      </c>
      <c r="Q1745" s="2" t="s">
        <v>3318</v>
      </c>
      <c r="R1745" s="2" t="s">
        <v>29</v>
      </c>
      <c r="S1745" s="2" t="s">
        <v>30</v>
      </c>
    </row>
    <row r="1746" spans="1:19">
      <c r="A1746" s="1">
        <v>44682</v>
      </c>
      <c r="B1746" s="1">
        <v>44682</v>
      </c>
      <c r="C1746">
        <v>2022</v>
      </c>
      <c r="D1746">
        <v>5</v>
      </c>
      <c r="E1746" s="2" t="s">
        <v>238</v>
      </c>
      <c r="F1746" s="2" t="s">
        <v>239</v>
      </c>
      <c r="G1746" s="2" t="s">
        <v>21</v>
      </c>
      <c r="H1746" s="2" t="s">
        <v>22</v>
      </c>
      <c r="I1746" s="2" t="s">
        <v>66</v>
      </c>
      <c r="J1746" s="2" t="s">
        <v>24</v>
      </c>
      <c r="K1746">
        <v>1018.05</v>
      </c>
      <c r="L1746">
        <v>94751.72</v>
      </c>
      <c r="M1746">
        <v>9307.18</v>
      </c>
      <c r="N1746" s="2" t="s">
        <v>240</v>
      </c>
      <c r="O1746" s="2" t="s">
        <v>241</v>
      </c>
      <c r="P1746" s="2" t="s">
        <v>3319</v>
      </c>
      <c r="Q1746" s="2" t="s">
        <v>3320</v>
      </c>
      <c r="R1746" s="2" t="s">
        <v>29</v>
      </c>
      <c r="S1746" s="2" t="s">
        <v>30</v>
      </c>
    </row>
    <row r="1747" spans="1:19">
      <c r="A1747" s="1">
        <v>44682</v>
      </c>
      <c r="B1747" s="1">
        <v>44682</v>
      </c>
      <c r="C1747">
        <v>2022</v>
      </c>
      <c r="D1747">
        <v>5</v>
      </c>
      <c r="E1747" s="2" t="s">
        <v>244</v>
      </c>
      <c r="F1747" s="2" t="s">
        <v>245</v>
      </c>
      <c r="G1747" s="2" t="s">
        <v>21</v>
      </c>
      <c r="H1747" s="2" t="s">
        <v>22</v>
      </c>
      <c r="I1747" s="2" t="s">
        <v>23</v>
      </c>
      <c r="J1747" s="2" t="s">
        <v>24</v>
      </c>
      <c r="K1747">
        <v>3813.34</v>
      </c>
      <c r="L1747">
        <v>2546927.61</v>
      </c>
      <c r="M1747">
        <v>66789.94</v>
      </c>
      <c r="N1747" s="2" t="s">
        <v>246</v>
      </c>
      <c r="O1747" s="2" t="s">
        <v>247</v>
      </c>
      <c r="P1747" s="2" t="s">
        <v>3321</v>
      </c>
      <c r="Q1747" s="2" t="s">
        <v>3322</v>
      </c>
      <c r="R1747" s="2" t="s">
        <v>29</v>
      </c>
      <c r="S1747" s="2" t="s">
        <v>30</v>
      </c>
    </row>
    <row r="1748" spans="1:19">
      <c r="A1748" s="1">
        <v>44682</v>
      </c>
      <c r="B1748" s="1">
        <v>44682</v>
      </c>
      <c r="C1748">
        <v>2022</v>
      </c>
      <c r="D1748">
        <v>5</v>
      </c>
      <c r="E1748" s="2" t="s">
        <v>250</v>
      </c>
      <c r="F1748" s="2" t="s">
        <v>251</v>
      </c>
      <c r="G1748" s="2" t="s">
        <v>21</v>
      </c>
      <c r="H1748" s="2" t="s">
        <v>22</v>
      </c>
      <c r="I1748" s="2" t="s">
        <v>66</v>
      </c>
      <c r="J1748" s="2" t="s">
        <v>24</v>
      </c>
      <c r="K1748">
        <v>141.46</v>
      </c>
      <c r="L1748">
        <v>218.45</v>
      </c>
      <c r="M1748">
        <v>154.43</v>
      </c>
      <c r="N1748" s="2" t="s">
        <v>252</v>
      </c>
      <c r="O1748" s="2" t="s">
        <v>253</v>
      </c>
      <c r="P1748" s="2" t="s">
        <v>3323</v>
      </c>
      <c r="Q1748" s="2" t="s">
        <v>3324</v>
      </c>
      <c r="R1748" s="2" t="s">
        <v>29</v>
      </c>
      <c r="S1748" s="2" t="s">
        <v>30</v>
      </c>
    </row>
    <row r="1749" spans="1:19">
      <c r="A1749" s="1">
        <v>44682</v>
      </c>
      <c r="B1749" s="1">
        <v>44682</v>
      </c>
      <c r="C1749">
        <v>2022</v>
      </c>
      <c r="D1749">
        <v>5</v>
      </c>
      <c r="E1749" s="2" t="s">
        <v>256</v>
      </c>
      <c r="F1749" s="2" t="s">
        <v>257</v>
      </c>
      <c r="G1749" s="2" t="s">
        <v>21</v>
      </c>
      <c r="H1749" s="2" t="s">
        <v>22</v>
      </c>
      <c r="I1749" s="2" t="s">
        <v>258</v>
      </c>
      <c r="J1749" s="2" t="s">
        <v>24</v>
      </c>
      <c r="K1749">
        <v>590.44000000000005</v>
      </c>
      <c r="L1749">
        <v>594561.94999999995</v>
      </c>
      <c r="M1749">
        <v>100698.11</v>
      </c>
      <c r="N1749" s="2" t="s">
        <v>259</v>
      </c>
      <c r="O1749" s="2" t="s">
        <v>260</v>
      </c>
      <c r="P1749" s="2" t="s">
        <v>3325</v>
      </c>
      <c r="Q1749" s="2" t="s">
        <v>3326</v>
      </c>
      <c r="R1749" s="2" t="s">
        <v>29</v>
      </c>
      <c r="S1749" s="2" t="s">
        <v>30</v>
      </c>
    </row>
    <row r="1750" spans="1:19">
      <c r="A1750" s="1">
        <v>44682</v>
      </c>
      <c r="B1750" s="1">
        <v>44682</v>
      </c>
      <c r="C1750">
        <v>2022</v>
      </c>
      <c r="D1750">
        <v>5</v>
      </c>
      <c r="E1750" s="2" t="s">
        <v>263</v>
      </c>
      <c r="F1750" s="2" t="s">
        <v>264</v>
      </c>
      <c r="G1750" s="2" t="s">
        <v>21</v>
      </c>
      <c r="H1750" s="2" t="s">
        <v>22</v>
      </c>
      <c r="I1750" s="2" t="s">
        <v>258</v>
      </c>
      <c r="J1750" s="2" t="s">
        <v>24</v>
      </c>
      <c r="K1750">
        <v>0</v>
      </c>
      <c r="L1750">
        <v>0</v>
      </c>
      <c r="N1750" s="2" t="s">
        <v>265</v>
      </c>
      <c r="O1750" s="2" t="s">
        <v>266</v>
      </c>
      <c r="P1750" s="2" t="s">
        <v>639</v>
      </c>
      <c r="Q1750" s="2" t="s">
        <v>639</v>
      </c>
      <c r="R1750" s="2" t="s">
        <v>29</v>
      </c>
      <c r="S1750" s="2" t="s">
        <v>30</v>
      </c>
    </row>
    <row r="1751" spans="1:19">
      <c r="A1751" s="1">
        <v>44682</v>
      </c>
      <c r="B1751" s="1">
        <v>44682</v>
      </c>
      <c r="C1751">
        <v>2022</v>
      </c>
      <c r="D1751">
        <v>5</v>
      </c>
      <c r="E1751" s="2" t="s">
        <v>269</v>
      </c>
      <c r="F1751" s="2" t="s">
        <v>270</v>
      </c>
      <c r="G1751" s="2" t="s">
        <v>21</v>
      </c>
      <c r="H1751" s="2" t="s">
        <v>22</v>
      </c>
      <c r="I1751" s="2" t="s">
        <v>258</v>
      </c>
      <c r="J1751" s="2" t="s">
        <v>59</v>
      </c>
      <c r="K1751">
        <v>590.44000000000005</v>
      </c>
      <c r="L1751">
        <v>594561.94999999995</v>
      </c>
      <c r="M1751">
        <v>100698.11</v>
      </c>
      <c r="N1751" s="2" t="s">
        <v>271</v>
      </c>
      <c r="O1751" s="2" t="s">
        <v>272</v>
      </c>
      <c r="P1751" s="2" t="s">
        <v>3325</v>
      </c>
      <c r="Q1751" s="2" t="s">
        <v>3326</v>
      </c>
      <c r="R1751" s="2" t="s">
        <v>29</v>
      </c>
      <c r="S1751" s="2" t="s">
        <v>30</v>
      </c>
    </row>
    <row r="1752" spans="1:19">
      <c r="A1752" s="1">
        <v>44682</v>
      </c>
      <c r="B1752" s="1">
        <v>44682</v>
      </c>
      <c r="C1752">
        <v>2022</v>
      </c>
      <c r="D1752">
        <v>5</v>
      </c>
      <c r="E1752" s="2" t="s">
        <v>275</v>
      </c>
      <c r="F1752" s="2" t="s">
        <v>276</v>
      </c>
      <c r="G1752" s="2" t="s">
        <v>39</v>
      </c>
      <c r="H1752" s="2" t="s">
        <v>22</v>
      </c>
      <c r="I1752" s="2" t="s">
        <v>40</v>
      </c>
      <c r="J1752" s="2" t="s">
        <v>24</v>
      </c>
      <c r="K1752">
        <v>2.2000000000000002</v>
      </c>
      <c r="L1752">
        <v>21.64</v>
      </c>
      <c r="M1752">
        <v>983.64</v>
      </c>
      <c r="N1752" s="2" t="s">
        <v>277</v>
      </c>
      <c r="O1752" s="2" t="s">
        <v>278</v>
      </c>
      <c r="P1752" s="2" t="s">
        <v>477</v>
      </c>
      <c r="Q1752" s="2" t="s">
        <v>3327</v>
      </c>
      <c r="R1752" s="2" t="s">
        <v>29</v>
      </c>
      <c r="S1752" s="2" t="s">
        <v>30</v>
      </c>
    </row>
    <row r="1753" spans="1:19">
      <c r="A1753" s="1">
        <v>44682</v>
      </c>
      <c r="B1753" s="1">
        <v>44682</v>
      </c>
      <c r="C1753">
        <v>2022</v>
      </c>
      <c r="D1753">
        <v>5</v>
      </c>
      <c r="E1753" s="2" t="s">
        <v>281</v>
      </c>
      <c r="F1753" s="2" t="s">
        <v>282</v>
      </c>
      <c r="G1753" s="2" t="s">
        <v>39</v>
      </c>
      <c r="H1753" s="2" t="s">
        <v>22</v>
      </c>
      <c r="I1753" s="2" t="s">
        <v>40</v>
      </c>
      <c r="J1753" s="2" t="s">
        <v>24</v>
      </c>
      <c r="K1753">
        <v>0.03</v>
      </c>
      <c r="L1753">
        <v>0.19</v>
      </c>
      <c r="M1753">
        <v>633.33000000000004</v>
      </c>
      <c r="N1753" s="2" t="s">
        <v>283</v>
      </c>
      <c r="O1753" s="2" t="s">
        <v>284</v>
      </c>
      <c r="P1753" s="2" t="s">
        <v>1247</v>
      </c>
      <c r="Q1753" s="2" t="s">
        <v>97</v>
      </c>
      <c r="R1753" s="2" t="s">
        <v>29</v>
      </c>
      <c r="S1753" s="2" t="s">
        <v>30</v>
      </c>
    </row>
    <row r="1754" spans="1:19">
      <c r="A1754" s="1">
        <v>44682</v>
      </c>
      <c r="B1754" s="1">
        <v>44682</v>
      </c>
      <c r="C1754">
        <v>2022</v>
      </c>
      <c r="D1754">
        <v>5</v>
      </c>
      <c r="E1754" s="2" t="s">
        <v>287</v>
      </c>
      <c r="F1754" s="2" t="s">
        <v>288</v>
      </c>
      <c r="G1754" s="2" t="s">
        <v>39</v>
      </c>
      <c r="H1754" s="2" t="s">
        <v>22</v>
      </c>
      <c r="I1754" s="2" t="s">
        <v>40</v>
      </c>
      <c r="J1754" s="2" t="s">
        <v>59</v>
      </c>
      <c r="K1754">
        <v>2.23</v>
      </c>
      <c r="L1754">
        <v>21.83</v>
      </c>
      <c r="M1754">
        <v>978.92</v>
      </c>
      <c r="N1754" s="2" t="s">
        <v>289</v>
      </c>
      <c r="O1754" s="2" t="s">
        <v>290</v>
      </c>
      <c r="P1754" s="2" t="s">
        <v>1041</v>
      </c>
      <c r="Q1754" s="2" t="s">
        <v>3328</v>
      </c>
      <c r="R1754" s="2" t="s">
        <v>29</v>
      </c>
      <c r="S1754" s="2" t="s">
        <v>30</v>
      </c>
    </row>
    <row r="1755" spans="1:19">
      <c r="A1755" s="1">
        <v>44682</v>
      </c>
      <c r="B1755" s="1">
        <v>44682</v>
      </c>
      <c r="C1755">
        <v>2022</v>
      </c>
      <c r="D1755">
        <v>5</v>
      </c>
      <c r="E1755" s="2" t="s">
        <v>293</v>
      </c>
      <c r="F1755" s="2" t="s">
        <v>294</v>
      </c>
      <c r="G1755" s="2" t="s">
        <v>21</v>
      </c>
      <c r="H1755" s="2" t="s">
        <v>22</v>
      </c>
      <c r="I1755" s="2" t="s">
        <v>295</v>
      </c>
      <c r="J1755" s="2" t="s">
        <v>24</v>
      </c>
      <c r="K1755">
        <v>1238.25</v>
      </c>
      <c r="L1755">
        <v>4746.1400000000003</v>
      </c>
      <c r="M1755">
        <v>383.29</v>
      </c>
      <c r="N1755" s="2" t="s">
        <v>296</v>
      </c>
      <c r="O1755" s="2" t="s">
        <v>297</v>
      </c>
      <c r="P1755" s="2" t="s">
        <v>3329</v>
      </c>
      <c r="Q1755" s="2" t="s">
        <v>3330</v>
      </c>
      <c r="R1755" s="2" t="s">
        <v>29</v>
      </c>
      <c r="S1755" s="2" t="s">
        <v>30</v>
      </c>
    </row>
    <row r="1756" spans="1:19">
      <c r="A1756" s="1">
        <v>44682</v>
      </c>
      <c r="B1756" s="1">
        <v>44682</v>
      </c>
      <c r="C1756">
        <v>2022</v>
      </c>
      <c r="D1756">
        <v>5</v>
      </c>
      <c r="E1756" s="2" t="s">
        <v>300</v>
      </c>
      <c r="F1756" s="2" t="s">
        <v>301</v>
      </c>
      <c r="G1756" s="2" t="s">
        <v>21</v>
      </c>
      <c r="H1756" s="2" t="s">
        <v>22</v>
      </c>
      <c r="I1756" s="2" t="s">
        <v>295</v>
      </c>
      <c r="J1756" s="2" t="s">
        <v>24</v>
      </c>
      <c r="K1756">
        <v>92.8</v>
      </c>
      <c r="L1756">
        <v>1335.82</v>
      </c>
      <c r="M1756">
        <v>1439.46</v>
      </c>
      <c r="N1756" s="2" t="s">
        <v>302</v>
      </c>
      <c r="O1756" s="2" t="s">
        <v>303</v>
      </c>
      <c r="P1756" s="2" t="s">
        <v>3331</v>
      </c>
      <c r="Q1756" s="2" t="s">
        <v>3332</v>
      </c>
      <c r="R1756" s="2" t="s">
        <v>29</v>
      </c>
      <c r="S1756" s="2" t="s">
        <v>30</v>
      </c>
    </row>
    <row r="1757" spans="1:19">
      <c r="A1757" s="1">
        <v>44682</v>
      </c>
      <c r="B1757" s="1">
        <v>44682</v>
      </c>
      <c r="C1757">
        <v>2022</v>
      </c>
      <c r="D1757">
        <v>5</v>
      </c>
      <c r="E1757" s="2" t="s">
        <v>306</v>
      </c>
      <c r="F1757" s="2" t="s">
        <v>307</v>
      </c>
      <c r="G1757" s="2" t="s">
        <v>21</v>
      </c>
      <c r="H1757" s="2" t="s">
        <v>22</v>
      </c>
      <c r="I1757" s="2" t="s">
        <v>295</v>
      </c>
      <c r="J1757" s="2" t="s">
        <v>101</v>
      </c>
      <c r="K1757">
        <v>1331.05</v>
      </c>
      <c r="L1757">
        <v>6081.96</v>
      </c>
      <c r="M1757">
        <v>456.93</v>
      </c>
      <c r="N1757" s="2" t="s">
        <v>308</v>
      </c>
      <c r="O1757" s="2" t="s">
        <v>309</v>
      </c>
      <c r="P1757" s="2" t="s">
        <v>3333</v>
      </c>
      <c r="Q1757" s="2" t="s">
        <v>3334</v>
      </c>
      <c r="R1757" s="2" t="s">
        <v>29</v>
      </c>
      <c r="S1757" s="2" t="s">
        <v>30</v>
      </c>
    </row>
    <row r="1758" spans="1:19">
      <c r="A1758" s="1">
        <v>44682</v>
      </c>
      <c r="B1758" s="1">
        <v>44682</v>
      </c>
      <c r="C1758">
        <v>2022</v>
      </c>
      <c r="D1758">
        <v>5</v>
      </c>
      <c r="E1758" s="2" t="s">
        <v>312</v>
      </c>
      <c r="F1758" s="2" t="s">
        <v>313</v>
      </c>
      <c r="G1758" s="2" t="s">
        <v>21</v>
      </c>
      <c r="H1758" s="2" t="s">
        <v>22</v>
      </c>
      <c r="I1758" s="2" t="s">
        <v>295</v>
      </c>
      <c r="J1758" s="2" t="s">
        <v>59</v>
      </c>
      <c r="K1758">
        <v>6529.11</v>
      </c>
      <c r="L1758">
        <v>25698.36</v>
      </c>
      <c r="M1758">
        <v>393.6</v>
      </c>
      <c r="N1758" s="2" t="s">
        <v>314</v>
      </c>
      <c r="O1758" s="2" t="s">
        <v>315</v>
      </c>
      <c r="P1758" s="2" t="s">
        <v>3335</v>
      </c>
      <c r="Q1758" s="2" t="s">
        <v>3336</v>
      </c>
      <c r="R1758" s="2" t="s">
        <v>29</v>
      </c>
      <c r="S1758" s="2" t="s">
        <v>30</v>
      </c>
    </row>
    <row r="1759" spans="1:19">
      <c r="A1759" s="1">
        <v>44682</v>
      </c>
      <c r="B1759" s="1">
        <v>44682</v>
      </c>
      <c r="C1759">
        <v>2022</v>
      </c>
      <c r="D1759">
        <v>5</v>
      </c>
      <c r="E1759" s="2" t="s">
        <v>318</v>
      </c>
      <c r="F1759" s="2" t="s">
        <v>319</v>
      </c>
      <c r="G1759" s="2" t="s">
        <v>21</v>
      </c>
      <c r="H1759" s="2" t="s">
        <v>22</v>
      </c>
      <c r="I1759" s="2" t="s">
        <v>295</v>
      </c>
      <c r="J1759" s="2" t="s">
        <v>24</v>
      </c>
      <c r="K1759">
        <v>5198.0600000000004</v>
      </c>
      <c r="L1759">
        <v>19616.400000000001</v>
      </c>
      <c r="M1759">
        <v>377.38</v>
      </c>
      <c r="N1759" s="2" t="s">
        <v>320</v>
      </c>
      <c r="O1759" s="2" t="s">
        <v>321</v>
      </c>
      <c r="P1759" s="2" t="s">
        <v>3337</v>
      </c>
      <c r="Q1759" s="2" t="s">
        <v>3338</v>
      </c>
      <c r="R1759" s="2" t="s">
        <v>29</v>
      </c>
      <c r="S1759" s="2" t="s">
        <v>30</v>
      </c>
    </row>
    <row r="1760" spans="1:19">
      <c r="A1760" s="1">
        <v>44682</v>
      </c>
      <c r="B1760" s="1">
        <v>44682</v>
      </c>
      <c r="C1760">
        <v>2022</v>
      </c>
      <c r="D1760">
        <v>5</v>
      </c>
      <c r="E1760" s="2" t="s">
        <v>324</v>
      </c>
      <c r="F1760" s="2" t="s">
        <v>325</v>
      </c>
      <c r="G1760" s="2" t="s">
        <v>21</v>
      </c>
      <c r="H1760" s="2" t="s">
        <v>22</v>
      </c>
      <c r="I1760" s="2" t="s">
        <v>23</v>
      </c>
      <c r="J1760" s="2" t="s">
        <v>59</v>
      </c>
      <c r="K1760">
        <v>72187.5</v>
      </c>
      <c r="L1760">
        <v>4177865.19</v>
      </c>
      <c r="M1760">
        <v>5787.52</v>
      </c>
      <c r="N1760" s="2" t="s">
        <v>326</v>
      </c>
      <c r="O1760" s="2" t="s">
        <v>327</v>
      </c>
      <c r="P1760" s="2" t="s">
        <v>3339</v>
      </c>
      <c r="Q1760" s="2" t="s">
        <v>3340</v>
      </c>
      <c r="R1760" s="2" t="s">
        <v>29</v>
      </c>
      <c r="S1760" s="2" t="s">
        <v>30</v>
      </c>
    </row>
    <row r="1761" spans="1:19">
      <c r="A1761" s="1">
        <v>44682</v>
      </c>
      <c r="B1761" s="1">
        <v>44682</v>
      </c>
      <c r="C1761">
        <v>2022</v>
      </c>
      <c r="D1761">
        <v>5</v>
      </c>
      <c r="E1761" s="2" t="s">
        <v>330</v>
      </c>
      <c r="F1761" s="2" t="s">
        <v>331</v>
      </c>
      <c r="G1761" s="2" t="s">
        <v>21</v>
      </c>
      <c r="H1761" s="2" t="s">
        <v>332</v>
      </c>
      <c r="I1761" s="2" t="s">
        <v>333</v>
      </c>
      <c r="J1761" s="2" t="s">
        <v>24</v>
      </c>
      <c r="K1761">
        <v>194.53</v>
      </c>
      <c r="L1761">
        <v>9851273.8499999996</v>
      </c>
      <c r="M1761">
        <v>5064141.1900000004</v>
      </c>
      <c r="N1761" s="2" t="s">
        <v>334</v>
      </c>
      <c r="O1761" s="2" t="s">
        <v>335</v>
      </c>
      <c r="P1761" s="2" t="s">
        <v>3341</v>
      </c>
      <c r="Q1761" s="2" t="s">
        <v>3342</v>
      </c>
      <c r="R1761" s="2" t="s">
        <v>29</v>
      </c>
      <c r="S1761" s="2" t="s">
        <v>30</v>
      </c>
    </row>
    <row r="1762" spans="1:19">
      <c r="A1762" s="1">
        <v>44682</v>
      </c>
      <c r="B1762" s="1">
        <v>44682</v>
      </c>
      <c r="C1762">
        <v>2022</v>
      </c>
      <c r="D1762">
        <v>5</v>
      </c>
      <c r="E1762" s="2" t="s">
        <v>338</v>
      </c>
      <c r="F1762" s="2" t="s">
        <v>339</v>
      </c>
      <c r="G1762" s="2" t="s">
        <v>21</v>
      </c>
      <c r="H1762" s="2" t="s">
        <v>332</v>
      </c>
      <c r="I1762" s="2" t="s">
        <v>333</v>
      </c>
      <c r="J1762" s="2" t="s">
        <v>24</v>
      </c>
      <c r="K1762">
        <v>1.19</v>
      </c>
      <c r="L1762">
        <v>1332673.1200000001</v>
      </c>
      <c r="M1762">
        <v>111989337.81999999</v>
      </c>
      <c r="N1762" s="2" t="s">
        <v>340</v>
      </c>
      <c r="O1762" s="2" t="s">
        <v>341</v>
      </c>
      <c r="P1762" s="2" t="s">
        <v>1032</v>
      </c>
      <c r="Q1762" s="2" t="s">
        <v>3343</v>
      </c>
      <c r="R1762" s="2" t="s">
        <v>29</v>
      </c>
      <c r="S1762" s="2" t="s">
        <v>30</v>
      </c>
    </row>
    <row r="1763" spans="1:19">
      <c r="A1763" s="1">
        <v>44682</v>
      </c>
      <c r="B1763" s="1">
        <v>44682</v>
      </c>
      <c r="C1763">
        <v>2022</v>
      </c>
      <c r="D1763">
        <v>5</v>
      </c>
      <c r="E1763" s="2" t="s">
        <v>344</v>
      </c>
      <c r="F1763" s="2" t="s">
        <v>345</v>
      </c>
      <c r="G1763" s="2" t="s">
        <v>21</v>
      </c>
      <c r="H1763" s="2" t="s">
        <v>332</v>
      </c>
      <c r="I1763" s="2" t="s">
        <v>333</v>
      </c>
      <c r="J1763" s="2" t="s">
        <v>59</v>
      </c>
      <c r="K1763">
        <v>195.72</v>
      </c>
      <c r="L1763">
        <v>11183946.970000001</v>
      </c>
      <c r="M1763">
        <v>5714258.6200000001</v>
      </c>
      <c r="N1763" s="2" t="s">
        <v>346</v>
      </c>
      <c r="O1763" s="2" t="s">
        <v>347</v>
      </c>
      <c r="P1763" s="2" t="s">
        <v>3344</v>
      </c>
      <c r="Q1763" s="2" t="s">
        <v>3345</v>
      </c>
      <c r="R1763" s="2" t="s">
        <v>29</v>
      </c>
      <c r="S1763" s="2" t="s">
        <v>30</v>
      </c>
    </row>
    <row r="1764" spans="1:19">
      <c r="A1764" s="1">
        <v>44682</v>
      </c>
      <c r="B1764" s="1">
        <v>44682</v>
      </c>
      <c r="C1764">
        <v>2022</v>
      </c>
      <c r="D1764">
        <v>5</v>
      </c>
      <c r="E1764" s="2" t="s">
        <v>350</v>
      </c>
      <c r="F1764" s="2" t="s">
        <v>351</v>
      </c>
      <c r="G1764" s="2" t="s">
        <v>21</v>
      </c>
      <c r="H1764" s="2" t="s">
        <v>22</v>
      </c>
      <c r="I1764" s="2" t="s">
        <v>352</v>
      </c>
      <c r="J1764" s="2" t="s">
        <v>353</v>
      </c>
      <c r="K1764">
        <v>85783.33</v>
      </c>
      <c r="L1764">
        <v>15662545.539999999</v>
      </c>
      <c r="M1764">
        <v>18258.259999999998</v>
      </c>
      <c r="N1764" s="2" t="s">
        <v>354</v>
      </c>
      <c r="O1764" s="2" t="s">
        <v>355</v>
      </c>
      <c r="P1764" s="2" t="s">
        <v>3346</v>
      </c>
      <c r="Q1764" s="2" t="s">
        <v>3347</v>
      </c>
      <c r="R1764" s="2" t="s">
        <v>29</v>
      </c>
      <c r="S1764" s="2" t="s">
        <v>30</v>
      </c>
    </row>
    <row r="1765" spans="1:19">
      <c r="A1765" s="1">
        <v>44682</v>
      </c>
      <c r="B1765" s="1">
        <v>44682</v>
      </c>
      <c r="C1765">
        <v>2022</v>
      </c>
      <c r="D1765">
        <v>5</v>
      </c>
      <c r="E1765" s="2" t="s">
        <v>358</v>
      </c>
      <c r="F1765" s="2" t="s">
        <v>359</v>
      </c>
      <c r="G1765" s="2" t="s">
        <v>21</v>
      </c>
      <c r="H1765" s="2" t="s">
        <v>22</v>
      </c>
      <c r="I1765" s="2" t="s">
        <v>352</v>
      </c>
      <c r="J1765" s="2" t="s">
        <v>353</v>
      </c>
      <c r="K1765">
        <v>86373.77</v>
      </c>
      <c r="L1765">
        <v>16257107.49</v>
      </c>
      <c r="M1765">
        <v>18821.810000000001</v>
      </c>
      <c r="N1765" s="2" t="s">
        <v>360</v>
      </c>
      <c r="O1765" s="2" t="s">
        <v>361</v>
      </c>
      <c r="P1765" s="2" t="s">
        <v>3348</v>
      </c>
      <c r="Q1765" s="2" t="s">
        <v>3349</v>
      </c>
      <c r="R1765" s="2" t="s">
        <v>29</v>
      </c>
      <c r="S1765" s="2" t="s">
        <v>30</v>
      </c>
    </row>
    <row r="1766" spans="1:19">
      <c r="A1766" s="1">
        <v>44682</v>
      </c>
      <c r="B1766" s="1">
        <v>44682</v>
      </c>
      <c r="C1766">
        <v>2022</v>
      </c>
      <c r="D1766">
        <v>5</v>
      </c>
      <c r="E1766" s="2" t="s">
        <v>364</v>
      </c>
      <c r="F1766" s="2" t="s">
        <v>365</v>
      </c>
      <c r="G1766" s="2" t="s">
        <v>21</v>
      </c>
      <c r="H1766" s="2" t="s">
        <v>22</v>
      </c>
      <c r="I1766" s="2" t="s">
        <v>352</v>
      </c>
      <c r="J1766" s="2" t="s">
        <v>353</v>
      </c>
      <c r="K1766">
        <v>86178.05</v>
      </c>
      <c r="L1766">
        <v>5073160.51</v>
      </c>
      <c r="M1766">
        <v>5886.84</v>
      </c>
      <c r="N1766" s="2" t="s">
        <v>366</v>
      </c>
      <c r="O1766" s="2" t="s">
        <v>367</v>
      </c>
      <c r="P1766" s="2" t="s">
        <v>3350</v>
      </c>
      <c r="Q1766" s="2" t="s">
        <v>3351</v>
      </c>
      <c r="R1766" s="2" t="s">
        <v>29</v>
      </c>
      <c r="S1766" s="2" t="s">
        <v>30</v>
      </c>
    </row>
    <row r="1767" spans="1:19">
      <c r="A1767" s="1">
        <v>44682</v>
      </c>
      <c r="B1767" s="1">
        <v>44682</v>
      </c>
      <c r="C1767">
        <v>2022</v>
      </c>
      <c r="D1767">
        <v>5</v>
      </c>
      <c r="E1767" s="2" t="s">
        <v>370</v>
      </c>
      <c r="F1767" s="2" t="s">
        <v>371</v>
      </c>
      <c r="G1767" s="2" t="s">
        <v>21</v>
      </c>
      <c r="H1767" s="2" t="s">
        <v>22</v>
      </c>
      <c r="I1767" s="2" t="s">
        <v>23</v>
      </c>
      <c r="J1767" s="2" t="s">
        <v>24</v>
      </c>
      <c r="K1767">
        <v>59462.89</v>
      </c>
      <c r="L1767">
        <v>1040220.53</v>
      </c>
      <c r="M1767">
        <v>1749.36</v>
      </c>
      <c r="N1767" s="2" t="s">
        <v>372</v>
      </c>
      <c r="O1767" s="2" t="s">
        <v>373</v>
      </c>
      <c r="P1767" s="2" t="s">
        <v>3352</v>
      </c>
      <c r="Q1767" s="2" t="s">
        <v>3353</v>
      </c>
      <c r="R1767" s="2" t="s">
        <v>29</v>
      </c>
      <c r="S1767" s="2" t="s">
        <v>30</v>
      </c>
    </row>
    <row r="1768" spans="1:19">
      <c r="A1768" s="1">
        <v>44682</v>
      </c>
      <c r="B1768" s="1">
        <v>44682</v>
      </c>
      <c r="C1768">
        <v>2022</v>
      </c>
      <c r="D1768">
        <v>5</v>
      </c>
      <c r="E1768" s="2" t="s">
        <v>376</v>
      </c>
      <c r="F1768" s="2" t="s">
        <v>377</v>
      </c>
      <c r="G1768" s="2" t="s">
        <v>21</v>
      </c>
      <c r="H1768" s="2" t="s">
        <v>22</v>
      </c>
      <c r="I1768" s="2" t="s">
        <v>23</v>
      </c>
      <c r="J1768" s="2" t="s">
        <v>378</v>
      </c>
      <c r="K1768">
        <v>1</v>
      </c>
      <c r="L1768">
        <v>13.91</v>
      </c>
      <c r="M1768">
        <v>1391</v>
      </c>
      <c r="N1768" s="2" t="s">
        <v>379</v>
      </c>
      <c r="O1768" s="2" t="s">
        <v>380</v>
      </c>
      <c r="P1768" s="2" t="s">
        <v>899</v>
      </c>
      <c r="Q1768" s="2" t="s">
        <v>3354</v>
      </c>
      <c r="R1768" s="2" t="s">
        <v>29</v>
      </c>
      <c r="S1768" s="2" t="s">
        <v>30</v>
      </c>
    </row>
    <row r="1769" spans="1:19">
      <c r="A1769" s="1">
        <v>44713</v>
      </c>
      <c r="B1769" s="1">
        <v>44713</v>
      </c>
      <c r="C1769">
        <v>2022</v>
      </c>
      <c r="D1769">
        <v>6</v>
      </c>
      <c r="E1769" s="2" t="s">
        <v>19</v>
      </c>
      <c r="F1769" s="2" t="s">
        <v>20</v>
      </c>
      <c r="G1769" s="2" t="s">
        <v>21</v>
      </c>
      <c r="H1769" s="2" t="s">
        <v>22</v>
      </c>
      <c r="I1769" s="2" t="s">
        <v>23</v>
      </c>
      <c r="J1769" s="2" t="s">
        <v>24</v>
      </c>
      <c r="K1769">
        <v>0.62</v>
      </c>
      <c r="L1769">
        <v>36.72</v>
      </c>
      <c r="M1769">
        <v>5922.58</v>
      </c>
      <c r="N1769" s="2" t="s">
        <v>25</v>
      </c>
      <c r="O1769" s="2" t="s">
        <v>26</v>
      </c>
      <c r="P1769" s="2" t="s">
        <v>2693</v>
      </c>
      <c r="Q1769" s="2" t="s">
        <v>3355</v>
      </c>
      <c r="R1769" s="2" t="s">
        <v>29</v>
      </c>
      <c r="S1769" s="2" t="s">
        <v>30</v>
      </c>
    </row>
    <row r="1770" spans="1:19">
      <c r="A1770" s="1">
        <v>44713</v>
      </c>
      <c r="B1770" s="1">
        <v>44713</v>
      </c>
      <c r="C1770">
        <v>2022</v>
      </c>
      <c r="D1770">
        <v>6</v>
      </c>
      <c r="E1770" s="2" t="s">
        <v>31</v>
      </c>
      <c r="F1770" s="2" t="s">
        <v>32</v>
      </c>
      <c r="G1770" s="2" t="s">
        <v>21</v>
      </c>
      <c r="H1770" s="2" t="s">
        <v>22</v>
      </c>
      <c r="I1770" s="2" t="s">
        <v>23</v>
      </c>
      <c r="J1770" s="2" t="s">
        <v>24</v>
      </c>
      <c r="K1770">
        <v>1222.24</v>
      </c>
      <c r="L1770">
        <v>23010.46</v>
      </c>
      <c r="M1770">
        <v>1882.65</v>
      </c>
      <c r="N1770" s="2" t="s">
        <v>33</v>
      </c>
      <c r="O1770" s="2" t="s">
        <v>34</v>
      </c>
      <c r="P1770" s="2" t="s">
        <v>3356</v>
      </c>
      <c r="Q1770" s="2" t="s">
        <v>3357</v>
      </c>
      <c r="R1770" s="2" t="s">
        <v>29</v>
      </c>
      <c r="S1770" s="2" t="s">
        <v>30</v>
      </c>
    </row>
    <row r="1771" spans="1:19">
      <c r="A1771" s="1">
        <v>44713</v>
      </c>
      <c r="B1771" s="1">
        <v>44713</v>
      </c>
      <c r="C1771">
        <v>2022</v>
      </c>
      <c r="D1771">
        <v>6</v>
      </c>
      <c r="E1771" s="2" t="s">
        <v>37</v>
      </c>
      <c r="F1771" s="2" t="s">
        <v>38</v>
      </c>
      <c r="G1771" s="2" t="s">
        <v>39</v>
      </c>
      <c r="H1771" s="2" t="s">
        <v>22</v>
      </c>
      <c r="I1771" s="2" t="s">
        <v>40</v>
      </c>
      <c r="J1771" s="2" t="s">
        <v>24</v>
      </c>
      <c r="K1771">
        <v>6.79</v>
      </c>
      <c r="L1771">
        <v>335.66</v>
      </c>
      <c r="M1771">
        <v>4943.45</v>
      </c>
      <c r="N1771" s="2" t="s">
        <v>41</v>
      </c>
      <c r="O1771" s="2" t="s">
        <v>42</v>
      </c>
      <c r="P1771" s="2" t="s">
        <v>3358</v>
      </c>
      <c r="Q1771" s="2" t="s">
        <v>3359</v>
      </c>
      <c r="R1771" s="2" t="s">
        <v>29</v>
      </c>
      <c r="S1771" s="2" t="s">
        <v>30</v>
      </c>
    </row>
    <row r="1772" spans="1:19">
      <c r="A1772" s="1">
        <v>44713</v>
      </c>
      <c r="B1772" s="1">
        <v>44713</v>
      </c>
      <c r="C1772">
        <v>2022</v>
      </c>
      <c r="D1772">
        <v>6</v>
      </c>
      <c r="E1772" s="2" t="s">
        <v>45</v>
      </c>
      <c r="F1772" s="2" t="s">
        <v>46</v>
      </c>
      <c r="G1772" s="2" t="s">
        <v>39</v>
      </c>
      <c r="H1772" s="2" t="s">
        <v>22</v>
      </c>
      <c r="I1772" s="2" t="s">
        <v>40</v>
      </c>
      <c r="J1772" s="2" t="s">
        <v>24</v>
      </c>
      <c r="K1772">
        <v>5690.79</v>
      </c>
      <c r="L1772">
        <v>269935.46999999997</v>
      </c>
      <c r="M1772">
        <v>4743.37</v>
      </c>
      <c r="N1772" s="2" t="s">
        <v>47</v>
      </c>
      <c r="O1772" s="2" t="s">
        <v>48</v>
      </c>
      <c r="P1772" s="2" t="s">
        <v>3360</v>
      </c>
      <c r="Q1772" s="2" t="s">
        <v>3361</v>
      </c>
      <c r="R1772" s="2" t="s">
        <v>29</v>
      </c>
      <c r="S1772" s="2" t="s">
        <v>30</v>
      </c>
    </row>
    <row r="1773" spans="1:19">
      <c r="A1773" s="1">
        <v>44713</v>
      </c>
      <c r="B1773" s="1">
        <v>44713</v>
      </c>
      <c r="C1773">
        <v>2022</v>
      </c>
      <c r="D1773">
        <v>6</v>
      </c>
      <c r="E1773" s="2" t="s">
        <v>51</v>
      </c>
      <c r="F1773" s="2" t="s">
        <v>52</v>
      </c>
      <c r="G1773" s="2" t="s">
        <v>39</v>
      </c>
      <c r="H1773" s="2" t="s">
        <v>22</v>
      </c>
      <c r="I1773" s="2" t="s">
        <v>40</v>
      </c>
      <c r="J1773" s="2" t="s">
        <v>24</v>
      </c>
      <c r="K1773">
        <v>33.200000000000003</v>
      </c>
      <c r="L1773">
        <v>1096.3399999999999</v>
      </c>
      <c r="M1773">
        <v>3302.23</v>
      </c>
      <c r="N1773" s="2" t="s">
        <v>53</v>
      </c>
      <c r="O1773" s="2" t="s">
        <v>54</v>
      </c>
      <c r="P1773" s="2" t="s">
        <v>3362</v>
      </c>
      <c r="Q1773" s="2" t="s">
        <v>3363</v>
      </c>
      <c r="R1773" s="2" t="s">
        <v>29</v>
      </c>
      <c r="S1773" s="2" t="s">
        <v>30</v>
      </c>
    </row>
    <row r="1774" spans="1:19">
      <c r="A1774" s="1">
        <v>44713</v>
      </c>
      <c r="B1774" s="1">
        <v>44713</v>
      </c>
      <c r="C1774">
        <v>2022</v>
      </c>
      <c r="D1774">
        <v>6</v>
      </c>
      <c r="E1774" s="2" t="s">
        <v>57</v>
      </c>
      <c r="F1774" s="2" t="s">
        <v>58</v>
      </c>
      <c r="G1774" s="2" t="s">
        <v>39</v>
      </c>
      <c r="H1774" s="2" t="s">
        <v>22</v>
      </c>
      <c r="I1774" s="2" t="s">
        <v>40</v>
      </c>
      <c r="J1774" s="2" t="s">
        <v>59</v>
      </c>
      <c r="K1774">
        <v>5730.78</v>
      </c>
      <c r="L1774">
        <v>271367.48</v>
      </c>
      <c r="M1774">
        <v>4735.26</v>
      </c>
      <c r="N1774" s="2" t="s">
        <v>60</v>
      </c>
      <c r="O1774" s="2" t="s">
        <v>61</v>
      </c>
      <c r="P1774" s="2" t="s">
        <v>3364</v>
      </c>
      <c r="Q1774" s="2" t="s">
        <v>3365</v>
      </c>
      <c r="R1774" s="2" t="s">
        <v>29</v>
      </c>
      <c r="S1774" s="2" t="s">
        <v>30</v>
      </c>
    </row>
    <row r="1775" spans="1:19">
      <c r="A1775" s="1">
        <v>44713</v>
      </c>
      <c r="B1775" s="1">
        <v>44713</v>
      </c>
      <c r="C1775">
        <v>2022</v>
      </c>
      <c r="D1775">
        <v>6</v>
      </c>
      <c r="E1775" s="2" t="s">
        <v>64</v>
      </c>
      <c r="F1775" s="2" t="s">
        <v>65</v>
      </c>
      <c r="G1775" s="2" t="s">
        <v>21</v>
      </c>
      <c r="H1775" s="2" t="s">
        <v>22</v>
      </c>
      <c r="I1775" s="2" t="s">
        <v>66</v>
      </c>
      <c r="J1775" s="2" t="s">
        <v>24</v>
      </c>
      <c r="K1775">
        <v>39.82</v>
      </c>
      <c r="L1775">
        <v>1048.98</v>
      </c>
      <c r="M1775">
        <v>2634.3</v>
      </c>
      <c r="N1775" s="2" t="s">
        <v>67</v>
      </c>
      <c r="O1775" s="2" t="s">
        <v>68</v>
      </c>
      <c r="P1775" s="2" t="s">
        <v>3366</v>
      </c>
      <c r="Q1775" s="2" t="s">
        <v>3367</v>
      </c>
      <c r="R1775" s="2" t="s">
        <v>29</v>
      </c>
      <c r="S1775" s="2" t="s">
        <v>30</v>
      </c>
    </row>
    <row r="1776" spans="1:19">
      <c r="A1776" s="1">
        <v>44713</v>
      </c>
      <c r="B1776" s="1">
        <v>44713</v>
      </c>
      <c r="C1776">
        <v>2022</v>
      </c>
      <c r="D1776">
        <v>6</v>
      </c>
      <c r="E1776" s="2" t="s">
        <v>71</v>
      </c>
      <c r="F1776" s="2" t="s">
        <v>72</v>
      </c>
      <c r="G1776" s="2" t="s">
        <v>21</v>
      </c>
      <c r="H1776" s="2" t="s">
        <v>22</v>
      </c>
      <c r="I1776" s="2" t="s">
        <v>73</v>
      </c>
      <c r="J1776" s="2" t="s">
        <v>59</v>
      </c>
      <c r="K1776">
        <v>5369.44</v>
      </c>
      <c r="L1776">
        <v>169636.43</v>
      </c>
      <c r="M1776">
        <v>3159.29</v>
      </c>
      <c r="N1776" s="2" t="s">
        <v>74</v>
      </c>
      <c r="O1776" s="2" t="s">
        <v>75</v>
      </c>
      <c r="P1776" s="2" t="s">
        <v>3368</v>
      </c>
      <c r="Q1776" s="2" t="s">
        <v>3369</v>
      </c>
      <c r="R1776" s="2" t="s">
        <v>29</v>
      </c>
      <c r="S1776" s="2" t="s">
        <v>30</v>
      </c>
    </row>
    <row r="1777" spans="1:19">
      <c r="A1777" s="1">
        <v>44713</v>
      </c>
      <c r="B1777" s="1">
        <v>44713</v>
      </c>
      <c r="C1777">
        <v>2022</v>
      </c>
      <c r="D1777">
        <v>6</v>
      </c>
      <c r="E1777" s="2" t="s">
        <v>78</v>
      </c>
      <c r="F1777" s="2" t="s">
        <v>79</v>
      </c>
      <c r="G1777" s="2" t="s">
        <v>80</v>
      </c>
      <c r="H1777" s="2" t="s">
        <v>81</v>
      </c>
      <c r="I1777" s="2" t="s">
        <v>82</v>
      </c>
      <c r="J1777" s="2" t="s">
        <v>24</v>
      </c>
      <c r="K1777">
        <v>1.97</v>
      </c>
      <c r="L1777">
        <v>6778124.5499999998</v>
      </c>
      <c r="M1777">
        <v>344067236.04000002</v>
      </c>
      <c r="N1777" s="2" t="s">
        <v>83</v>
      </c>
      <c r="O1777" s="2" t="s">
        <v>84</v>
      </c>
      <c r="P1777" s="2" t="s">
        <v>3370</v>
      </c>
      <c r="Q1777" s="2" t="s">
        <v>3371</v>
      </c>
      <c r="R1777" s="2" t="s">
        <v>29</v>
      </c>
      <c r="S1777" s="2" t="s">
        <v>30</v>
      </c>
    </row>
    <row r="1778" spans="1:19">
      <c r="A1778" s="1">
        <v>44713</v>
      </c>
      <c r="B1778" s="1">
        <v>44713</v>
      </c>
      <c r="C1778">
        <v>2022</v>
      </c>
      <c r="D1778">
        <v>6</v>
      </c>
      <c r="E1778" s="2" t="s">
        <v>87</v>
      </c>
      <c r="F1778" s="2" t="s">
        <v>88</v>
      </c>
      <c r="G1778" s="2" t="s">
        <v>80</v>
      </c>
      <c r="H1778" s="2" t="s">
        <v>81</v>
      </c>
      <c r="I1778" s="2" t="s">
        <v>82</v>
      </c>
      <c r="J1778" s="2" t="s">
        <v>24</v>
      </c>
      <c r="K1778">
        <v>0.68</v>
      </c>
      <c r="L1778">
        <v>844409.28</v>
      </c>
      <c r="M1778">
        <v>124177835.29000001</v>
      </c>
      <c r="N1778" s="2" t="s">
        <v>89</v>
      </c>
      <c r="O1778" s="2" t="s">
        <v>90</v>
      </c>
      <c r="P1778" s="2" t="s">
        <v>808</v>
      </c>
      <c r="Q1778" s="2" t="s">
        <v>3372</v>
      </c>
      <c r="R1778" s="2" t="s">
        <v>29</v>
      </c>
      <c r="S1778" s="2" t="s">
        <v>30</v>
      </c>
    </row>
    <row r="1779" spans="1:19">
      <c r="A1779" s="1">
        <v>44713</v>
      </c>
      <c r="B1779" s="1">
        <v>44713</v>
      </c>
      <c r="C1779">
        <v>2022</v>
      </c>
      <c r="D1779">
        <v>6</v>
      </c>
      <c r="E1779" s="2" t="s">
        <v>93</v>
      </c>
      <c r="F1779" s="2" t="s">
        <v>94</v>
      </c>
      <c r="G1779" s="2" t="s">
        <v>80</v>
      </c>
      <c r="H1779" s="2" t="s">
        <v>81</v>
      </c>
      <c r="I1779" s="2" t="s">
        <v>82</v>
      </c>
      <c r="J1779" s="2" t="s">
        <v>24</v>
      </c>
      <c r="K1779">
        <v>0.34</v>
      </c>
      <c r="L1779">
        <v>5627914.6299999999</v>
      </c>
      <c r="M1779">
        <v>1655269008.8199999</v>
      </c>
      <c r="N1779" s="2" t="s">
        <v>95</v>
      </c>
      <c r="O1779" s="2" t="s">
        <v>96</v>
      </c>
      <c r="P1779" s="2" t="s">
        <v>3373</v>
      </c>
      <c r="Q1779" s="2" t="s">
        <v>3374</v>
      </c>
      <c r="R1779" s="2" t="s">
        <v>29</v>
      </c>
      <c r="S1779" s="2" t="s">
        <v>30</v>
      </c>
    </row>
    <row r="1780" spans="1:19">
      <c r="A1780" s="1">
        <v>44713</v>
      </c>
      <c r="B1780" s="1">
        <v>44713</v>
      </c>
      <c r="C1780">
        <v>2022</v>
      </c>
      <c r="D1780">
        <v>6</v>
      </c>
      <c r="E1780" s="2" t="s">
        <v>99</v>
      </c>
      <c r="F1780" s="2" t="s">
        <v>100</v>
      </c>
      <c r="G1780" s="2" t="s">
        <v>80</v>
      </c>
      <c r="H1780" s="2" t="s">
        <v>81</v>
      </c>
      <c r="I1780" s="2" t="s">
        <v>82</v>
      </c>
      <c r="J1780" s="2" t="s">
        <v>101</v>
      </c>
      <c r="K1780">
        <v>1.32</v>
      </c>
      <c r="L1780">
        <v>15445511.460000001</v>
      </c>
      <c r="M1780">
        <v>1170114504.55</v>
      </c>
      <c r="N1780" s="2" t="s">
        <v>102</v>
      </c>
      <c r="O1780" s="2" t="s">
        <v>103</v>
      </c>
      <c r="P1780" s="2" t="s">
        <v>3375</v>
      </c>
      <c r="Q1780" s="2" t="s">
        <v>3376</v>
      </c>
      <c r="R1780" s="2" t="s">
        <v>29</v>
      </c>
      <c r="S1780" s="2" t="s">
        <v>30</v>
      </c>
    </row>
    <row r="1781" spans="1:19">
      <c r="A1781" s="1">
        <v>44713</v>
      </c>
      <c r="B1781" s="1">
        <v>44713</v>
      </c>
      <c r="C1781">
        <v>2022</v>
      </c>
      <c r="D1781">
        <v>6</v>
      </c>
      <c r="E1781" s="2" t="s">
        <v>106</v>
      </c>
      <c r="F1781" s="2" t="s">
        <v>107</v>
      </c>
      <c r="G1781" s="2" t="s">
        <v>80</v>
      </c>
      <c r="H1781" s="2" t="s">
        <v>81</v>
      </c>
      <c r="I1781" s="2" t="s">
        <v>82</v>
      </c>
      <c r="J1781" s="2" t="s">
        <v>24</v>
      </c>
      <c r="K1781">
        <v>0.3</v>
      </c>
      <c r="L1781">
        <v>8973187.5500000007</v>
      </c>
      <c r="M1781">
        <v>2991062516.6700001</v>
      </c>
      <c r="N1781" s="2" t="s">
        <v>108</v>
      </c>
      <c r="O1781" s="2" t="s">
        <v>109</v>
      </c>
      <c r="P1781" s="2" t="s">
        <v>2807</v>
      </c>
      <c r="Q1781" s="2" t="s">
        <v>3377</v>
      </c>
      <c r="R1781" s="2" t="s">
        <v>29</v>
      </c>
      <c r="S1781" s="2" t="s">
        <v>30</v>
      </c>
    </row>
    <row r="1782" spans="1:19">
      <c r="A1782" s="1">
        <v>44713</v>
      </c>
      <c r="B1782" s="1">
        <v>44713</v>
      </c>
      <c r="C1782">
        <v>2022</v>
      </c>
      <c r="D1782">
        <v>6</v>
      </c>
      <c r="E1782" s="2" t="s">
        <v>111</v>
      </c>
      <c r="F1782" s="2" t="s">
        <v>112</v>
      </c>
      <c r="G1782" s="2" t="s">
        <v>80</v>
      </c>
      <c r="H1782" s="2" t="s">
        <v>81</v>
      </c>
      <c r="I1782" s="2" t="s">
        <v>82</v>
      </c>
      <c r="J1782" s="2" t="s">
        <v>24</v>
      </c>
      <c r="K1782">
        <v>0.13</v>
      </c>
      <c r="L1782">
        <v>689294</v>
      </c>
      <c r="M1782">
        <v>530226153.85000002</v>
      </c>
      <c r="N1782" s="2" t="s">
        <v>113</v>
      </c>
      <c r="O1782" s="2" t="s">
        <v>114</v>
      </c>
      <c r="P1782" s="2" t="s">
        <v>3378</v>
      </c>
      <c r="Q1782" s="2" t="s">
        <v>3379</v>
      </c>
      <c r="R1782" s="2" t="s">
        <v>29</v>
      </c>
      <c r="S1782" s="2" t="s">
        <v>30</v>
      </c>
    </row>
    <row r="1783" spans="1:19">
      <c r="A1783" s="1">
        <v>44713</v>
      </c>
      <c r="B1783" s="1">
        <v>44713</v>
      </c>
      <c r="C1783">
        <v>2022</v>
      </c>
      <c r="D1783">
        <v>6</v>
      </c>
      <c r="E1783" s="2" t="s">
        <v>117</v>
      </c>
      <c r="F1783" s="2" t="s">
        <v>118</v>
      </c>
      <c r="G1783" s="2" t="s">
        <v>80</v>
      </c>
      <c r="H1783" s="2" t="s">
        <v>81</v>
      </c>
      <c r="I1783" s="2" t="s">
        <v>82</v>
      </c>
      <c r="J1783" s="2" t="s">
        <v>59</v>
      </c>
      <c r="K1783">
        <v>3.42</v>
      </c>
      <c r="L1783">
        <v>22912930.010000002</v>
      </c>
      <c r="M1783">
        <v>669968713.74000001</v>
      </c>
      <c r="N1783" s="2" t="s">
        <v>119</v>
      </c>
      <c r="O1783" s="2" t="s">
        <v>120</v>
      </c>
      <c r="P1783" s="2" t="s">
        <v>3380</v>
      </c>
      <c r="Q1783" s="2" t="s">
        <v>3381</v>
      </c>
      <c r="R1783" s="2" t="s">
        <v>29</v>
      </c>
      <c r="S1783" s="2" t="s">
        <v>30</v>
      </c>
    </row>
    <row r="1784" spans="1:19">
      <c r="A1784" s="1">
        <v>44713</v>
      </c>
      <c r="B1784" s="1">
        <v>44713</v>
      </c>
      <c r="C1784">
        <v>2022</v>
      </c>
      <c r="D1784">
        <v>6</v>
      </c>
      <c r="E1784" s="2" t="s">
        <v>123</v>
      </c>
      <c r="F1784" s="2" t="s">
        <v>124</v>
      </c>
      <c r="G1784" s="2" t="s">
        <v>21</v>
      </c>
      <c r="H1784" s="2" t="s">
        <v>22</v>
      </c>
      <c r="I1784" s="2" t="s">
        <v>73</v>
      </c>
      <c r="J1784" s="2" t="s">
        <v>24</v>
      </c>
      <c r="K1784">
        <v>1068.95</v>
      </c>
      <c r="L1784">
        <v>68286.12</v>
      </c>
      <c r="M1784">
        <v>6388.15</v>
      </c>
      <c r="N1784" s="2" t="s">
        <v>125</v>
      </c>
      <c r="O1784" s="2" t="s">
        <v>126</v>
      </c>
      <c r="P1784" s="2" t="s">
        <v>3382</v>
      </c>
      <c r="Q1784" s="2" t="s">
        <v>3383</v>
      </c>
      <c r="R1784" s="2" t="s">
        <v>29</v>
      </c>
      <c r="S1784" s="2" t="s">
        <v>30</v>
      </c>
    </row>
    <row r="1785" spans="1:19">
      <c r="A1785" s="1">
        <v>44713</v>
      </c>
      <c r="B1785" s="1">
        <v>44713</v>
      </c>
      <c r="C1785">
        <v>2022</v>
      </c>
      <c r="D1785">
        <v>6</v>
      </c>
      <c r="E1785" s="2" t="s">
        <v>129</v>
      </c>
      <c r="F1785" s="2" t="s">
        <v>130</v>
      </c>
      <c r="G1785" s="2" t="s">
        <v>21</v>
      </c>
      <c r="H1785" s="2" t="s">
        <v>22</v>
      </c>
      <c r="I1785" s="2" t="s">
        <v>73</v>
      </c>
      <c r="J1785" s="2" t="s">
        <v>24</v>
      </c>
      <c r="K1785">
        <v>1210.51</v>
      </c>
      <c r="L1785">
        <v>40465.51</v>
      </c>
      <c r="M1785">
        <v>3342.85</v>
      </c>
      <c r="N1785" s="2" t="s">
        <v>131</v>
      </c>
      <c r="O1785" s="2" t="s">
        <v>132</v>
      </c>
      <c r="P1785" s="2" t="s">
        <v>3384</v>
      </c>
      <c r="Q1785" s="2" t="s">
        <v>3385</v>
      </c>
      <c r="R1785" s="2" t="s">
        <v>29</v>
      </c>
      <c r="S1785" s="2" t="s">
        <v>30</v>
      </c>
    </row>
    <row r="1786" spans="1:19">
      <c r="A1786" s="1">
        <v>44713</v>
      </c>
      <c r="B1786" s="1">
        <v>44713</v>
      </c>
      <c r="C1786">
        <v>2022</v>
      </c>
      <c r="D1786">
        <v>6</v>
      </c>
      <c r="E1786" s="2" t="s">
        <v>135</v>
      </c>
      <c r="F1786" s="2" t="s">
        <v>136</v>
      </c>
      <c r="G1786" s="2" t="s">
        <v>21</v>
      </c>
      <c r="H1786" s="2" t="s">
        <v>22</v>
      </c>
      <c r="I1786" s="2" t="s">
        <v>73</v>
      </c>
      <c r="J1786" s="2" t="s">
        <v>101</v>
      </c>
      <c r="K1786">
        <v>2279.46</v>
      </c>
      <c r="L1786">
        <v>108751.63</v>
      </c>
      <c r="M1786">
        <v>4770.9399999999996</v>
      </c>
      <c r="N1786" s="2" t="s">
        <v>137</v>
      </c>
      <c r="O1786" s="2" t="s">
        <v>138</v>
      </c>
      <c r="P1786" s="2" t="s">
        <v>3386</v>
      </c>
      <c r="Q1786" s="2" t="s">
        <v>3387</v>
      </c>
      <c r="R1786" s="2" t="s">
        <v>29</v>
      </c>
      <c r="S1786" s="2" t="s">
        <v>30</v>
      </c>
    </row>
    <row r="1787" spans="1:19">
      <c r="A1787" s="1">
        <v>44713</v>
      </c>
      <c r="B1787" s="1">
        <v>44713</v>
      </c>
      <c r="C1787">
        <v>2022</v>
      </c>
      <c r="D1787">
        <v>6</v>
      </c>
      <c r="E1787" s="2" t="s">
        <v>141</v>
      </c>
      <c r="F1787" s="2" t="s">
        <v>142</v>
      </c>
      <c r="G1787" s="2" t="s">
        <v>21</v>
      </c>
      <c r="H1787" s="2" t="s">
        <v>22</v>
      </c>
      <c r="I1787" s="2" t="s">
        <v>73</v>
      </c>
      <c r="J1787" s="2" t="s">
        <v>24</v>
      </c>
      <c r="K1787">
        <v>1077.72</v>
      </c>
      <c r="L1787">
        <v>21014.22</v>
      </c>
      <c r="M1787">
        <v>1949.88</v>
      </c>
      <c r="N1787" s="2" t="s">
        <v>143</v>
      </c>
      <c r="O1787" s="2" t="s">
        <v>144</v>
      </c>
      <c r="P1787" s="2" t="s">
        <v>3388</v>
      </c>
      <c r="Q1787" s="2" t="s">
        <v>3389</v>
      </c>
      <c r="R1787" s="2" t="s">
        <v>29</v>
      </c>
      <c r="S1787" s="2" t="s">
        <v>30</v>
      </c>
    </row>
    <row r="1788" spans="1:19">
      <c r="A1788" s="1">
        <v>44713</v>
      </c>
      <c r="B1788" s="1">
        <v>44713</v>
      </c>
      <c r="C1788">
        <v>2022</v>
      </c>
      <c r="D1788">
        <v>6</v>
      </c>
      <c r="E1788" s="2" t="s">
        <v>147</v>
      </c>
      <c r="F1788" s="2" t="s">
        <v>148</v>
      </c>
      <c r="G1788" s="2" t="s">
        <v>21</v>
      </c>
      <c r="H1788" s="2" t="s">
        <v>22</v>
      </c>
      <c r="I1788" s="2" t="s">
        <v>73</v>
      </c>
      <c r="J1788" s="2" t="s">
        <v>24</v>
      </c>
      <c r="K1788">
        <v>2012.27</v>
      </c>
      <c r="L1788">
        <v>39870.57</v>
      </c>
      <c r="M1788">
        <v>1981.37</v>
      </c>
      <c r="N1788" s="2" t="s">
        <v>149</v>
      </c>
      <c r="O1788" s="2" t="s">
        <v>150</v>
      </c>
      <c r="P1788" s="2" t="s">
        <v>3390</v>
      </c>
      <c r="Q1788" s="2" t="s">
        <v>3391</v>
      </c>
      <c r="R1788" s="2" t="s">
        <v>29</v>
      </c>
      <c r="S1788" s="2" t="s">
        <v>30</v>
      </c>
    </row>
    <row r="1789" spans="1:19">
      <c r="A1789" s="1">
        <v>44713</v>
      </c>
      <c r="B1789" s="1">
        <v>44713</v>
      </c>
      <c r="C1789">
        <v>2022</v>
      </c>
      <c r="D1789">
        <v>6</v>
      </c>
      <c r="E1789" s="2" t="s">
        <v>153</v>
      </c>
      <c r="F1789" s="2" t="s">
        <v>154</v>
      </c>
      <c r="G1789" s="2" t="s">
        <v>21</v>
      </c>
      <c r="H1789" s="2" t="s">
        <v>22</v>
      </c>
      <c r="I1789" s="2" t="s">
        <v>73</v>
      </c>
      <c r="J1789" s="2" t="s">
        <v>101</v>
      </c>
      <c r="K1789">
        <v>3089.99</v>
      </c>
      <c r="L1789">
        <v>60884.79</v>
      </c>
      <c r="M1789">
        <v>1970.39</v>
      </c>
      <c r="N1789" s="2" t="s">
        <v>155</v>
      </c>
      <c r="O1789" s="2" t="s">
        <v>156</v>
      </c>
      <c r="P1789" s="2" t="s">
        <v>3392</v>
      </c>
      <c r="Q1789" s="2" t="s">
        <v>3393</v>
      </c>
      <c r="R1789" s="2" t="s">
        <v>29</v>
      </c>
      <c r="S1789" s="2" t="s">
        <v>30</v>
      </c>
    </row>
    <row r="1790" spans="1:19">
      <c r="A1790" s="1">
        <v>44713</v>
      </c>
      <c r="B1790" s="1">
        <v>44713</v>
      </c>
      <c r="C1790">
        <v>2022</v>
      </c>
      <c r="D1790">
        <v>6</v>
      </c>
      <c r="E1790" s="2" t="s">
        <v>159</v>
      </c>
      <c r="F1790" s="2" t="s">
        <v>160</v>
      </c>
      <c r="G1790" s="2" t="s">
        <v>21</v>
      </c>
      <c r="H1790" s="2" t="s">
        <v>22</v>
      </c>
      <c r="I1790" s="2" t="s">
        <v>66</v>
      </c>
      <c r="J1790" s="2" t="s">
        <v>59</v>
      </c>
      <c r="K1790">
        <v>1225.96</v>
      </c>
      <c r="L1790">
        <v>100325.48</v>
      </c>
      <c r="M1790">
        <v>8183.42</v>
      </c>
      <c r="N1790" s="2" t="s">
        <v>161</v>
      </c>
      <c r="O1790" s="2" t="s">
        <v>162</v>
      </c>
      <c r="P1790" s="2" t="s">
        <v>3394</v>
      </c>
      <c r="Q1790" s="2" t="s">
        <v>3395</v>
      </c>
      <c r="R1790" s="2" t="s">
        <v>29</v>
      </c>
      <c r="S1790" s="2" t="s">
        <v>30</v>
      </c>
    </row>
    <row r="1791" spans="1:19">
      <c r="A1791" s="1">
        <v>44713</v>
      </c>
      <c r="B1791" s="1">
        <v>44713</v>
      </c>
      <c r="C1791">
        <v>2022</v>
      </c>
      <c r="D1791">
        <v>6</v>
      </c>
      <c r="E1791" s="2" t="s">
        <v>165</v>
      </c>
      <c r="F1791" s="2" t="s">
        <v>166</v>
      </c>
      <c r="G1791" s="2" t="s">
        <v>21</v>
      </c>
      <c r="H1791" s="2" t="s">
        <v>22</v>
      </c>
      <c r="I1791" s="2" t="s">
        <v>23</v>
      </c>
      <c r="J1791" s="2" t="s">
        <v>24</v>
      </c>
      <c r="N1791" s="2" t="s">
        <v>167</v>
      </c>
      <c r="O1791" s="2" t="s">
        <v>168</v>
      </c>
      <c r="P1791" s="2" t="s">
        <v>175</v>
      </c>
      <c r="Q1791" s="2" t="s">
        <v>175</v>
      </c>
      <c r="R1791" s="2" t="s">
        <v>640</v>
      </c>
      <c r="S1791" s="2" t="s">
        <v>641</v>
      </c>
    </row>
    <row r="1792" spans="1:19">
      <c r="A1792" s="1">
        <v>44713</v>
      </c>
      <c r="B1792" s="1">
        <v>44713</v>
      </c>
      <c r="C1792">
        <v>2022</v>
      </c>
      <c r="D1792">
        <v>6</v>
      </c>
      <c r="E1792" s="2" t="s">
        <v>171</v>
      </c>
      <c r="F1792" s="2" t="s">
        <v>172</v>
      </c>
      <c r="G1792" s="2" t="s">
        <v>21</v>
      </c>
      <c r="H1792" s="2" t="s">
        <v>22</v>
      </c>
      <c r="I1792" s="2" t="s">
        <v>66</v>
      </c>
      <c r="J1792" s="2" t="s">
        <v>24</v>
      </c>
      <c r="N1792" s="2" t="s">
        <v>173</v>
      </c>
      <c r="O1792" s="2" t="s">
        <v>174</v>
      </c>
      <c r="P1792" s="2" t="s">
        <v>175</v>
      </c>
      <c r="Q1792" s="2" t="s">
        <v>175</v>
      </c>
      <c r="R1792" s="2" t="s">
        <v>640</v>
      </c>
      <c r="S1792" s="2" t="s">
        <v>641</v>
      </c>
    </row>
    <row r="1793" spans="1:19">
      <c r="A1793" s="1">
        <v>44713</v>
      </c>
      <c r="B1793" s="1">
        <v>44713</v>
      </c>
      <c r="C1793">
        <v>2022</v>
      </c>
      <c r="D1793">
        <v>6</v>
      </c>
      <c r="E1793" s="2" t="s">
        <v>177</v>
      </c>
      <c r="F1793" s="2" t="s">
        <v>178</v>
      </c>
      <c r="G1793" s="2" t="s">
        <v>21</v>
      </c>
      <c r="H1793" s="2" t="s">
        <v>22</v>
      </c>
      <c r="I1793" s="2" t="s">
        <v>23</v>
      </c>
      <c r="J1793" s="2" t="s">
        <v>24</v>
      </c>
      <c r="K1793">
        <v>4557.01</v>
      </c>
      <c r="L1793">
        <v>443776.04</v>
      </c>
      <c r="M1793">
        <v>9738.32</v>
      </c>
      <c r="N1793" s="2" t="s">
        <v>179</v>
      </c>
      <c r="O1793" s="2" t="s">
        <v>180</v>
      </c>
      <c r="P1793" s="2" t="s">
        <v>3396</v>
      </c>
      <c r="Q1793" s="2" t="s">
        <v>3397</v>
      </c>
      <c r="R1793" s="2" t="s">
        <v>29</v>
      </c>
      <c r="S1793" s="2" t="s">
        <v>30</v>
      </c>
    </row>
    <row r="1794" spans="1:19">
      <c r="A1794" s="1">
        <v>44713</v>
      </c>
      <c r="B1794" s="1">
        <v>44713</v>
      </c>
      <c r="C1794">
        <v>2022</v>
      </c>
      <c r="D1794">
        <v>6</v>
      </c>
      <c r="E1794" s="2" t="s">
        <v>183</v>
      </c>
      <c r="F1794" s="2" t="s">
        <v>184</v>
      </c>
      <c r="G1794" s="2" t="s">
        <v>185</v>
      </c>
      <c r="H1794" s="2" t="s">
        <v>22</v>
      </c>
      <c r="I1794" s="2" t="s">
        <v>186</v>
      </c>
      <c r="J1794" s="2" t="s">
        <v>24</v>
      </c>
      <c r="K1794">
        <v>2702.06</v>
      </c>
      <c r="L1794">
        <v>3116439.24</v>
      </c>
      <c r="M1794">
        <v>115335.67999999999</v>
      </c>
      <c r="N1794" s="2" t="s">
        <v>187</v>
      </c>
      <c r="O1794" s="2" t="s">
        <v>188</v>
      </c>
      <c r="P1794" s="2" t="s">
        <v>3398</v>
      </c>
      <c r="Q1794" s="2" t="s">
        <v>3399</v>
      </c>
      <c r="R1794" s="2" t="s">
        <v>29</v>
      </c>
      <c r="S1794" s="2" t="s">
        <v>30</v>
      </c>
    </row>
    <row r="1795" spans="1:19">
      <c r="A1795" s="1">
        <v>44713</v>
      </c>
      <c r="B1795" s="1">
        <v>44713</v>
      </c>
      <c r="C1795">
        <v>2022</v>
      </c>
      <c r="D1795">
        <v>6</v>
      </c>
      <c r="E1795" s="2" t="s">
        <v>191</v>
      </c>
      <c r="F1795" s="2" t="s">
        <v>192</v>
      </c>
      <c r="G1795" s="2" t="s">
        <v>185</v>
      </c>
      <c r="H1795" s="2" t="s">
        <v>22</v>
      </c>
      <c r="I1795" s="2" t="s">
        <v>186</v>
      </c>
      <c r="J1795" s="2" t="s">
        <v>24</v>
      </c>
      <c r="K1795">
        <v>870.16</v>
      </c>
      <c r="L1795">
        <v>5147947.25</v>
      </c>
      <c r="M1795">
        <v>591609.27</v>
      </c>
      <c r="N1795" s="2" t="s">
        <v>193</v>
      </c>
      <c r="O1795" s="2" t="s">
        <v>194</v>
      </c>
      <c r="P1795" s="2" t="s">
        <v>3400</v>
      </c>
      <c r="Q1795" s="2" t="s">
        <v>3401</v>
      </c>
      <c r="R1795" s="2" t="s">
        <v>29</v>
      </c>
      <c r="S1795" s="2" t="s">
        <v>30</v>
      </c>
    </row>
    <row r="1796" spans="1:19">
      <c r="A1796" s="1">
        <v>44713</v>
      </c>
      <c r="B1796" s="1">
        <v>44713</v>
      </c>
      <c r="C1796">
        <v>2022</v>
      </c>
      <c r="D1796">
        <v>6</v>
      </c>
      <c r="E1796" s="2" t="s">
        <v>197</v>
      </c>
      <c r="F1796" s="2" t="s">
        <v>198</v>
      </c>
      <c r="G1796" s="2" t="s">
        <v>185</v>
      </c>
      <c r="H1796" s="2" t="s">
        <v>22</v>
      </c>
      <c r="I1796" s="2" t="s">
        <v>186</v>
      </c>
      <c r="J1796" s="2" t="s">
        <v>59</v>
      </c>
      <c r="K1796">
        <v>3572.22</v>
      </c>
      <c r="L1796">
        <v>8264386.5</v>
      </c>
      <c r="M1796">
        <v>231351.55</v>
      </c>
      <c r="N1796" s="2" t="s">
        <v>199</v>
      </c>
      <c r="O1796" s="2" t="s">
        <v>200</v>
      </c>
      <c r="P1796" s="2" t="s">
        <v>3402</v>
      </c>
      <c r="Q1796" s="2" t="s">
        <v>3403</v>
      </c>
      <c r="R1796" s="2" t="s">
        <v>29</v>
      </c>
      <c r="S1796" s="2" t="s">
        <v>30</v>
      </c>
    </row>
    <row r="1797" spans="1:19">
      <c r="A1797" s="1">
        <v>44713</v>
      </c>
      <c r="B1797" s="1">
        <v>44713</v>
      </c>
      <c r="C1797">
        <v>2022</v>
      </c>
      <c r="D1797">
        <v>6</v>
      </c>
      <c r="E1797" s="2" t="s">
        <v>203</v>
      </c>
      <c r="F1797" s="2" t="s">
        <v>204</v>
      </c>
      <c r="G1797" s="2" t="s">
        <v>39</v>
      </c>
      <c r="H1797" s="2" t="s">
        <v>22</v>
      </c>
      <c r="I1797" s="2" t="s">
        <v>40</v>
      </c>
      <c r="J1797" s="2" t="s">
        <v>24</v>
      </c>
      <c r="K1797">
        <v>1167.1600000000001</v>
      </c>
      <c r="L1797">
        <v>31318.27</v>
      </c>
      <c r="M1797">
        <v>2683.29</v>
      </c>
      <c r="N1797" s="2" t="s">
        <v>205</v>
      </c>
      <c r="O1797" s="2" t="s">
        <v>206</v>
      </c>
      <c r="P1797" s="2" t="s">
        <v>3404</v>
      </c>
      <c r="Q1797" s="2" t="s">
        <v>3405</v>
      </c>
      <c r="R1797" s="2" t="s">
        <v>29</v>
      </c>
      <c r="S1797" s="2" t="s">
        <v>30</v>
      </c>
    </row>
    <row r="1798" spans="1:19">
      <c r="A1798" s="1">
        <v>44713</v>
      </c>
      <c r="B1798" s="1">
        <v>44713</v>
      </c>
      <c r="C1798">
        <v>2022</v>
      </c>
      <c r="D1798">
        <v>6</v>
      </c>
      <c r="E1798" s="2" t="s">
        <v>209</v>
      </c>
      <c r="F1798" s="2" t="s">
        <v>210</v>
      </c>
      <c r="G1798" s="2" t="s">
        <v>39</v>
      </c>
      <c r="H1798" s="2" t="s">
        <v>22</v>
      </c>
      <c r="I1798" s="2" t="s">
        <v>40</v>
      </c>
      <c r="J1798" s="2" t="s">
        <v>59</v>
      </c>
      <c r="K1798">
        <v>1167.1600000000001</v>
      </c>
      <c r="L1798">
        <v>31318.27</v>
      </c>
      <c r="M1798">
        <v>2683.29</v>
      </c>
      <c r="N1798" s="2" t="s">
        <v>211</v>
      </c>
      <c r="O1798" s="2" t="s">
        <v>212</v>
      </c>
      <c r="P1798" s="2" t="s">
        <v>3404</v>
      </c>
      <c r="Q1798" s="2" t="s">
        <v>3405</v>
      </c>
      <c r="R1798" s="2" t="s">
        <v>29</v>
      </c>
      <c r="S1798" s="2" t="s">
        <v>30</v>
      </c>
    </row>
    <row r="1799" spans="1:19">
      <c r="A1799" s="1">
        <v>44713</v>
      </c>
      <c r="B1799" s="1">
        <v>44713</v>
      </c>
      <c r="C1799">
        <v>2022</v>
      </c>
      <c r="D1799">
        <v>6</v>
      </c>
      <c r="E1799" s="2" t="s">
        <v>213</v>
      </c>
      <c r="F1799" s="2" t="s">
        <v>214</v>
      </c>
      <c r="G1799" s="2" t="s">
        <v>185</v>
      </c>
      <c r="H1799" s="2" t="s">
        <v>22</v>
      </c>
      <c r="I1799" s="2" t="s">
        <v>215</v>
      </c>
      <c r="J1799" s="2" t="s">
        <v>24</v>
      </c>
      <c r="K1799">
        <v>51655.77</v>
      </c>
      <c r="L1799">
        <v>1326626.6299999999</v>
      </c>
      <c r="M1799">
        <v>2568.21</v>
      </c>
      <c r="N1799" s="2" t="s">
        <v>216</v>
      </c>
      <c r="O1799" s="2" t="s">
        <v>217</v>
      </c>
      <c r="P1799" s="2" t="s">
        <v>3406</v>
      </c>
      <c r="Q1799" s="2" t="s">
        <v>3407</v>
      </c>
      <c r="R1799" s="2" t="s">
        <v>29</v>
      </c>
      <c r="S1799" s="2" t="s">
        <v>30</v>
      </c>
    </row>
    <row r="1800" spans="1:19">
      <c r="A1800" s="1">
        <v>44713</v>
      </c>
      <c r="B1800" s="1">
        <v>44713</v>
      </c>
      <c r="C1800">
        <v>2022</v>
      </c>
      <c r="D1800">
        <v>6</v>
      </c>
      <c r="E1800" s="2" t="s">
        <v>220</v>
      </c>
      <c r="F1800" s="2" t="s">
        <v>221</v>
      </c>
      <c r="G1800" s="2" t="s">
        <v>185</v>
      </c>
      <c r="H1800" s="2" t="s">
        <v>22</v>
      </c>
      <c r="I1800" s="2" t="s">
        <v>215</v>
      </c>
      <c r="J1800" s="2" t="s">
        <v>24</v>
      </c>
      <c r="K1800">
        <v>4309.58</v>
      </c>
      <c r="L1800">
        <v>305197.39</v>
      </c>
      <c r="M1800">
        <v>7081.84</v>
      </c>
      <c r="N1800" s="2" t="s">
        <v>222</v>
      </c>
      <c r="O1800" s="2" t="s">
        <v>223</v>
      </c>
      <c r="P1800" s="2" t="s">
        <v>3408</v>
      </c>
      <c r="Q1800" s="2" t="s">
        <v>3409</v>
      </c>
      <c r="R1800" s="2" t="s">
        <v>29</v>
      </c>
      <c r="S1800" s="2" t="s">
        <v>30</v>
      </c>
    </row>
    <row r="1801" spans="1:19">
      <c r="A1801" s="1">
        <v>44713</v>
      </c>
      <c r="B1801" s="1">
        <v>44713</v>
      </c>
      <c r="C1801">
        <v>2022</v>
      </c>
      <c r="D1801">
        <v>6</v>
      </c>
      <c r="E1801" s="2" t="s">
        <v>226</v>
      </c>
      <c r="F1801" s="2" t="s">
        <v>227</v>
      </c>
      <c r="G1801" s="2" t="s">
        <v>185</v>
      </c>
      <c r="H1801" s="2" t="s">
        <v>22</v>
      </c>
      <c r="I1801" s="2" t="s">
        <v>215</v>
      </c>
      <c r="J1801" s="2" t="s">
        <v>59</v>
      </c>
      <c r="K1801">
        <v>55965.36</v>
      </c>
      <c r="L1801">
        <v>1631824.02</v>
      </c>
      <c r="M1801">
        <v>2915.78</v>
      </c>
      <c r="N1801" s="2" t="s">
        <v>228</v>
      </c>
      <c r="O1801" s="2" t="s">
        <v>229</v>
      </c>
      <c r="P1801" s="2" t="s">
        <v>3410</v>
      </c>
      <c r="Q1801" s="2" t="s">
        <v>3411</v>
      </c>
      <c r="R1801" s="2" t="s">
        <v>29</v>
      </c>
      <c r="S1801" s="2" t="s">
        <v>30</v>
      </c>
    </row>
    <row r="1802" spans="1:19">
      <c r="A1802" s="1">
        <v>44713</v>
      </c>
      <c r="B1802" s="1">
        <v>44713</v>
      </c>
      <c r="C1802">
        <v>2022</v>
      </c>
      <c r="D1802">
        <v>6</v>
      </c>
      <c r="E1802" s="2" t="s">
        <v>232</v>
      </c>
      <c r="F1802" s="2" t="s">
        <v>233</v>
      </c>
      <c r="G1802" s="2" t="s">
        <v>21</v>
      </c>
      <c r="H1802" s="2" t="s">
        <v>22</v>
      </c>
      <c r="I1802" s="2" t="s">
        <v>23</v>
      </c>
      <c r="J1802" s="2" t="s">
        <v>24</v>
      </c>
      <c r="K1802">
        <v>1489.99</v>
      </c>
      <c r="L1802">
        <v>100908.9</v>
      </c>
      <c r="M1802">
        <v>6772.45</v>
      </c>
      <c r="N1802" s="2" t="s">
        <v>234</v>
      </c>
      <c r="O1802" s="2" t="s">
        <v>235</v>
      </c>
      <c r="P1802" s="2" t="s">
        <v>3412</v>
      </c>
      <c r="Q1802" s="2" t="s">
        <v>3413</v>
      </c>
      <c r="R1802" s="2" t="s">
        <v>29</v>
      </c>
      <c r="S1802" s="2" t="s">
        <v>30</v>
      </c>
    </row>
    <row r="1803" spans="1:19">
      <c r="A1803" s="1">
        <v>44713</v>
      </c>
      <c r="B1803" s="1">
        <v>44713</v>
      </c>
      <c r="C1803">
        <v>2022</v>
      </c>
      <c r="D1803">
        <v>6</v>
      </c>
      <c r="E1803" s="2" t="s">
        <v>238</v>
      </c>
      <c r="F1803" s="2" t="s">
        <v>239</v>
      </c>
      <c r="G1803" s="2" t="s">
        <v>21</v>
      </c>
      <c r="H1803" s="2" t="s">
        <v>22</v>
      </c>
      <c r="I1803" s="2" t="s">
        <v>66</v>
      </c>
      <c r="J1803" s="2" t="s">
        <v>24</v>
      </c>
      <c r="K1803">
        <v>1048.1400000000001</v>
      </c>
      <c r="L1803">
        <v>99060.07</v>
      </c>
      <c r="M1803">
        <v>9451.0300000000007</v>
      </c>
      <c r="N1803" s="2" t="s">
        <v>240</v>
      </c>
      <c r="O1803" s="2" t="s">
        <v>241</v>
      </c>
      <c r="P1803" s="2" t="s">
        <v>3414</v>
      </c>
      <c r="Q1803" s="2" t="s">
        <v>3415</v>
      </c>
      <c r="R1803" s="2" t="s">
        <v>29</v>
      </c>
      <c r="S1803" s="2" t="s">
        <v>30</v>
      </c>
    </row>
    <row r="1804" spans="1:19">
      <c r="A1804" s="1">
        <v>44713</v>
      </c>
      <c r="B1804" s="1">
        <v>44713</v>
      </c>
      <c r="C1804">
        <v>2022</v>
      </c>
      <c r="D1804">
        <v>6</v>
      </c>
      <c r="E1804" s="2" t="s">
        <v>244</v>
      </c>
      <c r="F1804" s="2" t="s">
        <v>245</v>
      </c>
      <c r="G1804" s="2" t="s">
        <v>21</v>
      </c>
      <c r="H1804" s="2" t="s">
        <v>22</v>
      </c>
      <c r="I1804" s="2" t="s">
        <v>23</v>
      </c>
      <c r="J1804" s="2" t="s">
        <v>24</v>
      </c>
      <c r="K1804">
        <v>4022.33</v>
      </c>
      <c r="L1804">
        <v>2716012.88</v>
      </c>
      <c r="M1804">
        <v>67523.37</v>
      </c>
      <c r="N1804" s="2" t="s">
        <v>246</v>
      </c>
      <c r="O1804" s="2" t="s">
        <v>247</v>
      </c>
      <c r="P1804" s="2" t="s">
        <v>3416</v>
      </c>
      <c r="Q1804" s="2" t="s">
        <v>3417</v>
      </c>
      <c r="R1804" s="2" t="s">
        <v>29</v>
      </c>
      <c r="S1804" s="2" t="s">
        <v>30</v>
      </c>
    </row>
    <row r="1805" spans="1:19">
      <c r="A1805" s="1">
        <v>44713</v>
      </c>
      <c r="B1805" s="1">
        <v>44713</v>
      </c>
      <c r="C1805">
        <v>2022</v>
      </c>
      <c r="D1805">
        <v>6</v>
      </c>
      <c r="E1805" s="2" t="s">
        <v>250</v>
      </c>
      <c r="F1805" s="2" t="s">
        <v>251</v>
      </c>
      <c r="G1805" s="2" t="s">
        <v>21</v>
      </c>
      <c r="H1805" s="2" t="s">
        <v>22</v>
      </c>
      <c r="I1805" s="2" t="s">
        <v>66</v>
      </c>
      <c r="J1805" s="2" t="s">
        <v>24</v>
      </c>
      <c r="K1805">
        <v>138</v>
      </c>
      <c r="L1805">
        <v>216.43</v>
      </c>
      <c r="M1805">
        <v>156.83000000000001</v>
      </c>
      <c r="N1805" s="2" t="s">
        <v>252</v>
      </c>
      <c r="O1805" s="2" t="s">
        <v>253</v>
      </c>
      <c r="P1805" s="2" t="s">
        <v>3418</v>
      </c>
      <c r="Q1805" s="2" t="s">
        <v>3419</v>
      </c>
      <c r="R1805" s="2" t="s">
        <v>29</v>
      </c>
      <c r="S1805" s="2" t="s">
        <v>30</v>
      </c>
    </row>
    <row r="1806" spans="1:19">
      <c r="A1806" s="1">
        <v>44713</v>
      </c>
      <c r="B1806" s="1">
        <v>44713</v>
      </c>
      <c r="C1806">
        <v>2022</v>
      </c>
      <c r="D1806">
        <v>6</v>
      </c>
      <c r="E1806" s="2" t="s">
        <v>256</v>
      </c>
      <c r="F1806" s="2" t="s">
        <v>257</v>
      </c>
      <c r="G1806" s="2" t="s">
        <v>21</v>
      </c>
      <c r="H1806" s="2" t="s">
        <v>22</v>
      </c>
      <c r="I1806" s="2" t="s">
        <v>258</v>
      </c>
      <c r="J1806" s="2" t="s">
        <v>24</v>
      </c>
      <c r="K1806">
        <v>593.73</v>
      </c>
      <c r="L1806">
        <v>593184.86</v>
      </c>
      <c r="M1806">
        <v>99908.18</v>
      </c>
      <c r="N1806" s="2" t="s">
        <v>259</v>
      </c>
      <c r="O1806" s="2" t="s">
        <v>260</v>
      </c>
      <c r="P1806" s="2" t="s">
        <v>3420</v>
      </c>
      <c r="Q1806" s="2" t="s">
        <v>3421</v>
      </c>
      <c r="R1806" s="2" t="s">
        <v>29</v>
      </c>
      <c r="S1806" s="2" t="s">
        <v>30</v>
      </c>
    </row>
    <row r="1807" spans="1:19">
      <c r="A1807" s="1">
        <v>44713</v>
      </c>
      <c r="B1807" s="1">
        <v>44713</v>
      </c>
      <c r="C1807">
        <v>2022</v>
      </c>
      <c r="D1807">
        <v>6</v>
      </c>
      <c r="E1807" s="2" t="s">
        <v>263</v>
      </c>
      <c r="F1807" s="2" t="s">
        <v>264</v>
      </c>
      <c r="G1807" s="2" t="s">
        <v>21</v>
      </c>
      <c r="H1807" s="2" t="s">
        <v>22</v>
      </c>
      <c r="I1807" s="2" t="s">
        <v>258</v>
      </c>
      <c r="J1807" s="2" t="s">
        <v>24</v>
      </c>
      <c r="K1807">
        <v>0</v>
      </c>
      <c r="L1807">
        <v>0</v>
      </c>
      <c r="N1807" s="2" t="s">
        <v>265</v>
      </c>
      <c r="O1807" s="2" t="s">
        <v>266</v>
      </c>
      <c r="P1807" s="2" t="s">
        <v>639</v>
      </c>
      <c r="Q1807" s="2" t="s">
        <v>639</v>
      </c>
      <c r="R1807" s="2" t="s">
        <v>29</v>
      </c>
      <c r="S1807" s="2" t="s">
        <v>30</v>
      </c>
    </row>
    <row r="1808" spans="1:19">
      <c r="A1808" s="1">
        <v>44713</v>
      </c>
      <c r="B1808" s="1">
        <v>44713</v>
      </c>
      <c r="C1808">
        <v>2022</v>
      </c>
      <c r="D1808">
        <v>6</v>
      </c>
      <c r="E1808" s="2" t="s">
        <v>269</v>
      </c>
      <c r="F1808" s="2" t="s">
        <v>270</v>
      </c>
      <c r="G1808" s="2" t="s">
        <v>21</v>
      </c>
      <c r="H1808" s="2" t="s">
        <v>22</v>
      </c>
      <c r="I1808" s="2" t="s">
        <v>258</v>
      </c>
      <c r="J1808" s="2" t="s">
        <v>59</v>
      </c>
      <c r="K1808">
        <v>593.73</v>
      </c>
      <c r="L1808">
        <v>593184.86</v>
      </c>
      <c r="M1808">
        <v>99908.18</v>
      </c>
      <c r="N1808" s="2" t="s">
        <v>271</v>
      </c>
      <c r="O1808" s="2" t="s">
        <v>272</v>
      </c>
      <c r="P1808" s="2" t="s">
        <v>3420</v>
      </c>
      <c r="Q1808" s="2" t="s">
        <v>3421</v>
      </c>
      <c r="R1808" s="2" t="s">
        <v>29</v>
      </c>
      <c r="S1808" s="2" t="s">
        <v>30</v>
      </c>
    </row>
    <row r="1809" spans="1:19">
      <c r="A1809" s="1">
        <v>44713</v>
      </c>
      <c r="B1809" s="1">
        <v>44713</v>
      </c>
      <c r="C1809">
        <v>2022</v>
      </c>
      <c r="D1809">
        <v>6</v>
      </c>
      <c r="E1809" s="2" t="s">
        <v>275</v>
      </c>
      <c r="F1809" s="2" t="s">
        <v>276</v>
      </c>
      <c r="G1809" s="2" t="s">
        <v>39</v>
      </c>
      <c r="H1809" s="2" t="s">
        <v>22</v>
      </c>
      <c r="I1809" s="2" t="s">
        <v>40</v>
      </c>
      <c r="J1809" s="2" t="s">
        <v>24</v>
      </c>
      <c r="K1809">
        <v>2.27</v>
      </c>
      <c r="L1809">
        <v>22.36</v>
      </c>
      <c r="M1809">
        <v>985.02</v>
      </c>
      <c r="N1809" s="2" t="s">
        <v>277</v>
      </c>
      <c r="O1809" s="2" t="s">
        <v>278</v>
      </c>
      <c r="P1809" s="2" t="s">
        <v>342</v>
      </c>
      <c r="Q1809" s="2" t="s">
        <v>3422</v>
      </c>
      <c r="R1809" s="2" t="s">
        <v>29</v>
      </c>
      <c r="S1809" s="2" t="s">
        <v>30</v>
      </c>
    </row>
    <row r="1810" spans="1:19">
      <c r="A1810" s="1">
        <v>44713</v>
      </c>
      <c r="B1810" s="1">
        <v>44713</v>
      </c>
      <c r="C1810">
        <v>2022</v>
      </c>
      <c r="D1810">
        <v>6</v>
      </c>
      <c r="E1810" s="2" t="s">
        <v>281</v>
      </c>
      <c r="F1810" s="2" t="s">
        <v>282</v>
      </c>
      <c r="G1810" s="2" t="s">
        <v>39</v>
      </c>
      <c r="H1810" s="2" t="s">
        <v>22</v>
      </c>
      <c r="I1810" s="2" t="s">
        <v>40</v>
      </c>
      <c r="J1810" s="2" t="s">
        <v>24</v>
      </c>
      <c r="K1810">
        <v>0.03</v>
      </c>
      <c r="L1810">
        <v>0.13</v>
      </c>
      <c r="M1810">
        <v>433.33</v>
      </c>
      <c r="N1810" s="2" t="s">
        <v>283</v>
      </c>
      <c r="O1810" s="2" t="s">
        <v>284</v>
      </c>
      <c r="P1810" s="2" t="s">
        <v>1247</v>
      </c>
      <c r="Q1810" s="2" t="s">
        <v>3378</v>
      </c>
      <c r="R1810" s="2" t="s">
        <v>29</v>
      </c>
      <c r="S1810" s="2" t="s">
        <v>30</v>
      </c>
    </row>
    <row r="1811" spans="1:19">
      <c r="A1811" s="1">
        <v>44713</v>
      </c>
      <c r="B1811" s="1">
        <v>44713</v>
      </c>
      <c r="C1811">
        <v>2022</v>
      </c>
      <c r="D1811">
        <v>6</v>
      </c>
      <c r="E1811" s="2" t="s">
        <v>287</v>
      </c>
      <c r="F1811" s="2" t="s">
        <v>288</v>
      </c>
      <c r="G1811" s="2" t="s">
        <v>39</v>
      </c>
      <c r="H1811" s="2" t="s">
        <v>22</v>
      </c>
      <c r="I1811" s="2" t="s">
        <v>40</v>
      </c>
      <c r="J1811" s="2" t="s">
        <v>59</v>
      </c>
      <c r="K1811">
        <v>2.2999999999999998</v>
      </c>
      <c r="L1811">
        <v>22.49</v>
      </c>
      <c r="M1811">
        <v>977.83</v>
      </c>
      <c r="N1811" s="2" t="s">
        <v>289</v>
      </c>
      <c r="O1811" s="2" t="s">
        <v>290</v>
      </c>
      <c r="P1811" s="2" t="s">
        <v>3144</v>
      </c>
      <c r="Q1811" s="2" t="s">
        <v>3423</v>
      </c>
      <c r="R1811" s="2" t="s">
        <v>29</v>
      </c>
      <c r="S1811" s="2" t="s">
        <v>30</v>
      </c>
    </row>
    <row r="1812" spans="1:19">
      <c r="A1812" s="1">
        <v>44713</v>
      </c>
      <c r="B1812" s="1">
        <v>44713</v>
      </c>
      <c r="C1812">
        <v>2022</v>
      </c>
      <c r="D1812">
        <v>6</v>
      </c>
      <c r="E1812" s="2" t="s">
        <v>293</v>
      </c>
      <c r="F1812" s="2" t="s">
        <v>294</v>
      </c>
      <c r="G1812" s="2" t="s">
        <v>21</v>
      </c>
      <c r="H1812" s="2" t="s">
        <v>22</v>
      </c>
      <c r="I1812" s="2" t="s">
        <v>295</v>
      </c>
      <c r="J1812" s="2" t="s">
        <v>24</v>
      </c>
      <c r="K1812">
        <v>1191.6199999999999</v>
      </c>
      <c r="L1812">
        <v>4949.13</v>
      </c>
      <c r="M1812">
        <v>415.33</v>
      </c>
      <c r="N1812" s="2" t="s">
        <v>296</v>
      </c>
      <c r="O1812" s="2" t="s">
        <v>297</v>
      </c>
      <c r="P1812" s="2" t="s">
        <v>3424</v>
      </c>
      <c r="Q1812" s="2" t="s">
        <v>3425</v>
      </c>
      <c r="R1812" s="2" t="s">
        <v>29</v>
      </c>
      <c r="S1812" s="2" t="s">
        <v>30</v>
      </c>
    </row>
    <row r="1813" spans="1:19">
      <c r="A1813" s="1">
        <v>44713</v>
      </c>
      <c r="B1813" s="1">
        <v>44713</v>
      </c>
      <c r="C1813">
        <v>2022</v>
      </c>
      <c r="D1813">
        <v>6</v>
      </c>
      <c r="E1813" s="2" t="s">
        <v>300</v>
      </c>
      <c r="F1813" s="2" t="s">
        <v>301</v>
      </c>
      <c r="G1813" s="2" t="s">
        <v>21</v>
      </c>
      <c r="H1813" s="2" t="s">
        <v>22</v>
      </c>
      <c r="I1813" s="2" t="s">
        <v>295</v>
      </c>
      <c r="J1813" s="2" t="s">
        <v>24</v>
      </c>
      <c r="K1813">
        <v>87.22</v>
      </c>
      <c r="L1813">
        <v>1300.8499999999999</v>
      </c>
      <c r="M1813">
        <v>1491.46</v>
      </c>
      <c r="N1813" s="2" t="s">
        <v>302</v>
      </c>
      <c r="O1813" s="2" t="s">
        <v>303</v>
      </c>
      <c r="P1813" s="2" t="s">
        <v>3426</v>
      </c>
      <c r="Q1813" s="2" t="s">
        <v>3427</v>
      </c>
      <c r="R1813" s="2" t="s">
        <v>29</v>
      </c>
      <c r="S1813" s="2" t="s">
        <v>30</v>
      </c>
    </row>
    <row r="1814" spans="1:19">
      <c r="A1814" s="1">
        <v>44713</v>
      </c>
      <c r="B1814" s="1">
        <v>44713</v>
      </c>
      <c r="C1814">
        <v>2022</v>
      </c>
      <c r="D1814">
        <v>6</v>
      </c>
      <c r="E1814" s="2" t="s">
        <v>306</v>
      </c>
      <c r="F1814" s="2" t="s">
        <v>307</v>
      </c>
      <c r="G1814" s="2" t="s">
        <v>21</v>
      </c>
      <c r="H1814" s="2" t="s">
        <v>22</v>
      </c>
      <c r="I1814" s="2" t="s">
        <v>295</v>
      </c>
      <c r="J1814" s="2" t="s">
        <v>101</v>
      </c>
      <c r="K1814">
        <v>1278.83</v>
      </c>
      <c r="L1814">
        <v>6249.98</v>
      </c>
      <c r="M1814">
        <v>488.73</v>
      </c>
      <c r="N1814" s="2" t="s">
        <v>308</v>
      </c>
      <c r="O1814" s="2" t="s">
        <v>309</v>
      </c>
      <c r="P1814" s="2" t="s">
        <v>3428</v>
      </c>
      <c r="Q1814" s="2" t="s">
        <v>3429</v>
      </c>
      <c r="R1814" s="2" t="s">
        <v>29</v>
      </c>
      <c r="S1814" s="2" t="s">
        <v>30</v>
      </c>
    </row>
    <row r="1815" spans="1:19">
      <c r="A1815" s="1">
        <v>44713</v>
      </c>
      <c r="B1815" s="1">
        <v>44713</v>
      </c>
      <c r="C1815">
        <v>2022</v>
      </c>
      <c r="D1815">
        <v>6</v>
      </c>
      <c r="E1815" s="2" t="s">
        <v>312</v>
      </c>
      <c r="F1815" s="2" t="s">
        <v>313</v>
      </c>
      <c r="G1815" s="2" t="s">
        <v>21</v>
      </c>
      <c r="H1815" s="2" t="s">
        <v>22</v>
      </c>
      <c r="I1815" s="2" t="s">
        <v>295</v>
      </c>
      <c r="J1815" s="2" t="s">
        <v>59</v>
      </c>
      <c r="K1815">
        <v>6258.03</v>
      </c>
      <c r="L1815">
        <v>24738.2</v>
      </c>
      <c r="M1815">
        <v>395.3</v>
      </c>
      <c r="N1815" s="2" t="s">
        <v>314</v>
      </c>
      <c r="O1815" s="2" t="s">
        <v>315</v>
      </c>
      <c r="P1815" s="2" t="s">
        <v>3430</v>
      </c>
      <c r="Q1815" s="2" t="s">
        <v>3431</v>
      </c>
      <c r="R1815" s="2" t="s">
        <v>29</v>
      </c>
      <c r="S1815" s="2" t="s">
        <v>30</v>
      </c>
    </row>
    <row r="1816" spans="1:19">
      <c r="A1816" s="1">
        <v>44713</v>
      </c>
      <c r="B1816" s="1">
        <v>44713</v>
      </c>
      <c r="C1816">
        <v>2022</v>
      </c>
      <c r="D1816">
        <v>6</v>
      </c>
      <c r="E1816" s="2" t="s">
        <v>318</v>
      </c>
      <c r="F1816" s="2" t="s">
        <v>319</v>
      </c>
      <c r="G1816" s="2" t="s">
        <v>21</v>
      </c>
      <c r="H1816" s="2" t="s">
        <v>22</v>
      </c>
      <c r="I1816" s="2" t="s">
        <v>295</v>
      </c>
      <c r="J1816" s="2" t="s">
        <v>24</v>
      </c>
      <c r="K1816">
        <v>4979.1899999999996</v>
      </c>
      <c r="L1816">
        <v>18488.22</v>
      </c>
      <c r="M1816">
        <v>371.31</v>
      </c>
      <c r="N1816" s="2" t="s">
        <v>320</v>
      </c>
      <c r="O1816" s="2" t="s">
        <v>321</v>
      </c>
      <c r="P1816" s="2" t="s">
        <v>3432</v>
      </c>
      <c r="Q1816" s="2" t="s">
        <v>3433</v>
      </c>
      <c r="R1816" s="2" t="s">
        <v>29</v>
      </c>
      <c r="S1816" s="2" t="s">
        <v>30</v>
      </c>
    </row>
    <row r="1817" spans="1:19">
      <c r="A1817" s="1">
        <v>44713</v>
      </c>
      <c r="B1817" s="1">
        <v>44713</v>
      </c>
      <c r="C1817">
        <v>2022</v>
      </c>
      <c r="D1817">
        <v>6</v>
      </c>
      <c r="E1817" s="2" t="s">
        <v>324</v>
      </c>
      <c r="F1817" s="2" t="s">
        <v>325</v>
      </c>
      <c r="G1817" s="2" t="s">
        <v>21</v>
      </c>
      <c r="H1817" s="2" t="s">
        <v>22</v>
      </c>
      <c r="I1817" s="2" t="s">
        <v>23</v>
      </c>
      <c r="J1817" s="2" t="s">
        <v>59</v>
      </c>
      <c r="K1817">
        <v>69921.27</v>
      </c>
      <c r="L1817">
        <v>4298157.62</v>
      </c>
      <c r="M1817">
        <v>6147.14</v>
      </c>
      <c r="N1817" s="2" t="s">
        <v>326</v>
      </c>
      <c r="O1817" s="2" t="s">
        <v>327</v>
      </c>
      <c r="P1817" s="2" t="s">
        <v>3434</v>
      </c>
      <c r="Q1817" s="2" t="s">
        <v>3435</v>
      </c>
      <c r="R1817" s="2" t="s">
        <v>29</v>
      </c>
      <c r="S1817" s="2" t="s">
        <v>30</v>
      </c>
    </row>
    <row r="1818" spans="1:19">
      <c r="A1818" s="1">
        <v>44713</v>
      </c>
      <c r="B1818" s="1">
        <v>44713</v>
      </c>
      <c r="C1818">
        <v>2022</v>
      </c>
      <c r="D1818">
        <v>6</v>
      </c>
      <c r="E1818" s="2" t="s">
        <v>330</v>
      </c>
      <c r="F1818" s="2" t="s">
        <v>331</v>
      </c>
      <c r="G1818" s="2" t="s">
        <v>21</v>
      </c>
      <c r="H1818" s="2" t="s">
        <v>332</v>
      </c>
      <c r="I1818" s="2" t="s">
        <v>333</v>
      </c>
      <c r="J1818" s="2" t="s">
        <v>24</v>
      </c>
      <c r="K1818">
        <v>193.18</v>
      </c>
      <c r="L1818">
        <v>10840908.939999999</v>
      </c>
      <c r="M1818">
        <v>5611817.4400000004</v>
      </c>
      <c r="N1818" s="2" t="s">
        <v>334</v>
      </c>
      <c r="O1818" s="2" t="s">
        <v>335</v>
      </c>
      <c r="P1818" s="2" t="s">
        <v>3436</v>
      </c>
      <c r="Q1818" s="2" t="s">
        <v>3437</v>
      </c>
      <c r="R1818" s="2" t="s">
        <v>29</v>
      </c>
      <c r="S1818" s="2" t="s">
        <v>30</v>
      </c>
    </row>
    <row r="1819" spans="1:19">
      <c r="A1819" s="1">
        <v>44713</v>
      </c>
      <c r="B1819" s="1">
        <v>44713</v>
      </c>
      <c r="C1819">
        <v>2022</v>
      </c>
      <c r="D1819">
        <v>6</v>
      </c>
      <c r="E1819" s="2" t="s">
        <v>338</v>
      </c>
      <c r="F1819" s="2" t="s">
        <v>339</v>
      </c>
      <c r="G1819" s="2" t="s">
        <v>21</v>
      </c>
      <c r="H1819" s="2" t="s">
        <v>332</v>
      </c>
      <c r="I1819" s="2" t="s">
        <v>333</v>
      </c>
      <c r="J1819" s="2" t="s">
        <v>24</v>
      </c>
      <c r="K1819">
        <v>1.24</v>
      </c>
      <c r="L1819">
        <v>1515144.59</v>
      </c>
      <c r="M1819">
        <v>122189079.84</v>
      </c>
      <c r="N1819" s="2" t="s">
        <v>340</v>
      </c>
      <c r="O1819" s="2" t="s">
        <v>341</v>
      </c>
      <c r="P1819" s="2" t="s">
        <v>2583</v>
      </c>
      <c r="Q1819" s="2" t="s">
        <v>3438</v>
      </c>
      <c r="R1819" s="2" t="s">
        <v>29</v>
      </c>
      <c r="S1819" s="2" t="s">
        <v>30</v>
      </c>
    </row>
    <row r="1820" spans="1:19">
      <c r="A1820" s="1">
        <v>44713</v>
      </c>
      <c r="B1820" s="1">
        <v>44713</v>
      </c>
      <c r="C1820">
        <v>2022</v>
      </c>
      <c r="D1820">
        <v>6</v>
      </c>
      <c r="E1820" s="2" t="s">
        <v>344</v>
      </c>
      <c r="F1820" s="2" t="s">
        <v>345</v>
      </c>
      <c r="G1820" s="2" t="s">
        <v>21</v>
      </c>
      <c r="H1820" s="2" t="s">
        <v>332</v>
      </c>
      <c r="I1820" s="2" t="s">
        <v>333</v>
      </c>
      <c r="J1820" s="2" t="s">
        <v>59</v>
      </c>
      <c r="K1820">
        <v>194.42</v>
      </c>
      <c r="L1820">
        <v>12356053.529999999</v>
      </c>
      <c r="M1820">
        <v>6355340.7699999996</v>
      </c>
      <c r="N1820" s="2" t="s">
        <v>346</v>
      </c>
      <c r="O1820" s="2" t="s">
        <v>347</v>
      </c>
      <c r="P1820" s="2" t="s">
        <v>3439</v>
      </c>
      <c r="Q1820" s="2" t="s">
        <v>3440</v>
      </c>
      <c r="R1820" s="2" t="s">
        <v>29</v>
      </c>
      <c r="S1820" s="2" t="s">
        <v>30</v>
      </c>
    </row>
    <row r="1821" spans="1:19">
      <c r="A1821" s="1">
        <v>44713</v>
      </c>
      <c r="B1821" s="1">
        <v>44713</v>
      </c>
      <c r="C1821">
        <v>2022</v>
      </c>
      <c r="D1821">
        <v>6</v>
      </c>
      <c r="E1821" s="2" t="s">
        <v>350</v>
      </c>
      <c r="F1821" s="2" t="s">
        <v>351</v>
      </c>
      <c r="G1821" s="2" t="s">
        <v>21</v>
      </c>
      <c r="H1821" s="2" t="s">
        <v>22</v>
      </c>
      <c r="I1821" s="2" t="s">
        <v>352</v>
      </c>
      <c r="J1821" s="2" t="s">
        <v>353</v>
      </c>
      <c r="K1821">
        <v>82969.11</v>
      </c>
      <c r="L1821">
        <v>16948911.260000002</v>
      </c>
      <c r="M1821">
        <v>20427.98</v>
      </c>
      <c r="N1821" s="2" t="s">
        <v>354</v>
      </c>
      <c r="O1821" s="2" t="s">
        <v>355</v>
      </c>
      <c r="P1821" s="2" t="s">
        <v>3441</v>
      </c>
      <c r="Q1821" s="2" t="s">
        <v>3442</v>
      </c>
      <c r="R1821" s="2" t="s">
        <v>29</v>
      </c>
      <c r="S1821" s="2" t="s">
        <v>30</v>
      </c>
    </row>
    <row r="1822" spans="1:19">
      <c r="A1822" s="1">
        <v>44713</v>
      </c>
      <c r="B1822" s="1">
        <v>44713</v>
      </c>
      <c r="C1822">
        <v>2022</v>
      </c>
      <c r="D1822">
        <v>6</v>
      </c>
      <c r="E1822" s="2" t="s">
        <v>358</v>
      </c>
      <c r="F1822" s="2" t="s">
        <v>359</v>
      </c>
      <c r="G1822" s="2" t="s">
        <v>21</v>
      </c>
      <c r="H1822" s="2" t="s">
        <v>22</v>
      </c>
      <c r="I1822" s="2" t="s">
        <v>352</v>
      </c>
      <c r="J1822" s="2" t="s">
        <v>353</v>
      </c>
      <c r="K1822">
        <v>83562.84</v>
      </c>
      <c r="L1822">
        <v>17542096.120000001</v>
      </c>
      <c r="M1822">
        <v>20992.7</v>
      </c>
      <c r="N1822" s="2" t="s">
        <v>360</v>
      </c>
      <c r="O1822" s="2" t="s">
        <v>361</v>
      </c>
      <c r="P1822" s="2" t="s">
        <v>3443</v>
      </c>
      <c r="Q1822" s="2" t="s">
        <v>3444</v>
      </c>
      <c r="R1822" s="2" t="s">
        <v>29</v>
      </c>
      <c r="S1822" s="2" t="s">
        <v>30</v>
      </c>
    </row>
    <row r="1823" spans="1:19">
      <c r="A1823" s="1">
        <v>44713</v>
      </c>
      <c r="B1823" s="1">
        <v>44713</v>
      </c>
      <c r="C1823">
        <v>2022</v>
      </c>
      <c r="D1823">
        <v>6</v>
      </c>
      <c r="E1823" s="2" t="s">
        <v>364</v>
      </c>
      <c r="F1823" s="2" t="s">
        <v>365</v>
      </c>
      <c r="G1823" s="2" t="s">
        <v>21</v>
      </c>
      <c r="H1823" s="2" t="s">
        <v>22</v>
      </c>
      <c r="I1823" s="2" t="s">
        <v>352</v>
      </c>
      <c r="J1823" s="2" t="s">
        <v>353</v>
      </c>
      <c r="K1823">
        <v>83368.42</v>
      </c>
      <c r="L1823">
        <v>5186042.58</v>
      </c>
      <c r="M1823">
        <v>6220.63</v>
      </c>
      <c r="N1823" s="2" t="s">
        <v>366</v>
      </c>
      <c r="O1823" s="2" t="s">
        <v>367</v>
      </c>
      <c r="P1823" s="2" t="s">
        <v>3445</v>
      </c>
      <c r="Q1823" s="2" t="s">
        <v>3446</v>
      </c>
      <c r="R1823" s="2" t="s">
        <v>29</v>
      </c>
      <c r="S1823" s="2" t="s">
        <v>30</v>
      </c>
    </row>
    <row r="1824" spans="1:19">
      <c r="A1824" s="1">
        <v>44713</v>
      </c>
      <c r="B1824" s="1">
        <v>44713</v>
      </c>
      <c r="C1824">
        <v>2022</v>
      </c>
      <c r="D1824">
        <v>6</v>
      </c>
      <c r="E1824" s="2" t="s">
        <v>370</v>
      </c>
      <c r="F1824" s="2" t="s">
        <v>371</v>
      </c>
      <c r="G1824" s="2" t="s">
        <v>21</v>
      </c>
      <c r="H1824" s="2" t="s">
        <v>22</v>
      </c>
      <c r="I1824" s="2" t="s">
        <v>23</v>
      </c>
      <c r="J1824" s="2" t="s">
        <v>24</v>
      </c>
      <c r="K1824">
        <v>58629.08</v>
      </c>
      <c r="L1824">
        <v>1014412.62</v>
      </c>
      <c r="M1824">
        <v>1730.22</v>
      </c>
      <c r="N1824" s="2" t="s">
        <v>372</v>
      </c>
      <c r="O1824" s="2" t="s">
        <v>373</v>
      </c>
      <c r="P1824" s="2" t="s">
        <v>3447</v>
      </c>
      <c r="Q1824" s="2" t="s">
        <v>3448</v>
      </c>
      <c r="R1824" s="2" t="s">
        <v>29</v>
      </c>
      <c r="S1824" s="2" t="s">
        <v>30</v>
      </c>
    </row>
    <row r="1825" spans="1:19">
      <c r="A1825" s="1">
        <v>44713</v>
      </c>
      <c r="B1825" s="1">
        <v>44713</v>
      </c>
      <c r="C1825">
        <v>2022</v>
      </c>
      <c r="D1825">
        <v>6</v>
      </c>
      <c r="E1825" s="2" t="s">
        <v>376</v>
      </c>
      <c r="F1825" s="2" t="s">
        <v>377</v>
      </c>
      <c r="G1825" s="2" t="s">
        <v>21</v>
      </c>
      <c r="H1825" s="2" t="s">
        <v>22</v>
      </c>
      <c r="I1825" s="2" t="s">
        <v>23</v>
      </c>
      <c r="J1825" s="2" t="s">
        <v>378</v>
      </c>
      <c r="K1825">
        <v>0.99</v>
      </c>
      <c r="L1825">
        <v>12.48</v>
      </c>
      <c r="M1825">
        <v>1260.6099999999999</v>
      </c>
      <c r="N1825" s="2" t="s">
        <v>379</v>
      </c>
      <c r="O1825" s="2" t="s">
        <v>380</v>
      </c>
      <c r="P1825" s="2" t="s">
        <v>3449</v>
      </c>
      <c r="Q1825" s="2" t="s">
        <v>3450</v>
      </c>
      <c r="R1825" s="2" t="s">
        <v>29</v>
      </c>
      <c r="S1825" s="2" t="s">
        <v>30</v>
      </c>
    </row>
    <row r="1826" spans="1:19">
      <c r="A1826" s="1">
        <v>44743</v>
      </c>
      <c r="B1826" s="1">
        <v>44743</v>
      </c>
      <c r="C1826">
        <v>2022</v>
      </c>
      <c r="D1826">
        <v>7</v>
      </c>
      <c r="E1826" s="2" t="s">
        <v>19</v>
      </c>
      <c r="F1826" s="2" t="s">
        <v>20</v>
      </c>
      <c r="G1826" s="2" t="s">
        <v>21</v>
      </c>
      <c r="H1826" s="2" t="s">
        <v>22</v>
      </c>
      <c r="I1826" s="2" t="s">
        <v>23</v>
      </c>
      <c r="J1826" s="2" t="s">
        <v>24</v>
      </c>
      <c r="K1826">
        <v>0.68</v>
      </c>
      <c r="L1826">
        <v>39.51</v>
      </c>
      <c r="M1826">
        <v>5810.29</v>
      </c>
      <c r="N1826" s="2" t="s">
        <v>25</v>
      </c>
      <c r="O1826" s="2" t="s">
        <v>26</v>
      </c>
      <c r="P1826" s="2" t="s">
        <v>808</v>
      </c>
      <c r="Q1826" s="2" t="s">
        <v>3451</v>
      </c>
      <c r="R1826" s="2" t="s">
        <v>29</v>
      </c>
      <c r="S1826" s="2" t="s">
        <v>30</v>
      </c>
    </row>
    <row r="1827" spans="1:19">
      <c r="A1827" s="1">
        <v>44743</v>
      </c>
      <c r="B1827" s="1">
        <v>44743</v>
      </c>
      <c r="C1827">
        <v>2022</v>
      </c>
      <c r="D1827">
        <v>7</v>
      </c>
      <c r="E1827" s="2" t="s">
        <v>31</v>
      </c>
      <c r="F1827" s="2" t="s">
        <v>32</v>
      </c>
      <c r="G1827" s="2" t="s">
        <v>21</v>
      </c>
      <c r="H1827" s="2" t="s">
        <v>22</v>
      </c>
      <c r="I1827" s="2" t="s">
        <v>23</v>
      </c>
      <c r="J1827" s="2" t="s">
        <v>24</v>
      </c>
      <c r="K1827">
        <v>1259.99</v>
      </c>
      <c r="L1827">
        <v>12510.93</v>
      </c>
      <c r="M1827">
        <v>992.94</v>
      </c>
      <c r="N1827" s="2" t="s">
        <v>33</v>
      </c>
      <c r="O1827" s="2" t="s">
        <v>34</v>
      </c>
      <c r="P1827" s="2" t="s">
        <v>3452</v>
      </c>
      <c r="Q1827" s="2" t="s">
        <v>3453</v>
      </c>
      <c r="R1827" s="2" t="s">
        <v>29</v>
      </c>
      <c r="S1827" s="2" t="s">
        <v>30</v>
      </c>
    </row>
    <row r="1828" spans="1:19">
      <c r="A1828" s="1">
        <v>44743</v>
      </c>
      <c r="B1828" s="1">
        <v>44743</v>
      </c>
      <c r="C1828">
        <v>2022</v>
      </c>
      <c r="D1828">
        <v>7</v>
      </c>
      <c r="E1828" s="2" t="s">
        <v>37</v>
      </c>
      <c r="F1828" s="2" t="s">
        <v>38</v>
      </c>
      <c r="G1828" s="2" t="s">
        <v>39</v>
      </c>
      <c r="H1828" s="2" t="s">
        <v>22</v>
      </c>
      <c r="I1828" s="2" t="s">
        <v>40</v>
      </c>
      <c r="J1828" s="2" t="s">
        <v>24</v>
      </c>
      <c r="K1828">
        <v>6.95</v>
      </c>
      <c r="L1828">
        <v>342.4</v>
      </c>
      <c r="M1828">
        <v>4926.62</v>
      </c>
      <c r="N1828" s="2" t="s">
        <v>41</v>
      </c>
      <c r="O1828" s="2" t="s">
        <v>42</v>
      </c>
      <c r="P1828" s="2" t="s">
        <v>3454</v>
      </c>
      <c r="Q1828" s="2" t="s">
        <v>3455</v>
      </c>
      <c r="R1828" s="2" t="s">
        <v>29</v>
      </c>
      <c r="S1828" s="2" t="s">
        <v>30</v>
      </c>
    </row>
    <row r="1829" spans="1:19">
      <c r="A1829" s="1">
        <v>44743</v>
      </c>
      <c r="B1829" s="1">
        <v>44743</v>
      </c>
      <c r="C1829">
        <v>2022</v>
      </c>
      <c r="D1829">
        <v>7</v>
      </c>
      <c r="E1829" s="2" t="s">
        <v>45</v>
      </c>
      <c r="F1829" s="2" t="s">
        <v>46</v>
      </c>
      <c r="G1829" s="2" t="s">
        <v>39</v>
      </c>
      <c r="H1829" s="2" t="s">
        <v>22</v>
      </c>
      <c r="I1829" s="2" t="s">
        <v>40</v>
      </c>
      <c r="J1829" s="2" t="s">
        <v>24</v>
      </c>
      <c r="K1829">
        <v>5735.52</v>
      </c>
      <c r="L1829">
        <v>270609.05</v>
      </c>
      <c r="M1829">
        <v>4718.13</v>
      </c>
      <c r="N1829" s="2" t="s">
        <v>47</v>
      </c>
      <c r="O1829" s="2" t="s">
        <v>48</v>
      </c>
      <c r="P1829" s="2" t="s">
        <v>3456</v>
      </c>
      <c r="Q1829" s="2" t="s">
        <v>3457</v>
      </c>
      <c r="R1829" s="2" t="s">
        <v>29</v>
      </c>
      <c r="S1829" s="2" t="s">
        <v>30</v>
      </c>
    </row>
    <row r="1830" spans="1:19">
      <c r="A1830" s="1">
        <v>44743</v>
      </c>
      <c r="B1830" s="1">
        <v>44743</v>
      </c>
      <c r="C1830">
        <v>2022</v>
      </c>
      <c r="D1830">
        <v>7</v>
      </c>
      <c r="E1830" s="2" t="s">
        <v>51</v>
      </c>
      <c r="F1830" s="2" t="s">
        <v>52</v>
      </c>
      <c r="G1830" s="2" t="s">
        <v>39</v>
      </c>
      <c r="H1830" s="2" t="s">
        <v>22</v>
      </c>
      <c r="I1830" s="2" t="s">
        <v>40</v>
      </c>
      <c r="J1830" s="2" t="s">
        <v>24</v>
      </c>
      <c r="K1830">
        <v>35.42</v>
      </c>
      <c r="L1830">
        <v>1151.94</v>
      </c>
      <c r="M1830">
        <v>3252.23</v>
      </c>
      <c r="N1830" s="2" t="s">
        <v>53</v>
      </c>
      <c r="O1830" s="2" t="s">
        <v>54</v>
      </c>
      <c r="P1830" s="2" t="s">
        <v>3458</v>
      </c>
      <c r="Q1830" s="2" t="s">
        <v>3459</v>
      </c>
      <c r="R1830" s="2" t="s">
        <v>29</v>
      </c>
      <c r="S1830" s="2" t="s">
        <v>30</v>
      </c>
    </row>
    <row r="1831" spans="1:19">
      <c r="A1831" s="1">
        <v>44743</v>
      </c>
      <c r="B1831" s="1">
        <v>44743</v>
      </c>
      <c r="C1831">
        <v>2022</v>
      </c>
      <c r="D1831">
        <v>7</v>
      </c>
      <c r="E1831" s="2" t="s">
        <v>57</v>
      </c>
      <c r="F1831" s="2" t="s">
        <v>58</v>
      </c>
      <c r="G1831" s="2" t="s">
        <v>39</v>
      </c>
      <c r="H1831" s="2" t="s">
        <v>22</v>
      </c>
      <c r="I1831" s="2" t="s">
        <v>40</v>
      </c>
      <c r="J1831" s="2" t="s">
        <v>59</v>
      </c>
      <c r="K1831">
        <v>5777.88</v>
      </c>
      <c r="L1831">
        <v>272103.40000000002</v>
      </c>
      <c r="M1831">
        <v>4709.3999999999996</v>
      </c>
      <c r="N1831" s="2" t="s">
        <v>60</v>
      </c>
      <c r="O1831" s="2" t="s">
        <v>61</v>
      </c>
      <c r="P1831" s="2" t="s">
        <v>3460</v>
      </c>
      <c r="Q1831" s="2" t="s">
        <v>3461</v>
      </c>
      <c r="R1831" s="2" t="s">
        <v>29</v>
      </c>
      <c r="S1831" s="2" t="s">
        <v>30</v>
      </c>
    </row>
    <row r="1832" spans="1:19">
      <c r="A1832" s="1">
        <v>44743</v>
      </c>
      <c r="B1832" s="1">
        <v>44743</v>
      </c>
      <c r="C1832">
        <v>2022</v>
      </c>
      <c r="D1832">
        <v>7</v>
      </c>
      <c r="E1832" s="2" t="s">
        <v>64</v>
      </c>
      <c r="F1832" s="2" t="s">
        <v>65</v>
      </c>
      <c r="G1832" s="2" t="s">
        <v>21</v>
      </c>
      <c r="H1832" s="2" t="s">
        <v>22</v>
      </c>
      <c r="I1832" s="2" t="s">
        <v>66</v>
      </c>
      <c r="J1832" s="2" t="s">
        <v>24</v>
      </c>
      <c r="K1832">
        <v>21.26</v>
      </c>
      <c r="L1832">
        <v>620.52</v>
      </c>
      <c r="M1832">
        <v>2918.72</v>
      </c>
      <c r="N1832" s="2" t="s">
        <v>67</v>
      </c>
      <c r="O1832" s="2" t="s">
        <v>68</v>
      </c>
      <c r="P1832" s="2" t="s">
        <v>3462</v>
      </c>
      <c r="Q1832" s="2" t="s">
        <v>3463</v>
      </c>
      <c r="R1832" s="2" t="s">
        <v>29</v>
      </c>
      <c r="S1832" s="2" t="s">
        <v>30</v>
      </c>
    </row>
    <row r="1833" spans="1:19">
      <c r="A1833" s="1">
        <v>44743</v>
      </c>
      <c r="B1833" s="1">
        <v>44743</v>
      </c>
      <c r="C1833">
        <v>2022</v>
      </c>
      <c r="D1833">
        <v>7</v>
      </c>
      <c r="E1833" s="2" t="s">
        <v>71</v>
      </c>
      <c r="F1833" s="2" t="s">
        <v>72</v>
      </c>
      <c r="G1833" s="2" t="s">
        <v>21</v>
      </c>
      <c r="H1833" s="2" t="s">
        <v>22</v>
      </c>
      <c r="I1833" s="2" t="s">
        <v>73</v>
      </c>
      <c r="J1833" s="2" t="s">
        <v>59</v>
      </c>
      <c r="K1833">
        <v>5481.8</v>
      </c>
      <c r="L1833">
        <v>180370.69</v>
      </c>
      <c r="M1833">
        <v>3290.36</v>
      </c>
      <c r="N1833" s="2" t="s">
        <v>74</v>
      </c>
      <c r="O1833" s="2" t="s">
        <v>75</v>
      </c>
      <c r="P1833" s="2" t="s">
        <v>3464</v>
      </c>
      <c r="Q1833" s="2" t="s">
        <v>3465</v>
      </c>
      <c r="R1833" s="2" t="s">
        <v>29</v>
      </c>
      <c r="S1833" s="2" t="s">
        <v>30</v>
      </c>
    </row>
    <row r="1834" spans="1:19">
      <c r="A1834" s="1">
        <v>44743</v>
      </c>
      <c r="B1834" s="1">
        <v>44743</v>
      </c>
      <c r="C1834">
        <v>2022</v>
      </c>
      <c r="D1834">
        <v>7</v>
      </c>
      <c r="E1834" s="2" t="s">
        <v>78</v>
      </c>
      <c r="F1834" s="2" t="s">
        <v>79</v>
      </c>
      <c r="G1834" s="2" t="s">
        <v>80</v>
      </c>
      <c r="H1834" s="2" t="s">
        <v>81</v>
      </c>
      <c r="I1834" s="2" t="s">
        <v>82</v>
      </c>
      <c r="J1834" s="2" t="s">
        <v>24</v>
      </c>
      <c r="K1834">
        <v>1.93</v>
      </c>
      <c r="L1834">
        <v>6272727.9699999997</v>
      </c>
      <c r="M1834">
        <v>325011811.92000002</v>
      </c>
      <c r="N1834" s="2" t="s">
        <v>83</v>
      </c>
      <c r="O1834" s="2" t="s">
        <v>84</v>
      </c>
      <c r="P1834" s="2" t="s">
        <v>3466</v>
      </c>
      <c r="Q1834" s="2" t="s">
        <v>3467</v>
      </c>
      <c r="R1834" s="2" t="s">
        <v>29</v>
      </c>
      <c r="S1834" s="2" t="s">
        <v>30</v>
      </c>
    </row>
    <row r="1835" spans="1:19">
      <c r="A1835" s="1">
        <v>44743</v>
      </c>
      <c r="B1835" s="1">
        <v>44743</v>
      </c>
      <c r="C1835">
        <v>2022</v>
      </c>
      <c r="D1835">
        <v>7</v>
      </c>
      <c r="E1835" s="2" t="s">
        <v>87</v>
      </c>
      <c r="F1835" s="2" t="s">
        <v>88</v>
      </c>
      <c r="G1835" s="2" t="s">
        <v>80</v>
      </c>
      <c r="H1835" s="2" t="s">
        <v>81</v>
      </c>
      <c r="I1835" s="2" t="s">
        <v>82</v>
      </c>
      <c r="J1835" s="2" t="s">
        <v>24</v>
      </c>
      <c r="K1835">
        <v>0.71</v>
      </c>
      <c r="L1835">
        <v>851203.93</v>
      </c>
      <c r="M1835">
        <v>119887877.45999999</v>
      </c>
      <c r="N1835" s="2" t="s">
        <v>89</v>
      </c>
      <c r="O1835" s="2" t="s">
        <v>90</v>
      </c>
      <c r="P1835" s="2" t="s">
        <v>3468</v>
      </c>
      <c r="Q1835" s="2" t="s">
        <v>3469</v>
      </c>
      <c r="R1835" s="2" t="s">
        <v>29</v>
      </c>
      <c r="S1835" s="2" t="s">
        <v>30</v>
      </c>
    </row>
    <row r="1836" spans="1:19">
      <c r="A1836" s="1">
        <v>44743</v>
      </c>
      <c r="B1836" s="1">
        <v>44743</v>
      </c>
      <c r="C1836">
        <v>2022</v>
      </c>
      <c r="D1836">
        <v>7</v>
      </c>
      <c r="E1836" s="2" t="s">
        <v>93</v>
      </c>
      <c r="F1836" s="2" t="s">
        <v>94</v>
      </c>
      <c r="G1836" s="2" t="s">
        <v>80</v>
      </c>
      <c r="H1836" s="2" t="s">
        <v>81</v>
      </c>
      <c r="I1836" s="2" t="s">
        <v>82</v>
      </c>
      <c r="J1836" s="2" t="s">
        <v>24</v>
      </c>
      <c r="K1836">
        <v>0.34</v>
      </c>
      <c r="L1836">
        <v>5764070.4299999997</v>
      </c>
      <c r="M1836">
        <v>1695314832.3499999</v>
      </c>
      <c r="N1836" s="2" t="s">
        <v>95</v>
      </c>
      <c r="O1836" s="2" t="s">
        <v>96</v>
      </c>
      <c r="P1836" s="2" t="s">
        <v>3373</v>
      </c>
      <c r="Q1836" s="2" t="s">
        <v>3470</v>
      </c>
      <c r="R1836" s="2" t="s">
        <v>29</v>
      </c>
      <c r="S1836" s="2" t="s">
        <v>30</v>
      </c>
    </row>
    <row r="1837" spans="1:19">
      <c r="A1837" s="1">
        <v>44743</v>
      </c>
      <c r="B1837" s="1">
        <v>44743</v>
      </c>
      <c r="C1837">
        <v>2022</v>
      </c>
      <c r="D1837">
        <v>7</v>
      </c>
      <c r="E1837" s="2" t="s">
        <v>99</v>
      </c>
      <c r="F1837" s="2" t="s">
        <v>100</v>
      </c>
      <c r="G1837" s="2" t="s">
        <v>80</v>
      </c>
      <c r="H1837" s="2" t="s">
        <v>81</v>
      </c>
      <c r="I1837" s="2" t="s">
        <v>82</v>
      </c>
      <c r="J1837" s="2" t="s">
        <v>101</v>
      </c>
      <c r="K1837">
        <v>1.33</v>
      </c>
      <c r="L1837">
        <v>14218681.01</v>
      </c>
      <c r="M1837">
        <v>1069073760.15</v>
      </c>
      <c r="N1837" s="2" t="s">
        <v>102</v>
      </c>
      <c r="O1837" s="2" t="s">
        <v>103</v>
      </c>
      <c r="P1837" s="2" t="s">
        <v>2105</v>
      </c>
      <c r="Q1837" s="2" t="s">
        <v>3471</v>
      </c>
      <c r="R1837" s="2" t="s">
        <v>29</v>
      </c>
      <c r="S1837" s="2" t="s">
        <v>30</v>
      </c>
    </row>
    <row r="1838" spans="1:19">
      <c r="A1838" s="1">
        <v>44743</v>
      </c>
      <c r="B1838" s="1">
        <v>44743</v>
      </c>
      <c r="C1838">
        <v>2022</v>
      </c>
      <c r="D1838">
        <v>7</v>
      </c>
      <c r="E1838" s="2" t="s">
        <v>106</v>
      </c>
      <c r="F1838" s="2" t="s">
        <v>107</v>
      </c>
      <c r="G1838" s="2" t="s">
        <v>80</v>
      </c>
      <c r="H1838" s="2" t="s">
        <v>81</v>
      </c>
      <c r="I1838" s="2" t="s">
        <v>82</v>
      </c>
      <c r="J1838" s="2" t="s">
        <v>24</v>
      </c>
      <c r="K1838">
        <v>0.28000000000000003</v>
      </c>
      <c r="L1838">
        <v>7603406.6500000004</v>
      </c>
      <c r="M1838">
        <v>2715502375</v>
      </c>
      <c r="N1838" s="2" t="s">
        <v>108</v>
      </c>
      <c r="O1838" s="2" t="s">
        <v>109</v>
      </c>
      <c r="P1838" s="2" t="s">
        <v>2910</v>
      </c>
      <c r="Q1838" s="2" t="s">
        <v>3472</v>
      </c>
      <c r="R1838" s="2" t="s">
        <v>29</v>
      </c>
      <c r="S1838" s="2" t="s">
        <v>30</v>
      </c>
    </row>
    <row r="1839" spans="1:19">
      <c r="A1839" s="1">
        <v>44743</v>
      </c>
      <c r="B1839" s="1">
        <v>44743</v>
      </c>
      <c r="C1839">
        <v>2022</v>
      </c>
      <c r="D1839">
        <v>7</v>
      </c>
      <c r="E1839" s="2" t="s">
        <v>111</v>
      </c>
      <c r="F1839" s="2" t="s">
        <v>112</v>
      </c>
      <c r="G1839" s="2" t="s">
        <v>80</v>
      </c>
      <c r="H1839" s="2" t="s">
        <v>81</v>
      </c>
      <c r="I1839" s="2" t="s">
        <v>82</v>
      </c>
      <c r="J1839" s="2" t="s">
        <v>24</v>
      </c>
      <c r="K1839">
        <v>0.13</v>
      </c>
      <c r="L1839">
        <v>634635</v>
      </c>
      <c r="M1839">
        <v>488180769.23000002</v>
      </c>
      <c r="N1839" s="2" t="s">
        <v>113</v>
      </c>
      <c r="O1839" s="2" t="s">
        <v>114</v>
      </c>
      <c r="P1839" s="2" t="s">
        <v>3378</v>
      </c>
      <c r="Q1839" s="2" t="s">
        <v>3473</v>
      </c>
      <c r="R1839" s="2" t="s">
        <v>29</v>
      </c>
      <c r="S1839" s="2" t="s">
        <v>30</v>
      </c>
    </row>
    <row r="1840" spans="1:19">
      <c r="A1840" s="1">
        <v>44743</v>
      </c>
      <c r="B1840" s="1">
        <v>44743</v>
      </c>
      <c r="C1840">
        <v>2022</v>
      </c>
      <c r="D1840">
        <v>7</v>
      </c>
      <c r="E1840" s="2" t="s">
        <v>117</v>
      </c>
      <c r="F1840" s="2" t="s">
        <v>118</v>
      </c>
      <c r="G1840" s="2" t="s">
        <v>80</v>
      </c>
      <c r="H1840" s="2" t="s">
        <v>81</v>
      </c>
      <c r="I1840" s="2" t="s">
        <v>82</v>
      </c>
      <c r="J1840" s="2" t="s">
        <v>59</v>
      </c>
      <c r="K1840">
        <v>3.39</v>
      </c>
      <c r="L1840">
        <v>21126043.98</v>
      </c>
      <c r="M1840">
        <v>623187138.04999995</v>
      </c>
      <c r="N1840" s="2" t="s">
        <v>119</v>
      </c>
      <c r="O1840" s="2" t="s">
        <v>120</v>
      </c>
      <c r="P1840" s="2" t="s">
        <v>3474</v>
      </c>
      <c r="Q1840" s="2" t="s">
        <v>3475</v>
      </c>
      <c r="R1840" s="2" t="s">
        <v>29</v>
      </c>
      <c r="S1840" s="2" t="s">
        <v>30</v>
      </c>
    </row>
    <row r="1841" spans="1:19">
      <c r="A1841" s="1">
        <v>44743</v>
      </c>
      <c r="B1841" s="1">
        <v>44743</v>
      </c>
      <c r="C1841">
        <v>2022</v>
      </c>
      <c r="D1841">
        <v>7</v>
      </c>
      <c r="E1841" s="2" t="s">
        <v>123</v>
      </c>
      <c r="F1841" s="2" t="s">
        <v>124</v>
      </c>
      <c r="G1841" s="2" t="s">
        <v>21</v>
      </c>
      <c r="H1841" s="2" t="s">
        <v>22</v>
      </c>
      <c r="I1841" s="2" t="s">
        <v>73</v>
      </c>
      <c r="J1841" s="2" t="s">
        <v>24</v>
      </c>
      <c r="K1841">
        <v>1127.6400000000001</v>
      </c>
      <c r="L1841">
        <v>74089.11</v>
      </c>
      <c r="M1841">
        <v>6570.28</v>
      </c>
      <c r="N1841" s="2" t="s">
        <v>125</v>
      </c>
      <c r="O1841" s="2" t="s">
        <v>126</v>
      </c>
      <c r="P1841" s="2" t="s">
        <v>3476</v>
      </c>
      <c r="Q1841" s="2" t="s">
        <v>3477</v>
      </c>
      <c r="R1841" s="2" t="s">
        <v>29</v>
      </c>
      <c r="S1841" s="2" t="s">
        <v>30</v>
      </c>
    </row>
    <row r="1842" spans="1:19">
      <c r="A1842" s="1">
        <v>44743</v>
      </c>
      <c r="B1842" s="1">
        <v>44743</v>
      </c>
      <c r="C1842">
        <v>2022</v>
      </c>
      <c r="D1842">
        <v>7</v>
      </c>
      <c r="E1842" s="2" t="s">
        <v>129</v>
      </c>
      <c r="F1842" s="2" t="s">
        <v>130</v>
      </c>
      <c r="G1842" s="2" t="s">
        <v>21</v>
      </c>
      <c r="H1842" s="2" t="s">
        <v>22</v>
      </c>
      <c r="I1842" s="2" t="s">
        <v>73</v>
      </c>
      <c r="J1842" s="2" t="s">
        <v>24</v>
      </c>
      <c r="K1842">
        <v>1220.69</v>
      </c>
      <c r="L1842">
        <v>41766.620000000003</v>
      </c>
      <c r="M1842">
        <v>3421.56</v>
      </c>
      <c r="N1842" s="2" t="s">
        <v>131</v>
      </c>
      <c r="O1842" s="2" t="s">
        <v>132</v>
      </c>
      <c r="P1842" s="2" t="s">
        <v>3478</v>
      </c>
      <c r="Q1842" s="2" t="s">
        <v>3479</v>
      </c>
      <c r="R1842" s="2" t="s">
        <v>29</v>
      </c>
      <c r="S1842" s="2" t="s">
        <v>30</v>
      </c>
    </row>
    <row r="1843" spans="1:19">
      <c r="A1843" s="1">
        <v>44743</v>
      </c>
      <c r="B1843" s="1">
        <v>44743</v>
      </c>
      <c r="C1843">
        <v>2022</v>
      </c>
      <c r="D1843">
        <v>7</v>
      </c>
      <c r="E1843" s="2" t="s">
        <v>135</v>
      </c>
      <c r="F1843" s="2" t="s">
        <v>136</v>
      </c>
      <c r="G1843" s="2" t="s">
        <v>21</v>
      </c>
      <c r="H1843" s="2" t="s">
        <v>22</v>
      </c>
      <c r="I1843" s="2" t="s">
        <v>73</v>
      </c>
      <c r="J1843" s="2" t="s">
        <v>101</v>
      </c>
      <c r="K1843">
        <v>2348.34</v>
      </c>
      <c r="L1843">
        <v>115855.73</v>
      </c>
      <c r="M1843">
        <v>4933.5200000000004</v>
      </c>
      <c r="N1843" s="2" t="s">
        <v>137</v>
      </c>
      <c r="O1843" s="2" t="s">
        <v>138</v>
      </c>
      <c r="P1843" s="2" t="s">
        <v>3480</v>
      </c>
      <c r="Q1843" s="2" t="s">
        <v>3481</v>
      </c>
      <c r="R1843" s="2" t="s">
        <v>29</v>
      </c>
      <c r="S1843" s="2" t="s">
        <v>30</v>
      </c>
    </row>
    <row r="1844" spans="1:19">
      <c r="A1844" s="1">
        <v>44743</v>
      </c>
      <c r="B1844" s="1">
        <v>44743</v>
      </c>
      <c r="C1844">
        <v>2022</v>
      </c>
      <c r="D1844">
        <v>7</v>
      </c>
      <c r="E1844" s="2" t="s">
        <v>141</v>
      </c>
      <c r="F1844" s="2" t="s">
        <v>142</v>
      </c>
      <c r="G1844" s="2" t="s">
        <v>21</v>
      </c>
      <c r="H1844" s="2" t="s">
        <v>22</v>
      </c>
      <c r="I1844" s="2" t="s">
        <v>73</v>
      </c>
      <c r="J1844" s="2" t="s">
        <v>24</v>
      </c>
      <c r="K1844">
        <v>1081.2</v>
      </c>
      <c r="L1844">
        <v>23317.38</v>
      </c>
      <c r="M1844">
        <v>2156.62</v>
      </c>
      <c r="N1844" s="2" t="s">
        <v>143</v>
      </c>
      <c r="O1844" s="2" t="s">
        <v>144</v>
      </c>
      <c r="P1844" s="2" t="s">
        <v>3482</v>
      </c>
      <c r="Q1844" s="2" t="s">
        <v>3483</v>
      </c>
      <c r="R1844" s="2" t="s">
        <v>29</v>
      </c>
      <c r="S1844" s="2" t="s">
        <v>30</v>
      </c>
    </row>
    <row r="1845" spans="1:19">
      <c r="A1845" s="1">
        <v>44743</v>
      </c>
      <c r="B1845" s="1">
        <v>44743</v>
      </c>
      <c r="C1845">
        <v>2022</v>
      </c>
      <c r="D1845">
        <v>7</v>
      </c>
      <c r="E1845" s="2" t="s">
        <v>147</v>
      </c>
      <c r="F1845" s="2" t="s">
        <v>148</v>
      </c>
      <c r="G1845" s="2" t="s">
        <v>21</v>
      </c>
      <c r="H1845" s="2" t="s">
        <v>22</v>
      </c>
      <c r="I1845" s="2" t="s">
        <v>73</v>
      </c>
      <c r="J1845" s="2" t="s">
        <v>24</v>
      </c>
      <c r="K1845">
        <v>2052.2600000000002</v>
      </c>
      <c r="L1845">
        <v>41197.589999999997</v>
      </c>
      <c r="M1845">
        <v>2007.43</v>
      </c>
      <c r="N1845" s="2" t="s">
        <v>149</v>
      </c>
      <c r="O1845" s="2" t="s">
        <v>150</v>
      </c>
      <c r="P1845" s="2" t="s">
        <v>3484</v>
      </c>
      <c r="Q1845" s="2" t="s">
        <v>3485</v>
      </c>
      <c r="R1845" s="2" t="s">
        <v>29</v>
      </c>
      <c r="S1845" s="2" t="s">
        <v>30</v>
      </c>
    </row>
    <row r="1846" spans="1:19">
      <c r="A1846" s="1">
        <v>44743</v>
      </c>
      <c r="B1846" s="1">
        <v>44743</v>
      </c>
      <c r="C1846">
        <v>2022</v>
      </c>
      <c r="D1846">
        <v>7</v>
      </c>
      <c r="E1846" s="2" t="s">
        <v>153</v>
      </c>
      <c r="F1846" s="2" t="s">
        <v>154</v>
      </c>
      <c r="G1846" s="2" t="s">
        <v>21</v>
      </c>
      <c r="H1846" s="2" t="s">
        <v>22</v>
      </c>
      <c r="I1846" s="2" t="s">
        <v>73</v>
      </c>
      <c r="J1846" s="2" t="s">
        <v>101</v>
      </c>
      <c r="K1846">
        <v>3133.47</v>
      </c>
      <c r="L1846">
        <v>64514.96</v>
      </c>
      <c r="M1846">
        <v>2058.9</v>
      </c>
      <c r="N1846" s="2" t="s">
        <v>155</v>
      </c>
      <c r="O1846" s="2" t="s">
        <v>156</v>
      </c>
      <c r="P1846" s="2" t="s">
        <v>3486</v>
      </c>
      <c r="Q1846" s="2" t="s">
        <v>3487</v>
      </c>
      <c r="R1846" s="2" t="s">
        <v>29</v>
      </c>
      <c r="S1846" s="2" t="s">
        <v>30</v>
      </c>
    </row>
    <row r="1847" spans="1:19">
      <c r="A1847" s="1">
        <v>44743</v>
      </c>
      <c r="B1847" s="1">
        <v>44743</v>
      </c>
      <c r="C1847">
        <v>2022</v>
      </c>
      <c r="D1847">
        <v>7</v>
      </c>
      <c r="E1847" s="2" t="s">
        <v>159</v>
      </c>
      <c r="F1847" s="2" t="s">
        <v>160</v>
      </c>
      <c r="G1847" s="2" t="s">
        <v>21</v>
      </c>
      <c r="H1847" s="2" t="s">
        <v>22</v>
      </c>
      <c r="I1847" s="2" t="s">
        <v>66</v>
      </c>
      <c r="J1847" s="2" t="s">
        <v>59</v>
      </c>
      <c r="K1847">
        <v>1217.97</v>
      </c>
      <c r="L1847">
        <v>100581.21</v>
      </c>
      <c r="M1847">
        <v>8258.1</v>
      </c>
      <c r="N1847" s="2" t="s">
        <v>161</v>
      </c>
      <c r="O1847" s="2" t="s">
        <v>162</v>
      </c>
      <c r="P1847" s="2" t="s">
        <v>3488</v>
      </c>
      <c r="Q1847" s="2" t="s">
        <v>3489</v>
      </c>
      <c r="R1847" s="2" t="s">
        <v>29</v>
      </c>
      <c r="S1847" s="2" t="s">
        <v>30</v>
      </c>
    </row>
    <row r="1848" spans="1:19">
      <c r="A1848" s="1">
        <v>44743</v>
      </c>
      <c r="B1848" s="1">
        <v>44743</v>
      </c>
      <c r="C1848">
        <v>2022</v>
      </c>
      <c r="D1848">
        <v>7</v>
      </c>
      <c r="E1848" s="2" t="s">
        <v>165</v>
      </c>
      <c r="F1848" s="2" t="s">
        <v>166</v>
      </c>
      <c r="G1848" s="2" t="s">
        <v>21</v>
      </c>
      <c r="H1848" s="2" t="s">
        <v>22</v>
      </c>
      <c r="I1848" s="2" t="s">
        <v>23</v>
      </c>
      <c r="J1848" s="2" t="s">
        <v>24</v>
      </c>
      <c r="N1848" s="2" t="s">
        <v>167</v>
      </c>
      <c r="O1848" s="2" t="s">
        <v>168</v>
      </c>
      <c r="P1848" s="2" t="s">
        <v>175</v>
      </c>
      <c r="Q1848" s="2" t="s">
        <v>175</v>
      </c>
      <c r="R1848" s="2" t="s">
        <v>640</v>
      </c>
      <c r="S1848" s="2" t="s">
        <v>641</v>
      </c>
    </row>
    <row r="1849" spans="1:19">
      <c r="A1849" s="1">
        <v>44743</v>
      </c>
      <c r="B1849" s="1">
        <v>44743</v>
      </c>
      <c r="C1849">
        <v>2022</v>
      </c>
      <c r="D1849">
        <v>7</v>
      </c>
      <c r="E1849" s="2" t="s">
        <v>171</v>
      </c>
      <c r="F1849" s="2" t="s">
        <v>172</v>
      </c>
      <c r="G1849" s="2" t="s">
        <v>21</v>
      </c>
      <c r="H1849" s="2" t="s">
        <v>22</v>
      </c>
      <c r="I1849" s="2" t="s">
        <v>66</v>
      </c>
      <c r="J1849" s="2" t="s">
        <v>24</v>
      </c>
      <c r="N1849" s="2" t="s">
        <v>173</v>
      </c>
      <c r="O1849" s="2" t="s">
        <v>174</v>
      </c>
      <c r="P1849" s="2" t="s">
        <v>175</v>
      </c>
      <c r="Q1849" s="2" t="s">
        <v>175</v>
      </c>
      <c r="R1849" s="2" t="s">
        <v>640</v>
      </c>
      <c r="S1849" s="2" t="s">
        <v>641</v>
      </c>
    </row>
    <row r="1850" spans="1:19">
      <c r="A1850" s="1">
        <v>44743</v>
      </c>
      <c r="B1850" s="1">
        <v>44743</v>
      </c>
      <c r="C1850">
        <v>2022</v>
      </c>
      <c r="D1850">
        <v>7</v>
      </c>
      <c r="E1850" s="2" t="s">
        <v>177</v>
      </c>
      <c r="F1850" s="2" t="s">
        <v>178</v>
      </c>
      <c r="G1850" s="2" t="s">
        <v>21</v>
      </c>
      <c r="H1850" s="2" t="s">
        <v>22</v>
      </c>
      <c r="I1850" s="2" t="s">
        <v>23</v>
      </c>
      <c r="J1850" s="2" t="s">
        <v>24</v>
      </c>
      <c r="K1850">
        <v>4608.3</v>
      </c>
      <c r="L1850">
        <v>444540.95</v>
      </c>
      <c r="M1850">
        <v>9646.5300000000007</v>
      </c>
      <c r="N1850" s="2" t="s">
        <v>179</v>
      </c>
      <c r="O1850" s="2" t="s">
        <v>180</v>
      </c>
      <c r="P1850" s="2" t="s">
        <v>3490</v>
      </c>
      <c r="Q1850" s="2" t="s">
        <v>3491</v>
      </c>
      <c r="R1850" s="2" t="s">
        <v>29</v>
      </c>
      <c r="S1850" s="2" t="s">
        <v>30</v>
      </c>
    </row>
    <row r="1851" spans="1:19">
      <c r="A1851" s="1">
        <v>44743</v>
      </c>
      <c r="B1851" s="1">
        <v>44743</v>
      </c>
      <c r="C1851">
        <v>2022</v>
      </c>
      <c r="D1851">
        <v>7</v>
      </c>
      <c r="E1851" s="2" t="s">
        <v>183</v>
      </c>
      <c r="F1851" s="2" t="s">
        <v>184</v>
      </c>
      <c r="G1851" s="2" t="s">
        <v>185</v>
      </c>
      <c r="H1851" s="2" t="s">
        <v>22</v>
      </c>
      <c r="I1851" s="2" t="s">
        <v>186</v>
      </c>
      <c r="J1851" s="2" t="s">
        <v>24</v>
      </c>
      <c r="K1851">
        <v>2821.73</v>
      </c>
      <c r="L1851">
        <v>2936599.36</v>
      </c>
      <c r="M1851">
        <v>104070.88</v>
      </c>
      <c r="N1851" s="2" t="s">
        <v>187</v>
      </c>
      <c r="O1851" s="2" t="s">
        <v>188</v>
      </c>
      <c r="P1851" s="2" t="s">
        <v>3492</v>
      </c>
      <c r="Q1851" s="2" t="s">
        <v>3493</v>
      </c>
      <c r="R1851" s="2" t="s">
        <v>29</v>
      </c>
      <c r="S1851" s="2" t="s">
        <v>30</v>
      </c>
    </row>
    <row r="1852" spans="1:19">
      <c r="A1852" s="1">
        <v>44743</v>
      </c>
      <c r="B1852" s="1">
        <v>44743</v>
      </c>
      <c r="C1852">
        <v>2022</v>
      </c>
      <c r="D1852">
        <v>7</v>
      </c>
      <c r="E1852" s="2" t="s">
        <v>191</v>
      </c>
      <c r="F1852" s="2" t="s">
        <v>192</v>
      </c>
      <c r="G1852" s="2" t="s">
        <v>185</v>
      </c>
      <c r="H1852" s="2" t="s">
        <v>22</v>
      </c>
      <c r="I1852" s="2" t="s">
        <v>186</v>
      </c>
      <c r="J1852" s="2" t="s">
        <v>24</v>
      </c>
      <c r="K1852">
        <v>934.78</v>
      </c>
      <c r="L1852">
        <v>4450728.8899999997</v>
      </c>
      <c r="M1852">
        <v>476125.81</v>
      </c>
      <c r="N1852" s="2" t="s">
        <v>193</v>
      </c>
      <c r="O1852" s="2" t="s">
        <v>194</v>
      </c>
      <c r="P1852" s="2" t="s">
        <v>3494</v>
      </c>
      <c r="Q1852" s="2" t="s">
        <v>3495</v>
      </c>
      <c r="R1852" s="2" t="s">
        <v>29</v>
      </c>
      <c r="S1852" s="2" t="s">
        <v>30</v>
      </c>
    </row>
    <row r="1853" spans="1:19">
      <c r="A1853" s="1">
        <v>44743</v>
      </c>
      <c r="B1853" s="1">
        <v>44743</v>
      </c>
      <c r="C1853">
        <v>2022</v>
      </c>
      <c r="D1853">
        <v>7</v>
      </c>
      <c r="E1853" s="2" t="s">
        <v>197</v>
      </c>
      <c r="F1853" s="2" t="s">
        <v>198</v>
      </c>
      <c r="G1853" s="2" t="s">
        <v>185</v>
      </c>
      <c r="H1853" s="2" t="s">
        <v>22</v>
      </c>
      <c r="I1853" s="2" t="s">
        <v>186</v>
      </c>
      <c r="J1853" s="2" t="s">
        <v>59</v>
      </c>
      <c r="K1853">
        <v>3756.52</v>
      </c>
      <c r="L1853">
        <v>7387328.25</v>
      </c>
      <c r="M1853">
        <v>196653.51</v>
      </c>
      <c r="N1853" s="2" t="s">
        <v>199</v>
      </c>
      <c r="O1853" s="2" t="s">
        <v>200</v>
      </c>
      <c r="P1853" s="2" t="s">
        <v>3496</v>
      </c>
      <c r="Q1853" s="2" t="s">
        <v>3497</v>
      </c>
      <c r="R1853" s="2" t="s">
        <v>29</v>
      </c>
      <c r="S1853" s="2" t="s">
        <v>30</v>
      </c>
    </row>
    <row r="1854" spans="1:19">
      <c r="A1854" s="1">
        <v>44743</v>
      </c>
      <c r="B1854" s="1">
        <v>44743</v>
      </c>
      <c r="C1854">
        <v>2022</v>
      </c>
      <c r="D1854">
        <v>7</v>
      </c>
      <c r="E1854" s="2" t="s">
        <v>203</v>
      </c>
      <c r="F1854" s="2" t="s">
        <v>204</v>
      </c>
      <c r="G1854" s="2" t="s">
        <v>39</v>
      </c>
      <c r="H1854" s="2" t="s">
        <v>22</v>
      </c>
      <c r="I1854" s="2" t="s">
        <v>40</v>
      </c>
      <c r="J1854" s="2" t="s">
        <v>24</v>
      </c>
      <c r="K1854">
        <v>1082.22</v>
      </c>
      <c r="L1854">
        <v>29517.48</v>
      </c>
      <c r="M1854">
        <v>2727.49</v>
      </c>
      <c r="N1854" s="2" t="s">
        <v>205</v>
      </c>
      <c r="O1854" s="2" t="s">
        <v>206</v>
      </c>
      <c r="P1854" s="2" t="s">
        <v>3498</v>
      </c>
      <c r="Q1854" s="2" t="s">
        <v>3499</v>
      </c>
      <c r="R1854" s="2" t="s">
        <v>29</v>
      </c>
      <c r="S1854" s="2" t="s">
        <v>30</v>
      </c>
    </row>
    <row r="1855" spans="1:19">
      <c r="A1855" s="1">
        <v>44743</v>
      </c>
      <c r="B1855" s="1">
        <v>44743</v>
      </c>
      <c r="C1855">
        <v>2022</v>
      </c>
      <c r="D1855">
        <v>7</v>
      </c>
      <c r="E1855" s="2" t="s">
        <v>209</v>
      </c>
      <c r="F1855" s="2" t="s">
        <v>210</v>
      </c>
      <c r="G1855" s="2" t="s">
        <v>39</v>
      </c>
      <c r="H1855" s="2" t="s">
        <v>22</v>
      </c>
      <c r="I1855" s="2" t="s">
        <v>40</v>
      </c>
      <c r="J1855" s="2" t="s">
        <v>59</v>
      </c>
      <c r="K1855">
        <v>1082.22</v>
      </c>
      <c r="L1855">
        <v>29517.48</v>
      </c>
      <c r="M1855">
        <v>2727.49</v>
      </c>
      <c r="N1855" s="2" t="s">
        <v>211</v>
      </c>
      <c r="O1855" s="2" t="s">
        <v>212</v>
      </c>
      <c r="P1855" s="2" t="s">
        <v>3498</v>
      </c>
      <c r="Q1855" s="2" t="s">
        <v>3499</v>
      </c>
      <c r="R1855" s="2" t="s">
        <v>29</v>
      </c>
      <c r="S1855" s="2" t="s">
        <v>30</v>
      </c>
    </row>
    <row r="1856" spans="1:19">
      <c r="A1856" s="1">
        <v>44743</v>
      </c>
      <c r="B1856" s="1">
        <v>44743</v>
      </c>
      <c r="C1856">
        <v>2022</v>
      </c>
      <c r="D1856">
        <v>7</v>
      </c>
      <c r="E1856" s="2" t="s">
        <v>213</v>
      </c>
      <c r="F1856" s="2" t="s">
        <v>214</v>
      </c>
      <c r="G1856" s="2" t="s">
        <v>185</v>
      </c>
      <c r="H1856" s="2" t="s">
        <v>22</v>
      </c>
      <c r="I1856" s="2" t="s">
        <v>215</v>
      </c>
      <c r="J1856" s="2" t="s">
        <v>24</v>
      </c>
      <c r="K1856">
        <v>56535.55</v>
      </c>
      <c r="L1856">
        <v>1375576.84</v>
      </c>
      <c r="M1856">
        <v>2433.12</v>
      </c>
      <c r="N1856" s="2" t="s">
        <v>216</v>
      </c>
      <c r="O1856" s="2" t="s">
        <v>217</v>
      </c>
      <c r="P1856" s="2" t="s">
        <v>3500</v>
      </c>
      <c r="Q1856" s="2" t="s">
        <v>3501</v>
      </c>
      <c r="R1856" s="2" t="s">
        <v>29</v>
      </c>
      <c r="S1856" s="2" t="s">
        <v>30</v>
      </c>
    </row>
    <row r="1857" spans="1:19">
      <c r="A1857" s="1">
        <v>44743</v>
      </c>
      <c r="B1857" s="1">
        <v>44743</v>
      </c>
      <c r="C1857">
        <v>2022</v>
      </c>
      <c r="D1857">
        <v>7</v>
      </c>
      <c r="E1857" s="2" t="s">
        <v>220</v>
      </c>
      <c r="F1857" s="2" t="s">
        <v>221</v>
      </c>
      <c r="G1857" s="2" t="s">
        <v>185</v>
      </c>
      <c r="H1857" s="2" t="s">
        <v>22</v>
      </c>
      <c r="I1857" s="2" t="s">
        <v>215</v>
      </c>
      <c r="J1857" s="2" t="s">
        <v>24</v>
      </c>
      <c r="K1857">
        <v>4902.43</v>
      </c>
      <c r="L1857">
        <v>324002.67</v>
      </c>
      <c r="M1857">
        <v>6609.02</v>
      </c>
      <c r="N1857" s="2" t="s">
        <v>222</v>
      </c>
      <c r="O1857" s="2" t="s">
        <v>223</v>
      </c>
      <c r="P1857" s="2" t="s">
        <v>3502</v>
      </c>
      <c r="Q1857" s="2" t="s">
        <v>3503</v>
      </c>
      <c r="R1857" s="2" t="s">
        <v>29</v>
      </c>
      <c r="S1857" s="2" t="s">
        <v>30</v>
      </c>
    </row>
    <row r="1858" spans="1:19">
      <c r="A1858" s="1">
        <v>44743</v>
      </c>
      <c r="B1858" s="1">
        <v>44743</v>
      </c>
      <c r="C1858">
        <v>2022</v>
      </c>
      <c r="D1858">
        <v>7</v>
      </c>
      <c r="E1858" s="2" t="s">
        <v>226</v>
      </c>
      <c r="F1858" s="2" t="s">
        <v>227</v>
      </c>
      <c r="G1858" s="2" t="s">
        <v>185</v>
      </c>
      <c r="H1858" s="2" t="s">
        <v>22</v>
      </c>
      <c r="I1858" s="2" t="s">
        <v>215</v>
      </c>
      <c r="J1858" s="2" t="s">
        <v>59</v>
      </c>
      <c r="K1858">
        <v>61437.98</v>
      </c>
      <c r="L1858">
        <v>1699579.51</v>
      </c>
      <c r="M1858">
        <v>2766.33</v>
      </c>
      <c r="N1858" s="2" t="s">
        <v>228</v>
      </c>
      <c r="O1858" s="2" t="s">
        <v>229</v>
      </c>
      <c r="P1858" s="2" t="s">
        <v>3504</v>
      </c>
      <c r="Q1858" s="2" t="s">
        <v>3505</v>
      </c>
      <c r="R1858" s="2" t="s">
        <v>29</v>
      </c>
      <c r="S1858" s="2" t="s">
        <v>30</v>
      </c>
    </row>
    <row r="1859" spans="1:19">
      <c r="A1859" s="1">
        <v>44743</v>
      </c>
      <c r="B1859" s="1">
        <v>44743</v>
      </c>
      <c r="C1859">
        <v>2022</v>
      </c>
      <c r="D1859">
        <v>7</v>
      </c>
      <c r="E1859" s="2" t="s">
        <v>232</v>
      </c>
      <c r="F1859" s="2" t="s">
        <v>233</v>
      </c>
      <c r="G1859" s="2" t="s">
        <v>21</v>
      </c>
      <c r="H1859" s="2" t="s">
        <v>22</v>
      </c>
      <c r="I1859" s="2" t="s">
        <v>23</v>
      </c>
      <c r="J1859" s="2" t="s">
        <v>24</v>
      </c>
      <c r="K1859">
        <v>1892.88</v>
      </c>
      <c r="L1859">
        <v>119676.76</v>
      </c>
      <c r="M1859">
        <v>6322.47</v>
      </c>
      <c r="N1859" s="2" t="s">
        <v>234</v>
      </c>
      <c r="O1859" s="2" t="s">
        <v>235</v>
      </c>
      <c r="P1859" s="2" t="s">
        <v>3506</v>
      </c>
      <c r="Q1859" s="2" t="s">
        <v>3507</v>
      </c>
      <c r="R1859" s="2" t="s">
        <v>29</v>
      </c>
      <c r="S1859" s="2" t="s">
        <v>30</v>
      </c>
    </row>
    <row r="1860" spans="1:19">
      <c r="A1860" s="1">
        <v>44743</v>
      </c>
      <c r="B1860" s="1">
        <v>44743</v>
      </c>
      <c r="C1860">
        <v>2022</v>
      </c>
      <c r="D1860">
        <v>7</v>
      </c>
      <c r="E1860" s="2" t="s">
        <v>238</v>
      </c>
      <c r="F1860" s="2" t="s">
        <v>239</v>
      </c>
      <c r="G1860" s="2" t="s">
        <v>21</v>
      </c>
      <c r="H1860" s="2" t="s">
        <v>22</v>
      </c>
      <c r="I1860" s="2" t="s">
        <v>66</v>
      </c>
      <c r="J1860" s="2" t="s">
        <v>24</v>
      </c>
      <c r="K1860">
        <v>1067.05</v>
      </c>
      <c r="L1860">
        <v>99753.52</v>
      </c>
      <c r="M1860">
        <v>9348.5300000000007</v>
      </c>
      <c r="N1860" s="2" t="s">
        <v>240</v>
      </c>
      <c r="O1860" s="2" t="s">
        <v>241</v>
      </c>
      <c r="P1860" s="2" t="s">
        <v>3508</v>
      </c>
      <c r="Q1860" s="2" t="s">
        <v>3509</v>
      </c>
      <c r="R1860" s="2" t="s">
        <v>29</v>
      </c>
      <c r="S1860" s="2" t="s">
        <v>30</v>
      </c>
    </row>
    <row r="1861" spans="1:19">
      <c r="A1861" s="1">
        <v>44743</v>
      </c>
      <c r="B1861" s="1">
        <v>44743</v>
      </c>
      <c r="C1861">
        <v>2022</v>
      </c>
      <c r="D1861">
        <v>7</v>
      </c>
      <c r="E1861" s="2" t="s">
        <v>244</v>
      </c>
      <c r="F1861" s="2" t="s">
        <v>245</v>
      </c>
      <c r="G1861" s="2" t="s">
        <v>21</v>
      </c>
      <c r="H1861" s="2" t="s">
        <v>22</v>
      </c>
      <c r="I1861" s="2" t="s">
        <v>23</v>
      </c>
      <c r="J1861" s="2" t="s">
        <v>24</v>
      </c>
      <c r="K1861">
        <v>4018.39</v>
      </c>
      <c r="L1861">
        <v>2627353.96</v>
      </c>
      <c r="M1861">
        <v>65383.25</v>
      </c>
      <c r="N1861" s="2" t="s">
        <v>246</v>
      </c>
      <c r="O1861" s="2" t="s">
        <v>247</v>
      </c>
      <c r="P1861" s="2" t="s">
        <v>3510</v>
      </c>
      <c r="Q1861" s="2" t="s">
        <v>3511</v>
      </c>
      <c r="R1861" s="2" t="s">
        <v>29</v>
      </c>
      <c r="S1861" s="2" t="s">
        <v>30</v>
      </c>
    </row>
    <row r="1862" spans="1:19">
      <c r="A1862" s="1">
        <v>44743</v>
      </c>
      <c r="B1862" s="1">
        <v>44743</v>
      </c>
      <c r="C1862">
        <v>2022</v>
      </c>
      <c r="D1862">
        <v>7</v>
      </c>
      <c r="E1862" s="2" t="s">
        <v>250</v>
      </c>
      <c r="F1862" s="2" t="s">
        <v>251</v>
      </c>
      <c r="G1862" s="2" t="s">
        <v>21</v>
      </c>
      <c r="H1862" s="2" t="s">
        <v>22</v>
      </c>
      <c r="I1862" s="2" t="s">
        <v>66</v>
      </c>
      <c r="J1862" s="2" t="s">
        <v>24</v>
      </c>
      <c r="K1862">
        <v>129.66</v>
      </c>
      <c r="L1862">
        <v>207.17</v>
      </c>
      <c r="M1862">
        <v>159.78</v>
      </c>
      <c r="N1862" s="2" t="s">
        <v>252</v>
      </c>
      <c r="O1862" s="2" t="s">
        <v>253</v>
      </c>
      <c r="P1862" s="2" t="s">
        <v>3512</v>
      </c>
      <c r="Q1862" s="2" t="s">
        <v>3513</v>
      </c>
      <c r="R1862" s="2" t="s">
        <v>29</v>
      </c>
      <c r="S1862" s="2" t="s">
        <v>30</v>
      </c>
    </row>
    <row r="1863" spans="1:19">
      <c r="A1863" s="1">
        <v>44743</v>
      </c>
      <c r="B1863" s="1">
        <v>44743</v>
      </c>
      <c r="C1863">
        <v>2022</v>
      </c>
      <c r="D1863">
        <v>7</v>
      </c>
      <c r="E1863" s="2" t="s">
        <v>256</v>
      </c>
      <c r="F1863" s="2" t="s">
        <v>257</v>
      </c>
      <c r="G1863" s="2" t="s">
        <v>21</v>
      </c>
      <c r="H1863" s="2" t="s">
        <v>22</v>
      </c>
      <c r="I1863" s="2" t="s">
        <v>258</v>
      </c>
      <c r="J1863" s="2" t="s">
        <v>24</v>
      </c>
      <c r="K1863">
        <v>588.66999999999996</v>
      </c>
      <c r="L1863">
        <v>579380.82999999996</v>
      </c>
      <c r="M1863">
        <v>98422.01</v>
      </c>
      <c r="N1863" s="2" t="s">
        <v>259</v>
      </c>
      <c r="O1863" s="2" t="s">
        <v>260</v>
      </c>
      <c r="P1863" s="2" t="s">
        <v>3514</v>
      </c>
      <c r="Q1863" s="2" t="s">
        <v>3515</v>
      </c>
      <c r="R1863" s="2" t="s">
        <v>29</v>
      </c>
      <c r="S1863" s="2" t="s">
        <v>30</v>
      </c>
    </row>
    <row r="1864" spans="1:19">
      <c r="A1864" s="1">
        <v>44743</v>
      </c>
      <c r="B1864" s="1">
        <v>44743</v>
      </c>
      <c r="C1864">
        <v>2022</v>
      </c>
      <c r="D1864">
        <v>7</v>
      </c>
      <c r="E1864" s="2" t="s">
        <v>263</v>
      </c>
      <c r="F1864" s="2" t="s">
        <v>264</v>
      </c>
      <c r="G1864" s="2" t="s">
        <v>21</v>
      </c>
      <c r="H1864" s="2" t="s">
        <v>22</v>
      </c>
      <c r="I1864" s="2" t="s">
        <v>258</v>
      </c>
      <c r="J1864" s="2" t="s">
        <v>24</v>
      </c>
      <c r="K1864">
        <v>0</v>
      </c>
      <c r="L1864">
        <v>0</v>
      </c>
      <c r="N1864" s="2" t="s">
        <v>265</v>
      </c>
      <c r="O1864" s="2" t="s">
        <v>266</v>
      </c>
      <c r="P1864" s="2" t="s">
        <v>639</v>
      </c>
      <c r="Q1864" s="2" t="s">
        <v>639</v>
      </c>
      <c r="R1864" s="2" t="s">
        <v>29</v>
      </c>
      <c r="S1864" s="2" t="s">
        <v>30</v>
      </c>
    </row>
    <row r="1865" spans="1:19">
      <c r="A1865" s="1">
        <v>44743</v>
      </c>
      <c r="B1865" s="1">
        <v>44743</v>
      </c>
      <c r="C1865">
        <v>2022</v>
      </c>
      <c r="D1865">
        <v>7</v>
      </c>
      <c r="E1865" s="2" t="s">
        <v>269</v>
      </c>
      <c r="F1865" s="2" t="s">
        <v>270</v>
      </c>
      <c r="G1865" s="2" t="s">
        <v>21</v>
      </c>
      <c r="H1865" s="2" t="s">
        <v>22</v>
      </c>
      <c r="I1865" s="2" t="s">
        <v>258</v>
      </c>
      <c r="J1865" s="2" t="s">
        <v>59</v>
      </c>
      <c r="K1865">
        <v>588.66999999999996</v>
      </c>
      <c r="L1865">
        <v>579380.82999999996</v>
      </c>
      <c r="M1865">
        <v>98422.01</v>
      </c>
      <c r="N1865" s="2" t="s">
        <v>271</v>
      </c>
      <c r="O1865" s="2" t="s">
        <v>272</v>
      </c>
      <c r="P1865" s="2" t="s">
        <v>3514</v>
      </c>
      <c r="Q1865" s="2" t="s">
        <v>3515</v>
      </c>
      <c r="R1865" s="2" t="s">
        <v>29</v>
      </c>
      <c r="S1865" s="2" t="s">
        <v>30</v>
      </c>
    </row>
    <row r="1866" spans="1:19">
      <c r="A1866" s="1">
        <v>44743</v>
      </c>
      <c r="B1866" s="1">
        <v>44743</v>
      </c>
      <c r="C1866">
        <v>2022</v>
      </c>
      <c r="D1866">
        <v>7</v>
      </c>
      <c r="E1866" s="2" t="s">
        <v>275</v>
      </c>
      <c r="F1866" s="2" t="s">
        <v>276</v>
      </c>
      <c r="G1866" s="2" t="s">
        <v>39</v>
      </c>
      <c r="H1866" s="2" t="s">
        <v>22</v>
      </c>
      <c r="I1866" s="2" t="s">
        <v>40</v>
      </c>
      <c r="J1866" s="2" t="s">
        <v>24</v>
      </c>
      <c r="K1866">
        <v>2.25</v>
      </c>
      <c r="L1866">
        <v>21.99</v>
      </c>
      <c r="M1866">
        <v>977.33</v>
      </c>
      <c r="N1866" s="2" t="s">
        <v>277</v>
      </c>
      <c r="O1866" s="2" t="s">
        <v>278</v>
      </c>
      <c r="P1866" s="2" t="s">
        <v>3516</v>
      </c>
      <c r="Q1866" s="2" t="s">
        <v>2416</v>
      </c>
      <c r="R1866" s="2" t="s">
        <v>29</v>
      </c>
      <c r="S1866" s="2" t="s">
        <v>30</v>
      </c>
    </row>
    <row r="1867" spans="1:19">
      <c r="A1867" s="1">
        <v>44743</v>
      </c>
      <c r="B1867" s="1">
        <v>44743</v>
      </c>
      <c r="C1867">
        <v>2022</v>
      </c>
      <c r="D1867">
        <v>7</v>
      </c>
      <c r="E1867" s="2" t="s">
        <v>281</v>
      </c>
      <c r="F1867" s="2" t="s">
        <v>282</v>
      </c>
      <c r="G1867" s="2" t="s">
        <v>39</v>
      </c>
      <c r="H1867" s="2" t="s">
        <v>22</v>
      </c>
      <c r="I1867" s="2" t="s">
        <v>40</v>
      </c>
      <c r="J1867" s="2" t="s">
        <v>24</v>
      </c>
      <c r="K1867">
        <v>0.01</v>
      </c>
      <c r="L1867">
        <v>0.09</v>
      </c>
      <c r="M1867">
        <v>900</v>
      </c>
      <c r="N1867" s="2" t="s">
        <v>283</v>
      </c>
      <c r="O1867" s="2" t="s">
        <v>284</v>
      </c>
      <c r="P1867" s="2" t="s">
        <v>832</v>
      </c>
      <c r="Q1867" s="2" t="s">
        <v>534</v>
      </c>
      <c r="R1867" s="2" t="s">
        <v>29</v>
      </c>
      <c r="S1867" s="2" t="s">
        <v>30</v>
      </c>
    </row>
    <row r="1868" spans="1:19">
      <c r="A1868" s="1">
        <v>44743</v>
      </c>
      <c r="B1868" s="1">
        <v>44743</v>
      </c>
      <c r="C1868">
        <v>2022</v>
      </c>
      <c r="D1868">
        <v>7</v>
      </c>
      <c r="E1868" s="2" t="s">
        <v>287</v>
      </c>
      <c r="F1868" s="2" t="s">
        <v>288</v>
      </c>
      <c r="G1868" s="2" t="s">
        <v>39</v>
      </c>
      <c r="H1868" s="2" t="s">
        <v>22</v>
      </c>
      <c r="I1868" s="2" t="s">
        <v>40</v>
      </c>
      <c r="J1868" s="2" t="s">
        <v>59</v>
      </c>
      <c r="K1868">
        <v>2.2599999999999998</v>
      </c>
      <c r="L1868">
        <v>22.07</v>
      </c>
      <c r="M1868">
        <v>976.55</v>
      </c>
      <c r="N1868" s="2" t="s">
        <v>289</v>
      </c>
      <c r="O1868" s="2" t="s">
        <v>290</v>
      </c>
      <c r="P1868" s="2" t="s">
        <v>3517</v>
      </c>
      <c r="Q1868" s="2" t="s">
        <v>3518</v>
      </c>
      <c r="R1868" s="2" t="s">
        <v>29</v>
      </c>
      <c r="S1868" s="2" t="s">
        <v>30</v>
      </c>
    </row>
    <row r="1869" spans="1:19">
      <c r="A1869" s="1">
        <v>44743</v>
      </c>
      <c r="B1869" s="1">
        <v>44743</v>
      </c>
      <c r="C1869">
        <v>2022</v>
      </c>
      <c r="D1869">
        <v>7</v>
      </c>
      <c r="E1869" s="2" t="s">
        <v>293</v>
      </c>
      <c r="F1869" s="2" t="s">
        <v>294</v>
      </c>
      <c r="G1869" s="2" t="s">
        <v>21</v>
      </c>
      <c r="H1869" s="2" t="s">
        <v>22</v>
      </c>
      <c r="I1869" s="2" t="s">
        <v>295</v>
      </c>
      <c r="J1869" s="2" t="s">
        <v>24</v>
      </c>
      <c r="K1869">
        <v>1254.05</v>
      </c>
      <c r="L1869">
        <v>5249.66</v>
      </c>
      <c r="M1869">
        <v>418.62</v>
      </c>
      <c r="N1869" s="2" t="s">
        <v>296</v>
      </c>
      <c r="O1869" s="2" t="s">
        <v>297</v>
      </c>
      <c r="P1869" s="2" t="s">
        <v>3519</v>
      </c>
      <c r="Q1869" s="2" t="s">
        <v>3520</v>
      </c>
      <c r="R1869" s="2" t="s">
        <v>29</v>
      </c>
      <c r="S1869" s="2" t="s">
        <v>30</v>
      </c>
    </row>
    <row r="1870" spans="1:19">
      <c r="A1870" s="1">
        <v>44743</v>
      </c>
      <c r="B1870" s="1">
        <v>44743</v>
      </c>
      <c r="C1870">
        <v>2022</v>
      </c>
      <c r="D1870">
        <v>7</v>
      </c>
      <c r="E1870" s="2" t="s">
        <v>300</v>
      </c>
      <c r="F1870" s="2" t="s">
        <v>301</v>
      </c>
      <c r="G1870" s="2" t="s">
        <v>21</v>
      </c>
      <c r="H1870" s="2" t="s">
        <v>22</v>
      </c>
      <c r="I1870" s="2" t="s">
        <v>295</v>
      </c>
      <c r="J1870" s="2" t="s">
        <v>24</v>
      </c>
      <c r="K1870">
        <v>85.43</v>
      </c>
      <c r="L1870">
        <v>1284.67</v>
      </c>
      <c r="M1870">
        <v>1503.77</v>
      </c>
      <c r="N1870" s="2" t="s">
        <v>302</v>
      </c>
      <c r="O1870" s="2" t="s">
        <v>303</v>
      </c>
      <c r="P1870" s="2" t="s">
        <v>3521</v>
      </c>
      <c r="Q1870" s="2" t="s">
        <v>3522</v>
      </c>
      <c r="R1870" s="2" t="s">
        <v>29</v>
      </c>
      <c r="S1870" s="2" t="s">
        <v>30</v>
      </c>
    </row>
    <row r="1871" spans="1:19">
      <c r="A1871" s="1">
        <v>44743</v>
      </c>
      <c r="B1871" s="1">
        <v>44743</v>
      </c>
      <c r="C1871">
        <v>2022</v>
      </c>
      <c r="D1871">
        <v>7</v>
      </c>
      <c r="E1871" s="2" t="s">
        <v>306</v>
      </c>
      <c r="F1871" s="2" t="s">
        <v>307</v>
      </c>
      <c r="G1871" s="2" t="s">
        <v>21</v>
      </c>
      <c r="H1871" s="2" t="s">
        <v>22</v>
      </c>
      <c r="I1871" s="2" t="s">
        <v>295</v>
      </c>
      <c r="J1871" s="2" t="s">
        <v>101</v>
      </c>
      <c r="K1871">
        <v>1339.48</v>
      </c>
      <c r="L1871">
        <v>6534.32</v>
      </c>
      <c r="M1871">
        <v>487.83</v>
      </c>
      <c r="N1871" s="2" t="s">
        <v>308</v>
      </c>
      <c r="O1871" s="2" t="s">
        <v>309</v>
      </c>
      <c r="P1871" s="2" t="s">
        <v>3523</v>
      </c>
      <c r="Q1871" s="2" t="s">
        <v>3524</v>
      </c>
      <c r="R1871" s="2" t="s">
        <v>29</v>
      </c>
      <c r="S1871" s="2" t="s">
        <v>30</v>
      </c>
    </row>
    <row r="1872" spans="1:19">
      <c r="A1872" s="1">
        <v>44743</v>
      </c>
      <c r="B1872" s="1">
        <v>44743</v>
      </c>
      <c r="C1872">
        <v>2022</v>
      </c>
      <c r="D1872">
        <v>7</v>
      </c>
      <c r="E1872" s="2" t="s">
        <v>312</v>
      </c>
      <c r="F1872" s="2" t="s">
        <v>313</v>
      </c>
      <c r="G1872" s="2" t="s">
        <v>21</v>
      </c>
      <c r="H1872" s="2" t="s">
        <v>22</v>
      </c>
      <c r="I1872" s="2" t="s">
        <v>295</v>
      </c>
      <c r="J1872" s="2" t="s">
        <v>59</v>
      </c>
      <c r="K1872">
        <v>6195.34</v>
      </c>
      <c r="L1872">
        <v>25308.86</v>
      </c>
      <c r="M1872">
        <v>408.51</v>
      </c>
      <c r="N1872" s="2" t="s">
        <v>314</v>
      </c>
      <c r="O1872" s="2" t="s">
        <v>315</v>
      </c>
      <c r="P1872" s="2" t="s">
        <v>3525</v>
      </c>
      <c r="Q1872" s="2" t="s">
        <v>3526</v>
      </c>
      <c r="R1872" s="2" t="s">
        <v>29</v>
      </c>
      <c r="S1872" s="2" t="s">
        <v>30</v>
      </c>
    </row>
    <row r="1873" spans="1:19">
      <c r="A1873" s="1">
        <v>44743</v>
      </c>
      <c r="B1873" s="1">
        <v>44743</v>
      </c>
      <c r="C1873">
        <v>2022</v>
      </c>
      <c r="D1873">
        <v>7</v>
      </c>
      <c r="E1873" s="2" t="s">
        <v>318</v>
      </c>
      <c r="F1873" s="2" t="s">
        <v>319</v>
      </c>
      <c r="G1873" s="2" t="s">
        <v>21</v>
      </c>
      <c r="H1873" s="2" t="s">
        <v>22</v>
      </c>
      <c r="I1873" s="2" t="s">
        <v>295</v>
      </c>
      <c r="J1873" s="2" t="s">
        <v>24</v>
      </c>
      <c r="K1873">
        <v>4855.87</v>
      </c>
      <c r="L1873">
        <v>18774.53</v>
      </c>
      <c r="M1873">
        <v>386.64</v>
      </c>
      <c r="N1873" s="2" t="s">
        <v>320</v>
      </c>
      <c r="O1873" s="2" t="s">
        <v>321</v>
      </c>
      <c r="P1873" s="2" t="s">
        <v>3527</v>
      </c>
      <c r="Q1873" s="2" t="s">
        <v>3528</v>
      </c>
      <c r="R1873" s="2" t="s">
        <v>29</v>
      </c>
      <c r="S1873" s="2" t="s">
        <v>30</v>
      </c>
    </row>
    <row r="1874" spans="1:19">
      <c r="A1874" s="1">
        <v>44743</v>
      </c>
      <c r="B1874" s="1">
        <v>44743</v>
      </c>
      <c r="C1874">
        <v>2022</v>
      </c>
      <c r="D1874">
        <v>7</v>
      </c>
      <c r="E1874" s="2" t="s">
        <v>324</v>
      </c>
      <c r="F1874" s="2" t="s">
        <v>325</v>
      </c>
      <c r="G1874" s="2" t="s">
        <v>21</v>
      </c>
      <c r="H1874" s="2" t="s">
        <v>22</v>
      </c>
      <c r="I1874" s="2" t="s">
        <v>23</v>
      </c>
      <c r="J1874" s="2" t="s">
        <v>59</v>
      </c>
      <c r="K1874">
        <v>74673.64</v>
      </c>
      <c r="L1874">
        <v>4267239.1500000004</v>
      </c>
      <c r="M1874">
        <v>5714.52</v>
      </c>
      <c r="N1874" s="2" t="s">
        <v>326</v>
      </c>
      <c r="O1874" s="2" t="s">
        <v>327</v>
      </c>
      <c r="P1874" s="2" t="s">
        <v>3529</v>
      </c>
      <c r="Q1874" s="2" t="s">
        <v>3530</v>
      </c>
      <c r="R1874" s="2" t="s">
        <v>29</v>
      </c>
      <c r="S1874" s="2" t="s">
        <v>30</v>
      </c>
    </row>
    <row r="1875" spans="1:19">
      <c r="A1875" s="1">
        <v>44743</v>
      </c>
      <c r="B1875" s="1">
        <v>44743</v>
      </c>
      <c r="C1875">
        <v>2022</v>
      </c>
      <c r="D1875">
        <v>7</v>
      </c>
      <c r="E1875" s="2" t="s">
        <v>330</v>
      </c>
      <c r="F1875" s="2" t="s">
        <v>331</v>
      </c>
      <c r="G1875" s="2" t="s">
        <v>21</v>
      </c>
      <c r="H1875" s="2" t="s">
        <v>332</v>
      </c>
      <c r="I1875" s="2" t="s">
        <v>333</v>
      </c>
      <c r="J1875" s="2" t="s">
        <v>24</v>
      </c>
      <c r="K1875">
        <v>188.06</v>
      </c>
      <c r="L1875">
        <v>9927090.9600000009</v>
      </c>
      <c r="M1875">
        <v>5278682.8499999996</v>
      </c>
      <c r="N1875" s="2" t="s">
        <v>334</v>
      </c>
      <c r="O1875" s="2" t="s">
        <v>335</v>
      </c>
      <c r="P1875" s="2" t="s">
        <v>3531</v>
      </c>
      <c r="Q1875" s="2" t="s">
        <v>3532</v>
      </c>
      <c r="R1875" s="2" t="s">
        <v>29</v>
      </c>
      <c r="S1875" s="2" t="s">
        <v>30</v>
      </c>
    </row>
    <row r="1876" spans="1:19">
      <c r="A1876" s="1">
        <v>44743</v>
      </c>
      <c r="B1876" s="1">
        <v>44743</v>
      </c>
      <c r="C1876">
        <v>2022</v>
      </c>
      <c r="D1876">
        <v>7</v>
      </c>
      <c r="E1876" s="2" t="s">
        <v>338</v>
      </c>
      <c r="F1876" s="2" t="s">
        <v>339</v>
      </c>
      <c r="G1876" s="2" t="s">
        <v>21</v>
      </c>
      <c r="H1876" s="2" t="s">
        <v>332</v>
      </c>
      <c r="I1876" s="2" t="s">
        <v>333</v>
      </c>
      <c r="J1876" s="2" t="s">
        <v>24</v>
      </c>
      <c r="K1876">
        <v>1.2</v>
      </c>
      <c r="L1876">
        <v>1624348.72</v>
      </c>
      <c r="M1876">
        <v>135362393.33000001</v>
      </c>
      <c r="N1876" s="2" t="s">
        <v>340</v>
      </c>
      <c r="O1876" s="2" t="s">
        <v>341</v>
      </c>
      <c r="P1876" s="2" t="s">
        <v>3533</v>
      </c>
      <c r="Q1876" s="2" t="s">
        <v>3534</v>
      </c>
      <c r="R1876" s="2" t="s">
        <v>29</v>
      </c>
      <c r="S1876" s="2" t="s">
        <v>30</v>
      </c>
    </row>
    <row r="1877" spans="1:19">
      <c r="A1877" s="1">
        <v>44743</v>
      </c>
      <c r="B1877" s="1">
        <v>44743</v>
      </c>
      <c r="C1877">
        <v>2022</v>
      </c>
      <c r="D1877">
        <v>7</v>
      </c>
      <c r="E1877" s="2" t="s">
        <v>344</v>
      </c>
      <c r="F1877" s="2" t="s">
        <v>345</v>
      </c>
      <c r="G1877" s="2" t="s">
        <v>21</v>
      </c>
      <c r="H1877" s="2" t="s">
        <v>332</v>
      </c>
      <c r="I1877" s="2" t="s">
        <v>333</v>
      </c>
      <c r="J1877" s="2" t="s">
        <v>59</v>
      </c>
      <c r="K1877">
        <v>189.26</v>
      </c>
      <c r="L1877">
        <v>11551439.68</v>
      </c>
      <c r="M1877">
        <v>6103476.5300000003</v>
      </c>
      <c r="N1877" s="2" t="s">
        <v>346</v>
      </c>
      <c r="O1877" s="2" t="s">
        <v>347</v>
      </c>
      <c r="P1877" s="2" t="s">
        <v>3535</v>
      </c>
      <c r="Q1877" s="2" t="s">
        <v>3536</v>
      </c>
      <c r="R1877" s="2" t="s">
        <v>29</v>
      </c>
      <c r="S1877" s="2" t="s">
        <v>30</v>
      </c>
    </row>
    <row r="1878" spans="1:19">
      <c r="A1878" s="1">
        <v>44743</v>
      </c>
      <c r="B1878" s="1">
        <v>44743</v>
      </c>
      <c r="C1878">
        <v>2022</v>
      </c>
      <c r="D1878">
        <v>7</v>
      </c>
      <c r="E1878" s="2" t="s">
        <v>350</v>
      </c>
      <c r="F1878" s="2" t="s">
        <v>351</v>
      </c>
      <c r="G1878" s="2" t="s">
        <v>21</v>
      </c>
      <c r="H1878" s="2" t="s">
        <v>22</v>
      </c>
      <c r="I1878" s="2" t="s">
        <v>352</v>
      </c>
      <c r="J1878" s="2" t="s">
        <v>353</v>
      </c>
      <c r="K1878">
        <v>87758.02</v>
      </c>
      <c r="L1878">
        <v>16124939.59</v>
      </c>
      <c r="M1878">
        <v>18374.32</v>
      </c>
      <c r="N1878" s="2" t="s">
        <v>354</v>
      </c>
      <c r="O1878" s="2" t="s">
        <v>355</v>
      </c>
      <c r="P1878" s="2" t="s">
        <v>3537</v>
      </c>
      <c r="Q1878" s="2" t="s">
        <v>3538</v>
      </c>
      <c r="R1878" s="2" t="s">
        <v>29</v>
      </c>
      <c r="S1878" s="2" t="s">
        <v>30</v>
      </c>
    </row>
    <row r="1879" spans="1:19">
      <c r="A1879" s="1">
        <v>44743</v>
      </c>
      <c r="B1879" s="1">
        <v>44743</v>
      </c>
      <c r="C1879">
        <v>2022</v>
      </c>
      <c r="D1879">
        <v>7</v>
      </c>
      <c r="E1879" s="2" t="s">
        <v>358</v>
      </c>
      <c r="F1879" s="2" t="s">
        <v>359</v>
      </c>
      <c r="G1879" s="2" t="s">
        <v>21</v>
      </c>
      <c r="H1879" s="2" t="s">
        <v>22</v>
      </c>
      <c r="I1879" s="2" t="s">
        <v>352</v>
      </c>
      <c r="J1879" s="2" t="s">
        <v>353</v>
      </c>
      <c r="K1879">
        <v>88346.69</v>
      </c>
      <c r="L1879">
        <v>16704320.42</v>
      </c>
      <c r="M1879">
        <v>18907.689999999999</v>
      </c>
      <c r="N1879" s="2" t="s">
        <v>360</v>
      </c>
      <c r="O1879" s="2" t="s">
        <v>361</v>
      </c>
      <c r="P1879" s="2" t="s">
        <v>3539</v>
      </c>
      <c r="Q1879" s="2" t="s">
        <v>3540</v>
      </c>
      <c r="R1879" s="2" t="s">
        <v>29</v>
      </c>
      <c r="S1879" s="2" t="s">
        <v>30</v>
      </c>
    </row>
    <row r="1880" spans="1:19">
      <c r="A1880" s="1">
        <v>44743</v>
      </c>
      <c r="B1880" s="1">
        <v>44743</v>
      </c>
      <c r="C1880">
        <v>2022</v>
      </c>
      <c r="D1880">
        <v>7</v>
      </c>
      <c r="E1880" s="2" t="s">
        <v>364</v>
      </c>
      <c r="F1880" s="2" t="s">
        <v>365</v>
      </c>
      <c r="G1880" s="2" t="s">
        <v>21</v>
      </c>
      <c r="H1880" s="2" t="s">
        <v>22</v>
      </c>
      <c r="I1880" s="2" t="s">
        <v>352</v>
      </c>
      <c r="J1880" s="2" t="s">
        <v>353</v>
      </c>
      <c r="K1880">
        <v>88157.42</v>
      </c>
      <c r="L1880">
        <v>5152880.74</v>
      </c>
      <c r="M1880">
        <v>5845.09</v>
      </c>
      <c r="N1880" s="2" t="s">
        <v>366</v>
      </c>
      <c r="O1880" s="2" t="s">
        <v>367</v>
      </c>
      <c r="P1880" s="2" t="s">
        <v>3541</v>
      </c>
      <c r="Q1880" s="2" t="s">
        <v>3542</v>
      </c>
      <c r="R1880" s="2" t="s">
        <v>29</v>
      </c>
      <c r="S1880" s="2" t="s">
        <v>30</v>
      </c>
    </row>
    <row r="1881" spans="1:19">
      <c r="A1881" s="1">
        <v>44743</v>
      </c>
      <c r="B1881" s="1">
        <v>44743</v>
      </c>
      <c r="C1881">
        <v>2022</v>
      </c>
      <c r="D1881">
        <v>7</v>
      </c>
      <c r="E1881" s="2" t="s">
        <v>370</v>
      </c>
      <c r="F1881" s="2" t="s">
        <v>371</v>
      </c>
      <c r="G1881" s="2" t="s">
        <v>21</v>
      </c>
      <c r="H1881" s="2" t="s">
        <v>22</v>
      </c>
      <c r="I1881" s="2" t="s">
        <v>23</v>
      </c>
      <c r="J1881" s="2" t="s">
        <v>24</v>
      </c>
      <c r="K1881">
        <v>62893.4</v>
      </c>
      <c r="L1881">
        <v>1063117.04</v>
      </c>
      <c r="M1881">
        <v>1690.35</v>
      </c>
      <c r="N1881" s="2" t="s">
        <v>372</v>
      </c>
      <c r="O1881" s="2" t="s">
        <v>373</v>
      </c>
      <c r="P1881" s="2" t="s">
        <v>3543</v>
      </c>
      <c r="Q1881" s="2" t="s">
        <v>3544</v>
      </c>
      <c r="R1881" s="2" t="s">
        <v>29</v>
      </c>
      <c r="S1881" s="2" t="s">
        <v>30</v>
      </c>
    </row>
    <row r="1882" spans="1:19">
      <c r="A1882" s="1">
        <v>44743</v>
      </c>
      <c r="B1882" s="1">
        <v>44743</v>
      </c>
      <c r="C1882">
        <v>2022</v>
      </c>
      <c r="D1882">
        <v>7</v>
      </c>
      <c r="E1882" s="2" t="s">
        <v>376</v>
      </c>
      <c r="F1882" s="2" t="s">
        <v>377</v>
      </c>
      <c r="G1882" s="2" t="s">
        <v>21</v>
      </c>
      <c r="H1882" s="2" t="s">
        <v>22</v>
      </c>
      <c r="I1882" s="2" t="s">
        <v>23</v>
      </c>
      <c r="J1882" s="2" t="s">
        <v>378</v>
      </c>
      <c r="K1882">
        <v>1.62</v>
      </c>
      <c r="L1882">
        <v>17.649999999999999</v>
      </c>
      <c r="M1882">
        <v>1089.51</v>
      </c>
      <c r="N1882" s="2" t="s">
        <v>379</v>
      </c>
      <c r="O1882" s="2" t="s">
        <v>380</v>
      </c>
      <c r="P1882" s="2" t="s">
        <v>3545</v>
      </c>
      <c r="Q1882" s="2" t="s">
        <v>3546</v>
      </c>
      <c r="R1882" s="2" t="s">
        <v>29</v>
      </c>
      <c r="S1882" s="2" t="s">
        <v>30</v>
      </c>
    </row>
    <row r="1883" spans="1:19">
      <c r="A1883" s="1">
        <v>44774</v>
      </c>
      <c r="B1883" s="1">
        <v>44774</v>
      </c>
      <c r="C1883">
        <v>2022</v>
      </c>
      <c r="D1883">
        <v>8</v>
      </c>
      <c r="E1883" s="2" t="s">
        <v>19</v>
      </c>
      <c r="F1883" s="2" t="s">
        <v>20</v>
      </c>
      <c r="G1883" s="2" t="s">
        <v>21</v>
      </c>
      <c r="H1883" s="2" t="s">
        <v>22</v>
      </c>
      <c r="I1883" s="2" t="s">
        <v>23</v>
      </c>
      <c r="J1883" s="2" t="s">
        <v>24</v>
      </c>
      <c r="K1883">
        <v>0.54</v>
      </c>
      <c r="L1883">
        <v>30.25</v>
      </c>
      <c r="M1883">
        <v>5601.85</v>
      </c>
      <c r="N1883" s="2" t="s">
        <v>25</v>
      </c>
      <c r="O1883" s="2" t="s">
        <v>26</v>
      </c>
      <c r="P1883" s="2" t="s">
        <v>1034</v>
      </c>
      <c r="Q1883" s="2" t="s">
        <v>3547</v>
      </c>
      <c r="R1883" s="2" t="s">
        <v>29</v>
      </c>
      <c r="S1883" s="2" t="s">
        <v>30</v>
      </c>
    </row>
    <row r="1884" spans="1:19">
      <c r="A1884" s="1">
        <v>44774</v>
      </c>
      <c r="B1884" s="1">
        <v>44774</v>
      </c>
      <c r="C1884">
        <v>2022</v>
      </c>
      <c r="D1884">
        <v>8</v>
      </c>
      <c r="E1884" s="2" t="s">
        <v>31</v>
      </c>
      <c r="F1884" s="2" t="s">
        <v>32</v>
      </c>
      <c r="G1884" s="2" t="s">
        <v>21</v>
      </c>
      <c r="H1884" s="2" t="s">
        <v>22</v>
      </c>
      <c r="I1884" s="2" t="s">
        <v>23</v>
      </c>
      <c r="J1884" s="2" t="s">
        <v>24</v>
      </c>
      <c r="K1884">
        <v>1162.46</v>
      </c>
      <c r="L1884">
        <v>9662.4699999999993</v>
      </c>
      <c r="M1884">
        <v>831.21</v>
      </c>
      <c r="N1884" s="2" t="s">
        <v>33</v>
      </c>
      <c r="O1884" s="2" t="s">
        <v>34</v>
      </c>
      <c r="P1884" s="2" t="s">
        <v>3548</v>
      </c>
      <c r="Q1884" s="2" t="s">
        <v>3549</v>
      </c>
      <c r="R1884" s="2" t="s">
        <v>29</v>
      </c>
      <c r="S1884" s="2" t="s">
        <v>30</v>
      </c>
    </row>
    <row r="1885" spans="1:19">
      <c r="A1885" s="1">
        <v>44774</v>
      </c>
      <c r="B1885" s="1">
        <v>44774</v>
      </c>
      <c r="C1885">
        <v>2022</v>
      </c>
      <c r="D1885">
        <v>8</v>
      </c>
      <c r="E1885" s="2" t="s">
        <v>37</v>
      </c>
      <c r="F1885" s="2" t="s">
        <v>38</v>
      </c>
      <c r="G1885" s="2" t="s">
        <v>39</v>
      </c>
      <c r="H1885" s="2" t="s">
        <v>22</v>
      </c>
      <c r="I1885" s="2" t="s">
        <v>40</v>
      </c>
      <c r="J1885" s="2" t="s">
        <v>24</v>
      </c>
      <c r="K1885">
        <v>7.46</v>
      </c>
      <c r="L1885">
        <v>358.63</v>
      </c>
      <c r="M1885">
        <v>4807.37</v>
      </c>
      <c r="N1885" s="2" t="s">
        <v>41</v>
      </c>
      <c r="O1885" s="2" t="s">
        <v>42</v>
      </c>
      <c r="P1885" s="2" t="s">
        <v>3550</v>
      </c>
      <c r="Q1885" s="2" t="s">
        <v>3551</v>
      </c>
      <c r="R1885" s="2" t="s">
        <v>29</v>
      </c>
      <c r="S1885" s="2" t="s">
        <v>30</v>
      </c>
    </row>
    <row r="1886" spans="1:19">
      <c r="A1886" s="1">
        <v>44774</v>
      </c>
      <c r="B1886" s="1">
        <v>44774</v>
      </c>
      <c r="C1886">
        <v>2022</v>
      </c>
      <c r="D1886">
        <v>8</v>
      </c>
      <c r="E1886" s="2" t="s">
        <v>45</v>
      </c>
      <c r="F1886" s="2" t="s">
        <v>46</v>
      </c>
      <c r="G1886" s="2" t="s">
        <v>39</v>
      </c>
      <c r="H1886" s="2" t="s">
        <v>22</v>
      </c>
      <c r="I1886" s="2" t="s">
        <v>40</v>
      </c>
      <c r="J1886" s="2" t="s">
        <v>24</v>
      </c>
      <c r="K1886">
        <v>5723.84</v>
      </c>
      <c r="L1886">
        <v>267288.75</v>
      </c>
      <c r="M1886">
        <v>4669.75</v>
      </c>
      <c r="N1886" s="2" t="s">
        <v>47</v>
      </c>
      <c r="O1886" s="2" t="s">
        <v>48</v>
      </c>
      <c r="P1886" s="2" t="s">
        <v>3552</v>
      </c>
      <c r="Q1886" s="2" t="s">
        <v>3553</v>
      </c>
      <c r="R1886" s="2" t="s">
        <v>29</v>
      </c>
      <c r="S1886" s="2" t="s">
        <v>30</v>
      </c>
    </row>
    <row r="1887" spans="1:19">
      <c r="A1887" s="1">
        <v>44774</v>
      </c>
      <c r="B1887" s="1">
        <v>44774</v>
      </c>
      <c r="C1887">
        <v>2022</v>
      </c>
      <c r="D1887">
        <v>8</v>
      </c>
      <c r="E1887" s="2" t="s">
        <v>51</v>
      </c>
      <c r="F1887" s="2" t="s">
        <v>52</v>
      </c>
      <c r="G1887" s="2" t="s">
        <v>39</v>
      </c>
      <c r="H1887" s="2" t="s">
        <v>22</v>
      </c>
      <c r="I1887" s="2" t="s">
        <v>40</v>
      </c>
      <c r="J1887" s="2" t="s">
        <v>24</v>
      </c>
      <c r="K1887">
        <v>35.31</v>
      </c>
      <c r="L1887">
        <v>1140.7</v>
      </c>
      <c r="M1887">
        <v>3230.53</v>
      </c>
      <c r="N1887" s="2" t="s">
        <v>53</v>
      </c>
      <c r="O1887" s="2" t="s">
        <v>54</v>
      </c>
      <c r="P1887" s="2" t="s">
        <v>3554</v>
      </c>
      <c r="Q1887" s="2" t="s">
        <v>3555</v>
      </c>
      <c r="R1887" s="2" t="s">
        <v>29</v>
      </c>
      <c r="S1887" s="2" t="s">
        <v>30</v>
      </c>
    </row>
    <row r="1888" spans="1:19">
      <c r="A1888" s="1">
        <v>44774</v>
      </c>
      <c r="B1888" s="1">
        <v>44774</v>
      </c>
      <c r="C1888">
        <v>2022</v>
      </c>
      <c r="D1888">
        <v>8</v>
      </c>
      <c r="E1888" s="2" t="s">
        <v>57</v>
      </c>
      <c r="F1888" s="2" t="s">
        <v>58</v>
      </c>
      <c r="G1888" s="2" t="s">
        <v>39</v>
      </c>
      <c r="H1888" s="2" t="s">
        <v>22</v>
      </c>
      <c r="I1888" s="2" t="s">
        <v>40</v>
      </c>
      <c r="J1888" s="2" t="s">
        <v>59</v>
      </c>
      <c r="K1888">
        <v>5766.61</v>
      </c>
      <c r="L1888">
        <v>268788.08</v>
      </c>
      <c r="M1888">
        <v>4661.1099999999997</v>
      </c>
      <c r="N1888" s="2" t="s">
        <v>60</v>
      </c>
      <c r="O1888" s="2" t="s">
        <v>61</v>
      </c>
      <c r="P1888" s="2" t="s">
        <v>3556</v>
      </c>
      <c r="Q1888" s="2" t="s">
        <v>3557</v>
      </c>
      <c r="R1888" s="2" t="s">
        <v>29</v>
      </c>
      <c r="S1888" s="2" t="s">
        <v>30</v>
      </c>
    </row>
    <row r="1889" spans="1:19">
      <c r="A1889" s="1">
        <v>44774</v>
      </c>
      <c r="B1889" s="1">
        <v>44774</v>
      </c>
      <c r="C1889">
        <v>2022</v>
      </c>
      <c r="D1889">
        <v>8</v>
      </c>
      <c r="E1889" s="2" t="s">
        <v>64</v>
      </c>
      <c r="F1889" s="2" t="s">
        <v>65</v>
      </c>
      <c r="G1889" s="2" t="s">
        <v>21</v>
      </c>
      <c r="H1889" s="2" t="s">
        <v>22</v>
      </c>
      <c r="I1889" s="2" t="s">
        <v>66</v>
      </c>
      <c r="J1889" s="2" t="s">
        <v>24</v>
      </c>
      <c r="K1889">
        <v>17.57</v>
      </c>
      <c r="L1889">
        <v>515.51</v>
      </c>
      <c r="M1889">
        <v>2934.04</v>
      </c>
      <c r="N1889" s="2" t="s">
        <v>67</v>
      </c>
      <c r="O1889" s="2" t="s">
        <v>68</v>
      </c>
      <c r="P1889" s="2" t="s">
        <v>3558</v>
      </c>
      <c r="Q1889" s="2" t="s">
        <v>3559</v>
      </c>
      <c r="R1889" s="2" t="s">
        <v>29</v>
      </c>
      <c r="S1889" s="2" t="s">
        <v>30</v>
      </c>
    </row>
    <row r="1890" spans="1:19">
      <c r="A1890" s="1">
        <v>44774</v>
      </c>
      <c r="B1890" s="1">
        <v>44774</v>
      </c>
      <c r="C1890">
        <v>2022</v>
      </c>
      <c r="D1890">
        <v>8</v>
      </c>
      <c r="E1890" s="2" t="s">
        <v>71</v>
      </c>
      <c r="F1890" s="2" t="s">
        <v>72</v>
      </c>
      <c r="G1890" s="2" t="s">
        <v>21</v>
      </c>
      <c r="H1890" s="2" t="s">
        <v>22</v>
      </c>
      <c r="I1890" s="2" t="s">
        <v>73</v>
      </c>
      <c r="J1890" s="2" t="s">
        <v>59</v>
      </c>
      <c r="K1890">
        <v>5481.3</v>
      </c>
      <c r="L1890">
        <v>174516.21</v>
      </c>
      <c r="M1890">
        <v>3183.85</v>
      </c>
      <c r="N1890" s="2" t="s">
        <v>74</v>
      </c>
      <c r="O1890" s="2" t="s">
        <v>75</v>
      </c>
      <c r="P1890" s="2" t="s">
        <v>3560</v>
      </c>
      <c r="Q1890" s="2" t="s">
        <v>3561</v>
      </c>
      <c r="R1890" s="2" t="s">
        <v>29</v>
      </c>
      <c r="S1890" s="2" t="s">
        <v>30</v>
      </c>
    </row>
    <row r="1891" spans="1:19">
      <c r="A1891" s="1">
        <v>44774</v>
      </c>
      <c r="B1891" s="1">
        <v>44774</v>
      </c>
      <c r="C1891">
        <v>2022</v>
      </c>
      <c r="D1891">
        <v>8</v>
      </c>
      <c r="E1891" s="2" t="s">
        <v>78</v>
      </c>
      <c r="F1891" s="2" t="s">
        <v>79</v>
      </c>
      <c r="G1891" s="2" t="s">
        <v>80</v>
      </c>
      <c r="H1891" s="2" t="s">
        <v>81</v>
      </c>
      <c r="I1891" s="2" t="s">
        <v>82</v>
      </c>
      <c r="J1891" s="2" t="s">
        <v>24</v>
      </c>
      <c r="K1891">
        <v>1.89</v>
      </c>
      <c r="L1891">
        <v>5970121.5899999999</v>
      </c>
      <c r="M1891">
        <v>315879449.20999998</v>
      </c>
      <c r="N1891" s="2" t="s">
        <v>83</v>
      </c>
      <c r="O1891" s="2" t="s">
        <v>84</v>
      </c>
      <c r="P1891" s="2" t="s">
        <v>796</v>
      </c>
      <c r="Q1891" s="2" t="s">
        <v>3562</v>
      </c>
      <c r="R1891" s="2" t="s">
        <v>29</v>
      </c>
      <c r="S1891" s="2" t="s">
        <v>30</v>
      </c>
    </row>
    <row r="1892" spans="1:19">
      <c r="A1892" s="1">
        <v>44774</v>
      </c>
      <c r="B1892" s="1">
        <v>44774</v>
      </c>
      <c r="C1892">
        <v>2022</v>
      </c>
      <c r="D1892">
        <v>8</v>
      </c>
      <c r="E1892" s="2" t="s">
        <v>87</v>
      </c>
      <c r="F1892" s="2" t="s">
        <v>88</v>
      </c>
      <c r="G1892" s="2" t="s">
        <v>80</v>
      </c>
      <c r="H1892" s="2" t="s">
        <v>81</v>
      </c>
      <c r="I1892" s="2" t="s">
        <v>82</v>
      </c>
      <c r="J1892" s="2" t="s">
        <v>24</v>
      </c>
      <c r="K1892">
        <v>0.75</v>
      </c>
      <c r="L1892">
        <v>888831.91</v>
      </c>
      <c r="M1892">
        <v>118510921.33</v>
      </c>
      <c r="N1892" s="2" t="s">
        <v>89</v>
      </c>
      <c r="O1892" s="2" t="s">
        <v>90</v>
      </c>
      <c r="P1892" s="2" t="s">
        <v>928</v>
      </c>
      <c r="Q1892" s="2" t="s">
        <v>3563</v>
      </c>
      <c r="R1892" s="2" t="s">
        <v>29</v>
      </c>
      <c r="S1892" s="2" t="s">
        <v>30</v>
      </c>
    </row>
    <row r="1893" spans="1:19">
      <c r="A1893" s="1">
        <v>44774</v>
      </c>
      <c r="B1893" s="1">
        <v>44774</v>
      </c>
      <c r="C1893">
        <v>2022</v>
      </c>
      <c r="D1893">
        <v>8</v>
      </c>
      <c r="E1893" s="2" t="s">
        <v>93</v>
      </c>
      <c r="F1893" s="2" t="s">
        <v>94</v>
      </c>
      <c r="G1893" s="2" t="s">
        <v>80</v>
      </c>
      <c r="H1893" s="2" t="s">
        <v>81</v>
      </c>
      <c r="I1893" s="2" t="s">
        <v>82</v>
      </c>
      <c r="J1893" s="2" t="s">
        <v>24</v>
      </c>
      <c r="K1893">
        <v>0.32</v>
      </c>
      <c r="L1893">
        <v>5251882.72</v>
      </c>
      <c r="M1893">
        <v>1641213350</v>
      </c>
      <c r="N1893" s="2" t="s">
        <v>95</v>
      </c>
      <c r="O1893" s="2" t="s">
        <v>96</v>
      </c>
      <c r="P1893" s="2" t="s">
        <v>1083</v>
      </c>
      <c r="Q1893" s="2" t="s">
        <v>3564</v>
      </c>
      <c r="R1893" s="2" t="s">
        <v>29</v>
      </c>
      <c r="S1893" s="2" t="s">
        <v>30</v>
      </c>
    </row>
    <row r="1894" spans="1:19">
      <c r="A1894" s="1">
        <v>44774</v>
      </c>
      <c r="B1894" s="1">
        <v>44774</v>
      </c>
      <c r="C1894">
        <v>2022</v>
      </c>
      <c r="D1894">
        <v>8</v>
      </c>
      <c r="E1894" s="2" t="s">
        <v>99</v>
      </c>
      <c r="F1894" s="2" t="s">
        <v>100</v>
      </c>
      <c r="G1894" s="2" t="s">
        <v>80</v>
      </c>
      <c r="H1894" s="2" t="s">
        <v>81</v>
      </c>
      <c r="I1894" s="2" t="s">
        <v>82</v>
      </c>
      <c r="J1894" s="2" t="s">
        <v>101</v>
      </c>
      <c r="K1894">
        <v>1.33</v>
      </c>
      <c r="L1894">
        <v>13493765.130000001</v>
      </c>
      <c r="M1894">
        <v>1014568806.77</v>
      </c>
      <c r="N1894" s="2" t="s">
        <v>102</v>
      </c>
      <c r="O1894" s="2" t="s">
        <v>103</v>
      </c>
      <c r="P1894" s="2" t="s">
        <v>2105</v>
      </c>
      <c r="Q1894" s="2" t="s">
        <v>3565</v>
      </c>
      <c r="R1894" s="2" t="s">
        <v>29</v>
      </c>
      <c r="S1894" s="2" t="s">
        <v>30</v>
      </c>
    </row>
    <row r="1895" spans="1:19">
      <c r="A1895" s="1">
        <v>44774</v>
      </c>
      <c r="B1895" s="1">
        <v>44774</v>
      </c>
      <c r="C1895">
        <v>2022</v>
      </c>
      <c r="D1895">
        <v>8</v>
      </c>
      <c r="E1895" s="2" t="s">
        <v>106</v>
      </c>
      <c r="F1895" s="2" t="s">
        <v>107</v>
      </c>
      <c r="G1895" s="2" t="s">
        <v>80</v>
      </c>
      <c r="H1895" s="2" t="s">
        <v>81</v>
      </c>
      <c r="I1895" s="2" t="s">
        <v>82</v>
      </c>
      <c r="J1895" s="2" t="s">
        <v>24</v>
      </c>
      <c r="K1895">
        <v>0.25</v>
      </c>
      <c r="L1895">
        <v>7353050.5</v>
      </c>
      <c r="M1895">
        <v>2941220200</v>
      </c>
      <c r="N1895" s="2" t="s">
        <v>108</v>
      </c>
      <c r="O1895" s="2" t="s">
        <v>109</v>
      </c>
      <c r="P1895" s="2" t="s">
        <v>876</v>
      </c>
      <c r="Q1895" s="2" t="s">
        <v>3566</v>
      </c>
      <c r="R1895" s="2" t="s">
        <v>29</v>
      </c>
      <c r="S1895" s="2" t="s">
        <v>30</v>
      </c>
    </row>
    <row r="1896" spans="1:19">
      <c r="A1896" s="1">
        <v>44774</v>
      </c>
      <c r="B1896" s="1">
        <v>44774</v>
      </c>
      <c r="C1896">
        <v>2022</v>
      </c>
      <c r="D1896">
        <v>8</v>
      </c>
      <c r="E1896" s="2" t="s">
        <v>111</v>
      </c>
      <c r="F1896" s="2" t="s">
        <v>112</v>
      </c>
      <c r="G1896" s="2" t="s">
        <v>80</v>
      </c>
      <c r="H1896" s="2" t="s">
        <v>81</v>
      </c>
      <c r="I1896" s="2" t="s">
        <v>82</v>
      </c>
      <c r="J1896" s="2" t="s">
        <v>24</v>
      </c>
      <c r="K1896">
        <v>0.09</v>
      </c>
      <c r="L1896">
        <v>564757</v>
      </c>
      <c r="M1896">
        <v>627507777.77999997</v>
      </c>
      <c r="N1896" s="2" t="s">
        <v>113</v>
      </c>
      <c r="O1896" s="2" t="s">
        <v>114</v>
      </c>
      <c r="P1896" s="2" t="s">
        <v>534</v>
      </c>
      <c r="Q1896" s="2" t="s">
        <v>3567</v>
      </c>
      <c r="R1896" s="2" t="s">
        <v>29</v>
      </c>
      <c r="S1896" s="2" t="s">
        <v>30</v>
      </c>
    </row>
    <row r="1897" spans="1:19">
      <c r="A1897" s="1">
        <v>44774</v>
      </c>
      <c r="B1897" s="1">
        <v>44774</v>
      </c>
      <c r="C1897">
        <v>2022</v>
      </c>
      <c r="D1897">
        <v>8</v>
      </c>
      <c r="E1897" s="2" t="s">
        <v>117</v>
      </c>
      <c r="F1897" s="2" t="s">
        <v>118</v>
      </c>
      <c r="G1897" s="2" t="s">
        <v>80</v>
      </c>
      <c r="H1897" s="2" t="s">
        <v>81</v>
      </c>
      <c r="I1897" s="2" t="s">
        <v>82</v>
      </c>
      <c r="J1897" s="2" t="s">
        <v>59</v>
      </c>
      <c r="K1897">
        <v>3.3</v>
      </c>
      <c r="L1897">
        <v>20028643.719999999</v>
      </c>
      <c r="M1897">
        <v>606928597.58000004</v>
      </c>
      <c r="N1897" s="2" t="s">
        <v>119</v>
      </c>
      <c r="O1897" s="2" t="s">
        <v>120</v>
      </c>
      <c r="P1897" s="2" t="s">
        <v>3568</v>
      </c>
      <c r="Q1897" s="2" t="s">
        <v>3569</v>
      </c>
      <c r="R1897" s="2" t="s">
        <v>29</v>
      </c>
      <c r="S1897" s="2" t="s">
        <v>30</v>
      </c>
    </row>
    <row r="1898" spans="1:19">
      <c r="A1898" s="1">
        <v>44774</v>
      </c>
      <c r="B1898" s="1">
        <v>44774</v>
      </c>
      <c r="C1898">
        <v>2022</v>
      </c>
      <c r="D1898">
        <v>8</v>
      </c>
      <c r="E1898" s="2" t="s">
        <v>123</v>
      </c>
      <c r="F1898" s="2" t="s">
        <v>124</v>
      </c>
      <c r="G1898" s="2" t="s">
        <v>21</v>
      </c>
      <c r="H1898" s="2" t="s">
        <v>22</v>
      </c>
      <c r="I1898" s="2" t="s">
        <v>73</v>
      </c>
      <c r="J1898" s="2" t="s">
        <v>24</v>
      </c>
      <c r="K1898">
        <v>1117.3</v>
      </c>
      <c r="L1898">
        <v>67414.39</v>
      </c>
      <c r="M1898">
        <v>6033.69</v>
      </c>
      <c r="N1898" s="2" t="s">
        <v>125</v>
      </c>
      <c r="O1898" s="2" t="s">
        <v>126</v>
      </c>
      <c r="P1898" s="2" t="s">
        <v>3570</v>
      </c>
      <c r="Q1898" s="2" t="s">
        <v>3571</v>
      </c>
      <c r="R1898" s="2" t="s">
        <v>29</v>
      </c>
      <c r="S1898" s="2" t="s">
        <v>30</v>
      </c>
    </row>
    <row r="1899" spans="1:19">
      <c r="A1899" s="1">
        <v>44774</v>
      </c>
      <c r="B1899" s="1">
        <v>44774</v>
      </c>
      <c r="C1899">
        <v>2022</v>
      </c>
      <c r="D1899">
        <v>8</v>
      </c>
      <c r="E1899" s="2" t="s">
        <v>129</v>
      </c>
      <c r="F1899" s="2" t="s">
        <v>130</v>
      </c>
      <c r="G1899" s="2" t="s">
        <v>21</v>
      </c>
      <c r="H1899" s="2" t="s">
        <v>22</v>
      </c>
      <c r="I1899" s="2" t="s">
        <v>73</v>
      </c>
      <c r="J1899" s="2" t="s">
        <v>24</v>
      </c>
      <c r="K1899">
        <v>1330.54</v>
      </c>
      <c r="L1899">
        <v>44943.17</v>
      </c>
      <c r="M1899">
        <v>3377.81</v>
      </c>
      <c r="N1899" s="2" t="s">
        <v>131</v>
      </c>
      <c r="O1899" s="2" t="s">
        <v>132</v>
      </c>
      <c r="P1899" s="2" t="s">
        <v>3572</v>
      </c>
      <c r="Q1899" s="2" t="s">
        <v>3573</v>
      </c>
      <c r="R1899" s="2" t="s">
        <v>29</v>
      </c>
      <c r="S1899" s="2" t="s">
        <v>30</v>
      </c>
    </row>
    <row r="1900" spans="1:19">
      <c r="A1900" s="1">
        <v>44774</v>
      </c>
      <c r="B1900" s="1">
        <v>44774</v>
      </c>
      <c r="C1900">
        <v>2022</v>
      </c>
      <c r="D1900">
        <v>8</v>
      </c>
      <c r="E1900" s="2" t="s">
        <v>135</v>
      </c>
      <c r="F1900" s="2" t="s">
        <v>136</v>
      </c>
      <c r="G1900" s="2" t="s">
        <v>21</v>
      </c>
      <c r="H1900" s="2" t="s">
        <v>22</v>
      </c>
      <c r="I1900" s="2" t="s">
        <v>73</v>
      </c>
      <c r="J1900" s="2" t="s">
        <v>101</v>
      </c>
      <c r="K1900">
        <v>2447.83</v>
      </c>
      <c r="L1900">
        <v>112357.56</v>
      </c>
      <c r="M1900">
        <v>4590.09</v>
      </c>
      <c r="N1900" s="2" t="s">
        <v>137</v>
      </c>
      <c r="O1900" s="2" t="s">
        <v>138</v>
      </c>
      <c r="P1900" s="2" t="s">
        <v>3574</v>
      </c>
      <c r="Q1900" s="2" t="s">
        <v>3575</v>
      </c>
      <c r="R1900" s="2" t="s">
        <v>29</v>
      </c>
      <c r="S1900" s="2" t="s">
        <v>30</v>
      </c>
    </row>
    <row r="1901" spans="1:19">
      <c r="A1901" s="1">
        <v>44774</v>
      </c>
      <c r="B1901" s="1">
        <v>44774</v>
      </c>
      <c r="C1901">
        <v>2022</v>
      </c>
      <c r="D1901">
        <v>8</v>
      </c>
      <c r="E1901" s="2" t="s">
        <v>141</v>
      </c>
      <c r="F1901" s="2" t="s">
        <v>142</v>
      </c>
      <c r="G1901" s="2" t="s">
        <v>21</v>
      </c>
      <c r="H1901" s="2" t="s">
        <v>22</v>
      </c>
      <c r="I1901" s="2" t="s">
        <v>73</v>
      </c>
      <c r="J1901" s="2" t="s">
        <v>24</v>
      </c>
      <c r="K1901">
        <v>1023.64</v>
      </c>
      <c r="L1901">
        <v>21606.22</v>
      </c>
      <c r="M1901">
        <v>2110.7199999999998</v>
      </c>
      <c r="N1901" s="2" t="s">
        <v>143</v>
      </c>
      <c r="O1901" s="2" t="s">
        <v>144</v>
      </c>
      <c r="P1901" s="2" t="s">
        <v>3576</v>
      </c>
      <c r="Q1901" s="2" t="s">
        <v>3577</v>
      </c>
      <c r="R1901" s="2" t="s">
        <v>29</v>
      </c>
      <c r="S1901" s="2" t="s">
        <v>30</v>
      </c>
    </row>
    <row r="1902" spans="1:19">
      <c r="A1902" s="1">
        <v>44774</v>
      </c>
      <c r="B1902" s="1">
        <v>44774</v>
      </c>
      <c r="C1902">
        <v>2022</v>
      </c>
      <c r="D1902">
        <v>8</v>
      </c>
      <c r="E1902" s="2" t="s">
        <v>147</v>
      </c>
      <c r="F1902" s="2" t="s">
        <v>148</v>
      </c>
      <c r="G1902" s="2" t="s">
        <v>21</v>
      </c>
      <c r="H1902" s="2" t="s">
        <v>22</v>
      </c>
      <c r="I1902" s="2" t="s">
        <v>73</v>
      </c>
      <c r="J1902" s="2" t="s">
        <v>24</v>
      </c>
      <c r="K1902">
        <v>2009.83</v>
      </c>
      <c r="L1902">
        <v>40552.44</v>
      </c>
      <c r="M1902">
        <v>2017.7</v>
      </c>
      <c r="N1902" s="2" t="s">
        <v>149</v>
      </c>
      <c r="O1902" s="2" t="s">
        <v>150</v>
      </c>
      <c r="P1902" s="2" t="s">
        <v>3578</v>
      </c>
      <c r="Q1902" s="2" t="s">
        <v>3579</v>
      </c>
      <c r="R1902" s="2" t="s">
        <v>29</v>
      </c>
      <c r="S1902" s="2" t="s">
        <v>30</v>
      </c>
    </row>
    <row r="1903" spans="1:19">
      <c r="A1903" s="1">
        <v>44774</v>
      </c>
      <c r="B1903" s="1">
        <v>44774</v>
      </c>
      <c r="C1903">
        <v>2022</v>
      </c>
      <c r="D1903">
        <v>8</v>
      </c>
      <c r="E1903" s="2" t="s">
        <v>153</v>
      </c>
      <c r="F1903" s="2" t="s">
        <v>154</v>
      </c>
      <c r="G1903" s="2" t="s">
        <v>21</v>
      </c>
      <c r="H1903" s="2" t="s">
        <v>22</v>
      </c>
      <c r="I1903" s="2" t="s">
        <v>73</v>
      </c>
      <c r="J1903" s="2" t="s">
        <v>101</v>
      </c>
      <c r="K1903">
        <v>3033.47</v>
      </c>
      <c r="L1903">
        <v>62158.66</v>
      </c>
      <c r="M1903">
        <v>2049.09</v>
      </c>
      <c r="N1903" s="2" t="s">
        <v>155</v>
      </c>
      <c r="O1903" s="2" t="s">
        <v>156</v>
      </c>
      <c r="P1903" s="2" t="s">
        <v>3580</v>
      </c>
      <c r="Q1903" s="2" t="s">
        <v>3581</v>
      </c>
      <c r="R1903" s="2" t="s">
        <v>29</v>
      </c>
      <c r="S1903" s="2" t="s">
        <v>30</v>
      </c>
    </row>
    <row r="1904" spans="1:19">
      <c r="A1904" s="1">
        <v>44774</v>
      </c>
      <c r="B1904" s="1">
        <v>44774</v>
      </c>
      <c r="C1904">
        <v>2022</v>
      </c>
      <c r="D1904">
        <v>8</v>
      </c>
      <c r="E1904" s="2" t="s">
        <v>159</v>
      </c>
      <c r="F1904" s="2" t="s">
        <v>160</v>
      </c>
      <c r="G1904" s="2" t="s">
        <v>21</v>
      </c>
      <c r="H1904" s="2" t="s">
        <v>22</v>
      </c>
      <c r="I1904" s="2" t="s">
        <v>66</v>
      </c>
      <c r="J1904" s="2" t="s">
        <v>59</v>
      </c>
      <c r="K1904">
        <v>1247.1500000000001</v>
      </c>
      <c r="L1904">
        <v>102824.44</v>
      </c>
      <c r="M1904">
        <v>8244.75</v>
      </c>
      <c r="N1904" s="2" t="s">
        <v>161</v>
      </c>
      <c r="O1904" s="2" t="s">
        <v>162</v>
      </c>
      <c r="P1904" s="2" t="s">
        <v>3582</v>
      </c>
      <c r="Q1904" s="2" t="s">
        <v>3583</v>
      </c>
      <c r="R1904" s="2" t="s">
        <v>29</v>
      </c>
      <c r="S1904" s="2" t="s">
        <v>30</v>
      </c>
    </row>
    <row r="1905" spans="1:19">
      <c r="A1905" s="1">
        <v>44774</v>
      </c>
      <c r="B1905" s="1">
        <v>44774</v>
      </c>
      <c r="C1905">
        <v>2022</v>
      </c>
      <c r="D1905">
        <v>8</v>
      </c>
      <c r="E1905" s="2" t="s">
        <v>165</v>
      </c>
      <c r="F1905" s="2" t="s">
        <v>166</v>
      </c>
      <c r="G1905" s="2" t="s">
        <v>21</v>
      </c>
      <c r="H1905" s="2" t="s">
        <v>22</v>
      </c>
      <c r="I1905" s="2" t="s">
        <v>23</v>
      </c>
      <c r="J1905" s="2" t="s">
        <v>24</v>
      </c>
      <c r="N1905" s="2" t="s">
        <v>167</v>
      </c>
      <c r="O1905" s="2" t="s">
        <v>168</v>
      </c>
      <c r="P1905" s="2" t="s">
        <v>175</v>
      </c>
      <c r="Q1905" s="2" t="s">
        <v>175</v>
      </c>
      <c r="R1905" s="2" t="s">
        <v>640</v>
      </c>
      <c r="S1905" s="2" t="s">
        <v>641</v>
      </c>
    </row>
    <row r="1906" spans="1:19">
      <c r="A1906" s="1">
        <v>44774</v>
      </c>
      <c r="B1906" s="1">
        <v>44774</v>
      </c>
      <c r="C1906">
        <v>2022</v>
      </c>
      <c r="D1906">
        <v>8</v>
      </c>
      <c r="E1906" s="2" t="s">
        <v>171</v>
      </c>
      <c r="F1906" s="2" t="s">
        <v>172</v>
      </c>
      <c r="G1906" s="2" t="s">
        <v>21</v>
      </c>
      <c r="H1906" s="2" t="s">
        <v>22</v>
      </c>
      <c r="I1906" s="2" t="s">
        <v>66</v>
      </c>
      <c r="J1906" s="2" t="s">
        <v>24</v>
      </c>
      <c r="N1906" s="2" t="s">
        <v>173</v>
      </c>
      <c r="O1906" s="2" t="s">
        <v>174</v>
      </c>
      <c r="P1906" s="2" t="s">
        <v>175</v>
      </c>
      <c r="Q1906" s="2" t="s">
        <v>175</v>
      </c>
      <c r="R1906" s="2" t="s">
        <v>640</v>
      </c>
      <c r="S1906" s="2" t="s">
        <v>641</v>
      </c>
    </row>
    <row r="1907" spans="1:19">
      <c r="A1907" s="1">
        <v>44774</v>
      </c>
      <c r="B1907" s="1">
        <v>44774</v>
      </c>
      <c r="C1907">
        <v>2022</v>
      </c>
      <c r="D1907">
        <v>8</v>
      </c>
      <c r="E1907" s="2" t="s">
        <v>177</v>
      </c>
      <c r="F1907" s="2" t="s">
        <v>178</v>
      </c>
      <c r="G1907" s="2" t="s">
        <v>21</v>
      </c>
      <c r="H1907" s="2" t="s">
        <v>22</v>
      </c>
      <c r="I1907" s="2" t="s">
        <v>23</v>
      </c>
      <c r="J1907" s="2" t="s">
        <v>24</v>
      </c>
      <c r="K1907">
        <v>4669.09</v>
      </c>
      <c r="L1907">
        <v>445988.99</v>
      </c>
      <c r="M1907">
        <v>9551.9500000000007</v>
      </c>
      <c r="N1907" s="2" t="s">
        <v>179</v>
      </c>
      <c r="O1907" s="2" t="s">
        <v>180</v>
      </c>
      <c r="P1907" s="2" t="s">
        <v>3584</v>
      </c>
      <c r="Q1907" s="2" t="s">
        <v>3585</v>
      </c>
      <c r="R1907" s="2" t="s">
        <v>29</v>
      </c>
      <c r="S1907" s="2" t="s">
        <v>30</v>
      </c>
    </row>
    <row r="1908" spans="1:19">
      <c r="A1908" s="1">
        <v>44774</v>
      </c>
      <c r="B1908" s="1">
        <v>44774</v>
      </c>
      <c r="C1908">
        <v>2022</v>
      </c>
      <c r="D1908">
        <v>8</v>
      </c>
      <c r="E1908" s="2" t="s">
        <v>183</v>
      </c>
      <c r="F1908" s="2" t="s">
        <v>184</v>
      </c>
      <c r="G1908" s="2" t="s">
        <v>185</v>
      </c>
      <c r="H1908" s="2" t="s">
        <v>22</v>
      </c>
      <c r="I1908" s="2" t="s">
        <v>186</v>
      </c>
      <c r="J1908" s="2" t="s">
        <v>24</v>
      </c>
      <c r="K1908">
        <v>2596.7800000000002</v>
      </c>
      <c r="L1908">
        <v>3037666.33</v>
      </c>
      <c r="M1908">
        <v>116978.19</v>
      </c>
      <c r="N1908" s="2" t="s">
        <v>187</v>
      </c>
      <c r="O1908" s="2" t="s">
        <v>188</v>
      </c>
      <c r="P1908" s="2" t="s">
        <v>3586</v>
      </c>
      <c r="Q1908" s="2" t="s">
        <v>3587</v>
      </c>
      <c r="R1908" s="2" t="s">
        <v>29</v>
      </c>
      <c r="S1908" s="2" t="s">
        <v>30</v>
      </c>
    </row>
    <row r="1909" spans="1:19">
      <c r="A1909" s="1">
        <v>44774</v>
      </c>
      <c r="B1909" s="1">
        <v>44774</v>
      </c>
      <c r="C1909">
        <v>2022</v>
      </c>
      <c r="D1909">
        <v>8</v>
      </c>
      <c r="E1909" s="2" t="s">
        <v>191</v>
      </c>
      <c r="F1909" s="2" t="s">
        <v>192</v>
      </c>
      <c r="G1909" s="2" t="s">
        <v>185</v>
      </c>
      <c r="H1909" s="2" t="s">
        <v>22</v>
      </c>
      <c r="I1909" s="2" t="s">
        <v>186</v>
      </c>
      <c r="J1909" s="2" t="s">
        <v>24</v>
      </c>
      <c r="K1909">
        <v>932.41</v>
      </c>
      <c r="L1909">
        <v>4304970.0999999996</v>
      </c>
      <c r="M1909">
        <v>461703.55</v>
      </c>
      <c r="N1909" s="2" t="s">
        <v>193</v>
      </c>
      <c r="O1909" s="2" t="s">
        <v>194</v>
      </c>
      <c r="P1909" s="2" t="s">
        <v>3588</v>
      </c>
      <c r="Q1909" s="2" t="s">
        <v>3589</v>
      </c>
      <c r="R1909" s="2" t="s">
        <v>29</v>
      </c>
      <c r="S1909" s="2" t="s">
        <v>30</v>
      </c>
    </row>
    <row r="1910" spans="1:19">
      <c r="A1910" s="1">
        <v>44774</v>
      </c>
      <c r="B1910" s="1">
        <v>44774</v>
      </c>
      <c r="C1910">
        <v>2022</v>
      </c>
      <c r="D1910">
        <v>8</v>
      </c>
      <c r="E1910" s="2" t="s">
        <v>197</v>
      </c>
      <c r="F1910" s="2" t="s">
        <v>198</v>
      </c>
      <c r="G1910" s="2" t="s">
        <v>185</v>
      </c>
      <c r="H1910" s="2" t="s">
        <v>22</v>
      </c>
      <c r="I1910" s="2" t="s">
        <v>186</v>
      </c>
      <c r="J1910" s="2" t="s">
        <v>59</v>
      </c>
      <c r="K1910">
        <v>3529.19</v>
      </c>
      <c r="L1910">
        <v>7342636.4199999999</v>
      </c>
      <c r="M1910">
        <v>208054.44</v>
      </c>
      <c r="N1910" s="2" t="s">
        <v>199</v>
      </c>
      <c r="O1910" s="2" t="s">
        <v>200</v>
      </c>
      <c r="P1910" s="2" t="s">
        <v>3590</v>
      </c>
      <c r="Q1910" s="2" t="s">
        <v>3591</v>
      </c>
      <c r="R1910" s="2" t="s">
        <v>29</v>
      </c>
      <c r="S1910" s="2" t="s">
        <v>30</v>
      </c>
    </row>
    <row r="1911" spans="1:19">
      <c r="A1911" s="1">
        <v>44774</v>
      </c>
      <c r="B1911" s="1">
        <v>44774</v>
      </c>
      <c r="C1911">
        <v>2022</v>
      </c>
      <c r="D1911">
        <v>8</v>
      </c>
      <c r="E1911" s="2" t="s">
        <v>203</v>
      </c>
      <c r="F1911" s="2" t="s">
        <v>204</v>
      </c>
      <c r="G1911" s="2" t="s">
        <v>39</v>
      </c>
      <c r="H1911" s="2" t="s">
        <v>22</v>
      </c>
      <c r="I1911" s="2" t="s">
        <v>40</v>
      </c>
      <c r="J1911" s="2" t="s">
        <v>24</v>
      </c>
      <c r="K1911">
        <v>1061.82</v>
      </c>
      <c r="L1911">
        <v>26192.93</v>
      </c>
      <c r="M1911">
        <v>2466.8000000000002</v>
      </c>
      <c r="N1911" s="2" t="s">
        <v>205</v>
      </c>
      <c r="O1911" s="2" t="s">
        <v>206</v>
      </c>
      <c r="P1911" s="2" t="s">
        <v>2450</v>
      </c>
      <c r="Q1911" s="2" t="s">
        <v>3592</v>
      </c>
      <c r="R1911" s="2" t="s">
        <v>29</v>
      </c>
      <c r="S1911" s="2" t="s">
        <v>30</v>
      </c>
    </row>
    <row r="1912" spans="1:19">
      <c r="A1912" s="1">
        <v>44774</v>
      </c>
      <c r="B1912" s="1">
        <v>44774</v>
      </c>
      <c r="C1912">
        <v>2022</v>
      </c>
      <c r="D1912">
        <v>8</v>
      </c>
      <c r="E1912" s="2" t="s">
        <v>209</v>
      </c>
      <c r="F1912" s="2" t="s">
        <v>210</v>
      </c>
      <c r="G1912" s="2" t="s">
        <v>39</v>
      </c>
      <c r="H1912" s="2" t="s">
        <v>22</v>
      </c>
      <c r="I1912" s="2" t="s">
        <v>40</v>
      </c>
      <c r="J1912" s="2" t="s">
        <v>59</v>
      </c>
      <c r="K1912">
        <v>1061.82</v>
      </c>
      <c r="L1912">
        <v>26192.93</v>
      </c>
      <c r="M1912">
        <v>2466.8000000000002</v>
      </c>
      <c r="N1912" s="2" t="s">
        <v>211</v>
      </c>
      <c r="O1912" s="2" t="s">
        <v>212</v>
      </c>
      <c r="P1912" s="2" t="s">
        <v>2450</v>
      </c>
      <c r="Q1912" s="2" t="s">
        <v>3592</v>
      </c>
      <c r="R1912" s="2" t="s">
        <v>29</v>
      </c>
      <c r="S1912" s="2" t="s">
        <v>30</v>
      </c>
    </row>
    <row r="1913" spans="1:19">
      <c r="A1913" s="1">
        <v>44774</v>
      </c>
      <c r="B1913" s="1">
        <v>44774</v>
      </c>
      <c r="C1913">
        <v>2022</v>
      </c>
      <c r="D1913">
        <v>8</v>
      </c>
      <c r="E1913" s="2" t="s">
        <v>213</v>
      </c>
      <c r="F1913" s="2" t="s">
        <v>214</v>
      </c>
      <c r="G1913" s="2" t="s">
        <v>185</v>
      </c>
      <c r="H1913" s="2" t="s">
        <v>22</v>
      </c>
      <c r="I1913" s="2" t="s">
        <v>215</v>
      </c>
      <c r="J1913" s="2" t="s">
        <v>24</v>
      </c>
      <c r="K1913">
        <v>58722.63</v>
      </c>
      <c r="L1913">
        <v>1378392.51</v>
      </c>
      <c r="M1913">
        <v>2347.29</v>
      </c>
      <c r="N1913" s="2" t="s">
        <v>216</v>
      </c>
      <c r="O1913" s="2" t="s">
        <v>217</v>
      </c>
      <c r="P1913" s="2" t="s">
        <v>3593</v>
      </c>
      <c r="Q1913" s="2" t="s">
        <v>3594</v>
      </c>
      <c r="R1913" s="2" t="s">
        <v>29</v>
      </c>
      <c r="S1913" s="2" t="s">
        <v>30</v>
      </c>
    </row>
    <row r="1914" spans="1:19">
      <c r="A1914" s="1">
        <v>44774</v>
      </c>
      <c r="B1914" s="1">
        <v>44774</v>
      </c>
      <c r="C1914">
        <v>2022</v>
      </c>
      <c r="D1914">
        <v>8</v>
      </c>
      <c r="E1914" s="2" t="s">
        <v>220</v>
      </c>
      <c r="F1914" s="2" t="s">
        <v>221</v>
      </c>
      <c r="G1914" s="2" t="s">
        <v>185</v>
      </c>
      <c r="H1914" s="2" t="s">
        <v>22</v>
      </c>
      <c r="I1914" s="2" t="s">
        <v>215</v>
      </c>
      <c r="J1914" s="2" t="s">
        <v>24</v>
      </c>
      <c r="K1914">
        <v>6590.62</v>
      </c>
      <c r="L1914">
        <v>363857.23</v>
      </c>
      <c r="M1914">
        <v>5520.83</v>
      </c>
      <c r="N1914" s="2" t="s">
        <v>222</v>
      </c>
      <c r="O1914" s="2" t="s">
        <v>223</v>
      </c>
      <c r="P1914" s="2" t="s">
        <v>3595</v>
      </c>
      <c r="Q1914" s="2" t="s">
        <v>3596</v>
      </c>
      <c r="R1914" s="2" t="s">
        <v>29</v>
      </c>
      <c r="S1914" s="2" t="s">
        <v>30</v>
      </c>
    </row>
    <row r="1915" spans="1:19">
      <c r="A1915" s="1">
        <v>44774</v>
      </c>
      <c r="B1915" s="1">
        <v>44774</v>
      </c>
      <c r="C1915">
        <v>2022</v>
      </c>
      <c r="D1915">
        <v>8</v>
      </c>
      <c r="E1915" s="2" t="s">
        <v>226</v>
      </c>
      <c r="F1915" s="2" t="s">
        <v>227</v>
      </c>
      <c r="G1915" s="2" t="s">
        <v>185</v>
      </c>
      <c r="H1915" s="2" t="s">
        <v>22</v>
      </c>
      <c r="I1915" s="2" t="s">
        <v>215</v>
      </c>
      <c r="J1915" s="2" t="s">
        <v>59</v>
      </c>
      <c r="K1915">
        <v>65313.24</v>
      </c>
      <c r="L1915">
        <v>1742249.75</v>
      </c>
      <c r="M1915">
        <v>2667.53</v>
      </c>
      <c r="N1915" s="2" t="s">
        <v>228</v>
      </c>
      <c r="O1915" s="2" t="s">
        <v>229</v>
      </c>
      <c r="P1915" s="2" t="s">
        <v>3597</v>
      </c>
      <c r="Q1915" s="2" t="s">
        <v>3598</v>
      </c>
      <c r="R1915" s="2" t="s">
        <v>29</v>
      </c>
      <c r="S1915" s="2" t="s">
        <v>30</v>
      </c>
    </row>
    <row r="1916" spans="1:19">
      <c r="A1916" s="1">
        <v>44774</v>
      </c>
      <c r="B1916" s="1">
        <v>44774</v>
      </c>
      <c r="C1916">
        <v>2022</v>
      </c>
      <c r="D1916">
        <v>8</v>
      </c>
      <c r="E1916" s="2" t="s">
        <v>232</v>
      </c>
      <c r="F1916" s="2" t="s">
        <v>233</v>
      </c>
      <c r="G1916" s="2" t="s">
        <v>21</v>
      </c>
      <c r="H1916" s="2" t="s">
        <v>22</v>
      </c>
      <c r="I1916" s="2" t="s">
        <v>23</v>
      </c>
      <c r="J1916" s="2" t="s">
        <v>24</v>
      </c>
      <c r="K1916">
        <v>1940.04</v>
      </c>
      <c r="L1916">
        <v>128480.09</v>
      </c>
      <c r="M1916">
        <v>6622.55</v>
      </c>
      <c r="N1916" s="2" t="s">
        <v>234</v>
      </c>
      <c r="O1916" s="2" t="s">
        <v>235</v>
      </c>
      <c r="P1916" s="2" t="s">
        <v>3599</v>
      </c>
      <c r="Q1916" s="2" t="s">
        <v>3600</v>
      </c>
      <c r="R1916" s="2" t="s">
        <v>29</v>
      </c>
      <c r="S1916" s="2" t="s">
        <v>30</v>
      </c>
    </row>
    <row r="1917" spans="1:19">
      <c r="A1917" s="1">
        <v>44774</v>
      </c>
      <c r="B1917" s="1">
        <v>44774</v>
      </c>
      <c r="C1917">
        <v>2022</v>
      </c>
      <c r="D1917">
        <v>8</v>
      </c>
      <c r="E1917" s="2" t="s">
        <v>238</v>
      </c>
      <c r="F1917" s="2" t="s">
        <v>239</v>
      </c>
      <c r="G1917" s="2" t="s">
        <v>21</v>
      </c>
      <c r="H1917" s="2" t="s">
        <v>22</v>
      </c>
      <c r="I1917" s="2" t="s">
        <v>66</v>
      </c>
      <c r="J1917" s="2" t="s">
        <v>24</v>
      </c>
      <c r="K1917">
        <v>1097.3800000000001</v>
      </c>
      <c r="L1917">
        <v>102099.67</v>
      </c>
      <c r="M1917">
        <v>9303.9500000000007</v>
      </c>
      <c r="N1917" s="2" t="s">
        <v>240</v>
      </c>
      <c r="O1917" s="2" t="s">
        <v>241</v>
      </c>
      <c r="P1917" s="2" t="s">
        <v>3601</v>
      </c>
      <c r="Q1917" s="2" t="s">
        <v>3602</v>
      </c>
      <c r="R1917" s="2" t="s">
        <v>29</v>
      </c>
      <c r="S1917" s="2" t="s">
        <v>30</v>
      </c>
    </row>
    <row r="1918" spans="1:19">
      <c r="A1918" s="1">
        <v>44774</v>
      </c>
      <c r="B1918" s="1">
        <v>44774</v>
      </c>
      <c r="C1918">
        <v>2022</v>
      </c>
      <c r="D1918">
        <v>8</v>
      </c>
      <c r="E1918" s="2" t="s">
        <v>244</v>
      </c>
      <c r="F1918" s="2" t="s">
        <v>245</v>
      </c>
      <c r="G1918" s="2" t="s">
        <v>21</v>
      </c>
      <c r="H1918" s="2" t="s">
        <v>22</v>
      </c>
      <c r="I1918" s="2" t="s">
        <v>23</v>
      </c>
      <c r="J1918" s="2" t="s">
        <v>24</v>
      </c>
      <c r="K1918">
        <v>4166.76</v>
      </c>
      <c r="L1918">
        <v>2631639.0099999998</v>
      </c>
      <c r="M1918">
        <v>63157.919999999998</v>
      </c>
      <c r="N1918" s="2" t="s">
        <v>246</v>
      </c>
      <c r="O1918" s="2" t="s">
        <v>247</v>
      </c>
      <c r="P1918" s="2" t="s">
        <v>3603</v>
      </c>
      <c r="Q1918" s="2" t="s">
        <v>3604</v>
      </c>
      <c r="R1918" s="2" t="s">
        <v>29</v>
      </c>
      <c r="S1918" s="2" t="s">
        <v>30</v>
      </c>
    </row>
    <row r="1919" spans="1:19">
      <c r="A1919" s="1">
        <v>44774</v>
      </c>
      <c r="B1919" s="1">
        <v>44774</v>
      </c>
      <c r="C1919">
        <v>2022</v>
      </c>
      <c r="D1919">
        <v>8</v>
      </c>
      <c r="E1919" s="2" t="s">
        <v>250</v>
      </c>
      <c r="F1919" s="2" t="s">
        <v>251</v>
      </c>
      <c r="G1919" s="2" t="s">
        <v>21</v>
      </c>
      <c r="H1919" s="2" t="s">
        <v>22</v>
      </c>
      <c r="I1919" s="2" t="s">
        <v>66</v>
      </c>
      <c r="J1919" s="2" t="s">
        <v>24</v>
      </c>
      <c r="K1919">
        <v>132.19999999999999</v>
      </c>
      <c r="L1919">
        <v>209.26</v>
      </c>
      <c r="M1919">
        <v>158.29</v>
      </c>
      <c r="N1919" s="2" t="s">
        <v>252</v>
      </c>
      <c r="O1919" s="2" t="s">
        <v>253</v>
      </c>
      <c r="P1919" s="2" t="s">
        <v>3605</v>
      </c>
      <c r="Q1919" s="2" t="s">
        <v>3606</v>
      </c>
      <c r="R1919" s="2" t="s">
        <v>29</v>
      </c>
      <c r="S1919" s="2" t="s">
        <v>30</v>
      </c>
    </row>
    <row r="1920" spans="1:19">
      <c r="A1920" s="1">
        <v>44774</v>
      </c>
      <c r="B1920" s="1">
        <v>44774</v>
      </c>
      <c r="C1920">
        <v>2022</v>
      </c>
      <c r="D1920">
        <v>8</v>
      </c>
      <c r="E1920" s="2" t="s">
        <v>256</v>
      </c>
      <c r="F1920" s="2" t="s">
        <v>257</v>
      </c>
      <c r="G1920" s="2" t="s">
        <v>21</v>
      </c>
      <c r="H1920" s="2" t="s">
        <v>22</v>
      </c>
      <c r="I1920" s="2" t="s">
        <v>258</v>
      </c>
      <c r="J1920" s="2" t="s">
        <v>24</v>
      </c>
      <c r="K1920">
        <v>576.16999999999996</v>
      </c>
      <c r="L1920">
        <v>547503.24</v>
      </c>
      <c r="M1920">
        <v>95024.6</v>
      </c>
      <c r="N1920" s="2" t="s">
        <v>259</v>
      </c>
      <c r="O1920" s="2" t="s">
        <v>260</v>
      </c>
      <c r="P1920" s="2" t="s">
        <v>3607</v>
      </c>
      <c r="Q1920" s="2" t="s">
        <v>3608</v>
      </c>
      <c r="R1920" s="2" t="s">
        <v>29</v>
      </c>
      <c r="S1920" s="2" t="s">
        <v>30</v>
      </c>
    </row>
    <row r="1921" spans="1:19">
      <c r="A1921" s="1">
        <v>44774</v>
      </c>
      <c r="B1921" s="1">
        <v>44774</v>
      </c>
      <c r="C1921">
        <v>2022</v>
      </c>
      <c r="D1921">
        <v>8</v>
      </c>
      <c r="E1921" s="2" t="s">
        <v>263</v>
      </c>
      <c r="F1921" s="2" t="s">
        <v>264</v>
      </c>
      <c r="G1921" s="2" t="s">
        <v>21</v>
      </c>
      <c r="H1921" s="2" t="s">
        <v>22</v>
      </c>
      <c r="I1921" s="2" t="s">
        <v>258</v>
      </c>
      <c r="J1921" s="2" t="s">
        <v>24</v>
      </c>
      <c r="K1921">
        <v>0</v>
      </c>
      <c r="L1921">
        <v>0</v>
      </c>
      <c r="N1921" s="2" t="s">
        <v>265</v>
      </c>
      <c r="O1921" s="2" t="s">
        <v>266</v>
      </c>
      <c r="P1921" s="2" t="s">
        <v>639</v>
      </c>
      <c r="Q1921" s="2" t="s">
        <v>639</v>
      </c>
      <c r="R1921" s="2" t="s">
        <v>29</v>
      </c>
      <c r="S1921" s="2" t="s">
        <v>30</v>
      </c>
    </row>
    <row r="1922" spans="1:19">
      <c r="A1922" s="1">
        <v>44774</v>
      </c>
      <c r="B1922" s="1">
        <v>44774</v>
      </c>
      <c r="C1922">
        <v>2022</v>
      </c>
      <c r="D1922">
        <v>8</v>
      </c>
      <c r="E1922" s="2" t="s">
        <v>269</v>
      </c>
      <c r="F1922" s="2" t="s">
        <v>270</v>
      </c>
      <c r="G1922" s="2" t="s">
        <v>21</v>
      </c>
      <c r="H1922" s="2" t="s">
        <v>22</v>
      </c>
      <c r="I1922" s="2" t="s">
        <v>258</v>
      </c>
      <c r="J1922" s="2" t="s">
        <v>59</v>
      </c>
      <c r="K1922">
        <v>576.16999999999996</v>
      </c>
      <c r="L1922">
        <v>547503.24</v>
      </c>
      <c r="M1922">
        <v>95024.6</v>
      </c>
      <c r="N1922" s="2" t="s">
        <v>271</v>
      </c>
      <c r="O1922" s="2" t="s">
        <v>272</v>
      </c>
      <c r="P1922" s="2" t="s">
        <v>3607</v>
      </c>
      <c r="Q1922" s="2" t="s">
        <v>3608</v>
      </c>
      <c r="R1922" s="2" t="s">
        <v>29</v>
      </c>
      <c r="S1922" s="2" t="s">
        <v>30</v>
      </c>
    </row>
    <row r="1923" spans="1:19">
      <c r="A1923" s="1">
        <v>44774</v>
      </c>
      <c r="B1923" s="1">
        <v>44774</v>
      </c>
      <c r="C1923">
        <v>2022</v>
      </c>
      <c r="D1923">
        <v>8</v>
      </c>
      <c r="E1923" s="2" t="s">
        <v>275</v>
      </c>
      <c r="F1923" s="2" t="s">
        <v>276</v>
      </c>
      <c r="G1923" s="2" t="s">
        <v>39</v>
      </c>
      <c r="H1923" s="2" t="s">
        <v>22</v>
      </c>
      <c r="I1923" s="2" t="s">
        <v>40</v>
      </c>
      <c r="J1923" s="2" t="s">
        <v>24</v>
      </c>
      <c r="K1923">
        <v>2.16</v>
      </c>
      <c r="L1923">
        <v>20.71</v>
      </c>
      <c r="M1923">
        <v>958.8</v>
      </c>
      <c r="N1923" s="2" t="s">
        <v>277</v>
      </c>
      <c r="O1923" s="2" t="s">
        <v>278</v>
      </c>
      <c r="P1923" s="2" t="s">
        <v>3609</v>
      </c>
      <c r="Q1923" s="2" t="s">
        <v>3610</v>
      </c>
      <c r="R1923" s="2" t="s">
        <v>29</v>
      </c>
      <c r="S1923" s="2" t="s">
        <v>30</v>
      </c>
    </row>
    <row r="1924" spans="1:19">
      <c r="A1924" s="1">
        <v>44774</v>
      </c>
      <c r="B1924" s="1">
        <v>44774</v>
      </c>
      <c r="C1924">
        <v>2022</v>
      </c>
      <c r="D1924">
        <v>8</v>
      </c>
      <c r="E1924" s="2" t="s">
        <v>281</v>
      </c>
      <c r="F1924" s="2" t="s">
        <v>282</v>
      </c>
      <c r="G1924" s="2" t="s">
        <v>39</v>
      </c>
      <c r="H1924" s="2" t="s">
        <v>22</v>
      </c>
      <c r="I1924" s="2" t="s">
        <v>40</v>
      </c>
      <c r="J1924" s="2" t="s">
        <v>24</v>
      </c>
      <c r="K1924">
        <v>0.03</v>
      </c>
      <c r="L1924">
        <v>0.23</v>
      </c>
      <c r="M1924">
        <v>766.67</v>
      </c>
      <c r="N1924" s="2" t="s">
        <v>283</v>
      </c>
      <c r="O1924" s="2" t="s">
        <v>284</v>
      </c>
      <c r="P1924" s="2" t="s">
        <v>1247</v>
      </c>
      <c r="Q1924" s="2" t="s">
        <v>725</v>
      </c>
      <c r="R1924" s="2" t="s">
        <v>29</v>
      </c>
      <c r="S1924" s="2" t="s">
        <v>30</v>
      </c>
    </row>
    <row r="1925" spans="1:19">
      <c r="A1925" s="1">
        <v>44774</v>
      </c>
      <c r="B1925" s="1">
        <v>44774</v>
      </c>
      <c r="C1925">
        <v>2022</v>
      </c>
      <c r="D1925">
        <v>8</v>
      </c>
      <c r="E1925" s="2" t="s">
        <v>287</v>
      </c>
      <c r="F1925" s="2" t="s">
        <v>288</v>
      </c>
      <c r="G1925" s="2" t="s">
        <v>39</v>
      </c>
      <c r="H1925" s="2" t="s">
        <v>22</v>
      </c>
      <c r="I1925" s="2" t="s">
        <v>40</v>
      </c>
      <c r="J1925" s="2" t="s">
        <v>59</v>
      </c>
      <c r="K1925">
        <v>2.19</v>
      </c>
      <c r="L1925">
        <v>20.94</v>
      </c>
      <c r="M1925">
        <v>956.16</v>
      </c>
      <c r="N1925" s="2" t="s">
        <v>289</v>
      </c>
      <c r="O1925" s="2" t="s">
        <v>290</v>
      </c>
      <c r="P1925" s="2" t="s">
        <v>3049</v>
      </c>
      <c r="Q1925" s="2" t="s">
        <v>3611</v>
      </c>
      <c r="R1925" s="2" t="s">
        <v>29</v>
      </c>
      <c r="S1925" s="2" t="s">
        <v>30</v>
      </c>
    </row>
    <row r="1926" spans="1:19">
      <c r="A1926" s="1">
        <v>44774</v>
      </c>
      <c r="B1926" s="1">
        <v>44774</v>
      </c>
      <c r="C1926">
        <v>2022</v>
      </c>
      <c r="D1926">
        <v>8</v>
      </c>
      <c r="E1926" s="2" t="s">
        <v>293</v>
      </c>
      <c r="F1926" s="2" t="s">
        <v>294</v>
      </c>
      <c r="G1926" s="2" t="s">
        <v>21</v>
      </c>
      <c r="H1926" s="2" t="s">
        <v>22</v>
      </c>
      <c r="I1926" s="2" t="s">
        <v>295</v>
      </c>
      <c r="J1926" s="2" t="s">
        <v>24</v>
      </c>
      <c r="K1926">
        <v>1216.3699999999999</v>
      </c>
      <c r="L1926">
        <v>4953.3599999999997</v>
      </c>
      <c r="M1926">
        <v>407.22</v>
      </c>
      <c r="N1926" s="2" t="s">
        <v>296</v>
      </c>
      <c r="O1926" s="2" t="s">
        <v>297</v>
      </c>
      <c r="P1926" s="2" t="s">
        <v>3612</v>
      </c>
      <c r="Q1926" s="2" t="s">
        <v>3613</v>
      </c>
      <c r="R1926" s="2" t="s">
        <v>29</v>
      </c>
      <c r="S1926" s="2" t="s">
        <v>30</v>
      </c>
    </row>
    <row r="1927" spans="1:19">
      <c r="A1927" s="1">
        <v>44774</v>
      </c>
      <c r="B1927" s="1">
        <v>44774</v>
      </c>
      <c r="C1927">
        <v>2022</v>
      </c>
      <c r="D1927">
        <v>8</v>
      </c>
      <c r="E1927" s="2" t="s">
        <v>300</v>
      </c>
      <c r="F1927" s="2" t="s">
        <v>301</v>
      </c>
      <c r="G1927" s="2" t="s">
        <v>21</v>
      </c>
      <c r="H1927" s="2" t="s">
        <v>22</v>
      </c>
      <c r="I1927" s="2" t="s">
        <v>295</v>
      </c>
      <c r="J1927" s="2" t="s">
        <v>24</v>
      </c>
      <c r="K1927">
        <v>83.9</v>
      </c>
      <c r="L1927">
        <v>1177.3</v>
      </c>
      <c r="M1927">
        <v>1403.22</v>
      </c>
      <c r="N1927" s="2" t="s">
        <v>302</v>
      </c>
      <c r="O1927" s="2" t="s">
        <v>303</v>
      </c>
      <c r="P1927" s="2" t="s">
        <v>3614</v>
      </c>
      <c r="Q1927" s="2" t="s">
        <v>3615</v>
      </c>
      <c r="R1927" s="2" t="s">
        <v>29</v>
      </c>
      <c r="S1927" s="2" t="s">
        <v>30</v>
      </c>
    </row>
    <row r="1928" spans="1:19">
      <c r="A1928" s="1">
        <v>44774</v>
      </c>
      <c r="B1928" s="1">
        <v>44774</v>
      </c>
      <c r="C1928">
        <v>2022</v>
      </c>
      <c r="D1928">
        <v>8</v>
      </c>
      <c r="E1928" s="2" t="s">
        <v>306</v>
      </c>
      <c r="F1928" s="2" t="s">
        <v>307</v>
      </c>
      <c r="G1928" s="2" t="s">
        <v>21</v>
      </c>
      <c r="H1928" s="2" t="s">
        <v>22</v>
      </c>
      <c r="I1928" s="2" t="s">
        <v>295</v>
      </c>
      <c r="J1928" s="2" t="s">
        <v>101</v>
      </c>
      <c r="K1928">
        <v>1300.27</v>
      </c>
      <c r="L1928">
        <v>6130.66</v>
      </c>
      <c r="M1928">
        <v>471.49</v>
      </c>
      <c r="N1928" s="2" t="s">
        <v>308</v>
      </c>
      <c r="O1928" s="2" t="s">
        <v>309</v>
      </c>
      <c r="P1928" s="2" t="s">
        <v>3616</v>
      </c>
      <c r="Q1928" s="2" t="s">
        <v>3617</v>
      </c>
      <c r="R1928" s="2" t="s">
        <v>29</v>
      </c>
      <c r="S1928" s="2" t="s">
        <v>30</v>
      </c>
    </row>
    <row r="1929" spans="1:19">
      <c r="A1929" s="1">
        <v>44774</v>
      </c>
      <c r="B1929" s="1">
        <v>44774</v>
      </c>
      <c r="C1929">
        <v>2022</v>
      </c>
      <c r="D1929">
        <v>8</v>
      </c>
      <c r="E1929" s="2" t="s">
        <v>312</v>
      </c>
      <c r="F1929" s="2" t="s">
        <v>313</v>
      </c>
      <c r="G1929" s="2" t="s">
        <v>21</v>
      </c>
      <c r="H1929" s="2" t="s">
        <v>22</v>
      </c>
      <c r="I1929" s="2" t="s">
        <v>295</v>
      </c>
      <c r="J1929" s="2" t="s">
        <v>59</v>
      </c>
      <c r="K1929">
        <v>6177.69</v>
      </c>
      <c r="L1929">
        <v>24625.42</v>
      </c>
      <c r="M1929">
        <v>398.62</v>
      </c>
      <c r="N1929" s="2" t="s">
        <v>314</v>
      </c>
      <c r="O1929" s="2" t="s">
        <v>315</v>
      </c>
      <c r="P1929" s="2" t="s">
        <v>3618</v>
      </c>
      <c r="Q1929" s="2" t="s">
        <v>3619</v>
      </c>
      <c r="R1929" s="2" t="s">
        <v>29</v>
      </c>
      <c r="S1929" s="2" t="s">
        <v>30</v>
      </c>
    </row>
    <row r="1930" spans="1:19">
      <c r="A1930" s="1">
        <v>44774</v>
      </c>
      <c r="B1930" s="1">
        <v>44774</v>
      </c>
      <c r="C1930">
        <v>2022</v>
      </c>
      <c r="D1930">
        <v>8</v>
      </c>
      <c r="E1930" s="2" t="s">
        <v>318</v>
      </c>
      <c r="F1930" s="2" t="s">
        <v>319</v>
      </c>
      <c r="G1930" s="2" t="s">
        <v>21</v>
      </c>
      <c r="H1930" s="2" t="s">
        <v>22</v>
      </c>
      <c r="I1930" s="2" t="s">
        <v>295</v>
      </c>
      <c r="J1930" s="2" t="s">
        <v>24</v>
      </c>
      <c r="K1930">
        <v>4877.42</v>
      </c>
      <c r="L1930">
        <v>18494.759999999998</v>
      </c>
      <c r="M1930">
        <v>379.19</v>
      </c>
      <c r="N1930" s="2" t="s">
        <v>320</v>
      </c>
      <c r="O1930" s="2" t="s">
        <v>321</v>
      </c>
      <c r="P1930" s="2" t="s">
        <v>3620</v>
      </c>
      <c r="Q1930" s="2" t="s">
        <v>3621</v>
      </c>
      <c r="R1930" s="2" t="s">
        <v>29</v>
      </c>
      <c r="S1930" s="2" t="s">
        <v>30</v>
      </c>
    </row>
    <row r="1931" spans="1:19">
      <c r="A1931" s="1">
        <v>44774</v>
      </c>
      <c r="B1931" s="1">
        <v>44774</v>
      </c>
      <c r="C1931">
        <v>2022</v>
      </c>
      <c r="D1931">
        <v>8</v>
      </c>
      <c r="E1931" s="2" t="s">
        <v>324</v>
      </c>
      <c r="F1931" s="2" t="s">
        <v>325</v>
      </c>
      <c r="G1931" s="2" t="s">
        <v>21</v>
      </c>
      <c r="H1931" s="2" t="s">
        <v>22</v>
      </c>
      <c r="I1931" s="2" t="s">
        <v>23</v>
      </c>
      <c r="J1931" s="2" t="s">
        <v>59</v>
      </c>
      <c r="K1931">
        <v>77757.95</v>
      </c>
      <c r="L1931">
        <v>4288962.9800000004</v>
      </c>
      <c r="M1931">
        <v>5515.79</v>
      </c>
      <c r="N1931" s="2" t="s">
        <v>326</v>
      </c>
      <c r="O1931" s="2" t="s">
        <v>327</v>
      </c>
      <c r="P1931" s="2" t="s">
        <v>3622</v>
      </c>
      <c r="Q1931" s="2" t="s">
        <v>3623</v>
      </c>
      <c r="R1931" s="2" t="s">
        <v>29</v>
      </c>
      <c r="S1931" s="2" t="s">
        <v>30</v>
      </c>
    </row>
    <row r="1932" spans="1:19">
      <c r="A1932" s="1">
        <v>44774</v>
      </c>
      <c r="B1932" s="1">
        <v>44774</v>
      </c>
      <c r="C1932">
        <v>2022</v>
      </c>
      <c r="D1932">
        <v>8</v>
      </c>
      <c r="E1932" s="2" t="s">
        <v>330</v>
      </c>
      <c r="F1932" s="2" t="s">
        <v>331</v>
      </c>
      <c r="G1932" s="2" t="s">
        <v>21</v>
      </c>
      <c r="H1932" s="2" t="s">
        <v>332</v>
      </c>
      <c r="I1932" s="2" t="s">
        <v>333</v>
      </c>
      <c r="J1932" s="2" t="s">
        <v>24</v>
      </c>
      <c r="K1932">
        <v>186.92</v>
      </c>
      <c r="L1932">
        <v>10274479.6</v>
      </c>
      <c r="M1932">
        <v>5496725.6600000001</v>
      </c>
      <c r="N1932" s="2" t="s">
        <v>334</v>
      </c>
      <c r="O1932" s="2" t="s">
        <v>335</v>
      </c>
      <c r="P1932" s="2" t="s">
        <v>3624</v>
      </c>
      <c r="Q1932" s="2" t="s">
        <v>3625</v>
      </c>
      <c r="R1932" s="2" t="s">
        <v>29</v>
      </c>
      <c r="S1932" s="2" t="s">
        <v>30</v>
      </c>
    </row>
    <row r="1933" spans="1:19">
      <c r="A1933" s="1">
        <v>44774</v>
      </c>
      <c r="B1933" s="1">
        <v>44774</v>
      </c>
      <c r="C1933">
        <v>2022</v>
      </c>
      <c r="D1933">
        <v>8</v>
      </c>
      <c r="E1933" s="2" t="s">
        <v>338</v>
      </c>
      <c r="F1933" s="2" t="s">
        <v>339</v>
      </c>
      <c r="G1933" s="2" t="s">
        <v>21</v>
      </c>
      <c r="H1933" s="2" t="s">
        <v>332</v>
      </c>
      <c r="I1933" s="2" t="s">
        <v>333</v>
      </c>
      <c r="J1933" s="2" t="s">
        <v>24</v>
      </c>
      <c r="K1933">
        <v>1.1599999999999999</v>
      </c>
      <c r="L1933">
        <v>1391103.11</v>
      </c>
      <c r="M1933">
        <v>119922681.90000001</v>
      </c>
      <c r="N1933" s="2" t="s">
        <v>340</v>
      </c>
      <c r="O1933" s="2" t="s">
        <v>341</v>
      </c>
      <c r="P1933" s="2" t="s">
        <v>1921</v>
      </c>
      <c r="Q1933" s="2" t="s">
        <v>3626</v>
      </c>
      <c r="R1933" s="2" t="s">
        <v>29</v>
      </c>
      <c r="S1933" s="2" t="s">
        <v>30</v>
      </c>
    </row>
    <row r="1934" spans="1:19">
      <c r="A1934" s="1">
        <v>44774</v>
      </c>
      <c r="B1934" s="1">
        <v>44774</v>
      </c>
      <c r="C1934">
        <v>2022</v>
      </c>
      <c r="D1934">
        <v>8</v>
      </c>
      <c r="E1934" s="2" t="s">
        <v>344</v>
      </c>
      <c r="F1934" s="2" t="s">
        <v>345</v>
      </c>
      <c r="G1934" s="2" t="s">
        <v>21</v>
      </c>
      <c r="H1934" s="2" t="s">
        <v>332</v>
      </c>
      <c r="I1934" s="2" t="s">
        <v>333</v>
      </c>
      <c r="J1934" s="2" t="s">
        <v>59</v>
      </c>
      <c r="K1934">
        <v>188.08</v>
      </c>
      <c r="L1934">
        <v>11665582.710000001</v>
      </c>
      <c r="M1934">
        <v>6202457.8399999999</v>
      </c>
      <c r="N1934" s="2" t="s">
        <v>346</v>
      </c>
      <c r="O1934" s="2" t="s">
        <v>347</v>
      </c>
      <c r="P1934" s="2" t="s">
        <v>3627</v>
      </c>
      <c r="Q1934" s="2" t="s">
        <v>3628</v>
      </c>
      <c r="R1934" s="2" t="s">
        <v>29</v>
      </c>
      <c r="S1934" s="2" t="s">
        <v>30</v>
      </c>
    </row>
    <row r="1935" spans="1:19">
      <c r="A1935" s="1">
        <v>44774</v>
      </c>
      <c r="B1935" s="1">
        <v>44774</v>
      </c>
      <c r="C1935">
        <v>2022</v>
      </c>
      <c r="D1935">
        <v>8</v>
      </c>
      <c r="E1935" s="2" t="s">
        <v>350</v>
      </c>
      <c r="F1935" s="2" t="s">
        <v>351</v>
      </c>
      <c r="G1935" s="2" t="s">
        <v>21</v>
      </c>
      <c r="H1935" s="2" t="s">
        <v>22</v>
      </c>
      <c r="I1935" s="2" t="s">
        <v>352</v>
      </c>
      <c r="J1935" s="2" t="s">
        <v>353</v>
      </c>
      <c r="K1935">
        <v>90852.160000000003</v>
      </c>
      <c r="L1935">
        <v>16256511.76</v>
      </c>
      <c r="M1935">
        <v>17893.37</v>
      </c>
      <c r="N1935" s="2" t="s">
        <v>354</v>
      </c>
      <c r="O1935" s="2" t="s">
        <v>355</v>
      </c>
      <c r="P1935" s="2" t="s">
        <v>3629</v>
      </c>
      <c r="Q1935" s="2" t="s">
        <v>3630</v>
      </c>
      <c r="R1935" s="2" t="s">
        <v>29</v>
      </c>
      <c r="S1935" s="2" t="s">
        <v>30</v>
      </c>
    </row>
    <row r="1936" spans="1:19">
      <c r="A1936" s="1">
        <v>44774</v>
      </c>
      <c r="B1936" s="1">
        <v>44774</v>
      </c>
      <c r="C1936">
        <v>2022</v>
      </c>
      <c r="D1936">
        <v>8</v>
      </c>
      <c r="E1936" s="2" t="s">
        <v>358</v>
      </c>
      <c r="F1936" s="2" t="s">
        <v>359</v>
      </c>
      <c r="G1936" s="2" t="s">
        <v>21</v>
      </c>
      <c r="H1936" s="2" t="s">
        <v>22</v>
      </c>
      <c r="I1936" s="2" t="s">
        <v>352</v>
      </c>
      <c r="J1936" s="2" t="s">
        <v>353</v>
      </c>
      <c r="K1936">
        <v>91428.33</v>
      </c>
      <c r="L1936">
        <v>16804015</v>
      </c>
      <c r="M1936">
        <v>18379.439999999999</v>
      </c>
      <c r="N1936" s="2" t="s">
        <v>360</v>
      </c>
      <c r="O1936" s="2" t="s">
        <v>361</v>
      </c>
      <c r="P1936" s="2" t="s">
        <v>3631</v>
      </c>
      <c r="Q1936" s="2" t="s">
        <v>3632</v>
      </c>
      <c r="R1936" s="2" t="s">
        <v>29</v>
      </c>
      <c r="S1936" s="2" t="s">
        <v>30</v>
      </c>
    </row>
    <row r="1937" spans="1:19">
      <c r="A1937" s="1">
        <v>44774</v>
      </c>
      <c r="B1937" s="1">
        <v>44774</v>
      </c>
      <c r="C1937">
        <v>2022</v>
      </c>
      <c r="D1937">
        <v>8</v>
      </c>
      <c r="E1937" s="2" t="s">
        <v>364</v>
      </c>
      <c r="F1937" s="2" t="s">
        <v>365</v>
      </c>
      <c r="G1937" s="2" t="s">
        <v>21</v>
      </c>
      <c r="H1937" s="2" t="s">
        <v>22</v>
      </c>
      <c r="I1937" s="2" t="s">
        <v>352</v>
      </c>
      <c r="J1937" s="2" t="s">
        <v>353</v>
      </c>
      <c r="K1937">
        <v>91240.25</v>
      </c>
      <c r="L1937">
        <v>5138432.29</v>
      </c>
      <c r="M1937">
        <v>5631.76</v>
      </c>
      <c r="N1937" s="2" t="s">
        <v>366</v>
      </c>
      <c r="O1937" s="2" t="s">
        <v>367</v>
      </c>
      <c r="P1937" s="2" t="s">
        <v>3633</v>
      </c>
      <c r="Q1937" s="2" t="s">
        <v>3634</v>
      </c>
      <c r="R1937" s="2" t="s">
        <v>29</v>
      </c>
      <c r="S1937" s="2" t="s">
        <v>30</v>
      </c>
    </row>
    <row r="1938" spans="1:19">
      <c r="A1938" s="1">
        <v>44774</v>
      </c>
      <c r="B1938" s="1">
        <v>44774</v>
      </c>
      <c r="C1938">
        <v>2022</v>
      </c>
      <c r="D1938">
        <v>8</v>
      </c>
      <c r="E1938" s="2" t="s">
        <v>370</v>
      </c>
      <c r="F1938" s="2" t="s">
        <v>371</v>
      </c>
      <c r="G1938" s="2" t="s">
        <v>21</v>
      </c>
      <c r="H1938" s="2" t="s">
        <v>22</v>
      </c>
      <c r="I1938" s="2" t="s">
        <v>23</v>
      </c>
      <c r="J1938" s="2" t="s">
        <v>24</v>
      </c>
      <c r="K1938">
        <v>65819.06</v>
      </c>
      <c r="L1938">
        <v>1073162.17</v>
      </c>
      <c r="M1938">
        <v>1630.47</v>
      </c>
      <c r="N1938" s="2" t="s">
        <v>372</v>
      </c>
      <c r="O1938" s="2" t="s">
        <v>373</v>
      </c>
      <c r="P1938" s="2" t="s">
        <v>3635</v>
      </c>
      <c r="Q1938" s="2" t="s">
        <v>3636</v>
      </c>
      <c r="R1938" s="2" t="s">
        <v>29</v>
      </c>
      <c r="S1938" s="2" t="s">
        <v>30</v>
      </c>
    </row>
    <row r="1939" spans="1:19">
      <c r="A1939" s="1">
        <v>44774</v>
      </c>
      <c r="B1939" s="1">
        <v>44774</v>
      </c>
      <c r="C1939">
        <v>2022</v>
      </c>
      <c r="D1939">
        <v>8</v>
      </c>
      <c r="E1939" s="2" t="s">
        <v>376</v>
      </c>
      <c r="F1939" s="2" t="s">
        <v>377</v>
      </c>
      <c r="G1939" s="2" t="s">
        <v>21</v>
      </c>
      <c r="H1939" s="2" t="s">
        <v>22</v>
      </c>
      <c r="I1939" s="2" t="s">
        <v>23</v>
      </c>
      <c r="J1939" s="2" t="s">
        <v>378</v>
      </c>
      <c r="K1939">
        <v>1.63</v>
      </c>
      <c r="L1939">
        <v>17.09</v>
      </c>
      <c r="M1939">
        <v>1048.47</v>
      </c>
      <c r="N1939" s="2" t="s">
        <v>379</v>
      </c>
      <c r="O1939" s="2" t="s">
        <v>380</v>
      </c>
      <c r="P1939" s="2" t="s">
        <v>3637</v>
      </c>
      <c r="Q1939" s="2" t="s">
        <v>3638</v>
      </c>
      <c r="R1939" s="2" t="s">
        <v>29</v>
      </c>
      <c r="S1939" s="2" t="s">
        <v>30</v>
      </c>
    </row>
    <row r="1940" spans="1:19">
      <c r="A1940" s="1">
        <v>44805</v>
      </c>
      <c r="B1940" s="1">
        <v>44805</v>
      </c>
      <c r="C1940">
        <v>2022</v>
      </c>
      <c r="D1940">
        <v>9</v>
      </c>
      <c r="E1940" s="2" t="s">
        <v>19</v>
      </c>
      <c r="F1940" s="2" t="s">
        <v>20</v>
      </c>
      <c r="G1940" s="2" t="s">
        <v>21</v>
      </c>
      <c r="H1940" s="2" t="s">
        <v>22</v>
      </c>
      <c r="I1940" s="2" t="s">
        <v>23</v>
      </c>
      <c r="J1940" s="2" t="s">
        <v>24</v>
      </c>
      <c r="K1940">
        <v>0.55000000000000004</v>
      </c>
      <c r="L1940">
        <v>31.51</v>
      </c>
      <c r="M1940">
        <v>5729.09</v>
      </c>
      <c r="N1940" s="2" t="s">
        <v>25</v>
      </c>
      <c r="O1940" s="2" t="s">
        <v>26</v>
      </c>
      <c r="P1940" s="2" t="s">
        <v>2613</v>
      </c>
      <c r="Q1940" s="2" t="s">
        <v>3639</v>
      </c>
      <c r="R1940" s="2" t="s">
        <v>29</v>
      </c>
      <c r="S1940" s="2" t="s">
        <v>30</v>
      </c>
    </row>
    <row r="1941" spans="1:19">
      <c r="A1941" s="1">
        <v>44805</v>
      </c>
      <c r="B1941" s="1">
        <v>44805</v>
      </c>
      <c r="C1941">
        <v>2022</v>
      </c>
      <c r="D1941">
        <v>9</v>
      </c>
      <c r="E1941" s="2" t="s">
        <v>31</v>
      </c>
      <c r="F1941" s="2" t="s">
        <v>32</v>
      </c>
      <c r="G1941" s="2" t="s">
        <v>21</v>
      </c>
      <c r="H1941" s="2" t="s">
        <v>22</v>
      </c>
      <c r="I1941" s="2" t="s">
        <v>23</v>
      </c>
      <c r="J1941" s="2" t="s">
        <v>24</v>
      </c>
      <c r="K1941">
        <v>1170.4000000000001</v>
      </c>
      <c r="L1941">
        <v>12805.09</v>
      </c>
      <c r="M1941">
        <v>1094.08</v>
      </c>
      <c r="N1941" s="2" t="s">
        <v>33</v>
      </c>
      <c r="O1941" s="2" t="s">
        <v>34</v>
      </c>
      <c r="P1941" s="2" t="s">
        <v>3640</v>
      </c>
      <c r="Q1941" s="2" t="s">
        <v>3641</v>
      </c>
      <c r="R1941" s="2" t="s">
        <v>29</v>
      </c>
      <c r="S1941" s="2" t="s">
        <v>30</v>
      </c>
    </row>
    <row r="1942" spans="1:19">
      <c r="A1942" s="1">
        <v>44805</v>
      </c>
      <c r="B1942" s="1">
        <v>44805</v>
      </c>
      <c r="C1942">
        <v>2022</v>
      </c>
      <c r="D1942">
        <v>9</v>
      </c>
      <c r="E1942" s="2" t="s">
        <v>37</v>
      </c>
      <c r="F1942" s="2" t="s">
        <v>38</v>
      </c>
      <c r="G1942" s="2" t="s">
        <v>39</v>
      </c>
      <c r="H1942" s="2" t="s">
        <v>22</v>
      </c>
      <c r="I1942" s="2" t="s">
        <v>40</v>
      </c>
      <c r="J1942" s="2" t="s">
        <v>24</v>
      </c>
      <c r="K1942">
        <v>7.22</v>
      </c>
      <c r="L1942">
        <v>350.52</v>
      </c>
      <c r="M1942">
        <v>4854.8500000000004</v>
      </c>
      <c r="N1942" s="2" t="s">
        <v>41</v>
      </c>
      <c r="O1942" s="2" t="s">
        <v>42</v>
      </c>
      <c r="P1942" s="2" t="s">
        <v>3642</v>
      </c>
      <c r="Q1942" s="2" t="s">
        <v>3643</v>
      </c>
      <c r="R1942" s="2" t="s">
        <v>29</v>
      </c>
      <c r="S1942" s="2" t="s">
        <v>30</v>
      </c>
    </row>
    <row r="1943" spans="1:19">
      <c r="A1943" s="1">
        <v>44805</v>
      </c>
      <c r="B1943" s="1">
        <v>44805</v>
      </c>
      <c r="C1943">
        <v>2022</v>
      </c>
      <c r="D1943">
        <v>9</v>
      </c>
      <c r="E1943" s="2" t="s">
        <v>45</v>
      </c>
      <c r="F1943" s="2" t="s">
        <v>46</v>
      </c>
      <c r="G1943" s="2" t="s">
        <v>39</v>
      </c>
      <c r="H1943" s="2" t="s">
        <v>22</v>
      </c>
      <c r="I1943" s="2" t="s">
        <v>40</v>
      </c>
      <c r="J1943" s="2" t="s">
        <v>24</v>
      </c>
      <c r="K1943">
        <v>5684.15</v>
      </c>
      <c r="L1943">
        <v>263765.23</v>
      </c>
      <c r="M1943">
        <v>4640.3599999999997</v>
      </c>
      <c r="N1943" s="2" t="s">
        <v>47</v>
      </c>
      <c r="O1943" s="2" t="s">
        <v>48</v>
      </c>
      <c r="P1943" s="2" t="s">
        <v>3644</v>
      </c>
      <c r="Q1943" s="2" t="s">
        <v>3645</v>
      </c>
      <c r="R1943" s="2" t="s">
        <v>29</v>
      </c>
      <c r="S1943" s="2" t="s">
        <v>30</v>
      </c>
    </row>
    <row r="1944" spans="1:19">
      <c r="A1944" s="1">
        <v>44805</v>
      </c>
      <c r="B1944" s="1">
        <v>44805</v>
      </c>
      <c r="C1944">
        <v>2022</v>
      </c>
      <c r="D1944">
        <v>9</v>
      </c>
      <c r="E1944" s="2" t="s">
        <v>51</v>
      </c>
      <c r="F1944" s="2" t="s">
        <v>52</v>
      </c>
      <c r="G1944" s="2" t="s">
        <v>39</v>
      </c>
      <c r="H1944" s="2" t="s">
        <v>22</v>
      </c>
      <c r="I1944" s="2" t="s">
        <v>40</v>
      </c>
      <c r="J1944" s="2" t="s">
        <v>24</v>
      </c>
      <c r="K1944">
        <v>34.36</v>
      </c>
      <c r="L1944">
        <v>1126.81</v>
      </c>
      <c r="M1944">
        <v>3279.42</v>
      </c>
      <c r="N1944" s="2" t="s">
        <v>53</v>
      </c>
      <c r="O1944" s="2" t="s">
        <v>54</v>
      </c>
      <c r="P1944" s="2" t="s">
        <v>3646</v>
      </c>
      <c r="Q1944" s="2" t="s">
        <v>3647</v>
      </c>
      <c r="R1944" s="2" t="s">
        <v>29</v>
      </c>
      <c r="S1944" s="2" t="s">
        <v>30</v>
      </c>
    </row>
    <row r="1945" spans="1:19">
      <c r="A1945" s="1">
        <v>44805</v>
      </c>
      <c r="B1945" s="1">
        <v>44805</v>
      </c>
      <c r="C1945">
        <v>2022</v>
      </c>
      <c r="D1945">
        <v>9</v>
      </c>
      <c r="E1945" s="2" t="s">
        <v>57</v>
      </c>
      <c r="F1945" s="2" t="s">
        <v>58</v>
      </c>
      <c r="G1945" s="2" t="s">
        <v>39</v>
      </c>
      <c r="H1945" s="2" t="s">
        <v>22</v>
      </c>
      <c r="I1945" s="2" t="s">
        <v>40</v>
      </c>
      <c r="J1945" s="2" t="s">
        <v>59</v>
      </c>
      <c r="K1945">
        <v>5725.73</v>
      </c>
      <c r="L1945">
        <v>265242.57</v>
      </c>
      <c r="M1945">
        <v>4632.47</v>
      </c>
      <c r="N1945" s="2" t="s">
        <v>60</v>
      </c>
      <c r="O1945" s="2" t="s">
        <v>61</v>
      </c>
      <c r="P1945" s="2" t="s">
        <v>3648</v>
      </c>
      <c r="Q1945" s="2" t="s">
        <v>3649</v>
      </c>
      <c r="R1945" s="2" t="s">
        <v>29</v>
      </c>
      <c r="S1945" s="2" t="s">
        <v>30</v>
      </c>
    </row>
    <row r="1946" spans="1:19">
      <c r="A1946" s="1">
        <v>44805</v>
      </c>
      <c r="B1946" s="1">
        <v>44805</v>
      </c>
      <c r="C1946">
        <v>2022</v>
      </c>
      <c r="D1946">
        <v>9</v>
      </c>
      <c r="E1946" s="2" t="s">
        <v>64</v>
      </c>
      <c r="F1946" s="2" t="s">
        <v>65</v>
      </c>
      <c r="G1946" s="2" t="s">
        <v>21</v>
      </c>
      <c r="H1946" s="2" t="s">
        <v>22</v>
      </c>
      <c r="I1946" s="2" t="s">
        <v>66</v>
      </c>
      <c r="J1946" s="2" t="s">
        <v>24</v>
      </c>
      <c r="K1946">
        <v>16.350000000000001</v>
      </c>
      <c r="L1946">
        <v>516.42999999999995</v>
      </c>
      <c r="M1946">
        <v>3158.59</v>
      </c>
      <c r="N1946" s="2" t="s">
        <v>67</v>
      </c>
      <c r="O1946" s="2" t="s">
        <v>68</v>
      </c>
      <c r="P1946" s="2" t="s">
        <v>3650</v>
      </c>
      <c r="Q1946" s="2" t="s">
        <v>3651</v>
      </c>
      <c r="R1946" s="2" t="s">
        <v>29</v>
      </c>
      <c r="S1946" s="2" t="s">
        <v>30</v>
      </c>
    </row>
    <row r="1947" spans="1:19">
      <c r="A1947" s="1">
        <v>44805</v>
      </c>
      <c r="B1947" s="1">
        <v>44805</v>
      </c>
      <c r="C1947">
        <v>2022</v>
      </c>
      <c r="D1947">
        <v>9</v>
      </c>
      <c r="E1947" s="2" t="s">
        <v>71</v>
      </c>
      <c r="F1947" s="2" t="s">
        <v>72</v>
      </c>
      <c r="G1947" s="2" t="s">
        <v>21</v>
      </c>
      <c r="H1947" s="2" t="s">
        <v>22</v>
      </c>
      <c r="I1947" s="2" t="s">
        <v>73</v>
      </c>
      <c r="J1947" s="2" t="s">
        <v>59</v>
      </c>
      <c r="K1947">
        <v>5352.43</v>
      </c>
      <c r="L1947">
        <v>183297.75</v>
      </c>
      <c r="M1947">
        <v>3424.57</v>
      </c>
      <c r="N1947" s="2" t="s">
        <v>74</v>
      </c>
      <c r="O1947" s="2" t="s">
        <v>75</v>
      </c>
      <c r="P1947" s="2" t="s">
        <v>3652</v>
      </c>
      <c r="Q1947" s="2" t="s">
        <v>3653</v>
      </c>
      <c r="R1947" s="2" t="s">
        <v>29</v>
      </c>
      <c r="S1947" s="2" t="s">
        <v>30</v>
      </c>
    </row>
    <row r="1948" spans="1:19">
      <c r="A1948" s="1">
        <v>44805</v>
      </c>
      <c r="B1948" s="1">
        <v>44805</v>
      </c>
      <c r="C1948">
        <v>2022</v>
      </c>
      <c r="D1948">
        <v>9</v>
      </c>
      <c r="E1948" s="2" t="s">
        <v>78</v>
      </c>
      <c r="F1948" s="2" t="s">
        <v>79</v>
      </c>
      <c r="G1948" s="2" t="s">
        <v>80</v>
      </c>
      <c r="H1948" s="2" t="s">
        <v>81</v>
      </c>
      <c r="I1948" s="2" t="s">
        <v>82</v>
      </c>
      <c r="J1948" s="2" t="s">
        <v>24</v>
      </c>
      <c r="K1948">
        <v>2.34</v>
      </c>
      <c r="L1948">
        <v>7499480.6799999997</v>
      </c>
      <c r="M1948">
        <v>320490627.35000002</v>
      </c>
      <c r="N1948" s="2" t="s">
        <v>83</v>
      </c>
      <c r="O1948" s="2" t="s">
        <v>84</v>
      </c>
      <c r="P1948" s="2" t="s">
        <v>3654</v>
      </c>
      <c r="Q1948" s="2" t="s">
        <v>3655</v>
      </c>
      <c r="R1948" s="2" t="s">
        <v>29</v>
      </c>
      <c r="S1948" s="2" t="s">
        <v>30</v>
      </c>
    </row>
    <row r="1949" spans="1:19">
      <c r="A1949" s="1">
        <v>44805</v>
      </c>
      <c r="B1949" s="1">
        <v>44805</v>
      </c>
      <c r="C1949">
        <v>2022</v>
      </c>
      <c r="D1949">
        <v>9</v>
      </c>
      <c r="E1949" s="2" t="s">
        <v>87</v>
      </c>
      <c r="F1949" s="2" t="s">
        <v>88</v>
      </c>
      <c r="G1949" s="2" t="s">
        <v>80</v>
      </c>
      <c r="H1949" s="2" t="s">
        <v>81</v>
      </c>
      <c r="I1949" s="2" t="s">
        <v>82</v>
      </c>
      <c r="J1949" s="2" t="s">
        <v>24</v>
      </c>
      <c r="K1949">
        <v>0.86</v>
      </c>
      <c r="L1949">
        <v>1027325.72</v>
      </c>
      <c r="M1949">
        <v>119456479.06999999</v>
      </c>
      <c r="N1949" s="2" t="s">
        <v>89</v>
      </c>
      <c r="O1949" s="2" t="s">
        <v>90</v>
      </c>
      <c r="P1949" s="2" t="s">
        <v>723</v>
      </c>
      <c r="Q1949" s="2" t="s">
        <v>3656</v>
      </c>
      <c r="R1949" s="2" t="s">
        <v>29</v>
      </c>
      <c r="S1949" s="2" t="s">
        <v>30</v>
      </c>
    </row>
    <row r="1950" spans="1:19">
      <c r="A1950" s="1">
        <v>44805</v>
      </c>
      <c r="B1950" s="1">
        <v>44805</v>
      </c>
      <c r="C1950">
        <v>2022</v>
      </c>
      <c r="D1950">
        <v>9</v>
      </c>
      <c r="E1950" s="2" t="s">
        <v>93</v>
      </c>
      <c r="F1950" s="2" t="s">
        <v>94</v>
      </c>
      <c r="G1950" s="2" t="s">
        <v>80</v>
      </c>
      <c r="H1950" s="2" t="s">
        <v>81</v>
      </c>
      <c r="I1950" s="2" t="s">
        <v>82</v>
      </c>
      <c r="J1950" s="2" t="s">
        <v>24</v>
      </c>
      <c r="K1950">
        <v>0.36</v>
      </c>
      <c r="L1950">
        <v>6014630.0700000003</v>
      </c>
      <c r="M1950">
        <v>1670730575</v>
      </c>
      <c r="N1950" s="2" t="s">
        <v>95</v>
      </c>
      <c r="O1950" s="2" t="s">
        <v>96</v>
      </c>
      <c r="P1950" s="2" t="s">
        <v>3657</v>
      </c>
      <c r="Q1950" s="2" t="s">
        <v>3658</v>
      </c>
      <c r="R1950" s="2" t="s">
        <v>29</v>
      </c>
      <c r="S1950" s="2" t="s">
        <v>30</v>
      </c>
    </row>
    <row r="1951" spans="1:19">
      <c r="A1951" s="1">
        <v>44805</v>
      </c>
      <c r="B1951" s="1">
        <v>44805</v>
      </c>
      <c r="C1951">
        <v>2022</v>
      </c>
      <c r="D1951">
        <v>9</v>
      </c>
      <c r="E1951" s="2" t="s">
        <v>99</v>
      </c>
      <c r="F1951" s="2" t="s">
        <v>100</v>
      </c>
      <c r="G1951" s="2" t="s">
        <v>80</v>
      </c>
      <c r="H1951" s="2" t="s">
        <v>81</v>
      </c>
      <c r="I1951" s="2" t="s">
        <v>82</v>
      </c>
      <c r="J1951" s="2" t="s">
        <v>101</v>
      </c>
      <c r="K1951">
        <v>1.51</v>
      </c>
      <c r="L1951">
        <v>16060463.289999999</v>
      </c>
      <c r="M1951">
        <v>1063606840.4</v>
      </c>
      <c r="N1951" s="2" t="s">
        <v>102</v>
      </c>
      <c r="O1951" s="2" t="s">
        <v>103</v>
      </c>
      <c r="P1951" s="2" t="s">
        <v>3659</v>
      </c>
      <c r="Q1951" s="2" t="s">
        <v>3660</v>
      </c>
      <c r="R1951" s="2" t="s">
        <v>29</v>
      </c>
      <c r="S1951" s="2" t="s">
        <v>30</v>
      </c>
    </row>
    <row r="1952" spans="1:19">
      <c r="A1952" s="1">
        <v>44805</v>
      </c>
      <c r="B1952" s="1">
        <v>44805</v>
      </c>
      <c r="C1952">
        <v>2022</v>
      </c>
      <c r="D1952">
        <v>9</v>
      </c>
      <c r="E1952" s="2" t="s">
        <v>106</v>
      </c>
      <c r="F1952" s="2" t="s">
        <v>107</v>
      </c>
      <c r="G1952" s="2" t="s">
        <v>80</v>
      </c>
      <c r="H1952" s="2" t="s">
        <v>81</v>
      </c>
      <c r="I1952" s="2" t="s">
        <v>82</v>
      </c>
      <c r="J1952" s="2" t="s">
        <v>24</v>
      </c>
      <c r="K1952">
        <v>0.3</v>
      </c>
      <c r="L1952">
        <v>9018507.5</v>
      </c>
      <c r="M1952">
        <v>3006169166.6700001</v>
      </c>
      <c r="N1952" s="2" t="s">
        <v>108</v>
      </c>
      <c r="O1952" s="2" t="s">
        <v>109</v>
      </c>
      <c r="P1952" s="2" t="s">
        <v>2807</v>
      </c>
      <c r="Q1952" s="2" t="s">
        <v>3661</v>
      </c>
      <c r="R1952" s="2" t="s">
        <v>29</v>
      </c>
      <c r="S1952" s="2" t="s">
        <v>30</v>
      </c>
    </row>
    <row r="1953" spans="1:19">
      <c r="A1953" s="1">
        <v>44805</v>
      </c>
      <c r="B1953" s="1">
        <v>44805</v>
      </c>
      <c r="C1953">
        <v>2022</v>
      </c>
      <c r="D1953">
        <v>9</v>
      </c>
      <c r="E1953" s="2" t="s">
        <v>111</v>
      </c>
      <c r="F1953" s="2" t="s">
        <v>112</v>
      </c>
      <c r="G1953" s="2" t="s">
        <v>80</v>
      </c>
      <c r="H1953" s="2" t="s">
        <v>81</v>
      </c>
      <c r="I1953" s="2" t="s">
        <v>82</v>
      </c>
      <c r="J1953" s="2" t="s">
        <v>24</v>
      </c>
      <c r="K1953">
        <v>0.11</v>
      </c>
      <c r="L1953">
        <v>761914</v>
      </c>
      <c r="M1953">
        <v>692649090.90999997</v>
      </c>
      <c r="N1953" s="2" t="s">
        <v>113</v>
      </c>
      <c r="O1953" s="2" t="s">
        <v>114</v>
      </c>
      <c r="P1953" s="2" t="s">
        <v>1291</v>
      </c>
      <c r="Q1953" s="2" t="s">
        <v>3662</v>
      </c>
      <c r="R1953" s="2" t="s">
        <v>29</v>
      </c>
      <c r="S1953" s="2" t="s">
        <v>30</v>
      </c>
    </row>
    <row r="1954" spans="1:19">
      <c r="A1954" s="1">
        <v>44805</v>
      </c>
      <c r="B1954" s="1">
        <v>44805</v>
      </c>
      <c r="C1954">
        <v>2022</v>
      </c>
      <c r="D1954">
        <v>9</v>
      </c>
      <c r="E1954" s="2" t="s">
        <v>117</v>
      </c>
      <c r="F1954" s="2" t="s">
        <v>118</v>
      </c>
      <c r="G1954" s="2" t="s">
        <v>80</v>
      </c>
      <c r="H1954" s="2" t="s">
        <v>81</v>
      </c>
      <c r="I1954" s="2" t="s">
        <v>82</v>
      </c>
      <c r="J1954" s="2" t="s">
        <v>59</v>
      </c>
      <c r="K1954">
        <v>3.97</v>
      </c>
      <c r="L1954">
        <v>24321857.969999999</v>
      </c>
      <c r="M1954">
        <v>612641258.69000006</v>
      </c>
      <c r="N1954" s="2" t="s">
        <v>119</v>
      </c>
      <c r="O1954" s="2" t="s">
        <v>120</v>
      </c>
      <c r="P1954" s="2" t="s">
        <v>3663</v>
      </c>
      <c r="Q1954" s="2" t="s">
        <v>3664</v>
      </c>
      <c r="R1954" s="2" t="s">
        <v>29</v>
      </c>
      <c r="S1954" s="2" t="s">
        <v>30</v>
      </c>
    </row>
    <row r="1955" spans="1:19">
      <c r="A1955" s="1">
        <v>44805</v>
      </c>
      <c r="B1955" s="1">
        <v>44805</v>
      </c>
      <c r="C1955">
        <v>2022</v>
      </c>
      <c r="D1955">
        <v>9</v>
      </c>
      <c r="E1955" s="2" t="s">
        <v>123</v>
      </c>
      <c r="F1955" s="2" t="s">
        <v>124</v>
      </c>
      <c r="G1955" s="2" t="s">
        <v>21</v>
      </c>
      <c r="H1955" s="2" t="s">
        <v>22</v>
      </c>
      <c r="I1955" s="2" t="s">
        <v>73</v>
      </c>
      <c r="J1955" s="2" t="s">
        <v>24</v>
      </c>
      <c r="K1955">
        <v>1141.43</v>
      </c>
      <c r="L1955">
        <v>77125.05</v>
      </c>
      <c r="M1955">
        <v>6756.88</v>
      </c>
      <c r="N1955" s="2" t="s">
        <v>125</v>
      </c>
      <c r="O1955" s="2" t="s">
        <v>126</v>
      </c>
      <c r="P1955" s="2" t="s">
        <v>3665</v>
      </c>
      <c r="Q1955" s="2" t="s">
        <v>3666</v>
      </c>
      <c r="R1955" s="2" t="s">
        <v>29</v>
      </c>
      <c r="S1955" s="2" t="s">
        <v>30</v>
      </c>
    </row>
    <row r="1956" spans="1:19">
      <c r="A1956" s="1">
        <v>44805</v>
      </c>
      <c r="B1956" s="1">
        <v>44805</v>
      </c>
      <c r="C1956">
        <v>2022</v>
      </c>
      <c r="D1956">
        <v>9</v>
      </c>
      <c r="E1956" s="2" t="s">
        <v>129</v>
      </c>
      <c r="F1956" s="2" t="s">
        <v>130</v>
      </c>
      <c r="G1956" s="2" t="s">
        <v>21</v>
      </c>
      <c r="H1956" s="2" t="s">
        <v>22</v>
      </c>
      <c r="I1956" s="2" t="s">
        <v>73</v>
      </c>
      <c r="J1956" s="2" t="s">
        <v>24</v>
      </c>
      <c r="K1956">
        <v>1311.63</v>
      </c>
      <c r="L1956">
        <v>44968.78</v>
      </c>
      <c r="M1956">
        <v>3428.47</v>
      </c>
      <c r="N1956" s="2" t="s">
        <v>131</v>
      </c>
      <c r="O1956" s="2" t="s">
        <v>132</v>
      </c>
      <c r="P1956" s="2" t="s">
        <v>3667</v>
      </c>
      <c r="Q1956" s="2" t="s">
        <v>3668</v>
      </c>
      <c r="R1956" s="2" t="s">
        <v>29</v>
      </c>
      <c r="S1956" s="2" t="s">
        <v>30</v>
      </c>
    </row>
    <row r="1957" spans="1:19">
      <c r="A1957" s="1">
        <v>44805</v>
      </c>
      <c r="B1957" s="1">
        <v>44805</v>
      </c>
      <c r="C1957">
        <v>2022</v>
      </c>
      <c r="D1957">
        <v>9</v>
      </c>
      <c r="E1957" s="2" t="s">
        <v>135</v>
      </c>
      <c r="F1957" s="2" t="s">
        <v>136</v>
      </c>
      <c r="G1957" s="2" t="s">
        <v>21</v>
      </c>
      <c r="H1957" s="2" t="s">
        <v>22</v>
      </c>
      <c r="I1957" s="2" t="s">
        <v>73</v>
      </c>
      <c r="J1957" s="2" t="s">
        <v>101</v>
      </c>
      <c r="K1957">
        <v>2453.06</v>
      </c>
      <c r="L1957">
        <v>122093.84</v>
      </c>
      <c r="M1957">
        <v>4977.21</v>
      </c>
      <c r="N1957" s="2" t="s">
        <v>137</v>
      </c>
      <c r="O1957" s="2" t="s">
        <v>138</v>
      </c>
      <c r="P1957" s="2" t="s">
        <v>3669</v>
      </c>
      <c r="Q1957" s="2" t="s">
        <v>3670</v>
      </c>
      <c r="R1957" s="2" t="s">
        <v>29</v>
      </c>
      <c r="S1957" s="2" t="s">
        <v>30</v>
      </c>
    </row>
    <row r="1958" spans="1:19">
      <c r="A1958" s="1">
        <v>44805</v>
      </c>
      <c r="B1958" s="1">
        <v>44805</v>
      </c>
      <c r="C1958">
        <v>2022</v>
      </c>
      <c r="D1958">
        <v>9</v>
      </c>
      <c r="E1958" s="2" t="s">
        <v>141</v>
      </c>
      <c r="F1958" s="2" t="s">
        <v>142</v>
      </c>
      <c r="G1958" s="2" t="s">
        <v>21</v>
      </c>
      <c r="H1958" s="2" t="s">
        <v>22</v>
      </c>
      <c r="I1958" s="2" t="s">
        <v>73</v>
      </c>
      <c r="J1958" s="2" t="s">
        <v>24</v>
      </c>
      <c r="K1958">
        <v>1011.8</v>
      </c>
      <c r="L1958">
        <v>23110.720000000001</v>
      </c>
      <c r="M1958">
        <v>2284.12</v>
      </c>
      <c r="N1958" s="2" t="s">
        <v>143</v>
      </c>
      <c r="O1958" s="2" t="s">
        <v>144</v>
      </c>
      <c r="P1958" s="2" t="s">
        <v>3671</v>
      </c>
      <c r="Q1958" s="2" t="s">
        <v>3672</v>
      </c>
      <c r="R1958" s="2" t="s">
        <v>29</v>
      </c>
      <c r="S1958" s="2" t="s">
        <v>30</v>
      </c>
    </row>
    <row r="1959" spans="1:19">
      <c r="A1959" s="1">
        <v>44805</v>
      </c>
      <c r="B1959" s="1">
        <v>44805</v>
      </c>
      <c r="C1959">
        <v>2022</v>
      </c>
      <c r="D1959">
        <v>9</v>
      </c>
      <c r="E1959" s="2" t="s">
        <v>147</v>
      </c>
      <c r="F1959" s="2" t="s">
        <v>148</v>
      </c>
      <c r="G1959" s="2" t="s">
        <v>21</v>
      </c>
      <c r="H1959" s="2" t="s">
        <v>22</v>
      </c>
      <c r="I1959" s="2" t="s">
        <v>73</v>
      </c>
      <c r="J1959" s="2" t="s">
        <v>24</v>
      </c>
      <c r="K1959">
        <v>1887.58</v>
      </c>
      <c r="L1959">
        <v>38093.19</v>
      </c>
      <c r="M1959">
        <v>2018.1</v>
      </c>
      <c r="N1959" s="2" t="s">
        <v>149</v>
      </c>
      <c r="O1959" s="2" t="s">
        <v>150</v>
      </c>
      <c r="P1959" s="2" t="s">
        <v>3673</v>
      </c>
      <c r="Q1959" s="2" t="s">
        <v>3674</v>
      </c>
      <c r="R1959" s="2" t="s">
        <v>29</v>
      </c>
      <c r="S1959" s="2" t="s">
        <v>30</v>
      </c>
    </row>
    <row r="1960" spans="1:19">
      <c r="A1960" s="1">
        <v>44805</v>
      </c>
      <c r="B1960" s="1">
        <v>44805</v>
      </c>
      <c r="C1960">
        <v>2022</v>
      </c>
      <c r="D1960">
        <v>9</v>
      </c>
      <c r="E1960" s="2" t="s">
        <v>153</v>
      </c>
      <c r="F1960" s="2" t="s">
        <v>154</v>
      </c>
      <c r="G1960" s="2" t="s">
        <v>21</v>
      </c>
      <c r="H1960" s="2" t="s">
        <v>22</v>
      </c>
      <c r="I1960" s="2" t="s">
        <v>73</v>
      </c>
      <c r="J1960" s="2" t="s">
        <v>101</v>
      </c>
      <c r="K1960">
        <v>2899.38</v>
      </c>
      <c r="L1960">
        <v>61203.91</v>
      </c>
      <c r="M1960">
        <v>2110.9299999999998</v>
      </c>
      <c r="N1960" s="2" t="s">
        <v>155</v>
      </c>
      <c r="O1960" s="2" t="s">
        <v>156</v>
      </c>
      <c r="P1960" s="2" t="s">
        <v>3675</v>
      </c>
      <c r="Q1960" s="2" t="s">
        <v>3676</v>
      </c>
      <c r="R1960" s="2" t="s">
        <v>29</v>
      </c>
      <c r="S1960" s="2" t="s">
        <v>30</v>
      </c>
    </row>
    <row r="1961" spans="1:19">
      <c r="A1961" s="1">
        <v>44805</v>
      </c>
      <c r="B1961" s="1">
        <v>44805</v>
      </c>
      <c r="C1961">
        <v>2022</v>
      </c>
      <c r="D1961">
        <v>9</v>
      </c>
      <c r="E1961" s="2" t="s">
        <v>159</v>
      </c>
      <c r="F1961" s="2" t="s">
        <v>160</v>
      </c>
      <c r="G1961" s="2" t="s">
        <v>21</v>
      </c>
      <c r="H1961" s="2" t="s">
        <v>22</v>
      </c>
      <c r="I1961" s="2" t="s">
        <v>66</v>
      </c>
      <c r="J1961" s="2" t="s">
        <v>59</v>
      </c>
      <c r="K1961">
        <v>1257.3399999999999</v>
      </c>
      <c r="L1961">
        <v>106117.57</v>
      </c>
      <c r="M1961">
        <v>8439.85</v>
      </c>
      <c r="N1961" s="2" t="s">
        <v>161</v>
      </c>
      <c r="O1961" s="2" t="s">
        <v>162</v>
      </c>
      <c r="P1961" s="2" t="s">
        <v>3677</v>
      </c>
      <c r="Q1961" s="2" t="s">
        <v>3678</v>
      </c>
      <c r="R1961" s="2" t="s">
        <v>29</v>
      </c>
      <c r="S1961" s="2" t="s">
        <v>30</v>
      </c>
    </row>
    <row r="1962" spans="1:19">
      <c r="A1962" s="1">
        <v>44805</v>
      </c>
      <c r="B1962" s="1">
        <v>44805</v>
      </c>
      <c r="C1962">
        <v>2022</v>
      </c>
      <c r="D1962">
        <v>9</v>
      </c>
      <c r="E1962" s="2" t="s">
        <v>165</v>
      </c>
      <c r="F1962" s="2" t="s">
        <v>166</v>
      </c>
      <c r="G1962" s="2" t="s">
        <v>21</v>
      </c>
      <c r="H1962" s="2" t="s">
        <v>22</v>
      </c>
      <c r="I1962" s="2" t="s">
        <v>23</v>
      </c>
      <c r="J1962" s="2" t="s">
        <v>24</v>
      </c>
      <c r="N1962" s="2" t="s">
        <v>167</v>
      </c>
      <c r="O1962" s="2" t="s">
        <v>168</v>
      </c>
      <c r="P1962" s="2" t="s">
        <v>175</v>
      </c>
      <c r="Q1962" s="2" t="s">
        <v>175</v>
      </c>
      <c r="R1962" s="2" t="s">
        <v>640</v>
      </c>
      <c r="S1962" s="2" t="s">
        <v>641</v>
      </c>
    </row>
    <row r="1963" spans="1:19">
      <c r="A1963" s="1">
        <v>44805</v>
      </c>
      <c r="B1963" s="1">
        <v>44805</v>
      </c>
      <c r="C1963">
        <v>2022</v>
      </c>
      <c r="D1963">
        <v>9</v>
      </c>
      <c r="E1963" s="2" t="s">
        <v>171</v>
      </c>
      <c r="F1963" s="2" t="s">
        <v>172</v>
      </c>
      <c r="G1963" s="2" t="s">
        <v>21</v>
      </c>
      <c r="H1963" s="2" t="s">
        <v>22</v>
      </c>
      <c r="I1963" s="2" t="s">
        <v>66</v>
      </c>
      <c r="J1963" s="2" t="s">
        <v>24</v>
      </c>
      <c r="N1963" s="2" t="s">
        <v>173</v>
      </c>
      <c r="O1963" s="2" t="s">
        <v>174</v>
      </c>
      <c r="P1963" s="2" t="s">
        <v>175</v>
      </c>
      <c r="Q1963" s="2" t="s">
        <v>175</v>
      </c>
      <c r="R1963" s="2" t="s">
        <v>640</v>
      </c>
      <c r="S1963" s="2" t="s">
        <v>641</v>
      </c>
    </row>
    <row r="1964" spans="1:19">
      <c r="A1964" s="1">
        <v>44805</v>
      </c>
      <c r="B1964" s="1">
        <v>44805</v>
      </c>
      <c r="C1964">
        <v>2022</v>
      </c>
      <c r="D1964">
        <v>9</v>
      </c>
      <c r="E1964" s="2" t="s">
        <v>177</v>
      </c>
      <c r="F1964" s="2" t="s">
        <v>178</v>
      </c>
      <c r="G1964" s="2" t="s">
        <v>21</v>
      </c>
      <c r="H1964" s="2" t="s">
        <v>22</v>
      </c>
      <c r="I1964" s="2" t="s">
        <v>23</v>
      </c>
      <c r="J1964" s="2" t="s">
        <v>24</v>
      </c>
      <c r="K1964">
        <v>4622.3100000000004</v>
      </c>
      <c r="L1964">
        <v>454451.31</v>
      </c>
      <c r="M1964">
        <v>9831.69</v>
      </c>
      <c r="N1964" s="2" t="s">
        <v>179</v>
      </c>
      <c r="O1964" s="2" t="s">
        <v>180</v>
      </c>
      <c r="P1964" s="2" t="s">
        <v>3679</v>
      </c>
      <c r="Q1964" s="2" t="s">
        <v>3680</v>
      </c>
      <c r="R1964" s="2" t="s">
        <v>29</v>
      </c>
      <c r="S1964" s="2" t="s">
        <v>30</v>
      </c>
    </row>
    <row r="1965" spans="1:19">
      <c r="A1965" s="1">
        <v>44805</v>
      </c>
      <c r="B1965" s="1">
        <v>44805</v>
      </c>
      <c r="C1965">
        <v>2022</v>
      </c>
      <c r="D1965">
        <v>9</v>
      </c>
      <c r="E1965" s="2" t="s">
        <v>183</v>
      </c>
      <c r="F1965" s="2" t="s">
        <v>184</v>
      </c>
      <c r="G1965" s="2" t="s">
        <v>185</v>
      </c>
      <c r="H1965" s="2" t="s">
        <v>22</v>
      </c>
      <c r="I1965" s="2" t="s">
        <v>186</v>
      </c>
      <c r="J1965" s="2" t="s">
        <v>24</v>
      </c>
      <c r="K1965">
        <v>2657.81</v>
      </c>
      <c r="L1965">
        <v>3438175.8</v>
      </c>
      <c r="M1965">
        <v>129361.23</v>
      </c>
      <c r="N1965" s="2" t="s">
        <v>187</v>
      </c>
      <c r="O1965" s="2" t="s">
        <v>188</v>
      </c>
      <c r="P1965" s="2" t="s">
        <v>3681</v>
      </c>
      <c r="Q1965" s="2" t="s">
        <v>3682</v>
      </c>
      <c r="R1965" s="2" t="s">
        <v>29</v>
      </c>
      <c r="S1965" s="2" t="s">
        <v>30</v>
      </c>
    </row>
    <row r="1966" spans="1:19">
      <c r="A1966" s="1">
        <v>44805</v>
      </c>
      <c r="B1966" s="1">
        <v>44805</v>
      </c>
      <c r="C1966">
        <v>2022</v>
      </c>
      <c r="D1966">
        <v>9</v>
      </c>
      <c r="E1966" s="2" t="s">
        <v>191</v>
      </c>
      <c r="F1966" s="2" t="s">
        <v>192</v>
      </c>
      <c r="G1966" s="2" t="s">
        <v>185</v>
      </c>
      <c r="H1966" s="2" t="s">
        <v>22</v>
      </c>
      <c r="I1966" s="2" t="s">
        <v>186</v>
      </c>
      <c r="J1966" s="2" t="s">
        <v>24</v>
      </c>
      <c r="K1966">
        <v>918.6</v>
      </c>
      <c r="L1966">
        <v>4985304.8600000003</v>
      </c>
      <c r="M1966">
        <v>542706.81999999995</v>
      </c>
      <c r="N1966" s="2" t="s">
        <v>193</v>
      </c>
      <c r="O1966" s="2" t="s">
        <v>194</v>
      </c>
      <c r="P1966" s="2" t="s">
        <v>3683</v>
      </c>
      <c r="Q1966" s="2" t="s">
        <v>3684</v>
      </c>
      <c r="R1966" s="2" t="s">
        <v>29</v>
      </c>
      <c r="S1966" s="2" t="s">
        <v>30</v>
      </c>
    </row>
    <row r="1967" spans="1:19">
      <c r="A1967" s="1">
        <v>44805</v>
      </c>
      <c r="B1967" s="1">
        <v>44805</v>
      </c>
      <c r="C1967">
        <v>2022</v>
      </c>
      <c r="D1967">
        <v>9</v>
      </c>
      <c r="E1967" s="2" t="s">
        <v>197</v>
      </c>
      <c r="F1967" s="2" t="s">
        <v>198</v>
      </c>
      <c r="G1967" s="2" t="s">
        <v>185</v>
      </c>
      <c r="H1967" s="2" t="s">
        <v>22</v>
      </c>
      <c r="I1967" s="2" t="s">
        <v>186</v>
      </c>
      <c r="J1967" s="2" t="s">
        <v>59</v>
      </c>
      <c r="K1967">
        <v>3576.41</v>
      </c>
      <c r="L1967">
        <v>8423480.6500000004</v>
      </c>
      <c r="M1967">
        <v>235528.94</v>
      </c>
      <c r="N1967" s="2" t="s">
        <v>199</v>
      </c>
      <c r="O1967" s="2" t="s">
        <v>200</v>
      </c>
      <c r="P1967" s="2" t="s">
        <v>3685</v>
      </c>
      <c r="Q1967" s="2" t="s">
        <v>3686</v>
      </c>
      <c r="R1967" s="2" t="s">
        <v>29</v>
      </c>
      <c r="S1967" s="2" t="s">
        <v>30</v>
      </c>
    </row>
    <row r="1968" spans="1:19">
      <c r="A1968" s="1">
        <v>44805</v>
      </c>
      <c r="B1968" s="1">
        <v>44805</v>
      </c>
      <c r="C1968">
        <v>2022</v>
      </c>
      <c r="D1968">
        <v>9</v>
      </c>
      <c r="E1968" s="2" t="s">
        <v>203</v>
      </c>
      <c r="F1968" s="2" t="s">
        <v>204</v>
      </c>
      <c r="G1968" s="2" t="s">
        <v>39</v>
      </c>
      <c r="H1968" s="2" t="s">
        <v>22</v>
      </c>
      <c r="I1968" s="2" t="s">
        <v>40</v>
      </c>
      <c r="J1968" s="2" t="s">
        <v>24</v>
      </c>
      <c r="K1968">
        <v>1004.99</v>
      </c>
      <c r="L1968">
        <v>26097.37</v>
      </c>
      <c r="M1968">
        <v>2596.7800000000002</v>
      </c>
      <c r="N1968" s="2" t="s">
        <v>205</v>
      </c>
      <c r="O1968" s="2" t="s">
        <v>206</v>
      </c>
      <c r="P1968" s="2" t="s">
        <v>3687</v>
      </c>
      <c r="Q1968" s="2" t="s">
        <v>3688</v>
      </c>
      <c r="R1968" s="2" t="s">
        <v>29</v>
      </c>
      <c r="S1968" s="2" t="s">
        <v>30</v>
      </c>
    </row>
    <row r="1969" spans="1:19">
      <c r="A1969" s="1">
        <v>44805</v>
      </c>
      <c r="B1969" s="1">
        <v>44805</v>
      </c>
      <c r="C1969">
        <v>2022</v>
      </c>
      <c r="D1969">
        <v>9</v>
      </c>
      <c r="E1969" s="2" t="s">
        <v>209</v>
      </c>
      <c r="F1969" s="2" t="s">
        <v>210</v>
      </c>
      <c r="G1969" s="2" t="s">
        <v>39</v>
      </c>
      <c r="H1969" s="2" t="s">
        <v>22</v>
      </c>
      <c r="I1969" s="2" t="s">
        <v>40</v>
      </c>
      <c r="J1969" s="2" t="s">
        <v>59</v>
      </c>
      <c r="K1969">
        <v>1004.99</v>
      </c>
      <c r="L1969">
        <v>26097.37</v>
      </c>
      <c r="M1969">
        <v>2596.7800000000002</v>
      </c>
      <c r="N1969" s="2" t="s">
        <v>211</v>
      </c>
      <c r="O1969" s="2" t="s">
        <v>212</v>
      </c>
      <c r="P1969" s="2" t="s">
        <v>3687</v>
      </c>
      <c r="Q1969" s="2" t="s">
        <v>3688</v>
      </c>
      <c r="R1969" s="2" t="s">
        <v>29</v>
      </c>
      <c r="S1969" s="2" t="s">
        <v>30</v>
      </c>
    </row>
    <row r="1970" spans="1:19">
      <c r="A1970" s="1">
        <v>44805</v>
      </c>
      <c r="B1970" s="1">
        <v>44805</v>
      </c>
      <c r="C1970">
        <v>2022</v>
      </c>
      <c r="D1970">
        <v>9</v>
      </c>
      <c r="E1970" s="2" t="s">
        <v>213</v>
      </c>
      <c r="F1970" s="2" t="s">
        <v>214</v>
      </c>
      <c r="G1970" s="2" t="s">
        <v>185</v>
      </c>
      <c r="H1970" s="2" t="s">
        <v>22</v>
      </c>
      <c r="I1970" s="2" t="s">
        <v>215</v>
      </c>
      <c r="J1970" s="2" t="s">
        <v>24</v>
      </c>
      <c r="K1970">
        <v>60527.24</v>
      </c>
      <c r="L1970">
        <v>1443339.97</v>
      </c>
      <c r="M1970">
        <v>2384.61</v>
      </c>
      <c r="N1970" s="2" t="s">
        <v>216</v>
      </c>
      <c r="O1970" s="2" t="s">
        <v>217</v>
      </c>
      <c r="P1970" s="2" t="s">
        <v>3689</v>
      </c>
      <c r="Q1970" s="2" t="s">
        <v>3690</v>
      </c>
      <c r="R1970" s="2" t="s">
        <v>29</v>
      </c>
      <c r="S1970" s="2" t="s">
        <v>30</v>
      </c>
    </row>
    <row r="1971" spans="1:19">
      <c r="A1971" s="1">
        <v>44805</v>
      </c>
      <c r="B1971" s="1">
        <v>44805</v>
      </c>
      <c r="C1971">
        <v>2022</v>
      </c>
      <c r="D1971">
        <v>9</v>
      </c>
      <c r="E1971" s="2" t="s">
        <v>220</v>
      </c>
      <c r="F1971" s="2" t="s">
        <v>221</v>
      </c>
      <c r="G1971" s="2" t="s">
        <v>185</v>
      </c>
      <c r="H1971" s="2" t="s">
        <v>22</v>
      </c>
      <c r="I1971" s="2" t="s">
        <v>215</v>
      </c>
      <c r="J1971" s="2" t="s">
        <v>24</v>
      </c>
      <c r="K1971">
        <v>5133.3100000000004</v>
      </c>
      <c r="L1971">
        <v>348493.95</v>
      </c>
      <c r="M1971">
        <v>6788.87</v>
      </c>
      <c r="N1971" s="2" t="s">
        <v>222</v>
      </c>
      <c r="O1971" s="2" t="s">
        <v>223</v>
      </c>
      <c r="P1971" s="2" t="s">
        <v>3691</v>
      </c>
      <c r="Q1971" s="2" t="s">
        <v>3692</v>
      </c>
      <c r="R1971" s="2" t="s">
        <v>29</v>
      </c>
      <c r="S1971" s="2" t="s">
        <v>30</v>
      </c>
    </row>
    <row r="1972" spans="1:19">
      <c r="A1972" s="1">
        <v>44805</v>
      </c>
      <c r="B1972" s="1">
        <v>44805</v>
      </c>
      <c r="C1972">
        <v>2022</v>
      </c>
      <c r="D1972">
        <v>9</v>
      </c>
      <c r="E1972" s="2" t="s">
        <v>226</v>
      </c>
      <c r="F1972" s="2" t="s">
        <v>227</v>
      </c>
      <c r="G1972" s="2" t="s">
        <v>185</v>
      </c>
      <c r="H1972" s="2" t="s">
        <v>22</v>
      </c>
      <c r="I1972" s="2" t="s">
        <v>215</v>
      </c>
      <c r="J1972" s="2" t="s">
        <v>59</v>
      </c>
      <c r="K1972">
        <v>65660.55</v>
      </c>
      <c r="L1972">
        <v>1791833.92</v>
      </c>
      <c r="M1972">
        <v>2728.94</v>
      </c>
      <c r="N1972" s="2" t="s">
        <v>228</v>
      </c>
      <c r="O1972" s="2" t="s">
        <v>229</v>
      </c>
      <c r="P1972" s="2" t="s">
        <v>3693</v>
      </c>
      <c r="Q1972" s="2" t="s">
        <v>3694</v>
      </c>
      <c r="R1972" s="2" t="s">
        <v>29</v>
      </c>
      <c r="S1972" s="2" t="s">
        <v>30</v>
      </c>
    </row>
    <row r="1973" spans="1:19">
      <c r="A1973" s="1">
        <v>44805</v>
      </c>
      <c r="B1973" s="1">
        <v>44805</v>
      </c>
      <c r="C1973">
        <v>2022</v>
      </c>
      <c r="D1973">
        <v>9</v>
      </c>
      <c r="E1973" s="2" t="s">
        <v>232</v>
      </c>
      <c r="F1973" s="2" t="s">
        <v>233</v>
      </c>
      <c r="G1973" s="2" t="s">
        <v>21</v>
      </c>
      <c r="H1973" s="2" t="s">
        <v>22</v>
      </c>
      <c r="I1973" s="2" t="s">
        <v>23</v>
      </c>
      <c r="J1973" s="2" t="s">
        <v>24</v>
      </c>
      <c r="K1973">
        <v>1630.85</v>
      </c>
      <c r="L1973">
        <v>114717.84</v>
      </c>
      <c r="M1973">
        <v>7034.24</v>
      </c>
      <c r="N1973" s="2" t="s">
        <v>234</v>
      </c>
      <c r="O1973" s="2" t="s">
        <v>235</v>
      </c>
      <c r="P1973" s="2" t="s">
        <v>3695</v>
      </c>
      <c r="Q1973" s="2" t="s">
        <v>3696</v>
      </c>
      <c r="R1973" s="2" t="s">
        <v>29</v>
      </c>
      <c r="S1973" s="2" t="s">
        <v>30</v>
      </c>
    </row>
    <row r="1974" spans="1:19">
      <c r="A1974" s="1">
        <v>44805</v>
      </c>
      <c r="B1974" s="1">
        <v>44805</v>
      </c>
      <c r="C1974">
        <v>2022</v>
      </c>
      <c r="D1974">
        <v>9</v>
      </c>
      <c r="E1974" s="2" t="s">
        <v>238</v>
      </c>
      <c r="F1974" s="2" t="s">
        <v>239</v>
      </c>
      <c r="G1974" s="2" t="s">
        <v>21</v>
      </c>
      <c r="H1974" s="2" t="s">
        <v>22</v>
      </c>
      <c r="I1974" s="2" t="s">
        <v>66</v>
      </c>
      <c r="J1974" s="2" t="s">
        <v>24</v>
      </c>
      <c r="K1974">
        <v>1114.0899999999999</v>
      </c>
      <c r="L1974">
        <v>105389.69</v>
      </c>
      <c r="M1974">
        <v>9459.7099999999991</v>
      </c>
      <c r="N1974" s="2" t="s">
        <v>240</v>
      </c>
      <c r="O1974" s="2" t="s">
        <v>241</v>
      </c>
      <c r="P1974" s="2" t="s">
        <v>3697</v>
      </c>
      <c r="Q1974" s="2" t="s">
        <v>3698</v>
      </c>
      <c r="R1974" s="2" t="s">
        <v>29</v>
      </c>
      <c r="S1974" s="2" t="s">
        <v>30</v>
      </c>
    </row>
    <row r="1975" spans="1:19">
      <c r="A1975" s="1">
        <v>44805</v>
      </c>
      <c r="B1975" s="1">
        <v>44805</v>
      </c>
      <c r="C1975">
        <v>2022</v>
      </c>
      <c r="D1975">
        <v>9</v>
      </c>
      <c r="E1975" s="2" t="s">
        <v>244</v>
      </c>
      <c r="F1975" s="2" t="s">
        <v>245</v>
      </c>
      <c r="G1975" s="2" t="s">
        <v>21</v>
      </c>
      <c r="H1975" s="2" t="s">
        <v>22</v>
      </c>
      <c r="I1975" s="2" t="s">
        <v>23</v>
      </c>
      <c r="J1975" s="2" t="s">
        <v>24</v>
      </c>
      <c r="K1975">
        <v>4332.45</v>
      </c>
      <c r="L1975">
        <v>2922912.81</v>
      </c>
      <c r="M1975">
        <v>67465.59</v>
      </c>
      <c r="N1975" s="2" t="s">
        <v>246</v>
      </c>
      <c r="O1975" s="2" t="s">
        <v>247</v>
      </c>
      <c r="P1975" s="2" t="s">
        <v>3699</v>
      </c>
      <c r="Q1975" s="2" t="s">
        <v>3700</v>
      </c>
      <c r="R1975" s="2" t="s">
        <v>29</v>
      </c>
      <c r="S1975" s="2" t="s">
        <v>30</v>
      </c>
    </row>
    <row r="1976" spans="1:19">
      <c r="A1976" s="1">
        <v>44805</v>
      </c>
      <c r="B1976" s="1">
        <v>44805</v>
      </c>
      <c r="C1976">
        <v>2022</v>
      </c>
      <c r="D1976">
        <v>9</v>
      </c>
      <c r="E1976" s="2" t="s">
        <v>250</v>
      </c>
      <c r="F1976" s="2" t="s">
        <v>251</v>
      </c>
      <c r="G1976" s="2" t="s">
        <v>21</v>
      </c>
      <c r="H1976" s="2" t="s">
        <v>22</v>
      </c>
      <c r="I1976" s="2" t="s">
        <v>66</v>
      </c>
      <c r="J1976" s="2" t="s">
        <v>24</v>
      </c>
      <c r="K1976">
        <v>126.9</v>
      </c>
      <c r="L1976">
        <v>211.45</v>
      </c>
      <c r="M1976">
        <v>166.63</v>
      </c>
      <c r="N1976" s="2" t="s">
        <v>252</v>
      </c>
      <c r="O1976" s="2" t="s">
        <v>253</v>
      </c>
      <c r="P1976" s="2" t="s">
        <v>3701</v>
      </c>
      <c r="Q1976" s="2" t="s">
        <v>3702</v>
      </c>
      <c r="R1976" s="2" t="s">
        <v>29</v>
      </c>
      <c r="S1976" s="2" t="s">
        <v>30</v>
      </c>
    </row>
    <row r="1977" spans="1:19">
      <c r="A1977" s="1">
        <v>44805</v>
      </c>
      <c r="B1977" s="1">
        <v>44805</v>
      </c>
      <c r="C1977">
        <v>2022</v>
      </c>
      <c r="D1977">
        <v>9</v>
      </c>
      <c r="E1977" s="2" t="s">
        <v>256</v>
      </c>
      <c r="F1977" s="2" t="s">
        <v>257</v>
      </c>
      <c r="G1977" s="2" t="s">
        <v>21</v>
      </c>
      <c r="H1977" s="2" t="s">
        <v>22</v>
      </c>
      <c r="I1977" s="2" t="s">
        <v>258</v>
      </c>
      <c r="J1977" s="2" t="s">
        <v>24</v>
      </c>
      <c r="K1977">
        <v>603.84</v>
      </c>
      <c r="L1977">
        <v>590572.65</v>
      </c>
      <c r="M1977">
        <v>97802.84</v>
      </c>
      <c r="N1977" s="2" t="s">
        <v>259</v>
      </c>
      <c r="O1977" s="2" t="s">
        <v>260</v>
      </c>
      <c r="P1977" s="2" t="s">
        <v>3703</v>
      </c>
      <c r="Q1977" s="2" t="s">
        <v>3704</v>
      </c>
      <c r="R1977" s="2" t="s">
        <v>29</v>
      </c>
      <c r="S1977" s="2" t="s">
        <v>30</v>
      </c>
    </row>
    <row r="1978" spans="1:19">
      <c r="A1978" s="1">
        <v>44805</v>
      </c>
      <c r="B1978" s="1">
        <v>44805</v>
      </c>
      <c r="C1978">
        <v>2022</v>
      </c>
      <c r="D1978">
        <v>9</v>
      </c>
      <c r="E1978" s="2" t="s">
        <v>263</v>
      </c>
      <c r="F1978" s="2" t="s">
        <v>264</v>
      </c>
      <c r="G1978" s="2" t="s">
        <v>21</v>
      </c>
      <c r="H1978" s="2" t="s">
        <v>22</v>
      </c>
      <c r="I1978" s="2" t="s">
        <v>258</v>
      </c>
      <c r="J1978" s="2" t="s">
        <v>24</v>
      </c>
      <c r="K1978">
        <v>0</v>
      </c>
      <c r="L1978">
        <v>0</v>
      </c>
      <c r="N1978" s="2" t="s">
        <v>265</v>
      </c>
      <c r="O1978" s="2" t="s">
        <v>266</v>
      </c>
      <c r="P1978" s="2" t="s">
        <v>639</v>
      </c>
      <c r="Q1978" s="2" t="s">
        <v>639</v>
      </c>
      <c r="R1978" s="2" t="s">
        <v>29</v>
      </c>
      <c r="S1978" s="2" t="s">
        <v>30</v>
      </c>
    </row>
    <row r="1979" spans="1:19">
      <c r="A1979" s="1">
        <v>44805</v>
      </c>
      <c r="B1979" s="1">
        <v>44805</v>
      </c>
      <c r="C1979">
        <v>2022</v>
      </c>
      <c r="D1979">
        <v>9</v>
      </c>
      <c r="E1979" s="2" t="s">
        <v>269</v>
      </c>
      <c r="F1979" s="2" t="s">
        <v>270</v>
      </c>
      <c r="G1979" s="2" t="s">
        <v>21</v>
      </c>
      <c r="H1979" s="2" t="s">
        <v>22</v>
      </c>
      <c r="I1979" s="2" t="s">
        <v>258</v>
      </c>
      <c r="J1979" s="2" t="s">
        <v>59</v>
      </c>
      <c r="K1979">
        <v>603.84</v>
      </c>
      <c r="L1979">
        <v>590572.65</v>
      </c>
      <c r="M1979">
        <v>97802.84</v>
      </c>
      <c r="N1979" s="2" t="s">
        <v>271</v>
      </c>
      <c r="O1979" s="2" t="s">
        <v>272</v>
      </c>
      <c r="P1979" s="2" t="s">
        <v>3703</v>
      </c>
      <c r="Q1979" s="2" t="s">
        <v>3704</v>
      </c>
      <c r="R1979" s="2" t="s">
        <v>29</v>
      </c>
      <c r="S1979" s="2" t="s">
        <v>30</v>
      </c>
    </row>
    <row r="1980" spans="1:19">
      <c r="A1980" s="1">
        <v>44805</v>
      </c>
      <c r="B1980" s="1">
        <v>44805</v>
      </c>
      <c r="C1980">
        <v>2022</v>
      </c>
      <c r="D1980">
        <v>9</v>
      </c>
      <c r="E1980" s="2" t="s">
        <v>275</v>
      </c>
      <c r="F1980" s="2" t="s">
        <v>276</v>
      </c>
      <c r="G1980" s="2" t="s">
        <v>39</v>
      </c>
      <c r="H1980" s="2" t="s">
        <v>22</v>
      </c>
      <c r="I1980" s="2" t="s">
        <v>40</v>
      </c>
      <c r="J1980" s="2" t="s">
        <v>24</v>
      </c>
      <c r="K1980">
        <v>2.67</v>
      </c>
      <c r="L1980">
        <v>33.729999999999997</v>
      </c>
      <c r="M1980">
        <v>1263.3</v>
      </c>
      <c r="N1980" s="2" t="s">
        <v>277</v>
      </c>
      <c r="O1980" s="2" t="s">
        <v>278</v>
      </c>
      <c r="P1980" s="2" t="s">
        <v>3705</v>
      </c>
      <c r="Q1980" s="2" t="s">
        <v>3706</v>
      </c>
      <c r="R1980" s="2" t="s">
        <v>29</v>
      </c>
      <c r="S1980" s="2" t="s">
        <v>30</v>
      </c>
    </row>
    <row r="1981" spans="1:19">
      <c r="A1981" s="1">
        <v>44805</v>
      </c>
      <c r="B1981" s="1">
        <v>44805</v>
      </c>
      <c r="C1981">
        <v>2022</v>
      </c>
      <c r="D1981">
        <v>9</v>
      </c>
      <c r="E1981" s="2" t="s">
        <v>281</v>
      </c>
      <c r="F1981" s="2" t="s">
        <v>282</v>
      </c>
      <c r="G1981" s="2" t="s">
        <v>39</v>
      </c>
      <c r="H1981" s="2" t="s">
        <v>22</v>
      </c>
      <c r="I1981" s="2" t="s">
        <v>40</v>
      </c>
      <c r="J1981" s="2" t="s">
        <v>24</v>
      </c>
      <c r="K1981">
        <v>0.04</v>
      </c>
      <c r="L1981">
        <v>0.27</v>
      </c>
      <c r="M1981">
        <v>675</v>
      </c>
      <c r="N1981" s="2" t="s">
        <v>283</v>
      </c>
      <c r="O1981" s="2" t="s">
        <v>284</v>
      </c>
      <c r="P1981" s="2" t="s">
        <v>115</v>
      </c>
      <c r="Q1981" s="2" t="s">
        <v>980</v>
      </c>
      <c r="R1981" s="2" t="s">
        <v>29</v>
      </c>
      <c r="S1981" s="2" t="s">
        <v>30</v>
      </c>
    </row>
    <row r="1982" spans="1:19">
      <c r="A1982" s="1">
        <v>44805</v>
      </c>
      <c r="B1982" s="1">
        <v>44805</v>
      </c>
      <c r="C1982">
        <v>2022</v>
      </c>
      <c r="D1982">
        <v>9</v>
      </c>
      <c r="E1982" s="2" t="s">
        <v>287</v>
      </c>
      <c r="F1982" s="2" t="s">
        <v>288</v>
      </c>
      <c r="G1982" s="2" t="s">
        <v>39</v>
      </c>
      <c r="H1982" s="2" t="s">
        <v>22</v>
      </c>
      <c r="I1982" s="2" t="s">
        <v>40</v>
      </c>
      <c r="J1982" s="2" t="s">
        <v>59</v>
      </c>
      <c r="K1982">
        <v>2.71</v>
      </c>
      <c r="L1982">
        <v>34</v>
      </c>
      <c r="M1982">
        <v>1254.6099999999999</v>
      </c>
      <c r="N1982" s="2" t="s">
        <v>289</v>
      </c>
      <c r="O1982" s="2" t="s">
        <v>290</v>
      </c>
      <c r="P1982" s="2" t="s">
        <v>3707</v>
      </c>
      <c r="Q1982" s="2" t="s">
        <v>3708</v>
      </c>
      <c r="R1982" s="2" t="s">
        <v>29</v>
      </c>
      <c r="S1982" s="2" t="s">
        <v>30</v>
      </c>
    </row>
    <row r="1983" spans="1:19">
      <c r="A1983" s="1">
        <v>44805</v>
      </c>
      <c r="B1983" s="1">
        <v>44805</v>
      </c>
      <c r="C1983">
        <v>2022</v>
      </c>
      <c r="D1983">
        <v>9</v>
      </c>
      <c r="E1983" s="2" t="s">
        <v>293</v>
      </c>
      <c r="F1983" s="2" t="s">
        <v>294</v>
      </c>
      <c r="G1983" s="2" t="s">
        <v>21</v>
      </c>
      <c r="H1983" s="2" t="s">
        <v>22</v>
      </c>
      <c r="I1983" s="2" t="s">
        <v>295</v>
      </c>
      <c r="J1983" s="2" t="s">
        <v>24</v>
      </c>
      <c r="K1983">
        <v>1262.21</v>
      </c>
      <c r="L1983">
        <v>5003.63</v>
      </c>
      <c r="M1983">
        <v>396.42</v>
      </c>
      <c r="N1983" s="2" t="s">
        <v>296</v>
      </c>
      <c r="O1983" s="2" t="s">
        <v>297</v>
      </c>
      <c r="P1983" s="2" t="s">
        <v>3709</v>
      </c>
      <c r="Q1983" s="2" t="s">
        <v>3710</v>
      </c>
      <c r="R1983" s="2" t="s">
        <v>29</v>
      </c>
      <c r="S1983" s="2" t="s">
        <v>30</v>
      </c>
    </row>
    <row r="1984" spans="1:19">
      <c r="A1984" s="1">
        <v>44805</v>
      </c>
      <c r="B1984" s="1">
        <v>44805</v>
      </c>
      <c r="C1984">
        <v>2022</v>
      </c>
      <c r="D1984">
        <v>9</v>
      </c>
      <c r="E1984" s="2" t="s">
        <v>300</v>
      </c>
      <c r="F1984" s="2" t="s">
        <v>301</v>
      </c>
      <c r="G1984" s="2" t="s">
        <v>21</v>
      </c>
      <c r="H1984" s="2" t="s">
        <v>22</v>
      </c>
      <c r="I1984" s="2" t="s">
        <v>295</v>
      </c>
      <c r="J1984" s="2" t="s">
        <v>24</v>
      </c>
      <c r="K1984">
        <v>79.41</v>
      </c>
      <c r="L1984">
        <v>1171.5899999999999</v>
      </c>
      <c r="M1984">
        <v>1475.37</v>
      </c>
      <c r="N1984" s="2" t="s">
        <v>302</v>
      </c>
      <c r="O1984" s="2" t="s">
        <v>303</v>
      </c>
      <c r="P1984" s="2" t="s">
        <v>3711</v>
      </c>
      <c r="Q1984" s="2" t="s">
        <v>3712</v>
      </c>
      <c r="R1984" s="2" t="s">
        <v>29</v>
      </c>
      <c r="S1984" s="2" t="s">
        <v>30</v>
      </c>
    </row>
    <row r="1985" spans="1:19">
      <c r="A1985" s="1">
        <v>44805</v>
      </c>
      <c r="B1985" s="1">
        <v>44805</v>
      </c>
      <c r="C1985">
        <v>2022</v>
      </c>
      <c r="D1985">
        <v>9</v>
      </c>
      <c r="E1985" s="2" t="s">
        <v>306</v>
      </c>
      <c r="F1985" s="2" t="s">
        <v>307</v>
      </c>
      <c r="G1985" s="2" t="s">
        <v>21</v>
      </c>
      <c r="H1985" s="2" t="s">
        <v>22</v>
      </c>
      <c r="I1985" s="2" t="s">
        <v>295</v>
      </c>
      <c r="J1985" s="2" t="s">
        <v>101</v>
      </c>
      <c r="K1985">
        <v>1341.62</v>
      </c>
      <c r="L1985">
        <v>6175.22</v>
      </c>
      <c r="M1985">
        <v>460.28</v>
      </c>
      <c r="N1985" s="2" t="s">
        <v>308</v>
      </c>
      <c r="O1985" s="2" t="s">
        <v>309</v>
      </c>
      <c r="P1985" s="2" t="s">
        <v>3713</v>
      </c>
      <c r="Q1985" s="2" t="s">
        <v>3714</v>
      </c>
      <c r="R1985" s="2" t="s">
        <v>29</v>
      </c>
      <c r="S1985" s="2" t="s">
        <v>30</v>
      </c>
    </row>
    <row r="1986" spans="1:19">
      <c r="A1986" s="1">
        <v>44805</v>
      </c>
      <c r="B1986" s="1">
        <v>44805</v>
      </c>
      <c r="C1986">
        <v>2022</v>
      </c>
      <c r="D1986">
        <v>9</v>
      </c>
      <c r="E1986" s="2" t="s">
        <v>312</v>
      </c>
      <c r="F1986" s="2" t="s">
        <v>313</v>
      </c>
      <c r="G1986" s="2" t="s">
        <v>21</v>
      </c>
      <c r="H1986" s="2" t="s">
        <v>22</v>
      </c>
      <c r="I1986" s="2" t="s">
        <v>295</v>
      </c>
      <c r="J1986" s="2" t="s">
        <v>59</v>
      </c>
      <c r="K1986">
        <v>6048.61</v>
      </c>
      <c r="L1986">
        <v>24090.22</v>
      </c>
      <c r="M1986">
        <v>398.28</v>
      </c>
      <c r="N1986" s="2" t="s">
        <v>314</v>
      </c>
      <c r="O1986" s="2" t="s">
        <v>315</v>
      </c>
      <c r="P1986" s="2" t="s">
        <v>3715</v>
      </c>
      <c r="Q1986" s="2" t="s">
        <v>3716</v>
      </c>
      <c r="R1986" s="2" t="s">
        <v>29</v>
      </c>
      <c r="S1986" s="2" t="s">
        <v>30</v>
      </c>
    </row>
    <row r="1987" spans="1:19">
      <c r="A1987" s="1">
        <v>44805</v>
      </c>
      <c r="B1987" s="1">
        <v>44805</v>
      </c>
      <c r="C1987">
        <v>2022</v>
      </c>
      <c r="D1987">
        <v>9</v>
      </c>
      <c r="E1987" s="2" t="s">
        <v>318</v>
      </c>
      <c r="F1987" s="2" t="s">
        <v>319</v>
      </c>
      <c r="G1987" s="2" t="s">
        <v>21</v>
      </c>
      <c r="H1987" s="2" t="s">
        <v>22</v>
      </c>
      <c r="I1987" s="2" t="s">
        <v>295</v>
      </c>
      <c r="J1987" s="2" t="s">
        <v>24</v>
      </c>
      <c r="K1987">
        <v>4706.99</v>
      </c>
      <c r="L1987">
        <v>17915</v>
      </c>
      <c r="M1987">
        <v>380.6</v>
      </c>
      <c r="N1987" s="2" t="s">
        <v>320</v>
      </c>
      <c r="O1987" s="2" t="s">
        <v>321</v>
      </c>
      <c r="P1987" s="2" t="s">
        <v>3717</v>
      </c>
      <c r="Q1987" s="2" t="s">
        <v>3718</v>
      </c>
      <c r="R1987" s="2" t="s">
        <v>29</v>
      </c>
      <c r="S1987" s="2" t="s">
        <v>30</v>
      </c>
    </row>
    <row r="1988" spans="1:19">
      <c r="A1988" s="1">
        <v>44805</v>
      </c>
      <c r="B1988" s="1">
        <v>44805</v>
      </c>
      <c r="C1988">
        <v>2022</v>
      </c>
      <c r="D1988">
        <v>9</v>
      </c>
      <c r="E1988" s="2" t="s">
        <v>324</v>
      </c>
      <c r="F1988" s="2" t="s">
        <v>325</v>
      </c>
      <c r="G1988" s="2" t="s">
        <v>21</v>
      </c>
      <c r="H1988" s="2" t="s">
        <v>22</v>
      </c>
      <c r="I1988" s="2" t="s">
        <v>23</v>
      </c>
      <c r="J1988" s="2" t="s">
        <v>59</v>
      </c>
      <c r="K1988">
        <v>79564.56</v>
      </c>
      <c r="L1988">
        <v>4621356.6399999997</v>
      </c>
      <c r="M1988">
        <v>5808.31</v>
      </c>
      <c r="N1988" s="2" t="s">
        <v>326</v>
      </c>
      <c r="O1988" s="2" t="s">
        <v>327</v>
      </c>
      <c r="P1988" s="2" t="s">
        <v>3719</v>
      </c>
      <c r="Q1988" s="2" t="s">
        <v>3720</v>
      </c>
      <c r="R1988" s="2" t="s">
        <v>29</v>
      </c>
      <c r="S1988" s="2" t="s">
        <v>30</v>
      </c>
    </row>
    <row r="1989" spans="1:19">
      <c r="A1989" s="1">
        <v>44805</v>
      </c>
      <c r="B1989" s="1">
        <v>44805</v>
      </c>
      <c r="C1989">
        <v>2022</v>
      </c>
      <c r="D1989">
        <v>9</v>
      </c>
      <c r="E1989" s="2" t="s">
        <v>330</v>
      </c>
      <c r="F1989" s="2" t="s">
        <v>331</v>
      </c>
      <c r="G1989" s="2" t="s">
        <v>21</v>
      </c>
      <c r="H1989" s="2" t="s">
        <v>332</v>
      </c>
      <c r="I1989" s="2" t="s">
        <v>333</v>
      </c>
      <c r="J1989" s="2" t="s">
        <v>24</v>
      </c>
      <c r="K1989">
        <v>197.1</v>
      </c>
      <c r="L1989">
        <v>12094321.25</v>
      </c>
      <c r="M1989">
        <v>6136134.5800000001</v>
      </c>
      <c r="N1989" s="2" t="s">
        <v>334</v>
      </c>
      <c r="O1989" s="2" t="s">
        <v>335</v>
      </c>
      <c r="P1989" s="2" t="s">
        <v>3721</v>
      </c>
      <c r="Q1989" s="2" t="s">
        <v>3722</v>
      </c>
      <c r="R1989" s="2" t="s">
        <v>29</v>
      </c>
      <c r="S1989" s="2" t="s">
        <v>30</v>
      </c>
    </row>
    <row r="1990" spans="1:19">
      <c r="A1990" s="1">
        <v>44805</v>
      </c>
      <c r="B1990" s="1">
        <v>44805</v>
      </c>
      <c r="C1990">
        <v>2022</v>
      </c>
      <c r="D1990">
        <v>9</v>
      </c>
      <c r="E1990" s="2" t="s">
        <v>338</v>
      </c>
      <c r="F1990" s="2" t="s">
        <v>339</v>
      </c>
      <c r="G1990" s="2" t="s">
        <v>21</v>
      </c>
      <c r="H1990" s="2" t="s">
        <v>332</v>
      </c>
      <c r="I1990" s="2" t="s">
        <v>333</v>
      </c>
      <c r="J1990" s="2" t="s">
        <v>24</v>
      </c>
      <c r="K1990">
        <v>1.2</v>
      </c>
      <c r="L1990">
        <v>1695315.87</v>
      </c>
      <c r="M1990">
        <v>141276322.5</v>
      </c>
      <c r="N1990" s="2" t="s">
        <v>340</v>
      </c>
      <c r="O1990" s="2" t="s">
        <v>341</v>
      </c>
      <c r="P1990" s="2" t="s">
        <v>3533</v>
      </c>
      <c r="Q1990" s="2" t="s">
        <v>3723</v>
      </c>
      <c r="R1990" s="2" t="s">
        <v>29</v>
      </c>
      <c r="S1990" s="2" t="s">
        <v>30</v>
      </c>
    </row>
    <row r="1991" spans="1:19">
      <c r="A1991" s="1">
        <v>44805</v>
      </c>
      <c r="B1991" s="1">
        <v>44805</v>
      </c>
      <c r="C1991">
        <v>2022</v>
      </c>
      <c r="D1991">
        <v>9</v>
      </c>
      <c r="E1991" s="2" t="s">
        <v>344</v>
      </c>
      <c r="F1991" s="2" t="s">
        <v>345</v>
      </c>
      <c r="G1991" s="2" t="s">
        <v>21</v>
      </c>
      <c r="H1991" s="2" t="s">
        <v>332</v>
      </c>
      <c r="I1991" s="2" t="s">
        <v>333</v>
      </c>
      <c r="J1991" s="2" t="s">
        <v>59</v>
      </c>
      <c r="K1991">
        <v>198.3</v>
      </c>
      <c r="L1991">
        <v>13789637.119999999</v>
      </c>
      <c r="M1991">
        <v>6953926.9400000004</v>
      </c>
      <c r="N1991" s="2" t="s">
        <v>346</v>
      </c>
      <c r="O1991" s="2" t="s">
        <v>347</v>
      </c>
      <c r="P1991" s="2" t="s">
        <v>3724</v>
      </c>
      <c r="Q1991" s="2" t="s">
        <v>3725</v>
      </c>
      <c r="R1991" s="2" t="s">
        <v>29</v>
      </c>
      <c r="S1991" s="2" t="s">
        <v>30</v>
      </c>
    </row>
    <row r="1992" spans="1:19">
      <c r="A1992" s="1">
        <v>44805</v>
      </c>
      <c r="B1992" s="1">
        <v>44805</v>
      </c>
      <c r="C1992">
        <v>2022</v>
      </c>
      <c r="D1992">
        <v>9</v>
      </c>
      <c r="E1992" s="2" t="s">
        <v>350</v>
      </c>
      <c r="F1992" s="2" t="s">
        <v>351</v>
      </c>
      <c r="G1992" s="2" t="s">
        <v>21</v>
      </c>
      <c r="H1992" s="2" t="s">
        <v>22</v>
      </c>
      <c r="I1992" s="2" t="s">
        <v>352</v>
      </c>
      <c r="J1992" s="2" t="s">
        <v>353</v>
      </c>
      <c r="K1992">
        <v>92421.24</v>
      </c>
      <c r="L1992">
        <v>18724499.309999999</v>
      </c>
      <c r="M1992">
        <v>20259.95</v>
      </c>
      <c r="N1992" s="2" t="s">
        <v>354</v>
      </c>
      <c r="O1992" s="2" t="s">
        <v>355</v>
      </c>
      <c r="P1992" s="2" t="s">
        <v>3726</v>
      </c>
      <c r="Q1992" s="2" t="s">
        <v>3727</v>
      </c>
      <c r="R1992" s="2" t="s">
        <v>29</v>
      </c>
      <c r="S1992" s="2" t="s">
        <v>30</v>
      </c>
    </row>
    <row r="1993" spans="1:19">
      <c r="A1993" s="1">
        <v>44805</v>
      </c>
      <c r="B1993" s="1">
        <v>44805</v>
      </c>
      <c r="C1993">
        <v>2022</v>
      </c>
      <c r="D1993">
        <v>9</v>
      </c>
      <c r="E1993" s="2" t="s">
        <v>358</v>
      </c>
      <c r="F1993" s="2" t="s">
        <v>359</v>
      </c>
      <c r="G1993" s="2" t="s">
        <v>21</v>
      </c>
      <c r="H1993" s="2" t="s">
        <v>22</v>
      </c>
      <c r="I1993" s="2" t="s">
        <v>352</v>
      </c>
      <c r="J1993" s="2" t="s">
        <v>353</v>
      </c>
      <c r="K1993">
        <v>93025.08</v>
      </c>
      <c r="L1993">
        <v>19315071.960000001</v>
      </c>
      <c r="M1993">
        <v>20763.3</v>
      </c>
      <c r="N1993" s="2" t="s">
        <v>360</v>
      </c>
      <c r="O1993" s="2" t="s">
        <v>361</v>
      </c>
      <c r="P1993" s="2" t="s">
        <v>3728</v>
      </c>
      <c r="Q1993" s="2" t="s">
        <v>3729</v>
      </c>
      <c r="R1993" s="2" t="s">
        <v>29</v>
      </c>
      <c r="S1993" s="2" t="s">
        <v>30</v>
      </c>
    </row>
    <row r="1994" spans="1:19">
      <c r="A1994" s="1">
        <v>44805</v>
      </c>
      <c r="B1994" s="1">
        <v>44805</v>
      </c>
      <c r="C1994">
        <v>2022</v>
      </c>
      <c r="D1994">
        <v>9</v>
      </c>
      <c r="E1994" s="2" t="s">
        <v>364</v>
      </c>
      <c r="F1994" s="2" t="s">
        <v>365</v>
      </c>
      <c r="G1994" s="2" t="s">
        <v>21</v>
      </c>
      <c r="H1994" s="2" t="s">
        <v>22</v>
      </c>
      <c r="I1994" s="2" t="s">
        <v>352</v>
      </c>
      <c r="J1994" s="2" t="s">
        <v>353</v>
      </c>
      <c r="K1994">
        <v>92826.78</v>
      </c>
      <c r="L1994">
        <v>5525434.8399999999</v>
      </c>
      <c r="M1994">
        <v>5952.41</v>
      </c>
      <c r="N1994" s="2" t="s">
        <v>366</v>
      </c>
      <c r="O1994" s="2" t="s">
        <v>367</v>
      </c>
      <c r="P1994" s="2" t="s">
        <v>3730</v>
      </c>
      <c r="Q1994" s="2" t="s">
        <v>3731</v>
      </c>
      <c r="R1994" s="2" t="s">
        <v>29</v>
      </c>
      <c r="S1994" s="2" t="s">
        <v>30</v>
      </c>
    </row>
    <row r="1995" spans="1:19">
      <c r="A1995" s="1">
        <v>44805</v>
      </c>
      <c r="B1995" s="1">
        <v>44805</v>
      </c>
      <c r="C1995">
        <v>2022</v>
      </c>
      <c r="D1995">
        <v>9</v>
      </c>
      <c r="E1995" s="2" t="s">
        <v>370</v>
      </c>
      <c r="F1995" s="2" t="s">
        <v>371</v>
      </c>
      <c r="G1995" s="2" t="s">
        <v>21</v>
      </c>
      <c r="H1995" s="2" t="s">
        <v>22</v>
      </c>
      <c r="I1995" s="2" t="s">
        <v>23</v>
      </c>
      <c r="J1995" s="2" t="s">
        <v>24</v>
      </c>
      <c r="K1995">
        <v>67808</v>
      </c>
      <c r="L1995">
        <v>1116438.0900000001</v>
      </c>
      <c r="M1995">
        <v>1646.47</v>
      </c>
      <c r="N1995" s="2" t="s">
        <v>372</v>
      </c>
      <c r="O1995" s="2" t="s">
        <v>373</v>
      </c>
      <c r="P1995" s="2" t="s">
        <v>3732</v>
      </c>
      <c r="Q1995" s="2" t="s">
        <v>3733</v>
      </c>
      <c r="R1995" s="2" t="s">
        <v>29</v>
      </c>
      <c r="S1995" s="2" t="s">
        <v>30</v>
      </c>
    </row>
    <row r="1996" spans="1:19">
      <c r="A1996" s="1">
        <v>44805</v>
      </c>
      <c r="B1996" s="1">
        <v>44805</v>
      </c>
      <c r="C1996">
        <v>2022</v>
      </c>
      <c r="D1996">
        <v>9</v>
      </c>
      <c r="E1996" s="2" t="s">
        <v>376</v>
      </c>
      <c r="F1996" s="2" t="s">
        <v>377</v>
      </c>
      <c r="G1996" s="2" t="s">
        <v>21</v>
      </c>
      <c r="H1996" s="2" t="s">
        <v>22</v>
      </c>
      <c r="I1996" s="2" t="s">
        <v>23</v>
      </c>
      <c r="J1996" s="2" t="s">
        <v>378</v>
      </c>
      <c r="K1996">
        <v>1.47</v>
      </c>
      <c r="L1996">
        <v>16.87</v>
      </c>
      <c r="M1996">
        <v>1147.6199999999999</v>
      </c>
      <c r="N1996" s="2" t="s">
        <v>379</v>
      </c>
      <c r="O1996" s="2" t="s">
        <v>380</v>
      </c>
      <c r="P1996" s="2" t="s">
        <v>3734</v>
      </c>
      <c r="Q1996" s="2" t="s">
        <v>3735</v>
      </c>
      <c r="R1996" s="2" t="s">
        <v>29</v>
      </c>
      <c r="S1996" s="2" t="s">
        <v>30</v>
      </c>
    </row>
    <row r="1997" spans="1:19">
      <c r="A1997" s="1">
        <v>44835</v>
      </c>
      <c r="B1997" s="1">
        <v>44835</v>
      </c>
      <c r="C1997">
        <v>2022</v>
      </c>
      <c r="D1997">
        <v>10</v>
      </c>
      <c r="E1997" s="2" t="s">
        <v>19</v>
      </c>
      <c r="F1997" s="2" t="s">
        <v>20</v>
      </c>
      <c r="G1997" s="2" t="s">
        <v>21</v>
      </c>
      <c r="H1997" s="2" t="s">
        <v>22</v>
      </c>
      <c r="I1997" s="2" t="s">
        <v>23</v>
      </c>
      <c r="J1997" s="2" t="s">
        <v>24</v>
      </c>
      <c r="K1997">
        <v>0.56000000000000005</v>
      </c>
      <c r="L1997">
        <v>30.62</v>
      </c>
      <c r="M1997">
        <v>5467.86</v>
      </c>
      <c r="N1997" s="2" t="s">
        <v>25</v>
      </c>
      <c r="O1997" s="2" t="s">
        <v>26</v>
      </c>
      <c r="P1997" s="2" t="s">
        <v>930</v>
      </c>
      <c r="Q1997" s="2" t="s">
        <v>1792</v>
      </c>
      <c r="R1997" s="2" t="s">
        <v>29</v>
      </c>
      <c r="S1997" s="2" t="s">
        <v>30</v>
      </c>
    </row>
    <row r="1998" spans="1:19">
      <c r="A1998" s="1">
        <v>44835</v>
      </c>
      <c r="B1998" s="1">
        <v>44835</v>
      </c>
      <c r="C1998">
        <v>2022</v>
      </c>
      <c r="D1998">
        <v>10</v>
      </c>
      <c r="E1998" s="2" t="s">
        <v>31</v>
      </c>
      <c r="F1998" s="2" t="s">
        <v>32</v>
      </c>
      <c r="G1998" s="2" t="s">
        <v>21</v>
      </c>
      <c r="H1998" s="2" t="s">
        <v>22</v>
      </c>
      <c r="I1998" s="2" t="s">
        <v>23</v>
      </c>
      <c r="J1998" s="2" t="s">
        <v>24</v>
      </c>
      <c r="K1998">
        <v>1843.72</v>
      </c>
      <c r="L1998">
        <v>25461.8</v>
      </c>
      <c r="M1998">
        <v>1381</v>
      </c>
      <c r="N1998" s="2" t="s">
        <v>33</v>
      </c>
      <c r="O1998" s="2" t="s">
        <v>34</v>
      </c>
      <c r="P1998" s="2" t="s">
        <v>3736</v>
      </c>
      <c r="Q1998" s="2" t="s">
        <v>3737</v>
      </c>
      <c r="R1998" s="2" t="s">
        <v>29</v>
      </c>
      <c r="S1998" s="2" t="s">
        <v>30</v>
      </c>
    </row>
    <row r="1999" spans="1:19">
      <c r="A1999" s="1">
        <v>44835</v>
      </c>
      <c r="B1999" s="1">
        <v>44835</v>
      </c>
      <c r="C1999">
        <v>2022</v>
      </c>
      <c r="D1999">
        <v>10</v>
      </c>
      <c r="E1999" s="2" t="s">
        <v>37</v>
      </c>
      <c r="F1999" s="2" t="s">
        <v>38</v>
      </c>
      <c r="G1999" s="2" t="s">
        <v>39</v>
      </c>
      <c r="H1999" s="2" t="s">
        <v>22</v>
      </c>
      <c r="I1999" s="2" t="s">
        <v>40</v>
      </c>
      <c r="J1999" s="2" t="s">
        <v>24</v>
      </c>
      <c r="K1999">
        <v>7.67</v>
      </c>
      <c r="L1999">
        <v>374.65</v>
      </c>
      <c r="M1999">
        <v>4884.62</v>
      </c>
      <c r="N1999" s="2" t="s">
        <v>41</v>
      </c>
      <c r="O1999" s="2" t="s">
        <v>42</v>
      </c>
      <c r="P1999" s="2" t="s">
        <v>3738</v>
      </c>
      <c r="Q1999" s="2" t="s">
        <v>3739</v>
      </c>
      <c r="R1999" s="2" t="s">
        <v>29</v>
      </c>
      <c r="S1999" s="2" t="s">
        <v>30</v>
      </c>
    </row>
    <row r="2000" spans="1:19">
      <c r="A2000" s="1">
        <v>44835</v>
      </c>
      <c r="B2000" s="1">
        <v>44835</v>
      </c>
      <c r="C2000">
        <v>2022</v>
      </c>
      <c r="D2000">
        <v>10</v>
      </c>
      <c r="E2000" s="2" t="s">
        <v>45</v>
      </c>
      <c r="F2000" s="2" t="s">
        <v>46</v>
      </c>
      <c r="G2000" s="2" t="s">
        <v>39</v>
      </c>
      <c r="H2000" s="2" t="s">
        <v>22</v>
      </c>
      <c r="I2000" s="2" t="s">
        <v>40</v>
      </c>
      <c r="J2000" s="2" t="s">
        <v>24</v>
      </c>
      <c r="K2000">
        <v>6078.3</v>
      </c>
      <c r="L2000">
        <v>290556.59000000003</v>
      </c>
      <c r="M2000">
        <v>4780.2299999999996</v>
      </c>
      <c r="N2000" s="2" t="s">
        <v>47</v>
      </c>
      <c r="O2000" s="2" t="s">
        <v>48</v>
      </c>
      <c r="P2000" s="2" t="s">
        <v>3740</v>
      </c>
      <c r="Q2000" s="2" t="s">
        <v>3741</v>
      </c>
      <c r="R2000" s="2" t="s">
        <v>29</v>
      </c>
      <c r="S2000" s="2" t="s">
        <v>30</v>
      </c>
    </row>
    <row r="2001" spans="1:19">
      <c r="A2001" s="1">
        <v>44835</v>
      </c>
      <c r="B2001" s="1">
        <v>44835</v>
      </c>
      <c r="C2001">
        <v>2022</v>
      </c>
      <c r="D2001">
        <v>10</v>
      </c>
      <c r="E2001" s="2" t="s">
        <v>51</v>
      </c>
      <c r="F2001" s="2" t="s">
        <v>52</v>
      </c>
      <c r="G2001" s="2" t="s">
        <v>39</v>
      </c>
      <c r="H2001" s="2" t="s">
        <v>22</v>
      </c>
      <c r="I2001" s="2" t="s">
        <v>40</v>
      </c>
      <c r="J2001" s="2" t="s">
        <v>24</v>
      </c>
      <c r="K2001">
        <v>38.479999999999997</v>
      </c>
      <c r="L2001">
        <v>1212.42</v>
      </c>
      <c r="M2001">
        <v>3150.78</v>
      </c>
      <c r="N2001" s="2" t="s">
        <v>53</v>
      </c>
      <c r="O2001" s="2" t="s">
        <v>54</v>
      </c>
      <c r="P2001" s="2" t="s">
        <v>3742</v>
      </c>
      <c r="Q2001" s="2" t="s">
        <v>3743</v>
      </c>
      <c r="R2001" s="2" t="s">
        <v>29</v>
      </c>
      <c r="S2001" s="2" t="s">
        <v>30</v>
      </c>
    </row>
    <row r="2002" spans="1:19">
      <c r="A2002" s="1">
        <v>44835</v>
      </c>
      <c r="B2002" s="1">
        <v>44835</v>
      </c>
      <c r="C2002">
        <v>2022</v>
      </c>
      <c r="D2002">
        <v>10</v>
      </c>
      <c r="E2002" s="2" t="s">
        <v>57</v>
      </c>
      <c r="F2002" s="2" t="s">
        <v>58</v>
      </c>
      <c r="G2002" s="2" t="s">
        <v>39</v>
      </c>
      <c r="H2002" s="2" t="s">
        <v>22</v>
      </c>
      <c r="I2002" s="2" t="s">
        <v>40</v>
      </c>
      <c r="J2002" s="2" t="s">
        <v>59</v>
      </c>
      <c r="K2002">
        <v>6124.46</v>
      </c>
      <c r="L2002">
        <v>292143.65999999997</v>
      </c>
      <c r="M2002">
        <v>4770.1099999999997</v>
      </c>
      <c r="N2002" s="2" t="s">
        <v>60</v>
      </c>
      <c r="O2002" s="2" t="s">
        <v>61</v>
      </c>
      <c r="P2002" s="2" t="s">
        <v>3744</v>
      </c>
      <c r="Q2002" s="2" t="s">
        <v>3745</v>
      </c>
      <c r="R2002" s="2" t="s">
        <v>29</v>
      </c>
      <c r="S2002" s="2" t="s">
        <v>30</v>
      </c>
    </row>
    <row r="2003" spans="1:19">
      <c r="A2003" s="1">
        <v>44835</v>
      </c>
      <c r="B2003" s="1">
        <v>44835</v>
      </c>
      <c r="C2003">
        <v>2022</v>
      </c>
      <c r="D2003">
        <v>10</v>
      </c>
      <c r="E2003" s="2" t="s">
        <v>64</v>
      </c>
      <c r="F2003" s="2" t="s">
        <v>65</v>
      </c>
      <c r="G2003" s="2" t="s">
        <v>21</v>
      </c>
      <c r="H2003" s="2" t="s">
        <v>22</v>
      </c>
      <c r="I2003" s="2" t="s">
        <v>66</v>
      </c>
      <c r="J2003" s="2" t="s">
        <v>24</v>
      </c>
      <c r="K2003">
        <v>19.989999999999998</v>
      </c>
      <c r="L2003">
        <v>603.83000000000004</v>
      </c>
      <c r="M2003">
        <v>3020.66</v>
      </c>
      <c r="N2003" s="2" t="s">
        <v>67</v>
      </c>
      <c r="O2003" s="2" t="s">
        <v>68</v>
      </c>
      <c r="P2003" s="2" t="s">
        <v>3746</v>
      </c>
      <c r="Q2003" s="2" t="s">
        <v>3747</v>
      </c>
      <c r="R2003" s="2" t="s">
        <v>29</v>
      </c>
      <c r="S2003" s="2" t="s">
        <v>30</v>
      </c>
    </row>
    <row r="2004" spans="1:19">
      <c r="A2004" s="1">
        <v>44835</v>
      </c>
      <c r="B2004" s="1">
        <v>44835</v>
      </c>
      <c r="C2004">
        <v>2022</v>
      </c>
      <c r="D2004">
        <v>10</v>
      </c>
      <c r="E2004" s="2" t="s">
        <v>71</v>
      </c>
      <c r="F2004" s="2" t="s">
        <v>72</v>
      </c>
      <c r="G2004" s="2" t="s">
        <v>21</v>
      </c>
      <c r="H2004" s="2" t="s">
        <v>22</v>
      </c>
      <c r="I2004" s="2" t="s">
        <v>73</v>
      </c>
      <c r="J2004" s="2" t="s">
        <v>59</v>
      </c>
      <c r="K2004">
        <v>5516.4</v>
      </c>
      <c r="L2004">
        <v>195998.5</v>
      </c>
      <c r="M2004">
        <v>3553.01</v>
      </c>
      <c r="N2004" s="2" t="s">
        <v>74</v>
      </c>
      <c r="O2004" s="2" t="s">
        <v>75</v>
      </c>
      <c r="P2004" s="2" t="s">
        <v>3748</v>
      </c>
      <c r="Q2004" s="2" t="s">
        <v>3749</v>
      </c>
      <c r="R2004" s="2" t="s">
        <v>29</v>
      </c>
      <c r="S2004" s="2" t="s">
        <v>30</v>
      </c>
    </row>
    <row r="2005" spans="1:19">
      <c r="A2005" s="1">
        <v>44835</v>
      </c>
      <c r="B2005" s="1">
        <v>44835</v>
      </c>
      <c r="C2005">
        <v>2022</v>
      </c>
      <c r="D2005">
        <v>10</v>
      </c>
      <c r="E2005" s="2" t="s">
        <v>78</v>
      </c>
      <c r="F2005" s="2" t="s">
        <v>79</v>
      </c>
      <c r="G2005" s="2" t="s">
        <v>80</v>
      </c>
      <c r="H2005" s="2" t="s">
        <v>81</v>
      </c>
      <c r="I2005" s="2" t="s">
        <v>82</v>
      </c>
      <c r="J2005" s="2" t="s">
        <v>24</v>
      </c>
      <c r="K2005">
        <v>1.9</v>
      </c>
      <c r="L2005">
        <v>6514292.0700000003</v>
      </c>
      <c r="M2005">
        <v>342857477.37</v>
      </c>
      <c r="N2005" s="2" t="s">
        <v>83</v>
      </c>
      <c r="O2005" s="2" t="s">
        <v>84</v>
      </c>
      <c r="P2005" s="2" t="s">
        <v>3750</v>
      </c>
      <c r="Q2005" s="2" t="s">
        <v>3751</v>
      </c>
      <c r="R2005" s="2" t="s">
        <v>29</v>
      </c>
      <c r="S2005" s="2" t="s">
        <v>30</v>
      </c>
    </row>
    <row r="2006" spans="1:19">
      <c r="A2006" s="1">
        <v>44835</v>
      </c>
      <c r="B2006" s="1">
        <v>44835</v>
      </c>
      <c r="C2006">
        <v>2022</v>
      </c>
      <c r="D2006">
        <v>10</v>
      </c>
      <c r="E2006" s="2" t="s">
        <v>87</v>
      </c>
      <c r="F2006" s="2" t="s">
        <v>88</v>
      </c>
      <c r="G2006" s="2" t="s">
        <v>80</v>
      </c>
      <c r="H2006" s="2" t="s">
        <v>81</v>
      </c>
      <c r="I2006" s="2" t="s">
        <v>82</v>
      </c>
      <c r="J2006" s="2" t="s">
        <v>24</v>
      </c>
      <c r="K2006">
        <v>0.54</v>
      </c>
      <c r="L2006">
        <v>672815.87</v>
      </c>
      <c r="M2006">
        <v>124595531.48</v>
      </c>
      <c r="N2006" s="2" t="s">
        <v>89</v>
      </c>
      <c r="O2006" s="2" t="s">
        <v>90</v>
      </c>
      <c r="P2006" s="2" t="s">
        <v>1034</v>
      </c>
      <c r="Q2006" s="2" t="s">
        <v>3752</v>
      </c>
      <c r="R2006" s="2" t="s">
        <v>29</v>
      </c>
      <c r="S2006" s="2" t="s">
        <v>30</v>
      </c>
    </row>
    <row r="2007" spans="1:19">
      <c r="A2007" s="1">
        <v>44835</v>
      </c>
      <c r="B2007" s="1">
        <v>44835</v>
      </c>
      <c r="C2007">
        <v>2022</v>
      </c>
      <c r="D2007">
        <v>10</v>
      </c>
      <c r="E2007" s="2" t="s">
        <v>93</v>
      </c>
      <c r="F2007" s="2" t="s">
        <v>94</v>
      </c>
      <c r="G2007" s="2" t="s">
        <v>80</v>
      </c>
      <c r="H2007" s="2" t="s">
        <v>81</v>
      </c>
      <c r="I2007" s="2" t="s">
        <v>82</v>
      </c>
      <c r="J2007" s="2" t="s">
        <v>24</v>
      </c>
      <c r="K2007">
        <v>0.31</v>
      </c>
      <c r="L2007">
        <v>5277167.5</v>
      </c>
      <c r="M2007">
        <v>1702312096.77</v>
      </c>
      <c r="N2007" s="2" t="s">
        <v>95</v>
      </c>
      <c r="O2007" s="2" t="s">
        <v>96</v>
      </c>
      <c r="P2007" s="2" t="s">
        <v>2811</v>
      </c>
      <c r="Q2007" s="2" t="s">
        <v>3753</v>
      </c>
      <c r="R2007" s="2" t="s">
        <v>29</v>
      </c>
      <c r="S2007" s="2" t="s">
        <v>30</v>
      </c>
    </row>
    <row r="2008" spans="1:19">
      <c r="A2008" s="1">
        <v>44835</v>
      </c>
      <c r="B2008" s="1">
        <v>44835</v>
      </c>
      <c r="C2008">
        <v>2022</v>
      </c>
      <c r="D2008">
        <v>10</v>
      </c>
      <c r="E2008" s="2" t="s">
        <v>99</v>
      </c>
      <c r="F2008" s="2" t="s">
        <v>100</v>
      </c>
      <c r="G2008" s="2" t="s">
        <v>80</v>
      </c>
      <c r="H2008" s="2" t="s">
        <v>81</v>
      </c>
      <c r="I2008" s="2" t="s">
        <v>82</v>
      </c>
      <c r="J2008" s="2" t="s">
        <v>101</v>
      </c>
      <c r="K2008">
        <v>1.07</v>
      </c>
      <c r="L2008">
        <v>13863316.369999999</v>
      </c>
      <c r="M2008">
        <v>1295637043.9300001</v>
      </c>
      <c r="N2008" s="2" t="s">
        <v>102</v>
      </c>
      <c r="O2008" s="2" t="s">
        <v>103</v>
      </c>
      <c r="P2008" s="2" t="s">
        <v>2201</v>
      </c>
      <c r="Q2008" s="2" t="s">
        <v>3754</v>
      </c>
      <c r="R2008" s="2" t="s">
        <v>29</v>
      </c>
      <c r="S2008" s="2" t="s">
        <v>30</v>
      </c>
    </row>
    <row r="2009" spans="1:19">
      <c r="A2009" s="1">
        <v>44835</v>
      </c>
      <c r="B2009" s="1">
        <v>44835</v>
      </c>
      <c r="C2009">
        <v>2022</v>
      </c>
      <c r="D2009">
        <v>10</v>
      </c>
      <c r="E2009" s="2" t="s">
        <v>106</v>
      </c>
      <c r="F2009" s="2" t="s">
        <v>107</v>
      </c>
      <c r="G2009" s="2" t="s">
        <v>80</v>
      </c>
      <c r="H2009" s="2" t="s">
        <v>81</v>
      </c>
      <c r="I2009" s="2" t="s">
        <v>82</v>
      </c>
      <c r="J2009" s="2" t="s">
        <v>24</v>
      </c>
      <c r="K2009">
        <v>0.22</v>
      </c>
      <c r="L2009">
        <v>7913333</v>
      </c>
      <c r="M2009">
        <v>3596969545.4499998</v>
      </c>
      <c r="N2009" s="2" t="s">
        <v>108</v>
      </c>
      <c r="O2009" s="2" t="s">
        <v>109</v>
      </c>
      <c r="P2009" s="2" t="s">
        <v>514</v>
      </c>
      <c r="Q2009" s="2" t="s">
        <v>3755</v>
      </c>
      <c r="R2009" s="2" t="s">
        <v>29</v>
      </c>
      <c r="S2009" s="2" t="s">
        <v>30</v>
      </c>
    </row>
    <row r="2010" spans="1:19">
      <c r="A2010" s="1">
        <v>44835</v>
      </c>
      <c r="B2010" s="1">
        <v>44835</v>
      </c>
      <c r="C2010">
        <v>2022</v>
      </c>
      <c r="D2010">
        <v>10</v>
      </c>
      <c r="E2010" s="2" t="s">
        <v>111</v>
      </c>
      <c r="F2010" s="2" t="s">
        <v>112</v>
      </c>
      <c r="G2010" s="2" t="s">
        <v>80</v>
      </c>
      <c r="H2010" s="2" t="s">
        <v>81</v>
      </c>
      <c r="I2010" s="2" t="s">
        <v>82</v>
      </c>
      <c r="J2010" s="2" t="s">
        <v>24</v>
      </c>
      <c r="K2010">
        <v>0.08</v>
      </c>
      <c r="L2010">
        <v>510093.5</v>
      </c>
      <c r="M2010">
        <v>637616875</v>
      </c>
      <c r="N2010" s="2" t="s">
        <v>113</v>
      </c>
      <c r="O2010" s="2" t="s">
        <v>114</v>
      </c>
      <c r="P2010" s="2" t="s">
        <v>1393</v>
      </c>
      <c r="Q2010" s="2" t="s">
        <v>3756</v>
      </c>
      <c r="R2010" s="2" t="s">
        <v>29</v>
      </c>
      <c r="S2010" s="2" t="s">
        <v>30</v>
      </c>
    </row>
    <row r="2011" spans="1:19">
      <c r="A2011" s="1">
        <v>44835</v>
      </c>
      <c r="B2011" s="1">
        <v>44835</v>
      </c>
      <c r="C2011">
        <v>2022</v>
      </c>
      <c r="D2011">
        <v>10</v>
      </c>
      <c r="E2011" s="2" t="s">
        <v>117</v>
      </c>
      <c r="F2011" s="2" t="s">
        <v>118</v>
      </c>
      <c r="G2011" s="2" t="s">
        <v>80</v>
      </c>
      <c r="H2011" s="2" t="s">
        <v>81</v>
      </c>
      <c r="I2011" s="2" t="s">
        <v>82</v>
      </c>
      <c r="J2011" s="2" t="s">
        <v>59</v>
      </c>
      <c r="K2011">
        <v>3.06</v>
      </c>
      <c r="L2011">
        <v>20887701.940000001</v>
      </c>
      <c r="M2011">
        <v>682604638.55999994</v>
      </c>
      <c r="N2011" s="2" t="s">
        <v>119</v>
      </c>
      <c r="O2011" s="2" t="s">
        <v>120</v>
      </c>
      <c r="P2011" s="2" t="s">
        <v>3193</v>
      </c>
      <c r="Q2011" s="2" t="s">
        <v>3757</v>
      </c>
      <c r="R2011" s="2" t="s">
        <v>29</v>
      </c>
      <c r="S2011" s="2" t="s">
        <v>30</v>
      </c>
    </row>
    <row r="2012" spans="1:19">
      <c r="A2012" s="1">
        <v>44835</v>
      </c>
      <c r="B2012" s="1">
        <v>44835</v>
      </c>
      <c r="C2012">
        <v>2022</v>
      </c>
      <c r="D2012">
        <v>10</v>
      </c>
      <c r="E2012" s="2" t="s">
        <v>123</v>
      </c>
      <c r="F2012" s="2" t="s">
        <v>124</v>
      </c>
      <c r="G2012" s="2" t="s">
        <v>21</v>
      </c>
      <c r="H2012" s="2" t="s">
        <v>22</v>
      </c>
      <c r="I2012" s="2" t="s">
        <v>73</v>
      </c>
      <c r="J2012" s="2" t="s">
        <v>24</v>
      </c>
      <c r="K2012">
        <v>1153.51</v>
      </c>
      <c r="L2012">
        <v>77864.73</v>
      </c>
      <c r="M2012">
        <v>6750.24</v>
      </c>
      <c r="N2012" s="2" t="s">
        <v>125</v>
      </c>
      <c r="O2012" s="2" t="s">
        <v>126</v>
      </c>
      <c r="P2012" s="2" t="s">
        <v>3758</v>
      </c>
      <c r="Q2012" s="2" t="s">
        <v>3759</v>
      </c>
      <c r="R2012" s="2" t="s">
        <v>29</v>
      </c>
      <c r="S2012" s="2" t="s">
        <v>30</v>
      </c>
    </row>
    <row r="2013" spans="1:19">
      <c r="A2013" s="1">
        <v>44835</v>
      </c>
      <c r="B2013" s="1">
        <v>44835</v>
      </c>
      <c r="C2013">
        <v>2022</v>
      </c>
      <c r="D2013">
        <v>10</v>
      </c>
      <c r="E2013" s="2" t="s">
        <v>129</v>
      </c>
      <c r="F2013" s="2" t="s">
        <v>130</v>
      </c>
      <c r="G2013" s="2" t="s">
        <v>21</v>
      </c>
      <c r="H2013" s="2" t="s">
        <v>22</v>
      </c>
      <c r="I2013" s="2" t="s">
        <v>73</v>
      </c>
      <c r="J2013" s="2" t="s">
        <v>24</v>
      </c>
      <c r="K2013">
        <v>1400.51</v>
      </c>
      <c r="L2013">
        <v>51183.48</v>
      </c>
      <c r="M2013">
        <v>3654.63</v>
      </c>
      <c r="N2013" s="2" t="s">
        <v>131</v>
      </c>
      <c r="O2013" s="2" t="s">
        <v>132</v>
      </c>
      <c r="P2013" s="2" t="s">
        <v>3760</v>
      </c>
      <c r="Q2013" s="2" t="s">
        <v>3761</v>
      </c>
      <c r="R2013" s="2" t="s">
        <v>29</v>
      </c>
      <c r="S2013" s="2" t="s">
        <v>30</v>
      </c>
    </row>
    <row r="2014" spans="1:19">
      <c r="A2014" s="1">
        <v>44835</v>
      </c>
      <c r="B2014" s="1">
        <v>44835</v>
      </c>
      <c r="C2014">
        <v>2022</v>
      </c>
      <c r="D2014">
        <v>10</v>
      </c>
      <c r="E2014" s="2" t="s">
        <v>135</v>
      </c>
      <c r="F2014" s="2" t="s">
        <v>136</v>
      </c>
      <c r="G2014" s="2" t="s">
        <v>21</v>
      </c>
      <c r="H2014" s="2" t="s">
        <v>22</v>
      </c>
      <c r="I2014" s="2" t="s">
        <v>73</v>
      </c>
      <c r="J2014" s="2" t="s">
        <v>101</v>
      </c>
      <c r="K2014">
        <v>2554.02</v>
      </c>
      <c r="L2014">
        <v>129048.2</v>
      </c>
      <c r="M2014">
        <v>5052.75</v>
      </c>
      <c r="N2014" s="2" t="s">
        <v>137</v>
      </c>
      <c r="O2014" s="2" t="s">
        <v>138</v>
      </c>
      <c r="P2014" s="2" t="s">
        <v>3762</v>
      </c>
      <c r="Q2014" s="2" t="s">
        <v>3763</v>
      </c>
      <c r="R2014" s="2" t="s">
        <v>29</v>
      </c>
      <c r="S2014" s="2" t="s">
        <v>30</v>
      </c>
    </row>
    <row r="2015" spans="1:19">
      <c r="A2015" s="1">
        <v>44835</v>
      </c>
      <c r="B2015" s="1">
        <v>44835</v>
      </c>
      <c r="C2015">
        <v>2022</v>
      </c>
      <c r="D2015">
        <v>10</v>
      </c>
      <c r="E2015" s="2" t="s">
        <v>141</v>
      </c>
      <c r="F2015" s="2" t="s">
        <v>142</v>
      </c>
      <c r="G2015" s="2" t="s">
        <v>21</v>
      </c>
      <c r="H2015" s="2" t="s">
        <v>22</v>
      </c>
      <c r="I2015" s="2" t="s">
        <v>73</v>
      </c>
      <c r="J2015" s="2" t="s">
        <v>24</v>
      </c>
      <c r="K2015">
        <v>917.1</v>
      </c>
      <c r="L2015">
        <v>20933.810000000001</v>
      </c>
      <c r="M2015">
        <v>2282.61</v>
      </c>
      <c r="N2015" s="2" t="s">
        <v>143</v>
      </c>
      <c r="O2015" s="2" t="s">
        <v>144</v>
      </c>
      <c r="P2015" s="2" t="s">
        <v>3764</v>
      </c>
      <c r="Q2015" s="2" t="s">
        <v>3765</v>
      </c>
      <c r="R2015" s="2" t="s">
        <v>29</v>
      </c>
      <c r="S2015" s="2" t="s">
        <v>30</v>
      </c>
    </row>
    <row r="2016" spans="1:19">
      <c r="A2016" s="1">
        <v>44835</v>
      </c>
      <c r="B2016" s="1">
        <v>44835</v>
      </c>
      <c r="C2016">
        <v>2022</v>
      </c>
      <c r="D2016">
        <v>10</v>
      </c>
      <c r="E2016" s="2" t="s">
        <v>147</v>
      </c>
      <c r="F2016" s="2" t="s">
        <v>148</v>
      </c>
      <c r="G2016" s="2" t="s">
        <v>21</v>
      </c>
      <c r="H2016" s="2" t="s">
        <v>22</v>
      </c>
      <c r="I2016" s="2" t="s">
        <v>73</v>
      </c>
      <c r="J2016" s="2" t="s">
        <v>24</v>
      </c>
      <c r="K2016">
        <v>2045.27</v>
      </c>
      <c r="L2016">
        <v>46016.480000000003</v>
      </c>
      <c r="M2016">
        <v>2249.9</v>
      </c>
      <c r="N2016" s="2" t="s">
        <v>149</v>
      </c>
      <c r="O2016" s="2" t="s">
        <v>150</v>
      </c>
      <c r="P2016" s="2" t="s">
        <v>3766</v>
      </c>
      <c r="Q2016" s="2" t="s">
        <v>3767</v>
      </c>
      <c r="R2016" s="2" t="s">
        <v>29</v>
      </c>
      <c r="S2016" s="2" t="s">
        <v>30</v>
      </c>
    </row>
    <row r="2017" spans="1:19">
      <c r="A2017" s="1">
        <v>44835</v>
      </c>
      <c r="B2017" s="1">
        <v>44835</v>
      </c>
      <c r="C2017">
        <v>2022</v>
      </c>
      <c r="D2017">
        <v>10</v>
      </c>
      <c r="E2017" s="2" t="s">
        <v>153</v>
      </c>
      <c r="F2017" s="2" t="s">
        <v>154</v>
      </c>
      <c r="G2017" s="2" t="s">
        <v>21</v>
      </c>
      <c r="H2017" s="2" t="s">
        <v>22</v>
      </c>
      <c r="I2017" s="2" t="s">
        <v>73</v>
      </c>
      <c r="J2017" s="2" t="s">
        <v>101</v>
      </c>
      <c r="K2017">
        <v>2962.38</v>
      </c>
      <c r="L2017">
        <v>66950.289999999994</v>
      </c>
      <c r="M2017">
        <v>2260.02</v>
      </c>
      <c r="N2017" s="2" t="s">
        <v>155</v>
      </c>
      <c r="O2017" s="2" t="s">
        <v>156</v>
      </c>
      <c r="P2017" s="2" t="s">
        <v>3768</v>
      </c>
      <c r="Q2017" s="2" t="s">
        <v>3769</v>
      </c>
      <c r="R2017" s="2" t="s">
        <v>29</v>
      </c>
      <c r="S2017" s="2" t="s">
        <v>30</v>
      </c>
    </row>
    <row r="2018" spans="1:19">
      <c r="A2018" s="1">
        <v>44835</v>
      </c>
      <c r="B2018" s="1">
        <v>44835</v>
      </c>
      <c r="C2018">
        <v>2022</v>
      </c>
      <c r="D2018">
        <v>10</v>
      </c>
      <c r="E2018" s="2" t="s">
        <v>159</v>
      </c>
      <c r="F2018" s="2" t="s">
        <v>160</v>
      </c>
      <c r="G2018" s="2" t="s">
        <v>21</v>
      </c>
      <c r="H2018" s="2" t="s">
        <v>22</v>
      </c>
      <c r="I2018" s="2" t="s">
        <v>66</v>
      </c>
      <c r="J2018" s="2" t="s">
        <v>59</v>
      </c>
      <c r="K2018">
        <v>1297.79</v>
      </c>
      <c r="L2018">
        <v>106956.04</v>
      </c>
      <c r="M2018">
        <v>8241.4</v>
      </c>
      <c r="N2018" s="2" t="s">
        <v>161</v>
      </c>
      <c r="O2018" s="2" t="s">
        <v>162</v>
      </c>
      <c r="P2018" s="2" t="s">
        <v>3770</v>
      </c>
      <c r="Q2018" s="2" t="s">
        <v>3771</v>
      </c>
      <c r="R2018" s="2" t="s">
        <v>29</v>
      </c>
      <c r="S2018" s="2" t="s">
        <v>30</v>
      </c>
    </row>
    <row r="2019" spans="1:19">
      <c r="A2019" s="1">
        <v>44835</v>
      </c>
      <c r="B2019" s="1">
        <v>44835</v>
      </c>
      <c r="C2019">
        <v>2022</v>
      </c>
      <c r="D2019">
        <v>10</v>
      </c>
      <c r="E2019" s="2" t="s">
        <v>165</v>
      </c>
      <c r="F2019" s="2" t="s">
        <v>166</v>
      </c>
      <c r="G2019" s="2" t="s">
        <v>21</v>
      </c>
      <c r="H2019" s="2" t="s">
        <v>22</v>
      </c>
      <c r="I2019" s="2" t="s">
        <v>23</v>
      </c>
      <c r="J2019" s="2" t="s">
        <v>24</v>
      </c>
      <c r="N2019" s="2" t="s">
        <v>167</v>
      </c>
      <c r="O2019" s="2" t="s">
        <v>168</v>
      </c>
      <c r="P2019" s="2" t="s">
        <v>175</v>
      </c>
      <c r="Q2019" s="2" t="s">
        <v>175</v>
      </c>
      <c r="R2019" s="2" t="s">
        <v>640</v>
      </c>
      <c r="S2019" s="2" t="s">
        <v>641</v>
      </c>
    </row>
    <row r="2020" spans="1:19">
      <c r="A2020" s="1">
        <v>44835</v>
      </c>
      <c r="B2020" s="1">
        <v>44835</v>
      </c>
      <c r="C2020">
        <v>2022</v>
      </c>
      <c r="D2020">
        <v>10</v>
      </c>
      <c r="E2020" s="2" t="s">
        <v>171</v>
      </c>
      <c r="F2020" s="2" t="s">
        <v>172</v>
      </c>
      <c r="G2020" s="2" t="s">
        <v>21</v>
      </c>
      <c r="H2020" s="2" t="s">
        <v>22</v>
      </c>
      <c r="I2020" s="2" t="s">
        <v>66</v>
      </c>
      <c r="J2020" s="2" t="s">
        <v>24</v>
      </c>
      <c r="N2020" s="2" t="s">
        <v>173</v>
      </c>
      <c r="O2020" s="2" t="s">
        <v>174</v>
      </c>
      <c r="P2020" s="2" t="s">
        <v>175</v>
      </c>
      <c r="Q2020" s="2" t="s">
        <v>175</v>
      </c>
      <c r="R2020" s="2" t="s">
        <v>640</v>
      </c>
      <c r="S2020" s="2" t="s">
        <v>641</v>
      </c>
    </row>
    <row r="2021" spans="1:19">
      <c r="A2021" s="1">
        <v>44835</v>
      </c>
      <c r="B2021" s="1">
        <v>44835</v>
      </c>
      <c r="C2021">
        <v>2022</v>
      </c>
      <c r="D2021">
        <v>10</v>
      </c>
      <c r="E2021" s="2" t="s">
        <v>177</v>
      </c>
      <c r="F2021" s="2" t="s">
        <v>178</v>
      </c>
      <c r="G2021" s="2" t="s">
        <v>21</v>
      </c>
      <c r="H2021" s="2" t="s">
        <v>22</v>
      </c>
      <c r="I2021" s="2" t="s">
        <v>23</v>
      </c>
      <c r="J2021" s="2" t="s">
        <v>24</v>
      </c>
      <c r="K2021">
        <v>4824.59</v>
      </c>
      <c r="L2021">
        <v>466081.77</v>
      </c>
      <c r="M2021">
        <v>9660.5499999999993</v>
      </c>
      <c r="N2021" s="2" t="s">
        <v>179</v>
      </c>
      <c r="O2021" s="2" t="s">
        <v>180</v>
      </c>
      <c r="P2021" s="2" t="s">
        <v>3772</v>
      </c>
      <c r="Q2021" s="2" t="s">
        <v>3773</v>
      </c>
      <c r="R2021" s="2" t="s">
        <v>29</v>
      </c>
      <c r="S2021" s="2" t="s">
        <v>30</v>
      </c>
    </row>
    <row r="2022" spans="1:19">
      <c r="A2022" s="1">
        <v>44835</v>
      </c>
      <c r="B2022" s="1">
        <v>44835</v>
      </c>
      <c r="C2022">
        <v>2022</v>
      </c>
      <c r="D2022">
        <v>10</v>
      </c>
      <c r="E2022" s="2" t="s">
        <v>183</v>
      </c>
      <c r="F2022" s="2" t="s">
        <v>184</v>
      </c>
      <c r="G2022" s="2" t="s">
        <v>185</v>
      </c>
      <c r="H2022" s="2" t="s">
        <v>22</v>
      </c>
      <c r="I2022" s="2" t="s">
        <v>186</v>
      </c>
      <c r="J2022" s="2" t="s">
        <v>24</v>
      </c>
      <c r="K2022">
        <v>2745.82</v>
      </c>
      <c r="L2022">
        <v>3046238.58</v>
      </c>
      <c r="M2022">
        <v>110940.94</v>
      </c>
      <c r="N2022" s="2" t="s">
        <v>187</v>
      </c>
      <c r="O2022" s="2" t="s">
        <v>188</v>
      </c>
      <c r="P2022" s="2" t="s">
        <v>3774</v>
      </c>
      <c r="Q2022" s="2" t="s">
        <v>3775</v>
      </c>
      <c r="R2022" s="2" t="s">
        <v>29</v>
      </c>
      <c r="S2022" s="2" t="s">
        <v>30</v>
      </c>
    </row>
    <row r="2023" spans="1:19">
      <c r="A2023" s="1">
        <v>44835</v>
      </c>
      <c r="B2023" s="1">
        <v>44835</v>
      </c>
      <c r="C2023">
        <v>2022</v>
      </c>
      <c r="D2023">
        <v>10</v>
      </c>
      <c r="E2023" s="2" t="s">
        <v>191</v>
      </c>
      <c r="F2023" s="2" t="s">
        <v>192</v>
      </c>
      <c r="G2023" s="2" t="s">
        <v>185</v>
      </c>
      <c r="H2023" s="2" t="s">
        <v>22</v>
      </c>
      <c r="I2023" s="2" t="s">
        <v>186</v>
      </c>
      <c r="J2023" s="2" t="s">
        <v>24</v>
      </c>
      <c r="K2023">
        <v>873.32</v>
      </c>
      <c r="L2023">
        <v>4126601.84</v>
      </c>
      <c r="M2023">
        <v>472518.88</v>
      </c>
      <c r="N2023" s="2" t="s">
        <v>193</v>
      </c>
      <c r="O2023" s="2" t="s">
        <v>194</v>
      </c>
      <c r="P2023" s="2" t="s">
        <v>3776</v>
      </c>
      <c r="Q2023" s="2" t="s">
        <v>3777</v>
      </c>
      <c r="R2023" s="2" t="s">
        <v>29</v>
      </c>
      <c r="S2023" s="2" t="s">
        <v>30</v>
      </c>
    </row>
    <row r="2024" spans="1:19">
      <c r="A2024" s="1">
        <v>44835</v>
      </c>
      <c r="B2024" s="1">
        <v>44835</v>
      </c>
      <c r="C2024">
        <v>2022</v>
      </c>
      <c r="D2024">
        <v>10</v>
      </c>
      <c r="E2024" s="2" t="s">
        <v>197</v>
      </c>
      <c r="F2024" s="2" t="s">
        <v>198</v>
      </c>
      <c r="G2024" s="2" t="s">
        <v>185</v>
      </c>
      <c r="H2024" s="2" t="s">
        <v>22</v>
      </c>
      <c r="I2024" s="2" t="s">
        <v>186</v>
      </c>
      <c r="J2024" s="2" t="s">
        <v>59</v>
      </c>
      <c r="K2024">
        <v>3619.15</v>
      </c>
      <c r="L2024">
        <v>7172840.4199999999</v>
      </c>
      <c r="M2024">
        <v>198191.3</v>
      </c>
      <c r="N2024" s="2" t="s">
        <v>199</v>
      </c>
      <c r="O2024" s="2" t="s">
        <v>200</v>
      </c>
      <c r="P2024" s="2" t="s">
        <v>3778</v>
      </c>
      <c r="Q2024" s="2" t="s">
        <v>3779</v>
      </c>
      <c r="R2024" s="2" t="s">
        <v>29</v>
      </c>
      <c r="S2024" s="2" t="s">
        <v>30</v>
      </c>
    </row>
    <row r="2025" spans="1:19">
      <c r="A2025" s="1">
        <v>44835</v>
      </c>
      <c r="B2025" s="1">
        <v>44835</v>
      </c>
      <c r="C2025">
        <v>2022</v>
      </c>
      <c r="D2025">
        <v>10</v>
      </c>
      <c r="E2025" s="2" t="s">
        <v>203</v>
      </c>
      <c r="F2025" s="2" t="s">
        <v>204</v>
      </c>
      <c r="G2025" s="2" t="s">
        <v>39</v>
      </c>
      <c r="H2025" s="2" t="s">
        <v>22</v>
      </c>
      <c r="I2025" s="2" t="s">
        <v>40</v>
      </c>
      <c r="J2025" s="2" t="s">
        <v>24</v>
      </c>
      <c r="K2025">
        <v>1156.1600000000001</v>
      </c>
      <c r="L2025">
        <v>30462.95</v>
      </c>
      <c r="M2025">
        <v>2634.84</v>
      </c>
      <c r="N2025" s="2" t="s">
        <v>205</v>
      </c>
      <c r="O2025" s="2" t="s">
        <v>206</v>
      </c>
      <c r="P2025" s="2" t="s">
        <v>3780</v>
      </c>
      <c r="Q2025" s="2" t="s">
        <v>3781</v>
      </c>
      <c r="R2025" s="2" t="s">
        <v>29</v>
      </c>
      <c r="S2025" s="2" t="s">
        <v>30</v>
      </c>
    </row>
    <row r="2026" spans="1:19">
      <c r="A2026" s="1">
        <v>44835</v>
      </c>
      <c r="B2026" s="1">
        <v>44835</v>
      </c>
      <c r="C2026">
        <v>2022</v>
      </c>
      <c r="D2026">
        <v>10</v>
      </c>
      <c r="E2026" s="2" t="s">
        <v>209</v>
      </c>
      <c r="F2026" s="2" t="s">
        <v>210</v>
      </c>
      <c r="G2026" s="2" t="s">
        <v>39</v>
      </c>
      <c r="H2026" s="2" t="s">
        <v>22</v>
      </c>
      <c r="I2026" s="2" t="s">
        <v>40</v>
      </c>
      <c r="J2026" s="2" t="s">
        <v>59</v>
      </c>
      <c r="K2026">
        <v>1156.1600000000001</v>
      </c>
      <c r="L2026">
        <v>30462.95</v>
      </c>
      <c r="M2026">
        <v>2634.84</v>
      </c>
      <c r="N2026" s="2" t="s">
        <v>211</v>
      </c>
      <c r="O2026" s="2" t="s">
        <v>212</v>
      </c>
      <c r="P2026" s="2" t="s">
        <v>3780</v>
      </c>
      <c r="Q2026" s="2" t="s">
        <v>3781</v>
      </c>
      <c r="R2026" s="2" t="s">
        <v>29</v>
      </c>
      <c r="S2026" s="2" t="s">
        <v>30</v>
      </c>
    </row>
    <row r="2027" spans="1:19">
      <c r="A2027" s="1">
        <v>44835</v>
      </c>
      <c r="B2027" s="1">
        <v>44835</v>
      </c>
      <c r="C2027">
        <v>2022</v>
      </c>
      <c r="D2027">
        <v>10</v>
      </c>
      <c r="E2027" s="2" t="s">
        <v>213</v>
      </c>
      <c r="F2027" s="2" t="s">
        <v>214</v>
      </c>
      <c r="G2027" s="2" t="s">
        <v>185</v>
      </c>
      <c r="H2027" s="2" t="s">
        <v>22</v>
      </c>
      <c r="I2027" s="2" t="s">
        <v>215</v>
      </c>
      <c r="J2027" s="2" t="s">
        <v>24</v>
      </c>
      <c r="K2027">
        <v>64855.62</v>
      </c>
      <c r="L2027">
        <v>1525324.38</v>
      </c>
      <c r="M2027">
        <v>2351.88</v>
      </c>
      <c r="N2027" s="2" t="s">
        <v>216</v>
      </c>
      <c r="O2027" s="2" t="s">
        <v>217</v>
      </c>
      <c r="P2027" s="2" t="s">
        <v>3782</v>
      </c>
      <c r="Q2027" s="2" t="s">
        <v>3783</v>
      </c>
      <c r="R2027" s="2" t="s">
        <v>29</v>
      </c>
      <c r="S2027" s="2" t="s">
        <v>30</v>
      </c>
    </row>
    <row r="2028" spans="1:19">
      <c r="A2028" s="1">
        <v>44835</v>
      </c>
      <c r="B2028" s="1">
        <v>44835</v>
      </c>
      <c r="C2028">
        <v>2022</v>
      </c>
      <c r="D2028">
        <v>10</v>
      </c>
      <c r="E2028" s="2" t="s">
        <v>220</v>
      </c>
      <c r="F2028" s="2" t="s">
        <v>221</v>
      </c>
      <c r="G2028" s="2" t="s">
        <v>185</v>
      </c>
      <c r="H2028" s="2" t="s">
        <v>22</v>
      </c>
      <c r="I2028" s="2" t="s">
        <v>215</v>
      </c>
      <c r="J2028" s="2" t="s">
        <v>24</v>
      </c>
      <c r="K2028">
        <v>5473.11</v>
      </c>
      <c r="L2028">
        <v>351669.01</v>
      </c>
      <c r="M2028">
        <v>6425.4</v>
      </c>
      <c r="N2028" s="2" t="s">
        <v>222</v>
      </c>
      <c r="O2028" s="2" t="s">
        <v>223</v>
      </c>
      <c r="P2028" s="2" t="s">
        <v>3784</v>
      </c>
      <c r="Q2028" s="2" t="s">
        <v>3785</v>
      </c>
      <c r="R2028" s="2" t="s">
        <v>29</v>
      </c>
      <c r="S2028" s="2" t="s">
        <v>30</v>
      </c>
    </row>
    <row r="2029" spans="1:19">
      <c r="A2029" s="1">
        <v>44835</v>
      </c>
      <c r="B2029" s="1">
        <v>44835</v>
      </c>
      <c r="C2029">
        <v>2022</v>
      </c>
      <c r="D2029">
        <v>10</v>
      </c>
      <c r="E2029" s="2" t="s">
        <v>226</v>
      </c>
      <c r="F2029" s="2" t="s">
        <v>227</v>
      </c>
      <c r="G2029" s="2" t="s">
        <v>185</v>
      </c>
      <c r="H2029" s="2" t="s">
        <v>22</v>
      </c>
      <c r="I2029" s="2" t="s">
        <v>215</v>
      </c>
      <c r="J2029" s="2" t="s">
        <v>59</v>
      </c>
      <c r="K2029">
        <v>70328.740000000005</v>
      </c>
      <c r="L2029">
        <v>1876993.39</v>
      </c>
      <c r="M2029">
        <v>2668.89</v>
      </c>
      <c r="N2029" s="2" t="s">
        <v>228</v>
      </c>
      <c r="O2029" s="2" t="s">
        <v>229</v>
      </c>
      <c r="P2029" s="2" t="s">
        <v>3786</v>
      </c>
      <c r="Q2029" s="2" t="s">
        <v>3787</v>
      </c>
      <c r="R2029" s="2" t="s">
        <v>29</v>
      </c>
      <c r="S2029" s="2" t="s">
        <v>30</v>
      </c>
    </row>
    <row r="2030" spans="1:19">
      <c r="A2030" s="1">
        <v>44835</v>
      </c>
      <c r="B2030" s="1">
        <v>44835</v>
      </c>
      <c r="C2030">
        <v>2022</v>
      </c>
      <c r="D2030">
        <v>10</v>
      </c>
      <c r="E2030" s="2" t="s">
        <v>232</v>
      </c>
      <c r="F2030" s="2" t="s">
        <v>233</v>
      </c>
      <c r="G2030" s="2" t="s">
        <v>21</v>
      </c>
      <c r="H2030" s="2" t="s">
        <v>22</v>
      </c>
      <c r="I2030" s="2" t="s">
        <v>23</v>
      </c>
      <c r="J2030" s="2" t="s">
        <v>24</v>
      </c>
      <c r="K2030">
        <v>1454.99</v>
      </c>
      <c r="L2030">
        <v>127118.45</v>
      </c>
      <c r="M2030">
        <v>8736.7199999999993</v>
      </c>
      <c r="N2030" s="2" t="s">
        <v>234</v>
      </c>
      <c r="O2030" s="2" t="s">
        <v>235</v>
      </c>
      <c r="P2030" s="2" t="s">
        <v>3788</v>
      </c>
      <c r="Q2030" s="2" t="s">
        <v>3789</v>
      </c>
      <c r="R2030" s="2" t="s">
        <v>29</v>
      </c>
      <c r="S2030" s="2" t="s">
        <v>30</v>
      </c>
    </row>
    <row r="2031" spans="1:19">
      <c r="A2031" s="1">
        <v>44835</v>
      </c>
      <c r="B2031" s="1">
        <v>44835</v>
      </c>
      <c r="C2031">
        <v>2022</v>
      </c>
      <c r="D2031">
        <v>10</v>
      </c>
      <c r="E2031" s="2" t="s">
        <v>238</v>
      </c>
      <c r="F2031" s="2" t="s">
        <v>239</v>
      </c>
      <c r="G2031" s="2" t="s">
        <v>21</v>
      </c>
      <c r="H2031" s="2" t="s">
        <v>22</v>
      </c>
      <c r="I2031" s="2" t="s">
        <v>66</v>
      </c>
      <c r="J2031" s="2" t="s">
        <v>24</v>
      </c>
      <c r="K2031">
        <v>1139.92</v>
      </c>
      <c r="L2031">
        <v>106131.34</v>
      </c>
      <c r="M2031">
        <v>9310.42</v>
      </c>
      <c r="N2031" s="2" t="s">
        <v>240</v>
      </c>
      <c r="O2031" s="2" t="s">
        <v>241</v>
      </c>
      <c r="P2031" s="2" t="s">
        <v>3790</v>
      </c>
      <c r="Q2031" s="2" t="s">
        <v>3791</v>
      </c>
      <c r="R2031" s="2" t="s">
        <v>29</v>
      </c>
      <c r="S2031" s="2" t="s">
        <v>30</v>
      </c>
    </row>
    <row r="2032" spans="1:19">
      <c r="A2032" s="1">
        <v>44835</v>
      </c>
      <c r="B2032" s="1">
        <v>44835</v>
      </c>
      <c r="C2032">
        <v>2022</v>
      </c>
      <c r="D2032">
        <v>10</v>
      </c>
      <c r="E2032" s="2" t="s">
        <v>244</v>
      </c>
      <c r="F2032" s="2" t="s">
        <v>245</v>
      </c>
      <c r="G2032" s="2" t="s">
        <v>21</v>
      </c>
      <c r="H2032" s="2" t="s">
        <v>22</v>
      </c>
      <c r="I2032" s="2" t="s">
        <v>23</v>
      </c>
      <c r="J2032" s="2" t="s">
        <v>24</v>
      </c>
      <c r="K2032">
        <v>4570.4799999999996</v>
      </c>
      <c r="L2032">
        <v>2726827.1</v>
      </c>
      <c r="M2032">
        <v>59661.72</v>
      </c>
      <c r="N2032" s="2" t="s">
        <v>246</v>
      </c>
      <c r="O2032" s="2" t="s">
        <v>247</v>
      </c>
      <c r="P2032" s="2" t="s">
        <v>3792</v>
      </c>
      <c r="Q2032" s="2" t="s">
        <v>3793</v>
      </c>
      <c r="R2032" s="2" t="s">
        <v>29</v>
      </c>
      <c r="S2032" s="2" t="s">
        <v>30</v>
      </c>
    </row>
    <row r="2033" spans="1:19">
      <c r="A2033" s="1">
        <v>44835</v>
      </c>
      <c r="B2033" s="1">
        <v>44835</v>
      </c>
      <c r="C2033">
        <v>2022</v>
      </c>
      <c r="D2033">
        <v>10</v>
      </c>
      <c r="E2033" s="2" t="s">
        <v>250</v>
      </c>
      <c r="F2033" s="2" t="s">
        <v>251</v>
      </c>
      <c r="G2033" s="2" t="s">
        <v>21</v>
      </c>
      <c r="H2033" s="2" t="s">
        <v>22</v>
      </c>
      <c r="I2033" s="2" t="s">
        <v>66</v>
      </c>
      <c r="J2033" s="2" t="s">
        <v>24</v>
      </c>
      <c r="K2033">
        <v>137.88</v>
      </c>
      <c r="L2033">
        <v>220.87</v>
      </c>
      <c r="M2033">
        <v>160.19</v>
      </c>
      <c r="N2033" s="2" t="s">
        <v>252</v>
      </c>
      <c r="O2033" s="2" t="s">
        <v>253</v>
      </c>
      <c r="P2033" s="2" t="s">
        <v>3794</v>
      </c>
      <c r="Q2033" s="2" t="s">
        <v>3795</v>
      </c>
      <c r="R2033" s="2" t="s">
        <v>29</v>
      </c>
      <c r="S2033" s="2" t="s">
        <v>30</v>
      </c>
    </row>
    <row r="2034" spans="1:19">
      <c r="A2034" s="1">
        <v>44835</v>
      </c>
      <c r="B2034" s="1">
        <v>44835</v>
      </c>
      <c r="C2034">
        <v>2022</v>
      </c>
      <c r="D2034">
        <v>10</v>
      </c>
      <c r="E2034" s="2" t="s">
        <v>256</v>
      </c>
      <c r="F2034" s="2" t="s">
        <v>257</v>
      </c>
      <c r="G2034" s="2" t="s">
        <v>21</v>
      </c>
      <c r="H2034" s="2" t="s">
        <v>22</v>
      </c>
      <c r="I2034" s="2" t="s">
        <v>258</v>
      </c>
      <c r="J2034" s="2" t="s">
        <v>24</v>
      </c>
      <c r="K2034">
        <v>561.89</v>
      </c>
      <c r="L2034">
        <v>549637.09</v>
      </c>
      <c r="M2034">
        <v>97819.34</v>
      </c>
      <c r="N2034" s="2" t="s">
        <v>259</v>
      </c>
      <c r="O2034" s="2" t="s">
        <v>260</v>
      </c>
      <c r="P2034" s="2" t="s">
        <v>3796</v>
      </c>
      <c r="Q2034" s="2" t="s">
        <v>3797</v>
      </c>
      <c r="R2034" s="2" t="s">
        <v>29</v>
      </c>
      <c r="S2034" s="2" t="s">
        <v>30</v>
      </c>
    </row>
    <row r="2035" spans="1:19">
      <c r="A2035" s="1">
        <v>44835</v>
      </c>
      <c r="B2035" s="1">
        <v>44835</v>
      </c>
      <c r="C2035">
        <v>2022</v>
      </c>
      <c r="D2035">
        <v>10</v>
      </c>
      <c r="E2035" s="2" t="s">
        <v>263</v>
      </c>
      <c r="F2035" s="2" t="s">
        <v>264</v>
      </c>
      <c r="G2035" s="2" t="s">
        <v>21</v>
      </c>
      <c r="H2035" s="2" t="s">
        <v>22</v>
      </c>
      <c r="I2035" s="2" t="s">
        <v>258</v>
      </c>
      <c r="J2035" s="2" t="s">
        <v>24</v>
      </c>
      <c r="K2035">
        <v>0</v>
      </c>
      <c r="L2035">
        <v>0</v>
      </c>
      <c r="N2035" s="2" t="s">
        <v>265</v>
      </c>
      <c r="O2035" s="2" t="s">
        <v>266</v>
      </c>
      <c r="P2035" s="2" t="s">
        <v>639</v>
      </c>
      <c r="Q2035" s="2" t="s">
        <v>639</v>
      </c>
      <c r="R2035" s="2" t="s">
        <v>29</v>
      </c>
      <c r="S2035" s="2" t="s">
        <v>30</v>
      </c>
    </row>
    <row r="2036" spans="1:19">
      <c r="A2036" s="1">
        <v>44835</v>
      </c>
      <c r="B2036" s="1">
        <v>44835</v>
      </c>
      <c r="C2036">
        <v>2022</v>
      </c>
      <c r="D2036">
        <v>10</v>
      </c>
      <c r="E2036" s="2" t="s">
        <v>269</v>
      </c>
      <c r="F2036" s="2" t="s">
        <v>270</v>
      </c>
      <c r="G2036" s="2" t="s">
        <v>21</v>
      </c>
      <c r="H2036" s="2" t="s">
        <v>22</v>
      </c>
      <c r="I2036" s="2" t="s">
        <v>258</v>
      </c>
      <c r="J2036" s="2" t="s">
        <v>59</v>
      </c>
      <c r="K2036">
        <v>561.89</v>
      </c>
      <c r="L2036">
        <v>549637.09</v>
      </c>
      <c r="M2036">
        <v>97819.34</v>
      </c>
      <c r="N2036" s="2" t="s">
        <v>271</v>
      </c>
      <c r="O2036" s="2" t="s">
        <v>272</v>
      </c>
      <c r="P2036" s="2" t="s">
        <v>3796</v>
      </c>
      <c r="Q2036" s="2" t="s">
        <v>3797</v>
      </c>
      <c r="R2036" s="2" t="s">
        <v>29</v>
      </c>
      <c r="S2036" s="2" t="s">
        <v>30</v>
      </c>
    </row>
    <row r="2037" spans="1:19">
      <c r="A2037" s="1">
        <v>44835</v>
      </c>
      <c r="B2037" s="1">
        <v>44835</v>
      </c>
      <c r="C2037">
        <v>2022</v>
      </c>
      <c r="D2037">
        <v>10</v>
      </c>
      <c r="E2037" s="2" t="s">
        <v>275</v>
      </c>
      <c r="F2037" s="2" t="s">
        <v>276</v>
      </c>
      <c r="G2037" s="2" t="s">
        <v>39</v>
      </c>
      <c r="H2037" s="2" t="s">
        <v>22</v>
      </c>
      <c r="I2037" s="2" t="s">
        <v>40</v>
      </c>
      <c r="J2037" s="2" t="s">
        <v>24</v>
      </c>
      <c r="K2037">
        <v>2.11</v>
      </c>
      <c r="L2037">
        <v>20.74</v>
      </c>
      <c r="M2037">
        <v>982.94</v>
      </c>
      <c r="N2037" s="2" t="s">
        <v>277</v>
      </c>
      <c r="O2037" s="2" t="s">
        <v>278</v>
      </c>
      <c r="P2037" s="2" t="s">
        <v>3093</v>
      </c>
      <c r="Q2037" s="2" t="s">
        <v>3798</v>
      </c>
      <c r="R2037" s="2" t="s">
        <v>29</v>
      </c>
      <c r="S2037" s="2" t="s">
        <v>30</v>
      </c>
    </row>
    <row r="2038" spans="1:19">
      <c r="A2038" s="1">
        <v>44835</v>
      </c>
      <c r="B2038" s="1">
        <v>44835</v>
      </c>
      <c r="C2038">
        <v>2022</v>
      </c>
      <c r="D2038">
        <v>10</v>
      </c>
      <c r="E2038" s="2" t="s">
        <v>281</v>
      </c>
      <c r="F2038" s="2" t="s">
        <v>282</v>
      </c>
      <c r="G2038" s="2" t="s">
        <v>39</v>
      </c>
      <c r="H2038" s="2" t="s">
        <v>22</v>
      </c>
      <c r="I2038" s="2" t="s">
        <v>40</v>
      </c>
      <c r="J2038" s="2" t="s">
        <v>24</v>
      </c>
      <c r="K2038">
        <v>0.03</v>
      </c>
      <c r="L2038">
        <v>0.2</v>
      </c>
      <c r="M2038">
        <v>666.67</v>
      </c>
      <c r="N2038" s="2" t="s">
        <v>283</v>
      </c>
      <c r="O2038" s="2" t="s">
        <v>284</v>
      </c>
      <c r="P2038" s="2" t="s">
        <v>1247</v>
      </c>
      <c r="Q2038" s="2" t="s">
        <v>1142</v>
      </c>
      <c r="R2038" s="2" t="s">
        <v>29</v>
      </c>
      <c r="S2038" s="2" t="s">
        <v>30</v>
      </c>
    </row>
    <row r="2039" spans="1:19">
      <c r="A2039" s="1">
        <v>44835</v>
      </c>
      <c r="B2039" s="1">
        <v>44835</v>
      </c>
      <c r="C2039">
        <v>2022</v>
      </c>
      <c r="D2039">
        <v>10</v>
      </c>
      <c r="E2039" s="2" t="s">
        <v>287</v>
      </c>
      <c r="F2039" s="2" t="s">
        <v>288</v>
      </c>
      <c r="G2039" s="2" t="s">
        <v>39</v>
      </c>
      <c r="H2039" s="2" t="s">
        <v>22</v>
      </c>
      <c r="I2039" s="2" t="s">
        <v>40</v>
      </c>
      <c r="J2039" s="2" t="s">
        <v>59</v>
      </c>
      <c r="K2039">
        <v>2.14</v>
      </c>
      <c r="L2039">
        <v>20.94</v>
      </c>
      <c r="M2039">
        <v>978.5</v>
      </c>
      <c r="N2039" s="2" t="s">
        <v>289</v>
      </c>
      <c r="O2039" s="2" t="s">
        <v>290</v>
      </c>
      <c r="P2039" s="2" t="s">
        <v>3799</v>
      </c>
      <c r="Q2039" s="2" t="s">
        <v>3611</v>
      </c>
      <c r="R2039" s="2" t="s">
        <v>29</v>
      </c>
      <c r="S2039" s="2" t="s">
        <v>30</v>
      </c>
    </row>
    <row r="2040" spans="1:19">
      <c r="A2040" s="1">
        <v>44835</v>
      </c>
      <c r="B2040" s="1">
        <v>44835</v>
      </c>
      <c r="C2040">
        <v>2022</v>
      </c>
      <c r="D2040">
        <v>10</v>
      </c>
      <c r="E2040" s="2" t="s">
        <v>293</v>
      </c>
      <c r="F2040" s="2" t="s">
        <v>294</v>
      </c>
      <c r="G2040" s="2" t="s">
        <v>21</v>
      </c>
      <c r="H2040" s="2" t="s">
        <v>22</v>
      </c>
      <c r="I2040" s="2" t="s">
        <v>295</v>
      </c>
      <c r="J2040" s="2" t="s">
        <v>24</v>
      </c>
      <c r="K2040">
        <v>1206.42</v>
      </c>
      <c r="L2040">
        <v>4677.22</v>
      </c>
      <c r="M2040">
        <v>387.69</v>
      </c>
      <c r="N2040" s="2" t="s">
        <v>296</v>
      </c>
      <c r="O2040" s="2" t="s">
        <v>297</v>
      </c>
      <c r="P2040" s="2" t="s">
        <v>3800</v>
      </c>
      <c r="Q2040" s="2" t="s">
        <v>3801</v>
      </c>
      <c r="R2040" s="2" t="s">
        <v>29</v>
      </c>
      <c r="S2040" s="2" t="s">
        <v>30</v>
      </c>
    </row>
    <row r="2041" spans="1:19">
      <c r="A2041" s="1">
        <v>44835</v>
      </c>
      <c r="B2041" s="1">
        <v>44835</v>
      </c>
      <c r="C2041">
        <v>2022</v>
      </c>
      <c r="D2041">
        <v>10</v>
      </c>
      <c r="E2041" s="2" t="s">
        <v>300</v>
      </c>
      <c r="F2041" s="2" t="s">
        <v>301</v>
      </c>
      <c r="G2041" s="2" t="s">
        <v>21</v>
      </c>
      <c r="H2041" s="2" t="s">
        <v>22</v>
      </c>
      <c r="I2041" s="2" t="s">
        <v>295</v>
      </c>
      <c r="J2041" s="2" t="s">
        <v>24</v>
      </c>
      <c r="K2041">
        <v>83.89</v>
      </c>
      <c r="L2041">
        <v>1168.8800000000001</v>
      </c>
      <c r="M2041">
        <v>1393.35</v>
      </c>
      <c r="N2041" s="2" t="s">
        <v>302</v>
      </c>
      <c r="O2041" s="2" t="s">
        <v>303</v>
      </c>
      <c r="P2041" s="2" t="s">
        <v>3802</v>
      </c>
      <c r="Q2041" s="2" t="s">
        <v>3803</v>
      </c>
      <c r="R2041" s="2" t="s">
        <v>29</v>
      </c>
      <c r="S2041" s="2" t="s">
        <v>30</v>
      </c>
    </row>
    <row r="2042" spans="1:19">
      <c r="A2042" s="1">
        <v>44835</v>
      </c>
      <c r="B2042" s="1">
        <v>44835</v>
      </c>
      <c r="C2042">
        <v>2022</v>
      </c>
      <c r="D2042">
        <v>10</v>
      </c>
      <c r="E2042" s="2" t="s">
        <v>306</v>
      </c>
      <c r="F2042" s="2" t="s">
        <v>307</v>
      </c>
      <c r="G2042" s="2" t="s">
        <v>21</v>
      </c>
      <c r="H2042" s="2" t="s">
        <v>22</v>
      </c>
      <c r="I2042" s="2" t="s">
        <v>295</v>
      </c>
      <c r="J2042" s="2" t="s">
        <v>101</v>
      </c>
      <c r="K2042">
        <v>1290.31</v>
      </c>
      <c r="L2042">
        <v>5846.09</v>
      </c>
      <c r="M2042">
        <v>453.08</v>
      </c>
      <c r="N2042" s="2" t="s">
        <v>308</v>
      </c>
      <c r="O2042" s="2" t="s">
        <v>309</v>
      </c>
      <c r="P2042" s="2" t="s">
        <v>3804</v>
      </c>
      <c r="Q2042" s="2" t="s">
        <v>3805</v>
      </c>
      <c r="R2042" s="2" t="s">
        <v>29</v>
      </c>
      <c r="S2042" s="2" t="s">
        <v>30</v>
      </c>
    </row>
    <row r="2043" spans="1:19">
      <c r="A2043" s="1">
        <v>44835</v>
      </c>
      <c r="B2043" s="1">
        <v>44835</v>
      </c>
      <c r="C2043">
        <v>2022</v>
      </c>
      <c r="D2043">
        <v>10</v>
      </c>
      <c r="E2043" s="2" t="s">
        <v>312</v>
      </c>
      <c r="F2043" s="2" t="s">
        <v>313</v>
      </c>
      <c r="G2043" s="2" t="s">
        <v>21</v>
      </c>
      <c r="H2043" s="2" t="s">
        <v>22</v>
      </c>
      <c r="I2043" s="2" t="s">
        <v>295</v>
      </c>
      <c r="J2043" s="2" t="s">
        <v>59</v>
      </c>
      <c r="K2043">
        <v>6167.35</v>
      </c>
      <c r="L2043">
        <v>24296.37</v>
      </c>
      <c r="M2043">
        <v>393.95</v>
      </c>
      <c r="N2043" s="2" t="s">
        <v>314</v>
      </c>
      <c r="O2043" s="2" t="s">
        <v>315</v>
      </c>
      <c r="P2043" s="2" t="s">
        <v>3806</v>
      </c>
      <c r="Q2043" s="2" t="s">
        <v>3807</v>
      </c>
      <c r="R2043" s="2" t="s">
        <v>29</v>
      </c>
      <c r="S2043" s="2" t="s">
        <v>30</v>
      </c>
    </row>
    <row r="2044" spans="1:19">
      <c r="A2044" s="1">
        <v>44835</v>
      </c>
      <c r="B2044" s="1">
        <v>44835</v>
      </c>
      <c r="C2044">
        <v>2022</v>
      </c>
      <c r="D2044">
        <v>10</v>
      </c>
      <c r="E2044" s="2" t="s">
        <v>318</v>
      </c>
      <c r="F2044" s="2" t="s">
        <v>319</v>
      </c>
      <c r="G2044" s="2" t="s">
        <v>21</v>
      </c>
      <c r="H2044" s="2" t="s">
        <v>22</v>
      </c>
      <c r="I2044" s="2" t="s">
        <v>295</v>
      </c>
      <c r="J2044" s="2" t="s">
        <v>24</v>
      </c>
      <c r="K2044">
        <v>4877.04</v>
      </c>
      <c r="L2044">
        <v>18450.27</v>
      </c>
      <c r="M2044">
        <v>378.31</v>
      </c>
      <c r="N2044" s="2" t="s">
        <v>320</v>
      </c>
      <c r="O2044" s="2" t="s">
        <v>321</v>
      </c>
      <c r="P2044" s="2" t="s">
        <v>3808</v>
      </c>
      <c r="Q2044" s="2" t="s">
        <v>3809</v>
      </c>
      <c r="R2044" s="2" t="s">
        <v>29</v>
      </c>
      <c r="S2044" s="2" t="s">
        <v>30</v>
      </c>
    </row>
    <row r="2045" spans="1:19">
      <c r="A2045" s="1">
        <v>44835</v>
      </c>
      <c r="B2045" s="1">
        <v>44835</v>
      </c>
      <c r="C2045">
        <v>2022</v>
      </c>
      <c r="D2045">
        <v>10</v>
      </c>
      <c r="E2045" s="2" t="s">
        <v>324</v>
      </c>
      <c r="F2045" s="2" t="s">
        <v>325</v>
      </c>
      <c r="G2045" s="2" t="s">
        <v>21</v>
      </c>
      <c r="H2045" s="2" t="s">
        <v>22</v>
      </c>
      <c r="I2045" s="2" t="s">
        <v>23</v>
      </c>
      <c r="J2045" s="2" t="s">
        <v>59</v>
      </c>
      <c r="K2045">
        <v>85748.55</v>
      </c>
      <c r="L2045">
        <v>4557107.24</v>
      </c>
      <c r="M2045">
        <v>5314.5</v>
      </c>
      <c r="N2045" s="2" t="s">
        <v>326</v>
      </c>
      <c r="O2045" s="2" t="s">
        <v>327</v>
      </c>
      <c r="P2045" s="2" t="s">
        <v>3810</v>
      </c>
      <c r="Q2045" s="2" t="s">
        <v>3811</v>
      </c>
      <c r="R2045" s="2" t="s">
        <v>29</v>
      </c>
      <c r="S2045" s="2" t="s">
        <v>30</v>
      </c>
    </row>
    <row r="2046" spans="1:19">
      <c r="A2046" s="1">
        <v>44835</v>
      </c>
      <c r="B2046" s="1">
        <v>44835</v>
      </c>
      <c r="C2046">
        <v>2022</v>
      </c>
      <c r="D2046">
        <v>10</v>
      </c>
      <c r="E2046" s="2" t="s">
        <v>330</v>
      </c>
      <c r="F2046" s="2" t="s">
        <v>331</v>
      </c>
      <c r="G2046" s="2" t="s">
        <v>21</v>
      </c>
      <c r="H2046" s="2" t="s">
        <v>332</v>
      </c>
      <c r="I2046" s="2" t="s">
        <v>333</v>
      </c>
      <c r="J2046" s="2" t="s">
        <v>24</v>
      </c>
      <c r="K2046">
        <v>189.18</v>
      </c>
      <c r="L2046">
        <v>10015711.49</v>
      </c>
      <c r="M2046">
        <v>5294276.08</v>
      </c>
      <c r="N2046" s="2" t="s">
        <v>334</v>
      </c>
      <c r="O2046" s="2" t="s">
        <v>335</v>
      </c>
      <c r="P2046" s="2" t="s">
        <v>3812</v>
      </c>
      <c r="Q2046" s="2" t="s">
        <v>3813</v>
      </c>
      <c r="R2046" s="2" t="s">
        <v>29</v>
      </c>
      <c r="S2046" s="2" t="s">
        <v>30</v>
      </c>
    </row>
    <row r="2047" spans="1:19">
      <c r="A2047" s="1">
        <v>44835</v>
      </c>
      <c r="B2047" s="1">
        <v>44835</v>
      </c>
      <c r="C2047">
        <v>2022</v>
      </c>
      <c r="D2047">
        <v>10</v>
      </c>
      <c r="E2047" s="2" t="s">
        <v>338</v>
      </c>
      <c r="F2047" s="2" t="s">
        <v>339</v>
      </c>
      <c r="G2047" s="2" t="s">
        <v>21</v>
      </c>
      <c r="H2047" s="2" t="s">
        <v>332</v>
      </c>
      <c r="I2047" s="2" t="s">
        <v>333</v>
      </c>
      <c r="J2047" s="2" t="s">
        <v>24</v>
      </c>
      <c r="K2047">
        <v>1.1499999999999999</v>
      </c>
      <c r="L2047">
        <v>1535565.37</v>
      </c>
      <c r="M2047">
        <v>133527423.48</v>
      </c>
      <c r="N2047" s="2" t="s">
        <v>340</v>
      </c>
      <c r="O2047" s="2" t="s">
        <v>341</v>
      </c>
      <c r="P2047" s="2" t="s">
        <v>3814</v>
      </c>
      <c r="Q2047" s="2" t="s">
        <v>3815</v>
      </c>
      <c r="R2047" s="2" t="s">
        <v>29</v>
      </c>
      <c r="S2047" s="2" t="s">
        <v>30</v>
      </c>
    </row>
    <row r="2048" spans="1:19">
      <c r="A2048" s="1">
        <v>44835</v>
      </c>
      <c r="B2048" s="1">
        <v>44835</v>
      </c>
      <c r="C2048">
        <v>2022</v>
      </c>
      <c r="D2048">
        <v>10</v>
      </c>
      <c r="E2048" s="2" t="s">
        <v>344</v>
      </c>
      <c r="F2048" s="2" t="s">
        <v>345</v>
      </c>
      <c r="G2048" s="2" t="s">
        <v>21</v>
      </c>
      <c r="H2048" s="2" t="s">
        <v>332</v>
      </c>
      <c r="I2048" s="2" t="s">
        <v>333</v>
      </c>
      <c r="J2048" s="2" t="s">
        <v>59</v>
      </c>
      <c r="K2048">
        <v>190.34</v>
      </c>
      <c r="L2048">
        <v>11551276.859999999</v>
      </c>
      <c r="M2048">
        <v>6068759.5099999998</v>
      </c>
      <c r="N2048" s="2" t="s">
        <v>346</v>
      </c>
      <c r="O2048" s="2" t="s">
        <v>347</v>
      </c>
      <c r="P2048" s="2" t="s">
        <v>3816</v>
      </c>
      <c r="Q2048" s="2" t="s">
        <v>3817</v>
      </c>
      <c r="R2048" s="2" t="s">
        <v>29</v>
      </c>
      <c r="S2048" s="2" t="s">
        <v>30</v>
      </c>
    </row>
    <row r="2049" spans="1:19">
      <c r="A2049" s="1">
        <v>44835</v>
      </c>
      <c r="B2049" s="1">
        <v>44835</v>
      </c>
      <c r="C2049">
        <v>2022</v>
      </c>
      <c r="D2049">
        <v>10</v>
      </c>
      <c r="E2049" s="2" t="s">
        <v>350</v>
      </c>
      <c r="F2049" s="2" t="s">
        <v>351</v>
      </c>
      <c r="G2049" s="2" t="s">
        <v>21</v>
      </c>
      <c r="H2049" s="2" t="s">
        <v>22</v>
      </c>
      <c r="I2049" s="2" t="s">
        <v>352</v>
      </c>
      <c r="J2049" s="2" t="s">
        <v>353</v>
      </c>
      <c r="K2049">
        <v>98920.42</v>
      </c>
      <c r="L2049">
        <v>16435635.01</v>
      </c>
      <c r="M2049">
        <v>16615.009999999998</v>
      </c>
      <c r="N2049" s="2" t="s">
        <v>354</v>
      </c>
      <c r="O2049" s="2" t="s">
        <v>355</v>
      </c>
      <c r="P2049" s="2" t="s">
        <v>3818</v>
      </c>
      <c r="Q2049" s="2" t="s">
        <v>3819</v>
      </c>
      <c r="R2049" s="2" t="s">
        <v>29</v>
      </c>
      <c r="S2049" s="2" t="s">
        <v>30</v>
      </c>
    </row>
    <row r="2050" spans="1:19">
      <c r="A2050" s="1">
        <v>44835</v>
      </c>
      <c r="B2050" s="1">
        <v>44835</v>
      </c>
      <c r="C2050">
        <v>2022</v>
      </c>
      <c r="D2050">
        <v>10</v>
      </c>
      <c r="E2050" s="2" t="s">
        <v>358</v>
      </c>
      <c r="F2050" s="2" t="s">
        <v>359</v>
      </c>
      <c r="G2050" s="2" t="s">
        <v>21</v>
      </c>
      <c r="H2050" s="2" t="s">
        <v>22</v>
      </c>
      <c r="I2050" s="2" t="s">
        <v>352</v>
      </c>
      <c r="J2050" s="2" t="s">
        <v>353</v>
      </c>
      <c r="K2050">
        <v>99482.31</v>
      </c>
      <c r="L2050">
        <v>16985272.100000001</v>
      </c>
      <c r="M2050">
        <v>17073.66</v>
      </c>
      <c r="N2050" s="2" t="s">
        <v>360</v>
      </c>
      <c r="O2050" s="2" t="s">
        <v>361</v>
      </c>
      <c r="P2050" s="2" t="s">
        <v>3820</v>
      </c>
      <c r="Q2050" s="2" t="s">
        <v>3821</v>
      </c>
      <c r="R2050" s="2" t="s">
        <v>29</v>
      </c>
      <c r="S2050" s="2" t="s">
        <v>30</v>
      </c>
    </row>
    <row r="2051" spans="1:19">
      <c r="A2051" s="1">
        <v>44835</v>
      </c>
      <c r="B2051" s="1">
        <v>44835</v>
      </c>
      <c r="C2051">
        <v>2022</v>
      </c>
      <c r="D2051">
        <v>10</v>
      </c>
      <c r="E2051" s="2" t="s">
        <v>364</v>
      </c>
      <c r="F2051" s="2" t="s">
        <v>365</v>
      </c>
      <c r="G2051" s="2" t="s">
        <v>21</v>
      </c>
      <c r="H2051" s="2" t="s">
        <v>22</v>
      </c>
      <c r="I2051" s="2" t="s">
        <v>352</v>
      </c>
      <c r="J2051" s="2" t="s">
        <v>353</v>
      </c>
      <c r="K2051">
        <v>99291.97</v>
      </c>
      <c r="L2051">
        <v>5433995.2400000002</v>
      </c>
      <c r="M2051">
        <v>5472.74</v>
      </c>
      <c r="N2051" s="2" t="s">
        <v>366</v>
      </c>
      <c r="O2051" s="2" t="s">
        <v>367</v>
      </c>
      <c r="P2051" s="2" t="s">
        <v>3822</v>
      </c>
      <c r="Q2051" s="2" t="s">
        <v>3823</v>
      </c>
      <c r="R2051" s="2" t="s">
        <v>29</v>
      </c>
      <c r="S2051" s="2" t="s">
        <v>30</v>
      </c>
    </row>
    <row r="2052" spans="1:19">
      <c r="A2052" s="1">
        <v>44835</v>
      </c>
      <c r="B2052" s="1">
        <v>44835</v>
      </c>
      <c r="C2052">
        <v>2022</v>
      </c>
      <c r="D2052">
        <v>10</v>
      </c>
      <c r="E2052" s="2" t="s">
        <v>370</v>
      </c>
      <c r="F2052" s="2" t="s">
        <v>371</v>
      </c>
      <c r="G2052" s="2" t="s">
        <v>21</v>
      </c>
      <c r="H2052" s="2" t="s">
        <v>22</v>
      </c>
      <c r="I2052" s="2" t="s">
        <v>23</v>
      </c>
      <c r="J2052" s="2" t="s">
        <v>24</v>
      </c>
      <c r="K2052">
        <v>73054.210000000006</v>
      </c>
      <c r="L2052">
        <v>1211587.5</v>
      </c>
      <c r="M2052">
        <v>1658.48</v>
      </c>
      <c r="N2052" s="2" t="s">
        <v>372</v>
      </c>
      <c r="O2052" s="2" t="s">
        <v>373</v>
      </c>
      <c r="P2052" s="2" t="s">
        <v>3824</v>
      </c>
      <c r="Q2052" s="2" t="s">
        <v>3825</v>
      </c>
      <c r="R2052" s="2" t="s">
        <v>29</v>
      </c>
      <c r="S2052" s="2" t="s">
        <v>30</v>
      </c>
    </row>
    <row r="2053" spans="1:19">
      <c r="A2053" s="1">
        <v>44835</v>
      </c>
      <c r="B2053" s="1">
        <v>44835</v>
      </c>
      <c r="C2053">
        <v>2022</v>
      </c>
      <c r="D2053">
        <v>10</v>
      </c>
      <c r="E2053" s="2" t="s">
        <v>376</v>
      </c>
      <c r="F2053" s="2" t="s">
        <v>377</v>
      </c>
      <c r="G2053" s="2" t="s">
        <v>21</v>
      </c>
      <c r="H2053" s="2" t="s">
        <v>22</v>
      </c>
      <c r="I2053" s="2" t="s">
        <v>23</v>
      </c>
      <c r="J2053" s="2" t="s">
        <v>378</v>
      </c>
      <c r="K2053">
        <v>1.26</v>
      </c>
      <c r="L2053">
        <v>15.02</v>
      </c>
      <c r="M2053">
        <v>1192.06</v>
      </c>
      <c r="N2053" s="2" t="s">
        <v>379</v>
      </c>
      <c r="O2053" s="2" t="s">
        <v>380</v>
      </c>
      <c r="P2053" s="2" t="s">
        <v>267</v>
      </c>
      <c r="Q2053" s="2" t="s">
        <v>3826</v>
      </c>
      <c r="R2053" s="2" t="s">
        <v>29</v>
      </c>
      <c r="S2053" s="2" t="s">
        <v>30</v>
      </c>
    </row>
    <row r="2054" spans="1:19">
      <c r="A2054" s="1">
        <v>44866</v>
      </c>
      <c r="B2054" s="1">
        <v>44866</v>
      </c>
      <c r="C2054">
        <v>2022</v>
      </c>
      <c r="D2054">
        <v>11</v>
      </c>
      <c r="E2054" s="2" t="s">
        <v>19</v>
      </c>
      <c r="F2054" s="2" t="s">
        <v>20</v>
      </c>
      <c r="G2054" s="2" t="s">
        <v>21</v>
      </c>
      <c r="H2054" s="2" t="s">
        <v>22</v>
      </c>
      <c r="I2054" s="2" t="s">
        <v>23</v>
      </c>
      <c r="J2054" s="2" t="s">
        <v>24</v>
      </c>
      <c r="K2054">
        <v>0.51</v>
      </c>
      <c r="L2054">
        <v>29.3</v>
      </c>
      <c r="M2054">
        <v>5745.1</v>
      </c>
      <c r="N2054" s="2" t="s">
        <v>25</v>
      </c>
      <c r="O2054" s="2" t="s">
        <v>26</v>
      </c>
      <c r="P2054" s="2" t="s">
        <v>1646</v>
      </c>
      <c r="Q2054" s="2" t="s">
        <v>3827</v>
      </c>
      <c r="R2054" s="2" t="s">
        <v>29</v>
      </c>
      <c r="S2054" s="2" t="s">
        <v>30</v>
      </c>
    </row>
    <row r="2055" spans="1:19">
      <c r="A2055" s="1">
        <v>44866</v>
      </c>
      <c r="B2055" s="1">
        <v>44866</v>
      </c>
      <c r="C2055">
        <v>2022</v>
      </c>
      <c r="D2055">
        <v>11</v>
      </c>
      <c r="E2055" s="2" t="s">
        <v>31</v>
      </c>
      <c r="F2055" s="2" t="s">
        <v>32</v>
      </c>
      <c r="G2055" s="2" t="s">
        <v>21</v>
      </c>
      <c r="H2055" s="2" t="s">
        <v>22</v>
      </c>
      <c r="I2055" s="2" t="s">
        <v>23</v>
      </c>
      <c r="J2055" s="2" t="s">
        <v>24</v>
      </c>
      <c r="K2055">
        <v>1065.6199999999999</v>
      </c>
      <c r="L2055">
        <v>9459.57</v>
      </c>
      <c r="M2055">
        <v>887.71</v>
      </c>
      <c r="N2055" s="2" t="s">
        <v>33</v>
      </c>
      <c r="O2055" s="2" t="s">
        <v>34</v>
      </c>
      <c r="P2055" s="2" t="s">
        <v>3828</v>
      </c>
      <c r="Q2055" s="2" t="s">
        <v>3829</v>
      </c>
      <c r="R2055" s="2" t="s">
        <v>29</v>
      </c>
      <c r="S2055" s="2" t="s">
        <v>30</v>
      </c>
    </row>
    <row r="2056" spans="1:19">
      <c r="A2056" s="1">
        <v>44866</v>
      </c>
      <c r="B2056" s="1">
        <v>44866</v>
      </c>
      <c r="C2056">
        <v>2022</v>
      </c>
      <c r="D2056">
        <v>11</v>
      </c>
      <c r="E2056" s="2" t="s">
        <v>37</v>
      </c>
      <c r="F2056" s="2" t="s">
        <v>38</v>
      </c>
      <c r="G2056" s="2" t="s">
        <v>39</v>
      </c>
      <c r="H2056" s="2" t="s">
        <v>22</v>
      </c>
      <c r="I2056" s="2" t="s">
        <v>40</v>
      </c>
      <c r="J2056" s="2" t="s">
        <v>24</v>
      </c>
      <c r="K2056">
        <v>7.59</v>
      </c>
      <c r="L2056">
        <v>366.84</v>
      </c>
      <c r="M2056">
        <v>4833.2</v>
      </c>
      <c r="N2056" s="2" t="s">
        <v>41</v>
      </c>
      <c r="O2056" s="2" t="s">
        <v>42</v>
      </c>
      <c r="P2056" s="2" t="s">
        <v>3830</v>
      </c>
      <c r="Q2056" s="2" t="s">
        <v>3831</v>
      </c>
      <c r="R2056" s="2" t="s">
        <v>29</v>
      </c>
      <c r="S2056" s="2" t="s">
        <v>30</v>
      </c>
    </row>
    <row r="2057" spans="1:19">
      <c r="A2057" s="1">
        <v>44866</v>
      </c>
      <c r="B2057" s="1">
        <v>44866</v>
      </c>
      <c r="C2057">
        <v>2022</v>
      </c>
      <c r="D2057">
        <v>11</v>
      </c>
      <c r="E2057" s="2" t="s">
        <v>45</v>
      </c>
      <c r="F2057" s="2" t="s">
        <v>46</v>
      </c>
      <c r="G2057" s="2" t="s">
        <v>39</v>
      </c>
      <c r="H2057" s="2" t="s">
        <v>22</v>
      </c>
      <c r="I2057" s="2" t="s">
        <v>40</v>
      </c>
      <c r="J2057" s="2" t="s">
        <v>24</v>
      </c>
      <c r="K2057">
        <v>5568.42</v>
      </c>
      <c r="L2057">
        <v>264180.38</v>
      </c>
      <c r="M2057">
        <v>4744.26</v>
      </c>
      <c r="N2057" s="2" t="s">
        <v>47</v>
      </c>
      <c r="O2057" s="2" t="s">
        <v>48</v>
      </c>
      <c r="P2057" s="2" t="s">
        <v>3832</v>
      </c>
      <c r="Q2057" s="2" t="s">
        <v>3833</v>
      </c>
      <c r="R2057" s="2" t="s">
        <v>29</v>
      </c>
      <c r="S2057" s="2" t="s">
        <v>30</v>
      </c>
    </row>
    <row r="2058" spans="1:19">
      <c r="A2058" s="1">
        <v>44866</v>
      </c>
      <c r="B2058" s="1">
        <v>44866</v>
      </c>
      <c r="C2058">
        <v>2022</v>
      </c>
      <c r="D2058">
        <v>11</v>
      </c>
      <c r="E2058" s="2" t="s">
        <v>51</v>
      </c>
      <c r="F2058" s="2" t="s">
        <v>52</v>
      </c>
      <c r="G2058" s="2" t="s">
        <v>39</v>
      </c>
      <c r="H2058" s="2" t="s">
        <v>22</v>
      </c>
      <c r="I2058" s="2" t="s">
        <v>40</v>
      </c>
      <c r="J2058" s="2" t="s">
        <v>24</v>
      </c>
      <c r="K2058">
        <v>32.36</v>
      </c>
      <c r="L2058">
        <v>1088.57</v>
      </c>
      <c r="M2058">
        <v>3363.94</v>
      </c>
      <c r="N2058" s="2" t="s">
        <v>53</v>
      </c>
      <c r="O2058" s="2" t="s">
        <v>54</v>
      </c>
      <c r="P2058" s="2" t="s">
        <v>3834</v>
      </c>
      <c r="Q2058" s="2" t="s">
        <v>3835</v>
      </c>
      <c r="R2058" s="2" t="s">
        <v>29</v>
      </c>
      <c r="S2058" s="2" t="s">
        <v>30</v>
      </c>
    </row>
    <row r="2059" spans="1:19">
      <c r="A2059" s="1">
        <v>44866</v>
      </c>
      <c r="B2059" s="1">
        <v>44866</v>
      </c>
      <c r="C2059">
        <v>2022</v>
      </c>
      <c r="D2059">
        <v>11</v>
      </c>
      <c r="E2059" s="2" t="s">
        <v>57</v>
      </c>
      <c r="F2059" s="2" t="s">
        <v>58</v>
      </c>
      <c r="G2059" s="2" t="s">
        <v>39</v>
      </c>
      <c r="H2059" s="2" t="s">
        <v>22</v>
      </c>
      <c r="I2059" s="2" t="s">
        <v>40</v>
      </c>
      <c r="J2059" s="2" t="s">
        <v>59</v>
      </c>
      <c r="K2059">
        <v>5608.38</v>
      </c>
      <c r="L2059">
        <v>265635.78999999998</v>
      </c>
      <c r="M2059">
        <v>4736.41</v>
      </c>
      <c r="N2059" s="2" t="s">
        <v>60</v>
      </c>
      <c r="O2059" s="2" t="s">
        <v>61</v>
      </c>
      <c r="P2059" s="2" t="s">
        <v>3836</v>
      </c>
      <c r="Q2059" s="2" t="s">
        <v>3837</v>
      </c>
      <c r="R2059" s="2" t="s">
        <v>29</v>
      </c>
      <c r="S2059" s="2" t="s">
        <v>30</v>
      </c>
    </row>
    <row r="2060" spans="1:19">
      <c r="A2060" s="1">
        <v>44866</v>
      </c>
      <c r="B2060" s="1">
        <v>44866</v>
      </c>
      <c r="C2060">
        <v>2022</v>
      </c>
      <c r="D2060">
        <v>11</v>
      </c>
      <c r="E2060" s="2" t="s">
        <v>64</v>
      </c>
      <c r="F2060" s="2" t="s">
        <v>65</v>
      </c>
      <c r="G2060" s="2" t="s">
        <v>21</v>
      </c>
      <c r="H2060" s="2" t="s">
        <v>22</v>
      </c>
      <c r="I2060" s="2" t="s">
        <v>66</v>
      </c>
      <c r="J2060" s="2" t="s">
        <v>24</v>
      </c>
      <c r="K2060">
        <v>14.52</v>
      </c>
      <c r="L2060">
        <v>474.9</v>
      </c>
      <c r="M2060">
        <v>3270.66</v>
      </c>
      <c r="N2060" s="2" t="s">
        <v>67</v>
      </c>
      <c r="O2060" s="2" t="s">
        <v>68</v>
      </c>
      <c r="P2060" s="2" t="s">
        <v>3838</v>
      </c>
      <c r="Q2060" s="2" t="s">
        <v>3839</v>
      </c>
      <c r="R2060" s="2" t="s">
        <v>29</v>
      </c>
      <c r="S2060" s="2" t="s">
        <v>30</v>
      </c>
    </row>
    <row r="2061" spans="1:19">
      <c r="A2061" s="1">
        <v>44866</v>
      </c>
      <c r="B2061" s="1">
        <v>44866</v>
      </c>
      <c r="C2061">
        <v>2022</v>
      </c>
      <c r="D2061">
        <v>11</v>
      </c>
      <c r="E2061" s="2" t="s">
        <v>71</v>
      </c>
      <c r="F2061" s="2" t="s">
        <v>72</v>
      </c>
      <c r="G2061" s="2" t="s">
        <v>21</v>
      </c>
      <c r="H2061" s="2" t="s">
        <v>22</v>
      </c>
      <c r="I2061" s="2" t="s">
        <v>73</v>
      </c>
      <c r="J2061" s="2" t="s">
        <v>59</v>
      </c>
      <c r="K2061">
        <v>4956.0200000000004</v>
      </c>
      <c r="L2061">
        <v>170387.63</v>
      </c>
      <c r="M2061">
        <v>3437.99</v>
      </c>
      <c r="N2061" s="2" t="s">
        <v>74</v>
      </c>
      <c r="O2061" s="2" t="s">
        <v>75</v>
      </c>
      <c r="P2061" s="2" t="s">
        <v>3840</v>
      </c>
      <c r="Q2061" s="2" t="s">
        <v>3841</v>
      </c>
      <c r="R2061" s="2" t="s">
        <v>29</v>
      </c>
      <c r="S2061" s="2" t="s">
        <v>30</v>
      </c>
    </row>
    <row r="2062" spans="1:19">
      <c r="A2062" s="1">
        <v>44866</v>
      </c>
      <c r="B2062" s="1">
        <v>44866</v>
      </c>
      <c r="C2062">
        <v>2022</v>
      </c>
      <c r="D2062">
        <v>11</v>
      </c>
      <c r="E2062" s="2" t="s">
        <v>78</v>
      </c>
      <c r="F2062" s="2" t="s">
        <v>79</v>
      </c>
      <c r="G2062" s="2" t="s">
        <v>80</v>
      </c>
      <c r="H2062" s="2" t="s">
        <v>81</v>
      </c>
      <c r="I2062" s="2" t="s">
        <v>82</v>
      </c>
      <c r="J2062" s="2" t="s">
        <v>24</v>
      </c>
      <c r="K2062">
        <v>2.33</v>
      </c>
      <c r="L2062">
        <v>6577285.5499999998</v>
      </c>
      <c r="M2062">
        <v>282286933.48000002</v>
      </c>
      <c r="N2062" s="2" t="s">
        <v>83</v>
      </c>
      <c r="O2062" s="2" t="s">
        <v>84</v>
      </c>
      <c r="P2062" s="2" t="s">
        <v>3842</v>
      </c>
      <c r="Q2062" s="2" t="s">
        <v>3843</v>
      </c>
      <c r="R2062" s="2" t="s">
        <v>29</v>
      </c>
      <c r="S2062" s="2" t="s">
        <v>30</v>
      </c>
    </row>
    <row r="2063" spans="1:19">
      <c r="A2063" s="1">
        <v>44866</v>
      </c>
      <c r="B2063" s="1">
        <v>44866</v>
      </c>
      <c r="C2063">
        <v>2022</v>
      </c>
      <c r="D2063">
        <v>11</v>
      </c>
      <c r="E2063" s="2" t="s">
        <v>87</v>
      </c>
      <c r="F2063" s="2" t="s">
        <v>88</v>
      </c>
      <c r="G2063" s="2" t="s">
        <v>80</v>
      </c>
      <c r="H2063" s="2" t="s">
        <v>81</v>
      </c>
      <c r="I2063" s="2" t="s">
        <v>82</v>
      </c>
      <c r="J2063" s="2" t="s">
        <v>24</v>
      </c>
      <c r="K2063">
        <v>0.66</v>
      </c>
      <c r="L2063">
        <v>759097.41</v>
      </c>
      <c r="M2063">
        <v>115014759.09</v>
      </c>
      <c r="N2063" s="2" t="s">
        <v>89</v>
      </c>
      <c r="O2063" s="2" t="s">
        <v>90</v>
      </c>
      <c r="P2063" s="2" t="s">
        <v>509</v>
      </c>
      <c r="Q2063" s="2" t="s">
        <v>3844</v>
      </c>
      <c r="R2063" s="2" t="s">
        <v>29</v>
      </c>
      <c r="S2063" s="2" t="s">
        <v>30</v>
      </c>
    </row>
    <row r="2064" spans="1:19">
      <c r="A2064" s="1">
        <v>44866</v>
      </c>
      <c r="B2064" s="1">
        <v>44866</v>
      </c>
      <c r="C2064">
        <v>2022</v>
      </c>
      <c r="D2064">
        <v>11</v>
      </c>
      <c r="E2064" s="2" t="s">
        <v>93</v>
      </c>
      <c r="F2064" s="2" t="s">
        <v>94</v>
      </c>
      <c r="G2064" s="2" t="s">
        <v>80</v>
      </c>
      <c r="H2064" s="2" t="s">
        <v>81</v>
      </c>
      <c r="I2064" s="2" t="s">
        <v>82</v>
      </c>
      <c r="J2064" s="2" t="s">
        <v>24</v>
      </c>
      <c r="K2064">
        <v>0.36</v>
      </c>
      <c r="L2064">
        <v>6039867.5499999998</v>
      </c>
      <c r="M2064">
        <v>1677740986.1099999</v>
      </c>
      <c r="N2064" s="2" t="s">
        <v>95</v>
      </c>
      <c r="O2064" s="2" t="s">
        <v>96</v>
      </c>
      <c r="P2064" s="2" t="s">
        <v>3657</v>
      </c>
      <c r="Q2064" s="2" t="s">
        <v>3845</v>
      </c>
      <c r="R2064" s="2" t="s">
        <v>29</v>
      </c>
      <c r="S2064" s="2" t="s">
        <v>30</v>
      </c>
    </row>
    <row r="2065" spans="1:19">
      <c r="A2065" s="1">
        <v>44866</v>
      </c>
      <c r="B2065" s="1">
        <v>44866</v>
      </c>
      <c r="C2065">
        <v>2022</v>
      </c>
      <c r="D2065">
        <v>11</v>
      </c>
      <c r="E2065" s="2" t="s">
        <v>99</v>
      </c>
      <c r="F2065" s="2" t="s">
        <v>100</v>
      </c>
      <c r="G2065" s="2" t="s">
        <v>80</v>
      </c>
      <c r="H2065" s="2" t="s">
        <v>81</v>
      </c>
      <c r="I2065" s="2" t="s">
        <v>82</v>
      </c>
      <c r="J2065" s="2" t="s">
        <v>101</v>
      </c>
      <c r="K2065">
        <v>1.26</v>
      </c>
      <c r="L2065">
        <v>15457897.460000001</v>
      </c>
      <c r="M2065">
        <v>1226817258.73</v>
      </c>
      <c r="N2065" s="2" t="s">
        <v>102</v>
      </c>
      <c r="O2065" s="2" t="s">
        <v>103</v>
      </c>
      <c r="P2065" s="2" t="s">
        <v>267</v>
      </c>
      <c r="Q2065" s="2" t="s">
        <v>3846</v>
      </c>
      <c r="R2065" s="2" t="s">
        <v>29</v>
      </c>
      <c r="S2065" s="2" t="s">
        <v>30</v>
      </c>
    </row>
    <row r="2066" spans="1:19">
      <c r="A2066" s="1">
        <v>44866</v>
      </c>
      <c r="B2066" s="1">
        <v>44866</v>
      </c>
      <c r="C2066">
        <v>2022</v>
      </c>
      <c r="D2066">
        <v>11</v>
      </c>
      <c r="E2066" s="2" t="s">
        <v>106</v>
      </c>
      <c r="F2066" s="2" t="s">
        <v>107</v>
      </c>
      <c r="G2066" s="2" t="s">
        <v>80</v>
      </c>
      <c r="H2066" s="2" t="s">
        <v>81</v>
      </c>
      <c r="I2066" s="2" t="s">
        <v>82</v>
      </c>
      <c r="J2066" s="2" t="s">
        <v>24</v>
      </c>
      <c r="K2066">
        <v>0.23</v>
      </c>
      <c r="L2066">
        <v>8658932.5</v>
      </c>
      <c r="M2066">
        <v>3764753260.8699999</v>
      </c>
      <c r="N2066" s="2" t="s">
        <v>108</v>
      </c>
      <c r="O2066" s="2" t="s">
        <v>109</v>
      </c>
      <c r="P2066" s="2" t="s">
        <v>725</v>
      </c>
      <c r="Q2066" s="2" t="s">
        <v>3847</v>
      </c>
      <c r="R2066" s="2" t="s">
        <v>29</v>
      </c>
      <c r="S2066" s="2" t="s">
        <v>30</v>
      </c>
    </row>
    <row r="2067" spans="1:19">
      <c r="A2067" s="1">
        <v>44866</v>
      </c>
      <c r="B2067" s="1">
        <v>44866</v>
      </c>
      <c r="C2067">
        <v>2022</v>
      </c>
      <c r="D2067">
        <v>11</v>
      </c>
      <c r="E2067" s="2" t="s">
        <v>111</v>
      </c>
      <c r="F2067" s="2" t="s">
        <v>112</v>
      </c>
      <c r="G2067" s="2" t="s">
        <v>80</v>
      </c>
      <c r="H2067" s="2" t="s">
        <v>81</v>
      </c>
      <c r="I2067" s="2" t="s">
        <v>82</v>
      </c>
      <c r="J2067" s="2" t="s">
        <v>24</v>
      </c>
      <c r="K2067">
        <v>0.08</v>
      </c>
      <c r="L2067">
        <v>453575</v>
      </c>
      <c r="M2067">
        <v>566968750</v>
      </c>
      <c r="N2067" s="2" t="s">
        <v>113</v>
      </c>
      <c r="O2067" s="2" t="s">
        <v>114</v>
      </c>
      <c r="P2067" s="2" t="s">
        <v>1393</v>
      </c>
      <c r="Q2067" s="2" t="s">
        <v>3848</v>
      </c>
      <c r="R2067" s="2" t="s">
        <v>29</v>
      </c>
      <c r="S2067" s="2" t="s">
        <v>30</v>
      </c>
    </row>
    <row r="2068" spans="1:19">
      <c r="A2068" s="1">
        <v>44866</v>
      </c>
      <c r="B2068" s="1">
        <v>44866</v>
      </c>
      <c r="C2068">
        <v>2022</v>
      </c>
      <c r="D2068">
        <v>11</v>
      </c>
      <c r="E2068" s="2" t="s">
        <v>117</v>
      </c>
      <c r="F2068" s="2" t="s">
        <v>118</v>
      </c>
      <c r="G2068" s="2" t="s">
        <v>80</v>
      </c>
      <c r="H2068" s="2" t="s">
        <v>81</v>
      </c>
      <c r="I2068" s="2" t="s">
        <v>82</v>
      </c>
      <c r="J2068" s="2" t="s">
        <v>59</v>
      </c>
      <c r="K2068">
        <v>3.67</v>
      </c>
      <c r="L2068">
        <v>22488758.010000002</v>
      </c>
      <c r="M2068">
        <v>612772697.82000005</v>
      </c>
      <c r="N2068" s="2" t="s">
        <v>119</v>
      </c>
      <c r="O2068" s="2" t="s">
        <v>120</v>
      </c>
      <c r="P2068" s="2" t="s">
        <v>3849</v>
      </c>
      <c r="Q2068" s="2" t="s">
        <v>3850</v>
      </c>
      <c r="R2068" s="2" t="s">
        <v>29</v>
      </c>
      <c r="S2068" s="2" t="s">
        <v>30</v>
      </c>
    </row>
    <row r="2069" spans="1:19">
      <c r="A2069" s="1">
        <v>44866</v>
      </c>
      <c r="B2069" s="1">
        <v>44866</v>
      </c>
      <c r="C2069">
        <v>2022</v>
      </c>
      <c r="D2069">
        <v>11</v>
      </c>
      <c r="E2069" s="2" t="s">
        <v>123</v>
      </c>
      <c r="F2069" s="2" t="s">
        <v>124</v>
      </c>
      <c r="G2069" s="2" t="s">
        <v>21</v>
      </c>
      <c r="H2069" s="2" t="s">
        <v>22</v>
      </c>
      <c r="I2069" s="2" t="s">
        <v>73</v>
      </c>
      <c r="J2069" s="2" t="s">
        <v>24</v>
      </c>
      <c r="K2069">
        <v>1071.74</v>
      </c>
      <c r="L2069">
        <v>71337.960000000006</v>
      </c>
      <c r="M2069">
        <v>6656.27</v>
      </c>
      <c r="N2069" s="2" t="s">
        <v>125</v>
      </c>
      <c r="O2069" s="2" t="s">
        <v>126</v>
      </c>
      <c r="P2069" s="2" t="s">
        <v>3851</v>
      </c>
      <c r="Q2069" s="2" t="s">
        <v>3852</v>
      </c>
      <c r="R2069" s="2" t="s">
        <v>29</v>
      </c>
      <c r="S2069" s="2" t="s">
        <v>30</v>
      </c>
    </row>
    <row r="2070" spans="1:19">
      <c r="A2070" s="1">
        <v>44866</v>
      </c>
      <c r="B2070" s="1">
        <v>44866</v>
      </c>
      <c r="C2070">
        <v>2022</v>
      </c>
      <c r="D2070">
        <v>11</v>
      </c>
      <c r="E2070" s="2" t="s">
        <v>129</v>
      </c>
      <c r="F2070" s="2" t="s">
        <v>130</v>
      </c>
      <c r="G2070" s="2" t="s">
        <v>21</v>
      </c>
      <c r="H2070" s="2" t="s">
        <v>22</v>
      </c>
      <c r="I2070" s="2" t="s">
        <v>73</v>
      </c>
      <c r="J2070" s="2" t="s">
        <v>24</v>
      </c>
      <c r="K2070">
        <v>1275.99</v>
      </c>
      <c r="L2070">
        <v>43455.99</v>
      </c>
      <c r="M2070">
        <v>3405.67</v>
      </c>
      <c r="N2070" s="2" t="s">
        <v>131</v>
      </c>
      <c r="O2070" s="2" t="s">
        <v>132</v>
      </c>
      <c r="P2070" s="2" t="s">
        <v>3853</v>
      </c>
      <c r="Q2070" s="2" t="s">
        <v>3854</v>
      </c>
      <c r="R2070" s="2" t="s">
        <v>29</v>
      </c>
      <c r="S2070" s="2" t="s">
        <v>30</v>
      </c>
    </row>
    <row r="2071" spans="1:19">
      <c r="A2071" s="1">
        <v>44866</v>
      </c>
      <c r="B2071" s="1">
        <v>44866</v>
      </c>
      <c r="C2071">
        <v>2022</v>
      </c>
      <c r="D2071">
        <v>11</v>
      </c>
      <c r="E2071" s="2" t="s">
        <v>135</v>
      </c>
      <c r="F2071" s="2" t="s">
        <v>136</v>
      </c>
      <c r="G2071" s="2" t="s">
        <v>21</v>
      </c>
      <c r="H2071" s="2" t="s">
        <v>22</v>
      </c>
      <c r="I2071" s="2" t="s">
        <v>73</v>
      </c>
      <c r="J2071" s="2" t="s">
        <v>101</v>
      </c>
      <c r="K2071">
        <v>2347.73</v>
      </c>
      <c r="L2071">
        <v>114793.95</v>
      </c>
      <c r="M2071">
        <v>4889.57</v>
      </c>
      <c r="N2071" s="2" t="s">
        <v>137</v>
      </c>
      <c r="O2071" s="2" t="s">
        <v>138</v>
      </c>
      <c r="P2071" s="2" t="s">
        <v>3855</v>
      </c>
      <c r="Q2071" s="2" t="s">
        <v>3856</v>
      </c>
      <c r="R2071" s="2" t="s">
        <v>29</v>
      </c>
      <c r="S2071" s="2" t="s">
        <v>30</v>
      </c>
    </row>
    <row r="2072" spans="1:19">
      <c r="A2072" s="1">
        <v>44866</v>
      </c>
      <c r="B2072" s="1">
        <v>44866</v>
      </c>
      <c r="C2072">
        <v>2022</v>
      </c>
      <c r="D2072">
        <v>11</v>
      </c>
      <c r="E2072" s="2" t="s">
        <v>141</v>
      </c>
      <c r="F2072" s="2" t="s">
        <v>142</v>
      </c>
      <c r="G2072" s="2" t="s">
        <v>21</v>
      </c>
      <c r="H2072" s="2" t="s">
        <v>22</v>
      </c>
      <c r="I2072" s="2" t="s">
        <v>73</v>
      </c>
      <c r="J2072" s="2" t="s">
        <v>24</v>
      </c>
      <c r="K2072">
        <v>828.82</v>
      </c>
      <c r="L2072">
        <v>18355.310000000001</v>
      </c>
      <c r="M2072">
        <v>2214.63</v>
      </c>
      <c r="N2072" s="2" t="s">
        <v>143</v>
      </c>
      <c r="O2072" s="2" t="s">
        <v>144</v>
      </c>
      <c r="P2072" s="2" t="s">
        <v>3857</v>
      </c>
      <c r="Q2072" s="2" t="s">
        <v>3858</v>
      </c>
      <c r="R2072" s="2" t="s">
        <v>29</v>
      </c>
      <c r="S2072" s="2" t="s">
        <v>30</v>
      </c>
    </row>
    <row r="2073" spans="1:19">
      <c r="A2073" s="1">
        <v>44866</v>
      </c>
      <c r="B2073" s="1">
        <v>44866</v>
      </c>
      <c r="C2073">
        <v>2022</v>
      </c>
      <c r="D2073">
        <v>11</v>
      </c>
      <c r="E2073" s="2" t="s">
        <v>147</v>
      </c>
      <c r="F2073" s="2" t="s">
        <v>148</v>
      </c>
      <c r="G2073" s="2" t="s">
        <v>21</v>
      </c>
      <c r="H2073" s="2" t="s">
        <v>22</v>
      </c>
      <c r="I2073" s="2" t="s">
        <v>73</v>
      </c>
      <c r="J2073" s="2" t="s">
        <v>24</v>
      </c>
      <c r="K2073">
        <v>1779.46</v>
      </c>
      <c r="L2073">
        <v>37238.36</v>
      </c>
      <c r="M2073">
        <v>2092.6799999999998</v>
      </c>
      <c r="N2073" s="2" t="s">
        <v>149</v>
      </c>
      <c r="O2073" s="2" t="s">
        <v>150</v>
      </c>
      <c r="P2073" s="2" t="s">
        <v>3859</v>
      </c>
      <c r="Q2073" s="2" t="s">
        <v>3860</v>
      </c>
      <c r="R2073" s="2" t="s">
        <v>29</v>
      </c>
      <c r="S2073" s="2" t="s">
        <v>30</v>
      </c>
    </row>
    <row r="2074" spans="1:19">
      <c r="A2074" s="1">
        <v>44866</v>
      </c>
      <c r="B2074" s="1">
        <v>44866</v>
      </c>
      <c r="C2074">
        <v>2022</v>
      </c>
      <c r="D2074">
        <v>11</v>
      </c>
      <c r="E2074" s="2" t="s">
        <v>153</v>
      </c>
      <c r="F2074" s="2" t="s">
        <v>154</v>
      </c>
      <c r="G2074" s="2" t="s">
        <v>21</v>
      </c>
      <c r="H2074" s="2" t="s">
        <v>22</v>
      </c>
      <c r="I2074" s="2" t="s">
        <v>73</v>
      </c>
      <c r="J2074" s="2" t="s">
        <v>101</v>
      </c>
      <c r="K2074">
        <v>2608.2800000000002</v>
      </c>
      <c r="L2074">
        <v>55593.68</v>
      </c>
      <c r="M2074">
        <v>2131.4299999999998</v>
      </c>
      <c r="N2074" s="2" t="s">
        <v>155</v>
      </c>
      <c r="O2074" s="2" t="s">
        <v>156</v>
      </c>
      <c r="P2074" s="2" t="s">
        <v>3861</v>
      </c>
      <c r="Q2074" s="2" t="s">
        <v>3862</v>
      </c>
      <c r="R2074" s="2" t="s">
        <v>29</v>
      </c>
      <c r="S2074" s="2" t="s">
        <v>30</v>
      </c>
    </row>
    <row r="2075" spans="1:19">
      <c r="A2075" s="1">
        <v>44866</v>
      </c>
      <c r="B2075" s="1">
        <v>44866</v>
      </c>
      <c r="C2075">
        <v>2022</v>
      </c>
      <c r="D2075">
        <v>11</v>
      </c>
      <c r="E2075" s="2" t="s">
        <v>159</v>
      </c>
      <c r="F2075" s="2" t="s">
        <v>160</v>
      </c>
      <c r="G2075" s="2" t="s">
        <v>21</v>
      </c>
      <c r="H2075" s="2" t="s">
        <v>22</v>
      </c>
      <c r="I2075" s="2" t="s">
        <v>66</v>
      </c>
      <c r="J2075" s="2" t="s">
        <v>59</v>
      </c>
      <c r="K2075">
        <v>1316.6</v>
      </c>
      <c r="L2075">
        <v>110180.7</v>
      </c>
      <c r="M2075">
        <v>8368.58</v>
      </c>
      <c r="N2075" s="2" t="s">
        <v>161</v>
      </c>
      <c r="O2075" s="2" t="s">
        <v>162</v>
      </c>
      <c r="P2075" s="2" t="s">
        <v>3863</v>
      </c>
      <c r="Q2075" s="2" t="s">
        <v>3864</v>
      </c>
      <c r="R2075" s="2" t="s">
        <v>29</v>
      </c>
      <c r="S2075" s="2" t="s">
        <v>30</v>
      </c>
    </row>
    <row r="2076" spans="1:19">
      <c r="A2076" s="1">
        <v>44866</v>
      </c>
      <c r="B2076" s="1">
        <v>44866</v>
      </c>
      <c r="C2076">
        <v>2022</v>
      </c>
      <c r="D2076">
        <v>11</v>
      </c>
      <c r="E2076" s="2" t="s">
        <v>165</v>
      </c>
      <c r="F2076" s="2" t="s">
        <v>166</v>
      </c>
      <c r="G2076" s="2" t="s">
        <v>21</v>
      </c>
      <c r="H2076" s="2" t="s">
        <v>22</v>
      </c>
      <c r="I2076" s="2" t="s">
        <v>23</v>
      </c>
      <c r="J2076" s="2" t="s">
        <v>24</v>
      </c>
      <c r="N2076" s="2" t="s">
        <v>167</v>
      </c>
      <c r="O2076" s="2" t="s">
        <v>168</v>
      </c>
      <c r="P2076" s="2" t="s">
        <v>175</v>
      </c>
      <c r="Q2076" s="2" t="s">
        <v>175</v>
      </c>
      <c r="R2076" s="2" t="s">
        <v>640</v>
      </c>
      <c r="S2076" s="2" t="s">
        <v>641</v>
      </c>
    </row>
    <row r="2077" spans="1:19">
      <c r="A2077" s="1">
        <v>44866</v>
      </c>
      <c r="B2077" s="1">
        <v>44866</v>
      </c>
      <c r="C2077">
        <v>2022</v>
      </c>
      <c r="D2077">
        <v>11</v>
      </c>
      <c r="E2077" s="2" t="s">
        <v>171</v>
      </c>
      <c r="F2077" s="2" t="s">
        <v>172</v>
      </c>
      <c r="G2077" s="2" t="s">
        <v>21</v>
      </c>
      <c r="H2077" s="2" t="s">
        <v>22</v>
      </c>
      <c r="I2077" s="2" t="s">
        <v>66</v>
      </c>
      <c r="J2077" s="2" t="s">
        <v>24</v>
      </c>
      <c r="N2077" s="2" t="s">
        <v>173</v>
      </c>
      <c r="O2077" s="2" t="s">
        <v>174</v>
      </c>
      <c r="P2077" s="2" t="s">
        <v>175</v>
      </c>
      <c r="Q2077" s="2" t="s">
        <v>175</v>
      </c>
      <c r="R2077" s="2" t="s">
        <v>640</v>
      </c>
      <c r="S2077" s="2" t="s">
        <v>641</v>
      </c>
    </row>
    <row r="2078" spans="1:19">
      <c r="A2078" s="1">
        <v>44866</v>
      </c>
      <c r="B2078" s="1">
        <v>44866</v>
      </c>
      <c r="C2078">
        <v>2022</v>
      </c>
      <c r="D2078">
        <v>11</v>
      </c>
      <c r="E2078" s="2" t="s">
        <v>177</v>
      </c>
      <c r="F2078" s="2" t="s">
        <v>178</v>
      </c>
      <c r="G2078" s="2" t="s">
        <v>21</v>
      </c>
      <c r="H2078" s="2" t="s">
        <v>22</v>
      </c>
      <c r="I2078" s="2" t="s">
        <v>23</v>
      </c>
      <c r="J2078" s="2" t="s">
        <v>24</v>
      </c>
      <c r="K2078">
        <v>4634.8</v>
      </c>
      <c r="L2078">
        <v>454678.67</v>
      </c>
      <c r="M2078">
        <v>9810.1</v>
      </c>
      <c r="N2078" s="2" t="s">
        <v>179</v>
      </c>
      <c r="O2078" s="2" t="s">
        <v>180</v>
      </c>
      <c r="P2078" s="2" t="s">
        <v>3865</v>
      </c>
      <c r="Q2078" s="2" t="s">
        <v>3866</v>
      </c>
      <c r="R2078" s="2" t="s">
        <v>29</v>
      </c>
      <c r="S2078" s="2" t="s">
        <v>30</v>
      </c>
    </row>
    <row r="2079" spans="1:19">
      <c r="A2079" s="1">
        <v>44866</v>
      </c>
      <c r="B2079" s="1">
        <v>44866</v>
      </c>
      <c r="C2079">
        <v>2022</v>
      </c>
      <c r="D2079">
        <v>11</v>
      </c>
      <c r="E2079" s="2" t="s">
        <v>183</v>
      </c>
      <c r="F2079" s="2" t="s">
        <v>184</v>
      </c>
      <c r="G2079" s="2" t="s">
        <v>185</v>
      </c>
      <c r="H2079" s="2" t="s">
        <v>22</v>
      </c>
      <c r="I2079" s="2" t="s">
        <v>186</v>
      </c>
      <c r="J2079" s="2" t="s">
        <v>24</v>
      </c>
      <c r="K2079">
        <v>2615.7399999999998</v>
      </c>
      <c r="L2079">
        <v>3179528.57</v>
      </c>
      <c r="M2079">
        <v>121553.69</v>
      </c>
      <c r="N2079" s="2" t="s">
        <v>187</v>
      </c>
      <c r="O2079" s="2" t="s">
        <v>188</v>
      </c>
      <c r="P2079" s="2" t="s">
        <v>3867</v>
      </c>
      <c r="Q2079" s="2" t="s">
        <v>3868</v>
      </c>
      <c r="R2079" s="2" t="s">
        <v>29</v>
      </c>
      <c r="S2079" s="2" t="s">
        <v>30</v>
      </c>
    </row>
    <row r="2080" spans="1:19">
      <c r="A2080" s="1">
        <v>44866</v>
      </c>
      <c r="B2080" s="1">
        <v>44866</v>
      </c>
      <c r="C2080">
        <v>2022</v>
      </c>
      <c r="D2080">
        <v>11</v>
      </c>
      <c r="E2080" s="2" t="s">
        <v>191</v>
      </c>
      <c r="F2080" s="2" t="s">
        <v>192</v>
      </c>
      <c r="G2080" s="2" t="s">
        <v>185</v>
      </c>
      <c r="H2080" s="2" t="s">
        <v>22</v>
      </c>
      <c r="I2080" s="2" t="s">
        <v>186</v>
      </c>
      <c r="J2080" s="2" t="s">
        <v>24</v>
      </c>
      <c r="K2080">
        <v>870.33</v>
      </c>
      <c r="L2080">
        <v>4606598.2</v>
      </c>
      <c r="M2080">
        <v>529293.28</v>
      </c>
      <c r="N2080" s="2" t="s">
        <v>193</v>
      </c>
      <c r="O2080" s="2" t="s">
        <v>194</v>
      </c>
      <c r="P2080" s="2" t="s">
        <v>3869</v>
      </c>
      <c r="Q2080" s="2" t="s">
        <v>3870</v>
      </c>
      <c r="R2080" s="2" t="s">
        <v>29</v>
      </c>
      <c r="S2080" s="2" t="s">
        <v>30</v>
      </c>
    </row>
    <row r="2081" spans="1:19">
      <c r="A2081" s="1">
        <v>44866</v>
      </c>
      <c r="B2081" s="1">
        <v>44866</v>
      </c>
      <c r="C2081">
        <v>2022</v>
      </c>
      <c r="D2081">
        <v>11</v>
      </c>
      <c r="E2081" s="2" t="s">
        <v>197</v>
      </c>
      <c r="F2081" s="2" t="s">
        <v>198</v>
      </c>
      <c r="G2081" s="2" t="s">
        <v>185</v>
      </c>
      <c r="H2081" s="2" t="s">
        <v>22</v>
      </c>
      <c r="I2081" s="2" t="s">
        <v>186</v>
      </c>
      <c r="J2081" s="2" t="s">
        <v>59</v>
      </c>
      <c r="K2081">
        <v>3486.07</v>
      </c>
      <c r="L2081">
        <v>7786126.7599999998</v>
      </c>
      <c r="M2081">
        <v>223349.7</v>
      </c>
      <c r="N2081" s="2" t="s">
        <v>199</v>
      </c>
      <c r="O2081" s="2" t="s">
        <v>200</v>
      </c>
      <c r="P2081" s="2" t="s">
        <v>3871</v>
      </c>
      <c r="Q2081" s="2" t="s">
        <v>3872</v>
      </c>
      <c r="R2081" s="2" t="s">
        <v>29</v>
      </c>
      <c r="S2081" s="2" t="s">
        <v>30</v>
      </c>
    </row>
    <row r="2082" spans="1:19">
      <c r="A2082" s="1">
        <v>44866</v>
      </c>
      <c r="B2082" s="1">
        <v>44866</v>
      </c>
      <c r="C2082">
        <v>2022</v>
      </c>
      <c r="D2082">
        <v>11</v>
      </c>
      <c r="E2082" s="2" t="s">
        <v>203</v>
      </c>
      <c r="F2082" s="2" t="s">
        <v>204</v>
      </c>
      <c r="G2082" s="2" t="s">
        <v>39</v>
      </c>
      <c r="H2082" s="2" t="s">
        <v>22</v>
      </c>
      <c r="I2082" s="2" t="s">
        <v>40</v>
      </c>
      <c r="J2082" s="2" t="s">
        <v>24</v>
      </c>
      <c r="K2082">
        <v>944.92</v>
      </c>
      <c r="L2082">
        <v>25540.74</v>
      </c>
      <c r="M2082">
        <v>2702.95</v>
      </c>
      <c r="N2082" s="2" t="s">
        <v>205</v>
      </c>
      <c r="O2082" s="2" t="s">
        <v>206</v>
      </c>
      <c r="P2082" s="2" t="s">
        <v>3873</v>
      </c>
      <c r="Q2082" s="2" t="s">
        <v>3874</v>
      </c>
      <c r="R2082" s="2" t="s">
        <v>29</v>
      </c>
      <c r="S2082" s="2" t="s">
        <v>30</v>
      </c>
    </row>
    <row r="2083" spans="1:19">
      <c r="A2083" s="1">
        <v>44866</v>
      </c>
      <c r="B2083" s="1">
        <v>44866</v>
      </c>
      <c r="C2083">
        <v>2022</v>
      </c>
      <c r="D2083">
        <v>11</v>
      </c>
      <c r="E2083" s="2" t="s">
        <v>209</v>
      </c>
      <c r="F2083" s="2" t="s">
        <v>210</v>
      </c>
      <c r="G2083" s="2" t="s">
        <v>39</v>
      </c>
      <c r="H2083" s="2" t="s">
        <v>22</v>
      </c>
      <c r="I2083" s="2" t="s">
        <v>40</v>
      </c>
      <c r="J2083" s="2" t="s">
        <v>59</v>
      </c>
      <c r="K2083">
        <v>944.92</v>
      </c>
      <c r="L2083">
        <v>25540.74</v>
      </c>
      <c r="M2083">
        <v>2702.95</v>
      </c>
      <c r="N2083" s="2" t="s">
        <v>211</v>
      </c>
      <c r="O2083" s="2" t="s">
        <v>212</v>
      </c>
      <c r="P2083" s="2" t="s">
        <v>3873</v>
      </c>
      <c r="Q2083" s="2" t="s">
        <v>3874</v>
      </c>
      <c r="R2083" s="2" t="s">
        <v>29</v>
      </c>
      <c r="S2083" s="2" t="s">
        <v>30</v>
      </c>
    </row>
    <row r="2084" spans="1:19">
      <c r="A2084" s="1">
        <v>44866</v>
      </c>
      <c r="B2084" s="1">
        <v>44866</v>
      </c>
      <c r="C2084">
        <v>2022</v>
      </c>
      <c r="D2084">
        <v>11</v>
      </c>
      <c r="E2084" s="2" t="s">
        <v>213</v>
      </c>
      <c r="F2084" s="2" t="s">
        <v>214</v>
      </c>
      <c r="G2084" s="2" t="s">
        <v>185</v>
      </c>
      <c r="H2084" s="2" t="s">
        <v>22</v>
      </c>
      <c r="I2084" s="2" t="s">
        <v>215</v>
      </c>
      <c r="J2084" s="2" t="s">
        <v>24</v>
      </c>
      <c r="K2084">
        <v>64845.77</v>
      </c>
      <c r="L2084">
        <v>1519391.07</v>
      </c>
      <c r="M2084">
        <v>2343.08</v>
      </c>
      <c r="N2084" s="2" t="s">
        <v>216</v>
      </c>
      <c r="O2084" s="2" t="s">
        <v>217</v>
      </c>
      <c r="P2084" s="2" t="s">
        <v>3875</v>
      </c>
      <c r="Q2084" s="2" t="s">
        <v>3876</v>
      </c>
      <c r="R2084" s="2" t="s">
        <v>29</v>
      </c>
      <c r="S2084" s="2" t="s">
        <v>30</v>
      </c>
    </row>
    <row r="2085" spans="1:19">
      <c r="A2085" s="1">
        <v>44866</v>
      </c>
      <c r="B2085" s="1">
        <v>44866</v>
      </c>
      <c r="C2085">
        <v>2022</v>
      </c>
      <c r="D2085">
        <v>11</v>
      </c>
      <c r="E2085" s="2" t="s">
        <v>220</v>
      </c>
      <c r="F2085" s="2" t="s">
        <v>221</v>
      </c>
      <c r="G2085" s="2" t="s">
        <v>185</v>
      </c>
      <c r="H2085" s="2" t="s">
        <v>22</v>
      </c>
      <c r="I2085" s="2" t="s">
        <v>215</v>
      </c>
      <c r="J2085" s="2" t="s">
        <v>24</v>
      </c>
      <c r="K2085">
        <v>5342.59</v>
      </c>
      <c r="L2085">
        <v>355045.39</v>
      </c>
      <c r="M2085">
        <v>6645.57</v>
      </c>
      <c r="N2085" s="2" t="s">
        <v>222</v>
      </c>
      <c r="O2085" s="2" t="s">
        <v>223</v>
      </c>
      <c r="P2085" s="2" t="s">
        <v>3877</v>
      </c>
      <c r="Q2085" s="2" t="s">
        <v>3878</v>
      </c>
      <c r="R2085" s="2" t="s">
        <v>29</v>
      </c>
      <c r="S2085" s="2" t="s">
        <v>30</v>
      </c>
    </row>
    <row r="2086" spans="1:19">
      <c r="A2086" s="1">
        <v>44866</v>
      </c>
      <c r="B2086" s="1">
        <v>44866</v>
      </c>
      <c r="C2086">
        <v>2022</v>
      </c>
      <c r="D2086">
        <v>11</v>
      </c>
      <c r="E2086" s="2" t="s">
        <v>226</v>
      </c>
      <c r="F2086" s="2" t="s">
        <v>227</v>
      </c>
      <c r="G2086" s="2" t="s">
        <v>185</v>
      </c>
      <c r="H2086" s="2" t="s">
        <v>22</v>
      </c>
      <c r="I2086" s="2" t="s">
        <v>215</v>
      </c>
      <c r="J2086" s="2" t="s">
        <v>59</v>
      </c>
      <c r="K2086">
        <v>70188.36</v>
      </c>
      <c r="L2086">
        <v>1874436.45</v>
      </c>
      <c r="M2086">
        <v>2670.58</v>
      </c>
      <c r="N2086" s="2" t="s">
        <v>228</v>
      </c>
      <c r="O2086" s="2" t="s">
        <v>229</v>
      </c>
      <c r="P2086" s="2" t="s">
        <v>3879</v>
      </c>
      <c r="Q2086" s="2" t="s">
        <v>3880</v>
      </c>
      <c r="R2086" s="2" t="s">
        <v>29</v>
      </c>
      <c r="S2086" s="2" t="s">
        <v>30</v>
      </c>
    </row>
    <row r="2087" spans="1:19">
      <c r="A2087" s="1">
        <v>44866</v>
      </c>
      <c r="B2087" s="1">
        <v>44866</v>
      </c>
      <c r="C2087">
        <v>2022</v>
      </c>
      <c r="D2087">
        <v>11</v>
      </c>
      <c r="E2087" s="2" t="s">
        <v>232</v>
      </c>
      <c r="F2087" s="2" t="s">
        <v>233</v>
      </c>
      <c r="G2087" s="2" t="s">
        <v>21</v>
      </c>
      <c r="H2087" s="2" t="s">
        <v>22</v>
      </c>
      <c r="I2087" s="2" t="s">
        <v>23</v>
      </c>
      <c r="J2087" s="2" t="s">
        <v>24</v>
      </c>
      <c r="K2087">
        <v>1373.88</v>
      </c>
      <c r="L2087">
        <v>141900.88</v>
      </c>
      <c r="M2087">
        <v>10328.48</v>
      </c>
      <c r="N2087" s="2" t="s">
        <v>234</v>
      </c>
      <c r="O2087" s="2" t="s">
        <v>235</v>
      </c>
      <c r="P2087" s="2" t="s">
        <v>3881</v>
      </c>
      <c r="Q2087" s="2" t="s">
        <v>3882</v>
      </c>
      <c r="R2087" s="2" t="s">
        <v>29</v>
      </c>
      <c r="S2087" s="2" t="s">
        <v>30</v>
      </c>
    </row>
    <row r="2088" spans="1:19">
      <c r="A2088" s="1">
        <v>44866</v>
      </c>
      <c r="B2088" s="1">
        <v>44866</v>
      </c>
      <c r="C2088">
        <v>2022</v>
      </c>
      <c r="D2088">
        <v>11</v>
      </c>
      <c r="E2088" s="2" t="s">
        <v>238</v>
      </c>
      <c r="F2088" s="2" t="s">
        <v>239</v>
      </c>
      <c r="G2088" s="2" t="s">
        <v>21</v>
      </c>
      <c r="H2088" s="2" t="s">
        <v>22</v>
      </c>
      <c r="I2088" s="2" t="s">
        <v>66</v>
      </c>
      <c r="J2088" s="2" t="s">
        <v>24</v>
      </c>
      <c r="K2088">
        <v>1164.17</v>
      </c>
      <c r="L2088">
        <v>109478.54</v>
      </c>
      <c r="M2088">
        <v>9404</v>
      </c>
      <c r="N2088" s="2" t="s">
        <v>240</v>
      </c>
      <c r="O2088" s="2" t="s">
        <v>241</v>
      </c>
      <c r="P2088" s="2" t="s">
        <v>3883</v>
      </c>
      <c r="Q2088" s="2" t="s">
        <v>3884</v>
      </c>
      <c r="R2088" s="2" t="s">
        <v>29</v>
      </c>
      <c r="S2088" s="2" t="s">
        <v>30</v>
      </c>
    </row>
    <row r="2089" spans="1:19">
      <c r="A2089" s="1">
        <v>44866</v>
      </c>
      <c r="B2089" s="1">
        <v>44866</v>
      </c>
      <c r="C2089">
        <v>2022</v>
      </c>
      <c r="D2089">
        <v>11</v>
      </c>
      <c r="E2089" s="2" t="s">
        <v>244</v>
      </c>
      <c r="F2089" s="2" t="s">
        <v>245</v>
      </c>
      <c r="G2089" s="2" t="s">
        <v>21</v>
      </c>
      <c r="H2089" s="2" t="s">
        <v>22</v>
      </c>
      <c r="I2089" s="2" t="s">
        <v>23</v>
      </c>
      <c r="J2089" s="2" t="s">
        <v>24</v>
      </c>
      <c r="K2089">
        <v>4388.3</v>
      </c>
      <c r="L2089">
        <v>2730878.35</v>
      </c>
      <c r="M2089">
        <v>62230.89</v>
      </c>
      <c r="N2089" s="2" t="s">
        <v>246</v>
      </c>
      <c r="O2089" s="2" t="s">
        <v>247</v>
      </c>
      <c r="P2089" s="2" t="s">
        <v>3885</v>
      </c>
      <c r="Q2089" s="2" t="s">
        <v>3886</v>
      </c>
      <c r="R2089" s="2" t="s">
        <v>29</v>
      </c>
      <c r="S2089" s="2" t="s">
        <v>30</v>
      </c>
    </row>
    <row r="2090" spans="1:19">
      <c r="A2090" s="1">
        <v>44866</v>
      </c>
      <c r="B2090" s="1">
        <v>44866</v>
      </c>
      <c r="C2090">
        <v>2022</v>
      </c>
      <c r="D2090">
        <v>11</v>
      </c>
      <c r="E2090" s="2" t="s">
        <v>250</v>
      </c>
      <c r="F2090" s="2" t="s">
        <v>251</v>
      </c>
      <c r="G2090" s="2" t="s">
        <v>21</v>
      </c>
      <c r="H2090" s="2" t="s">
        <v>22</v>
      </c>
      <c r="I2090" s="2" t="s">
        <v>66</v>
      </c>
      <c r="J2090" s="2" t="s">
        <v>24</v>
      </c>
      <c r="K2090">
        <v>137.91</v>
      </c>
      <c r="L2090">
        <v>227.26</v>
      </c>
      <c r="M2090">
        <v>164.79</v>
      </c>
      <c r="N2090" s="2" t="s">
        <v>252</v>
      </c>
      <c r="O2090" s="2" t="s">
        <v>253</v>
      </c>
      <c r="P2090" s="2" t="s">
        <v>3887</v>
      </c>
      <c r="Q2090" s="2" t="s">
        <v>3888</v>
      </c>
      <c r="R2090" s="2" t="s">
        <v>29</v>
      </c>
      <c r="S2090" s="2" t="s">
        <v>30</v>
      </c>
    </row>
    <row r="2091" spans="1:19">
      <c r="A2091" s="1">
        <v>44866</v>
      </c>
      <c r="B2091" s="1">
        <v>44866</v>
      </c>
      <c r="C2091">
        <v>2022</v>
      </c>
      <c r="D2091">
        <v>11</v>
      </c>
      <c r="E2091" s="2" t="s">
        <v>256</v>
      </c>
      <c r="F2091" s="2" t="s">
        <v>257</v>
      </c>
      <c r="G2091" s="2" t="s">
        <v>21</v>
      </c>
      <c r="H2091" s="2" t="s">
        <v>22</v>
      </c>
      <c r="I2091" s="2" t="s">
        <v>258</v>
      </c>
      <c r="J2091" s="2" t="s">
        <v>24</v>
      </c>
      <c r="K2091">
        <v>592.54999999999995</v>
      </c>
      <c r="L2091">
        <v>585389.37</v>
      </c>
      <c r="M2091">
        <v>98791.56</v>
      </c>
      <c r="N2091" s="2" t="s">
        <v>259</v>
      </c>
      <c r="O2091" s="2" t="s">
        <v>260</v>
      </c>
      <c r="P2091" s="2" t="s">
        <v>3889</v>
      </c>
      <c r="Q2091" s="2" t="s">
        <v>3890</v>
      </c>
      <c r="R2091" s="2" t="s">
        <v>29</v>
      </c>
      <c r="S2091" s="2" t="s">
        <v>30</v>
      </c>
    </row>
    <row r="2092" spans="1:19">
      <c r="A2092" s="1">
        <v>44866</v>
      </c>
      <c r="B2092" s="1">
        <v>44866</v>
      </c>
      <c r="C2092">
        <v>2022</v>
      </c>
      <c r="D2092">
        <v>11</v>
      </c>
      <c r="E2092" s="2" t="s">
        <v>263</v>
      </c>
      <c r="F2092" s="2" t="s">
        <v>264</v>
      </c>
      <c r="G2092" s="2" t="s">
        <v>21</v>
      </c>
      <c r="H2092" s="2" t="s">
        <v>22</v>
      </c>
      <c r="I2092" s="2" t="s">
        <v>258</v>
      </c>
      <c r="J2092" s="2" t="s">
        <v>24</v>
      </c>
      <c r="K2092">
        <v>0</v>
      </c>
      <c r="L2092">
        <v>0</v>
      </c>
      <c r="N2092" s="2" t="s">
        <v>265</v>
      </c>
      <c r="O2092" s="2" t="s">
        <v>266</v>
      </c>
      <c r="P2092" s="2" t="s">
        <v>639</v>
      </c>
      <c r="Q2092" s="2" t="s">
        <v>639</v>
      </c>
      <c r="R2092" s="2" t="s">
        <v>29</v>
      </c>
      <c r="S2092" s="2" t="s">
        <v>30</v>
      </c>
    </row>
    <row r="2093" spans="1:19">
      <c r="A2093" s="1">
        <v>44866</v>
      </c>
      <c r="B2093" s="1">
        <v>44866</v>
      </c>
      <c r="C2093">
        <v>2022</v>
      </c>
      <c r="D2093">
        <v>11</v>
      </c>
      <c r="E2093" s="2" t="s">
        <v>269</v>
      </c>
      <c r="F2093" s="2" t="s">
        <v>270</v>
      </c>
      <c r="G2093" s="2" t="s">
        <v>21</v>
      </c>
      <c r="H2093" s="2" t="s">
        <v>22</v>
      </c>
      <c r="I2093" s="2" t="s">
        <v>258</v>
      </c>
      <c r="J2093" s="2" t="s">
        <v>59</v>
      </c>
      <c r="K2093">
        <v>592.54999999999995</v>
      </c>
      <c r="L2093">
        <v>585389.37</v>
      </c>
      <c r="M2093">
        <v>98791.56</v>
      </c>
      <c r="N2093" s="2" t="s">
        <v>271</v>
      </c>
      <c r="O2093" s="2" t="s">
        <v>272</v>
      </c>
      <c r="P2093" s="2" t="s">
        <v>3889</v>
      </c>
      <c r="Q2093" s="2" t="s">
        <v>3890</v>
      </c>
      <c r="R2093" s="2" t="s">
        <v>29</v>
      </c>
      <c r="S2093" s="2" t="s">
        <v>30</v>
      </c>
    </row>
    <row r="2094" spans="1:19">
      <c r="A2094" s="1">
        <v>44866</v>
      </c>
      <c r="B2094" s="1">
        <v>44866</v>
      </c>
      <c r="C2094">
        <v>2022</v>
      </c>
      <c r="D2094">
        <v>11</v>
      </c>
      <c r="E2094" s="2" t="s">
        <v>275</v>
      </c>
      <c r="F2094" s="2" t="s">
        <v>276</v>
      </c>
      <c r="G2094" s="2" t="s">
        <v>39</v>
      </c>
      <c r="H2094" s="2" t="s">
        <v>22</v>
      </c>
      <c r="I2094" s="2" t="s">
        <v>40</v>
      </c>
      <c r="J2094" s="2" t="s">
        <v>24</v>
      </c>
      <c r="K2094">
        <v>2.2599999999999998</v>
      </c>
      <c r="L2094">
        <v>22.1</v>
      </c>
      <c r="M2094">
        <v>977.88</v>
      </c>
      <c r="N2094" s="2" t="s">
        <v>277</v>
      </c>
      <c r="O2094" s="2" t="s">
        <v>278</v>
      </c>
      <c r="P2094" s="2" t="s">
        <v>3517</v>
      </c>
      <c r="Q2094" s="2" t="s">
        <v>3891</v>
      </c>
      <c r="R2094" s="2" t="s">
        <v>29</v>
      </c>
      <c r="S2094" s="2" t="s">
        <v>30</v>
      </c>
    </row>
    <row r="2095" spans="1:19">
      <c r="A2095" s="1">
        <v>44866</v>
      </c>
      <c r="B2095" s="1">
        <v>44866</v>
      </c>
      <c r="C2095">
        <v>2022</v>
      </c>
      <c r="D2095">
        <v>11</v>
      </c>
      <c r="E2095" s="2" t="s">
        <v>281</v>
      </c>
      <c r="F2095" s="2" t="s">
        <v>282</v>
      </c>
      <c r="G2095" s="2" t="s">
        <v>39</v>
      </c>
      <c r="H2095" s="2" t="s">
        <v>22</v>
      </c>
      <c r="I2095" s="2" t="s">
        <v>40</v>
      </c>
      <c r="J2095" s="2" t="s">
        <v>24</v>
      </c>
      <c r="K2095">
        <v>0.02</v>
      </c>
      <c r="L2095">
        <v>0.1</v>
      </c>
      <c r="M2095">
        <v>500</v>
      </c>
      <c r="N2095" s="2" t="s">
        <v>283</v>
      </c>
      <c r="O2095" s="2" t="s">
        <v>284</v>
      </c>
      <c r="P2095" s="2" t="s">
        <v>1039</v>
      </c>
      <c r="Q2095" s="2" t="s">
        <v>425</v>
      </c>
      <c r="R2095" s="2" t="s">
        <v>29</v>
      </c>
      <c r="S2095" s="2" t="s">
        <v>30</v>
      </c>
    </row>
    <row r="2096" spans="1:19">
      <c r="A2096" s="1">
        <v>44866</v>
      </c>
      <c r="B2096" s="1">
        <v>44866</v>
      </c>
      <c r="C2096">
        <v>2022</v>
      </c>
      <c r="D2096">
        <v>11</v>
      </c>
      <c r="E2096" s="2" t="s">
        <v>287</v>
      </c>
      <c r="F2096" s="2" t="s">
        <v>288</v>
      </c>
      <c r="G2096" s="2" t="s">
        <v>39</v>
      </c>
      <c r="H2096" s="2" t="s">
        <v>22</v>
      </c>
      <c r="I2096" s="2" t="s">
        <v>40</v>
      </c>
      <c r="J2096" s="2" t="s">
        <v>59</v>
      </c>
      <c r="K2096">
        <v>2.29</v>
      </c>
      <c r="L2096">
        <v>22.2</v>
      </c>
      <c r="M2096">
        <v>969.43</v>
      </c>
      <c r="N2096" s="2" t="s">
        <v>289</v>
      </c>
      <c r="O2096" s="2" t="s">
        <v>290</v>
      </c>
      <c r="P2096" s="2" t="s">
        <v>3892</v>
      </c>
      <c r="Q2096" s="2" t="s">
        <v>2470</v>
      </c>
      <c r="R2096" s="2" t="s">
        <v>29</v>
      </c>
      <c r="S2096" s="2" t="s">
        <v>30</v>
      </c>
    </row>
    <row r="2097" spans="1:19">
      <c r="A2097" s="1">
        <v>44866</v>
      </c>
      <c r="B2097" s="1">
        <v>44866</v>
      </c>
      <c r="C2097">
        <v>2022</v>
      </c>
      <c r="D2097">
        <v>11</v>
      </c>
      <c r="E2097" s="2" t="s">
        <v>293</v>
      </c>
      <c r="F2097" s="2" t="s">
        <v>294</v>
      </c>
      <c r="G2097" s="2" t="s">
        <v>21</v>
      </c>
      <c r="H2097" s="2" t="s">
        <v>22</v>
      </c>
      <c r="I2097" s="2" t="s">
        <v>295</v>
      </c>
      <c r="J2097" s="2" t="s">
        <v>24</v>
      </c>
      <c r="K2097">
        <v>1267.42</v>
      </c>
      <c r="L2097">
        <v>4427.51</v>
      </c>
      <c r="M2097">
        <v>349.33</v>
      </c>
      <c r="N2097" s="2" t="s">
        <v>296</v>
      </c>
      <c r="O2097" s="2" t="s">
        <v>297</v>
      </c>
      <c r="P2097" s="2" t="s">
        <v>3893</v>
      </c>
      <c r="Q2097" s="2" t="s">
        <v>3894</v>
      </c>
      <c r="R2097" s="2" t="s">
        <v>29</v>
      </c>
      <c r="S2097" s="2" t="s">
        <v>30</v>
      </c>
    </row>
    <row r="2098" spans="1:19">
      <c r="A2098" s="1">
        <v>44866</v>
      </c>
      <c r="B2098" s="1">
        <v>44866</v>
      </c>
      <c r="C2098">
        <v>2022</v>
      </c>
      <c r="D2098">
        <v>11</v>
      </c>
      <c r="E2098" s="2" t="s">
        <v>300</v>
      </c>
      <c r="F2098" s="2" t="s">
        <v>301</v>
      </c>
      <c r="G2098" s="2" t="s">
        <v>21</v>
      </c>
      <c r="H2098" s="2" t="s">
        <v>22</v>
      </c>
      <c r="I2098" s="2" t="s">
        <v>295</v>
      </c>
      <c r="J2098" s="2" t="s">
        <v>24</v>
      </c>
      <c r="K2098">
        <v>77.72</v>
      </c>
      <c r="L2098">
        <v>1038.8900000000001</v>
      </c>
      <c r="M2098">
        <v>1336.71</v>
      </c>
      <c r="N2098" s="2" t="s">
        <v>302</v>
      </c>
      <c r="O2098" s="2" t="s">
        <v>303</v>
      </c>
      <c r="P2098" s="2" t="s">
        <v>3895</v>
      </c>
      <c r="Q2098" s="2" t="s">
        <v>3896</v>
      </c>
      <c r="R2098" s="2" t="s">
        <v>29</v>
      </c>
      <c r="S2098" s="2" t="s">
        <v>30</v>
      </c>
    </row>
    <row r="2099" spans="1:19">
      <c r="A2099" s="1">
        <v>44866</v>
      </c>
      <c r="B2099" s="1">
        <v>44866</v>
      </c>
      <c r="C2099">
        <v>2022</v>
      </c>
      <c r="D2099">
        <v>11</v>
      </c>
      <c r="E2099" s="2" t="s">
        <v>306</v>
      </c>
      <c r="F2099" s="2" t="s">
        <v>307</v>
      </c>
      <c r="G2099" s="2" t="s">
        <v>21</v>
      </c>
      <c r="H2099" s="2" t="s">
        <v>22</v>
      </c>
      <c r="I2099" s="2" t="s">
        <v>295</v>
      </c>
      <c r="J2099" s="2" t="s">
        <v>101</v>
      </c>
      <c r="K2099">
        <v>1345.14</v>
      </c>
      <c r="L2099">
        <v>5466.41</v>
      </c>
      <c r="M2099">
        <v>406.38</v>
      </c>
      <c r="N2099" s="2" t="s">
        <v>308</v>
      </c>
      <c r="O2099" s="2" t="s">
        <v>309</v>
      </c>
      <c r="P2099" s="2" t="s">
        <v>3897</v>
      </c>
      <c r="Q2099" s="2" t="s">
        <v>3898</v>
      </c>
      <c r="R2099" s="2" t="s">
        <v>29</v>
      </c>
      <c r="S2099" s="2" t="s">
        <v>30</v>
      </c>
    </row>
    <row r="2100" spans="1:19">
      <c r="A2100" s="1">
        <v>44866</v>
      </c>
      <c r="B2100" s="1">
        <v>44866</v>
      </c>
      <c r="C2100">
        <v>2022</v>
      </c>
      <c r="D2100">
        <v>11</v>
      </c>
      <c r="E2100" s="2" t="s">
        <v>312</v>
      </c>
      <c r="F2100" s="2" t="s">
        <v>313</v>
      </c>
      <c r="G2100" s="2" t="s">
        <v>21</v>
      </c>
      <c r="H2100" s="2" t="s">
        <v>22</v>
      </c>
      <c r="I2100" s="2" t="s">
        <v>295</v>
      </c>
      <c r="J2100" s="2" t="s">
        <v>59</v>
      </c>
      <c r="K2100">
        <v>6075.2</v>
      </c>
      <c r="L2100">
        <v>22808.400000000001</v>
      </c>
      <c r="M2100">
        <v>375.43</v>
      </c>
      <c r="N2100" s="2" t="s">
        <v>314</v>
      </c>
      <c r="O2100" s="2" t="s">
        <v>315</v>
      </c>
      <c r="P2100" s="2" t="s">
        <v>3899</v>
      </c>
      <c r="Q2100" s="2" t="s">
        <v>3900</v>
      </c>
      <c r="R2100" s="2" t="s">
        <v>29</v>
      </c>
      <c r="S2100" s="2" t="s">
        <v>30</v>
      </c>
    </row>
    <row r="2101" spans="1:19">
      <c r="A2101" s="1">
        <v>44866</v>
      </c>
      <c r="B2101" s="1">
        <v>44866</v>
      </c>
      <c r="C2101">
        <v>2022</v>
      </c>
      <c r="D2101">
        <v>11</v>
      </c>
      <c r="E2101" s="2" t="s">
        <v>318</v>
      </c>
      <c r="F2101" s="2" t="s">
        <v>319</v>
      </c>
      <c r="G2101" s="2" t="s">
        <v>21</v>
      </c>
      <c r="H2101" s="2" t="s">
        <v>22</v>
      </c>
      <c r="I2101" s="2" t="s">
        <v>295</v>
      </c>
      <c r="J2101" s="2" t="s">
        <v>24</v>
      </c>
      <c r="K2101">
        <v>4730.07</v>
      </c>
      <c r="L2101">
        <v>17342</v>
      </c>
      <c r="M2101">
        <v>366.63</v>
      </c>
      <c r="N2101" s="2" t="s">
        <v>320</v>
      </c>
      <c r="O2101" s="2" t="s">
        <v>321</v>
      </c>
      <c r="P2101" s="2" t="s">
        <v>3901</v>
      </c>
      <c r="Q2101" s="2" t="s">
        <v>3902</v>
      </c>
      <c r="R2101" s="2" t="s">
        <v>29</v>
      </c>
      <c r="S2101" s="2" t="s">
        <v>30</v>
      </c>
    </row>
    <row r="2102" spans="1:19">
      <c r="A2102" s="1">
        <v>44866</v>
      </c>
      <c r="B2102" s="1">
        <v>44866</v>
      </c>
      <c r="C2102">
        <v>2022</v>
      </c>
      <c r="D2102">
        <v>11</v>
      </c>
      <c r="E2102" s="2" t="s">
        <v>324</v>
      </c>
      <c r="F2102" s="2" t="s">
        <v>325</v>
      </c>
      <c r="G2102" s="2" t="s">
        <v>21</v>
      </c>
      <c r="H2102" s="2" t="s">
        <v>22</v>
      </c>
      <c r="I2102" s="2" t="s">
        <v>23</v>
      </c>
      <c r="J2102" s="2" t="s">
        <v>59</v>
      </c>
      <c r="K2102">
        <v>84557.58</v>
      </c>
      <c r="L2102">
        <v>4527540.16</v>
      </c>
      <c r="M2102">
        <v>5354.39</v>
      </c>
      <c r="N2102" s="2" t="s">
        <v>326</v>
      </c>
      <c r="O2102" s="2" t="s">
        <v>327</v>
      </c>
      <c r="P2102" s="2" t="s">
        <v>3903</v>
      </c>
      <c r="Q2102" s="2" t="s">
        <v>3904</v>
      </c>
      <c r="R2102" s="2" t="s">
        <v>29</v>
      </c>
      <c r="S2102" s="2" t="s">
        <v>30</v>
      </c>
    </row>
    <row r="2103" spans="1:19">
      <c r="A2103" s="1">
        <v>44866</v>
      </c>
      <c r="B2103" s="1">
        <v>44866</v>
      </c>
      <c r="C2103">
        <v>2022</v>
      </c>
      <c r="D2103">
        <v>11</v>
      </c>
      <c r="E2103" s="2" t="s">
        <v>330</v>
      </c>
      <c r="F2103" s="2" t="s">
        <v>331</v>
      </c>
      <c r="G2103" s="2" t="s">
        <v>21</v>
      </c>
      <c r="H2103" s="2" t="s">
        <v>332</v>
      </c>
      <c r="I2103" s="2" t="s">
        <v>333</v>
      </c>
      <c r="J2103" s="2" t="s">
        <v>24</v>
      </c>
      <c r="K2103">
        <v>205.3</v>
      </c>
      <c r="L2103">
        <v>10691727.02</v>
      </c>
      <c r="M2103">
        <v>5207855.34</v>
      </c>
      <c r="N2103" s="2" t="s">
        <v>334</v>
      </c>
      <c r="O2103" s="2" t="s">
        <v>335</v>
      </c>
      <c r="P2103" s="2" t="s">
        <v>3905</v>
      </c>
      <c r="Q2103" s="2" t="s">
        <v>3906</v>
      </c>
      <c r="R2103" s="2" t="s">
        <v>29</v>
      </c>
      <c r="S2103" s="2" t="s">
        <v>30</v>
      </c>
    </row>
    <row r="2104" spans="1:19">
      <c r="A2104" s="1">
        <v>44866</v>
      </c>
      <c r="B2104" s="1">
        <v>44866</v>
      </c>
      <c r="C2104">
        <v>2022</v>
      </c>
      <c r="D2104">
        <v>11</v>
      </c>
      <c r="E2104" s="2" t="s">
        <v>338</v>
      </c>
      <c r="F2104" s="2" t="s">
        <v>339</v>
      </c>
      <c r="G2104" s="2" t="s">
        <v>21</v>
      </c>
      <c r="H2104" s="2" t="s">
        <v>332</v>
      </c>
      <c r="I2104" s="2" t="s">
        <v>333</v>
      </c>
      <c r="J2104" s="2" t="s">
        <v>24</v>
      </c>
      <c r="K2104">
        <v>1.1599999999999999</v>
      </c>
      <c r="L2104">
        <v>1600022.47</v>
      </c>
      <c r="M2104">
        <v>137932971.55000001</v>
      </c>
      <c r="N2104" s="2" t="s">
        <v>340</v>
      </c>
      <c r="O2104" s="2" t="s">
        <v>341</v>
      </c>
      <c r="P2104" s="2" t="s">
        <v>1921</v>
      </c>
      <c r="Q2104" s="2" t="s">
        <v>3907</v>
      </c>
      <c r="R2104" s="2" t="s">
        <v>29</v>
      </c>
      <c r="S2104" s="2" t="s">
        <v>30</v>
      </c>
    </row>
    <row r="2105" spans="1:19">
      <c r="A2105" s="1">
        <v>44866</v>
      </c>
      <c r="B2105" s="1">
        <v>44866</v>
      </c>
      <c r="C2105">
        <v>2022</v>
      </c>
      <c r="D2105">
        <v>11</v>
      </c>
      <c r="E2105" s="2" t="s">
        <v>344</v>
      </c>
      <c r="F2105" s="2" t="s">
        <v>345</v>
      </c>
      <c r="G2105" s="2" t="s">
        <v>21</v>
      </c>
      <c r="H2105" s="2" t="s">
        <v>332</v>
      </c>
      <c r="I2105" s="2" t="s">
        <v>333</v>
      </c>
      <c r="J2105" s="2" t="s">
        <v>59</v>
      </c>
      <c r="K2105">
        <v>206.46</v>
      </c>
      <c r="L2105">
        <v>12291749.49</v>
      </c>
      <c r="M2105">
        <v>5953574.2999999998</v>
      </c>
      <c r="N2105" s="2" t="s">
        <v>346</v>
      </c>
      <c r="O2105" s="2" t="s">
        <v>347</v>
      </c>
      <c r="P2105" s="2" t="s">
        <v>3908</v>
      </c>
      <c r="Q2105" s="2" t="s">
        <v>3909</v>
      </c>
      <c r="R2105" s="2" t="s">
        <v>29</v>
      </c>
      <c r="S2105" s="2" t="s">
        <v>30</v>
      </c>
    </row>
    <row r="2106" spans="1:19">
      <c r="A2106" s="1">
        <v>44866</v>
      </c>
      <c r="B2106" s="1">
        <v>44866</v>
      </c>
      <c r="C2106">
        <v>2022</v>
      </c>
      <c r="D2106">
        <v>11</v>
      </c>
      <c r="E2106" s="2" t="s">
        <v>350</v>
      </c>
      <c r="F2106" s="2" t="s">
        <v>351</v>
      </c>
      <c r="G2106" s="2" t="s">
        <v>21</v>
      </c>
      <c r="H2106" s="2" t="s">
        <v>22</v>
      </c>
      <c r="I2106" s="2" t="s">
        <v>352</v>
      </c>
      <c r="J2106" s="2" t="s">
        <v>353</v>
      </c>
      <c r="K2106">
        <v>97111.86</v>
      </c>
      <c r="L2106">
        <v>17122666.379999999</v>
      </c>
      <c r="M2106">
        <v>17631.900000000001</v>
      </c>
      <c r="N2106" s="2" t="s">
        <v>354</v>
      </c>
      <c r="O2106" s="2" t="s">
        <v>355</v>
      </c>
      <c r="P2106" s="2" t="s">
        <v>3910</v>
      </c>
      <c r="Q2106" s="2" t="s">
        <v>3911</v>
      </c>
      <c r="R2106" s="2" t="s">
        <v>29</v>
      </c>
      <c r="S2106" s="2" t="s">
        <v>30</v>
      </c>
    </row>
    <row r="2107" spans="1:19">
      <c r="A2107" s="1">
        <v>44866</v>
      </c>
      <c r="B2107" s="1">
        <v>44866</v>
      </c>
      <c r="C2107">
        <v>2022</v>
      </c>
      <c r="D2107">
        <v>11</v>
      </c>
      <c r="E2107" s="2" t="s">
        <v>358</v>
      </c>
      <c r="F2107" s="2" t="s">
        <v>359</v>
      </c>
      <c r="G2107" s="2" t="s">
        <v>21</v>
      </c>
      <c r="H2107" s="2" t="s">
        <v>22</v>
      </c>
      <c r="I2107" s="2" t="s">
        <v>352</v>
      </c>
      <c r="J2107" s="2" t="s">
        <v>353</v>
      </c>
      <c r="K2107">
        <v>97704.41</v>
      </c>
      <c r="L2107">
        <v>17708055.75</v>
      </c>
      <c r="M2107">
        <v>18124.11</v>
      </c>
      <c r="N2107" s="2" t="s">
        <v>360</v>
      </c>
      <c r="O2107" s="2" t="s">
        <v>361</v>
      </c>
      <c r="P2107" s="2" t="s">
        <v>3912</v>
      </c>
      <c r="Q2107" s="2" t="s">
        <v>3913</v>
      </c>
      <c r="R2107" s="2" t="s">
        <v>29</v>
      </c>
      <c r="S2107" s="2" t="s">
        <v>30</v>
      </c>
    </row>
    <row r="2108" spans="1:19">
      <c r="A2108" s="1">
        <v>44866</v>
      </c>
      <c r="B2108" s="1">
        <v>44866</v>
      </c>
      <c r="C2108">
        <v>2022</v>
      </c>
      <c r="D2108">
        <v>11</v>
      </c>
      <c r="E2108" s="2" t="s">
        <v>364</v>
      </c>
      <c r="F2108" s="2" t="s">
        <v>365</v>
      </c>
      <c r="G2108" s="2" t="s">
        <v>21</v>
      </c>
      <c r="H2108" s="2" t="s">
        <v>22</v>
      </c>
      <c r="I2108" s="2" t="s">
        <v>352</v>
      </c>
      <c r="J2108" s="2" t="s">
        <v>353</v>
      </c>
      <c r="K2108">
        <v>97497.95</v>
      </c>
      <c r="L2108">
        <v>5416306.2599999998</v>
      </c>
      <c r="M2108">
        <v>5555.3</v>
      </c>
      <c r="N2108" s="2" t="s">
        <v>366</v>
      </c>
      <c r="O2108" s="2" t="s">
        <v>367</v>
      </c>
      <c r="P2108" s="2" t="s">
        <v>3914</v>
      </c>
      <c r="Q2108" s="2" t="s">
        <v>3915</v>
      </c>
      <c r="R2108" s="2" t="s">
        <v>29</v>
      </c>
      <c r="S2108" s="2" t="s">
        <v>30</v>
      </c>
    </row>
    <row r="2109" spans="1:19">
      <c r="A2109" s="1">
        <v>44866</v>
      </c>
      <c r="B2109" s="1">
        <v>44866</v>
      </c>
      <c r="C2109">
        <v>2022</v>
      </c>
      <c r="D2109">
        <v>11</v>
      </c>
      <c r="E2109" s="2" t="s">
        <v>370</v>
      </c>
      <c r="F2109" s="2" t="s">
        <v>371</v>
      </c>
      <c r="G2109" s="2" t="s">
        <v>21</v>
      </c>
      <c r="H2109" s="2" t="s">
        <v>22</v>
      </c>
      <c r="I2109" s="2" t="s">
        <v>23</v>
      </c>
      <c r="J2109" s="2" t="s">
        <v>24</v>
      </c>
      <c r="K2109">
        <v>73094.47</v>
      </c>
      <c r="L2109">
        <v>1190593.3899999999</v>
      </c>
      <c r="M2109">
        <v>1628.84</v>
      </c>
      <c r="N2109" s="2" t="s">
        <v>372</v>
      </c>
      <c r="O2109" s="2" t="s">
        <v>373</v>
      </c>
      <c r="P2109" s="2" t="s">
        <v>3916</v>
      </c>
      <c r="Q2109" s="2" t="s">
        <v>3917</v>
      </c>
      <c r="R2109" s="2" t="s">
        <v>29</v>
      </c>
      <c r="S2109" s="2" t="s">
        <v>30</v>
      </c>
    </row>
    <row r="2110" spans="1:19">
      <c r="A2110" s="1">
        <v>44866</v>
      </c>
      <c r="B2110" s="1">
        <v>44866</v>
      </c>
      <c r="C2110">
        <v>2022</v>
      </c>
      <c r="D2110">
        <v>11</v>
      </c>
      <c r="E2110" s="2" t="s">
        <v>376</v>
      </c>
      <c r="F2110" s="2" t="s">
        <v>377</v>
      </c>
      <c r="G2110" s="2" t="s">
        <v>21</v>
      </c>
      <c r="H2110" s="2" t="s">
        <v>22</v>
      </c>
      <c r="I2110" s="2" t="s">
        <v>23</v>
      </c>
      <c r="J2110" s="2" t="s">
        <v>378</v>
      </c>
      <c r="K2110">
        <v>1.79</v>
      </c>
      <c r="L2110">
        <v>18.91</v>
      </c>
      <c r="M2110">
        <v>1056.42</v>
      </c>
      <c r="N2110" s="2" t="s">
        <v>379</v>
      </c>
      <c r="O2110" s="2" t="s">
        <v>380</v>
      </c>
      <c r="P2110" s="2" t="s">
        <v>3918</v>
      </c>
      <c r="Q2110" s="2" t="s">
        <v>3919</v>
      </c>
      <c r="R2110" s="2" t="s">
        <v>29</v>
      </c>
      <c r="S2110" s="2" t="s">
        <v>30</v>
      </c>
    </row>
    <row r="2111" spans="1:19">
      <c r="A2111" s="1">
        <v>44896</v>
      </c>
      <c r="B2111" s="1">
        <v>44896</v>
      </c>
      <c r="C2111">
        <v>2022</v>
      </c>
      <c r="D2111">
        <v>12</v>
      </c>
      <c r="E2111" s="2" t="s">
        <v>19</v>
      </c>
      <c r="F2111" s="2" t="s">
        <v>20</v>
      </c>
      <c r="G2111" s="2" t="s">
        <v>21</v>
      </c>
      <c r="H2111" s="2" t="s">
        <v>22</v>
      </c>
      <c r="I2111" s="2" t="s">
        <v>23</v>
      </c>
      <c r="J2111" s="2" t="s">
        <v>24</v>
      </c>
      <c r="K2111">
        <v>0.32</v>
      </c>
      <c r="L2111">
        <v>20.93</v>
      </c>
      <c r="M2111">
        <v>6540.62</v>
      </c>
      <c r="N2111" s="2" t="s">
        <v>25</v>
      </c>
      <c r="O2111" s="2" t="s">
        <v>26</v>
      </c>
      <c r="P2111" s="2" t="s">
        <v>1083</v>
      </c>
      <c r="Q2111" s="2" t="s">
        <v>3920</v>
      </c>
      <c r="R2111" s="2" t="s">
        <v>29</v>
      </c>
      <c r="S2111" s="2" t="s">
        <v>30</v>
      </c>
    </row>
    <row r="2112" spans="1:19">
      <c r="A2112" s="1">
        <v>44896</v>
      </c>
      <c r="B2112" s="1">
        <v>44896</v>
      </c>
      <c r="C2112">
        <v>2022</v>
      </c>
      <c r="D2112">
        <v>12</v>
      </c>
      <c r="E2112" s="2" t="s">
        <v>31</v>
      </c>
      <c r="F2112" s="2" t="s">
        <v>32</v>
      </c>
      <c r="G2112" s="2" t="s">
        <v>21</v>
      </c>
      <c r="H2112" s="2" t="s">
        <v>22</v>
      </c>
      <c r="I2112" s="2" t="s">
        <v>23</v>
      </c>
      <c r="J2112" s="2" t="s">
        <v>24</v>
      </c>
      <c r="K2112">
        <v>1157.6600000000001</v>
      </c>
      <c r="L2112">
        <v>20670.47</v>
      </c>
      <c r="M2112">
        <v>1785.54</v>
      </c>
      <c r="N2112" s="2" t="s">
        <v>33</v>
      </c>
      <c r="O2112" s="2" t="s">
        <v>34</v>
      </c>
      <c r="P2112" s="2" t="s">
        <v>3921</v>
      </c>
      <c r="Q2112" s="2" t="s">
        <v>3922</v>
      </c>
      <c r="R2112" s="2" t="s">
        <v>29</v>
      </c>
      <c r="S2112" s="2" t="s">
        <v>30</v>
      </c>
    </row>
    <row r="2113" spans="1:19">
      <c r="A2113" s="1">
        <v>44896</v>
      </c>
      <c r="B2113" s="1">
        <v>44896</v>
      </c>
      <c r="C2113">
        <v>2022</v>
      </c>
      <c r="D2113">
        <v>12</v>
      </c>
      <c r="E2113" s="2" t="s">
        <v>37</v>
      </c>
      <c r="F2113" s="2" t="s">
        <v>38</v>
      </c>
      <c r="G2113" s="2" t="s">
        <v>39</v>
      </c>
      <c r="H2113" s="2" t="s">
        <v>22</v>
      </c>
      <c r="I2113" s="2" t="s">
        <v>40</v>
      </c>
      <c r="J2113" s="2" t="s">
        <v>24</v>
      </c>
      <c r="K2113">
        <v>8.1300000000000008</v>
      </c>
      <c r="L2113">
        <v>392.05</v>
      </c>
      <c r="M2113">
        <v>4822.26</v>
      </c>
      <c r="N2113" s="2" t="s">
        <v>41</v>
      </c>
      <c r="O2113" s="2" t="s">
        <v>42</v>
      </c>
      <c r="P2113" s="2" t="s">
        <v>3923</v>
      </c>
      <c r="Q2113" s="2" t="s">
        <v>3924</v>
      </c>
      <c r="R2113" s="2" t="s">
        <v>29</v>
      </c>
      <c r="S2113" s="2" t="s">
        <v>30</v>
      </c>
    </row>
    <row r="2114" spans="1:19">
      <c r="A2114" s="1">
        <v>44896</v>
      </c>
      <c r="B2114" s="1">
        <v>44896</v>
      </c>
      <c r="C2114">
        <v>2022</v>
      </c>
      <c r="D2114">
        <v>12</v>
      </c>
      <c r="E2114" s="2" t="s">
        <v>45</v>
      </c>
      <c r="F2114" s="2" t="s">
        <v>46</v>
      </c>
      <c r="G2114" s="2" t="s">
        <v>39</v>
      </c>
      <c r="H2114" s="2" t="s">
        <v>22</v>
      </c>
      <c r="I2114" s="2" t="s">
        <v>40</v>
      </c>
      <c r="J2114" s="2" t="s">
        <v>24</v>
      </c>
      <c r="K2114">
        <v>5850.33</v>
      </c>
      <c r="L2114">
        <v>278927.15999999997</v>
      </c>
      <c r="M2114">
        <v>4767.72</v>
      </c>
      <c r="N2114" s="2" t="s">
        <v>47</v>
      </c>
      <c r="O2114" s="2" t="s">
        <v>48</v>
      </c>
      <c r="P2114" s="2" t="s">
        <v>3925</v>
      </c>
      <c r="Q2114" s="2" t="s">
        <v>3926</v>
      </c>
      <c r="R2114" s="2" t="s">
        <v>29</v>
      </c>
      <c r="S2114" s="2" t="s">
        <v>30</v>
      </c>
    </row>
    <row r="2115" spans="1:19">
      <c r="A2115" s="1">
        <v>44896</v>
      </c>
      <c r="B2115" s="1">
        <v>44896</v>
      </c>
      <c r="C2115">
        <v>2022</v>
      </c>
      <c r="D2115">
        <v>12</v>
      </c>
      <c r="E2115" s="2" t="s">
        <v>51</v>
      </c>
      <c r="F2115" s="2" t="s">
        <v>52</v>
      </c>
      <c r="G2115" s="2" t="s">
        <v>39</v>
      </c>
      <c r="H2115" s="2" t="s">
        <v>22</v>
      </c>
      <c r="I2115" s="2" t="s">
        <v>40</v>
      </c>
      <c r="J2115" s="2" t="s">
        <v>24</v>
      </c>
      <c r="K2115">
        <v>33.33</v>
      </c>
      <c r="L2115">
        <v>1145.94</v>
      </c>
      <c r="M2115">
        <v>3438.16</v>
      </c>
      <c r="N2115" s="2" t="s">
        <v>53</v>
      </c>
      <c r="O2115" s="2" t="s">
        <v>54</v>
      </c>
      <c r="P2115" s="2" t="s">
        <v>3927</v>
      </c>
      <c r="Q2115" s="2" t="s">
        <v>3928</v>
      </c>
      <c r="R2115" s="2" t="s">
        <v>29</v>
      </c>
      <c r="S2115" s="2" t="s">
        <v>30</v>
      </c>
    </row>
    <row r="2116" spans="1:19">
      <c r="A2116" s="1">
        <v>44896</v>
      </c>
      <c r="B2116" s="1">
        <v>44896</v>
      </c>
      <c r="C2116">
        <v>2022</v>
      </c>
      <c r="D2116">
        <v>12</v>
      </c>
      <c r="E2116" s="2" t="s">
        <v>57</v>
      </c>
      <c r="F2116" s="2" t="s">
        <v>58</v>
      </c>
      <c r="G2116" s="2" t="s">
        <v>39</v>
      </c>
      <c r="H2116" s="2" t="s">
        <v>22</v>
      </c>
      <c r="I2116" s="2" t="s">
        <v>40</v>
      </c>
      <c r="J2116" s="2" t="s">
        <v>59</v>
      </c>
      <c r="K2116">
        <v>5891.78</v>
      </c>
      <c r="L2116">
        <v>280465.15999999997</v>
      </c>
      <c r="M2116">
        <v>4760.28</v>
      </c>
      <c r="N2116" s="2" t="s">
        <v>60</v>
      </c>
      <c r="O2116" s="2" t="s">
        <v>61</v>
      </c>
      <c r="P2116" s="2" t="s">
        <v>3929</v>
      </c>
      <c r="Q2116" s="2" t="s">
        <v>3930</v>
      </c>
      <c r="R2116" s="2" t="s">
        <v>29</v>
      </c>
      <c r="S2116" s="2" t="s">
        <v>30</v>
      </c>
    </row>
    <row r="2117" spans="1:19">
      <c r="A2117" s="1">
        <v>44896</v>
      </c>
      <c r="B2117" s="1">
        <v>44896</v>
      </c>
      <c r="C2117">
        <v>2022</v>
      </c>
      <c r="D2117">
        <v>12</v>
      </c>
      <c r="E2117" s="2" t="s">
        <v>64</v>
      </c>
      <c r="F2117" s="2" t="s">
        <v>65</v>
      </c>
      <c r="G2117" s="2" t="s">
        <v>21</v>
      </c>
      <c r="H2117" s="2" t="s">
        <v>22</v>
      </c>
      <c r="I2117" s="2" t="s">
        <v>66</v>
      </c>
      <c r="J2117" s="2" t="s">
        <v>24</v>
      </c>
      <c r="K2117">
        <v>12.71</v>
      </c>
      <c r="L2117">
        <v>445.94</v>
      </c>
      <c r="M2117">
        <v>3508.58</v>
      </c>
      <c r="N2117" s="2" t="s">
        <v>67</v>
      </c>
      <c r="O2117" s="2" t="s">
        <v>68</v>
      </c>
      <c r="P2117" s="2" t="s">
        <v>3931</v>
      </c>
      <c r="Q2117" s="2" t="s">
        <v>3932</v>
      </c>
      <c r="R2117" s="2" t="s">
        <v>29</v>
      </c>
      <c r="S2117" s="2" t="s">
        <v>30</v>
      </c>
    </row>
    <row r="2118" spans="1:19">
      <c r="A2118" s="1">
        <v>44896</v>
      </c>
      <c r="B2118" s="1">
        <v>44896</v>
      </c>
      <c r="C2118">
        <v>2022</v>
      </c>
      <c r="D2118">
        <v>12</v>
      </c>
      <c r="E2118" s="2" t="s">
        <v>71</v>
      </c>
      <c r="F2118" s="2" t="s">
        <v>72</v>
      </c>
      <c r="G2118" s="2" t="s">
        <v>21</v>
      </c>
      <c r="H2118" s="2" t="s">
        <v>22</v>
      </c>
      <c r="I2118" s="2" t="s">
        <v>73</v>
      </c>
      <c r="J2118" s="2" t="s">
        <v>59</v>
      </c>
      <c r="K2118">
        <v>5223.57</v>
      </c>
      <c r="L2118">
        <v>185149.73</v>
      </c>
      <c r="M2118">
        <v>3544.51</v>
      </c>
      <c r="N2118" s="2" t="s">
        <v>74</v>
      </c>
      <c r="O2118" s="2" t="s">
        <v>75</v>
      </c>
      <c r="P2118" s="2" t="s">
        <v>3933</v>
      </c>
      <c r="Q2118" s="2" t="s">
        <v>3934</v>
      </c>
      <c r="R2118" s="2" t="s">
        <v>29</v>
      </c>
      <c r="S2118" s="2" t="s">
        <v>30</v>
      </c>
    </row>
    <row r="2119" spans="1:19">
      <c r="A2119" s="1">
        <v>44896</v>
      </c>
      <c r="B2119" s="1">
        <v>44896</v>
      </c>
      <c r="C2119">
        <v>2022</v>
      </c>
      <c r="D2119">
        <v>12</v>
      </c>
      <c r="E2119" s="2" t="s">
        <v>78</v>
      </c>
      <c r="F2119" s="2" t="s">
        <v>79</v>
      </c>
      <c r="G2119" s="2" t="s">
        <v>80</v>
      </c>
      <c r="H2119" s="2" t="s">
        <v>81</v>
      </c>
      <c r="I2119" s="2" t="s">
        <v>82</v>
      </c>
      <c r="J2119" s="2" t="s">
        <v>24</v>
      </c>
      <c r="K2119">
        <v>2.16</v>
      </c>
      <c r="L2119">
        <v>6670288.5999999996</v>
      </c>
      <c r="M2119">
        <v>308809657.41000003</v>
      </c>
      <c r="N2119" s="2" t="s">
        <v>83</v>
      </c>
      <c r="O2119" s="2" t="s">
        <v>84</v>
      </c>
      <c r="P2119" s="2" t="s">
        <v>3609</v>
      </c>
      <c r="Q2119" s="2" t="s">
        <v>3935</v>
      </c>
      <c r="R2119" s="2" t="s">
        <v>29</v>
      </c>
      <c r="S2119" s="2" t="s">
        <v>30</v>
      </c>
    </row>
    <row r="2120" spans="1:19">
      <c r="A2120" s="1">
        <v>44896</v>
      </c>
      <c r="B2120" s="1">
        <v>44896</v>
      </c>
      <c r="C2120">
        <v>2022</v>
      </c>
      <c r="D2120">
        <v>12</v>
      </c>
      <c r="E2120" s="2" t="s">
        <v>87</v>
      </c>
      <c r="F2120" s="2" t="s">
        <v>88</v>
      </c>
      <c r="G2120" s="2" t="s">
        <v>80</v>
      </c>
      <c r="H2120" s="2" t="s">
        <v>81</v>
      </c>
      <c r="I2120" s="2" t="s">
        <v>82</v>
      </c>
      <c r="J2120" s="2" t="s">
        <v>24</v>
      </c>
      <c r="K2120">
        <v>0.6</v>
      </c>
      <c r="L2120">
        <v>711065.17</v>
      </c>
      <c r="M2120">
        <v>118510861.67</v>
      </c>
      <c r="N2120" s="2" t="s">
        <v>89</v>
      </c>
      <c r="O2120" s="2" t="s">
        <v>90</v>
      </c>
      <c r="P2120" s="2" t="s">
        <v>3936</v>
      </c>
      <c r="Q2120" s="2" t="s">
        <v>3937</v>
      </c>
      <c r="R2120" s="2" t="s">
        <v>29</v>
      </c>
      <c r="S2120" s="2" t="s">
        <v>30</v>
      </c>
    </row>
    <row r="2121" spans="1:19">
      <c r="A2121" s="1">
        <v>44896</v>
      </c>
      <c r="B2121" s="1">
        <v>44896</v>
      </c>
      <c r="C2121">
        <v>2022</v>
      </c>
      <c r="D2121">
        <v>12</v>
      </c>
      <c r="E2121" s="2" t="s">
        <v>93</v>
      </c>
      <c r="F2121" s="2" t="s">
        <v>94</v>
      </c>
      <c r="G2121" s="2" t="s">
        <v>80</v>
      </c>
      <c r="H2121" s="2" t="s">
        <v>81</v>
      </c>
      <c r="I2121" s="2" t="s">
        <v>82</v>
      </c>
      <c r="J2121" s="2" t="s">
        <v>24</v>
      </c>
      <c r="K2121">
        <v>0.36</v>
      </c>
      <c r="L2121">
        <v>6125369.75</v>
      </c>
      <c r="M2121">
        <v>1701491597.22</v>
      </c>
      <c r="N2121" s="2" t="s">
        <v>95</v>
      </c>
      <c r="O2121" s="2" t="s">
        <v>96</v>
      </c>
      <c r="P2121" s="2" t="s">
        <v>3657</v>
      </c>
      <c r="Q2121" s="2" t="s">
        <v>3938</v>
      </c>
      <c r="R2121" s="2" t="s">
        <v>29</v>
      </c>
      <c r="S2121" s="2" t="s">
        <v>30</v>
      </c>
    </row>
    <row r="2122" spans="1:19">
      <c r="A2122" s="1">
        <v>44896</v>
      </c>
      <c r="B2122" s="1">
        <v>44896</v>
      </c>
      <c r="C2122">
        <v>2022</v>
      </c>
      <c r="D2122">
        <v>12</v>
      </c>
      <c r="E2122" s="2" t="s">
        <v>99</v>
      </c>
      <c r="F2122" s="2" t="s">
        <v>100</v>
      </c>
      <c r="G2122" s="2" t="s">
        <v>80</v>
      </c>
      <c r="H2122" s="2" t="s">
        <v>81</v>
      </c>
      <c r="I2122" s="2" t="s">
        <v>82</v>
      </c>
      <c r="J2122" s="2" t="s">
        <v>101</v>
      </c>
      <c r="K2122">
        <v>1.19</v>
      </c>
      <c r="L2122">
        <v>15144168.52</v>
      </c>
      <c r="M2122">
        <v>1272619203.3599999</v>
      </c>
      <c r="N2122" s="2" t="s">
        <v>102</v>
      </c>
      <c r="O2122" s="2" t="s">
        <v>103</v>
      </c>
      <c r="P2122" s="2" t="s">
        <v>1032</v>
      </c>
      <c r="Q2122" s="2" t="s">
        <v>3939</v>
      </c>
      <c r="R2122" s="2" t="s">
        <v>29</v>
      </c>
      <c r="S2122" s="2" t="s">
        <v>30</v>
      </c>
    </row>
    <row r="2123" spans="1:19">
      <c r="A2123" s="1">
        <v>44896</v>
      </c>
      <c r="B2123" s="1">
        <v>44896</v>
      </c>
      <c r="C2123">
        <v>2022</v>
      </c>
      <c r="D2123">
        <v>12</v>
      </c>
      <c r="E2123" s="2" t="s">
        <v>106</v>
      </c>
      <c r="F2123" s="2" t="s">
        <v>107</v>
      </c>
      <c r="G2123" s="2" t="s">
        <v>80</v>
      </c>
      <c r="H2123" s="2" t="s">
        <v>81</v>
      </c>
      <c r="I2123" s="2" t="s">
        <v>82</v>
      </c>
      <c r="J2123" s="2" t="s">
        <v>24</v>
      </c>
      <c r="K2123">
        <v>0.23</v>
      </c>
      <c r="L2123">
        <v>8307733.5999999996</v>
      </c>
      <c r="M2123">
        <v>3612058086.96</v>
      </c>
      <c r="N2123" s="2" t="s">
        <v>108</v>
      </c>
      <c r="O2123" s="2" t="s">
        <v>109</v>
      </c>
      <c r="P2123" s="2" t="s">
        <v>725</v>
      </c>
      <c r="Q2123" s="2" t="s">
        <v>3940</v>
      </c>
      <c r="R2123" s="2" t="s">
        <v>29</v>
      </c>
      <c r="S2123" s="2" t="s">
        <v>30</v>
      </c>
    </row>
    <row r="2124" spans="1:19">
      <c r="A2124" s="1">
        <v>44896</v>
      </c>
      <c r="B2124" s="1">
        <v>44896</v>
      </c>
      <c r="C2124">
        <v>2022</v>
      </c>
      <c r="D2124">
        <v>12</v>
      </c>
      <c r="E2124" s="2" t="s">
        <v>111</v>
      </c>
      <c r="F2124" s="2" t="s">
        <v>112</v>
      </c>
      <c r="G2124" s="2" t="s">
        <v>80</v>
      </c>
      <c r="H2124" s="2" t="s">
        <v>81</v>
      </c>
      <c r="I2124" s="2" t="s">
        <v>82</v>
      </c>
      <c r="J2124" s="2" t="s">
        <v>24</v>
      </c>
      <c r="K2124">
        <v>7.0000000000000007E-2</v>
      </c>
      <c r="L2124">
        <v>511620</v>
      </c>
      <c r="M2124">
        <v>730885714.28999996</v>
      </c>
      <c r="N2124" s="2" t="s">
        <v>113</v>
      </c>
      <c r="O2124" s="2" t="s">
        <v>114</v>
      </c>
      <c r="P2124" s="2" t="s">
        <v>2234</v>
      </c>
      <c r="Q2124" s="2" t="s">
        <v>3941</v>
      </c>
      <c r="R2124" s="2" t="s">
        <v>29</v>
      </c>
      <c r="S2124" s="2" t="s">
        <v>30</v>
      </c>
    </row>
    <row r="2125" spans="1:19">
      <c r="A2125" s="1">
        <v>44896</v>
      </c>
      <c r="B2125" s="1">
        <v>44896</v>
      </c>
      <c r="C2125">
        <v>2022</v>
      </c>
      <c r="D2125">
        <v>12</v>
      </c>
      <c r="E2125" s="2" t="s">
        <v>117</v>
      </c>
      <c r="F2125" s="2" t="s">
        <v>118</v>
      </c>
      <c r="G2125" s="2" t="s">
        <v>80</v>
      </c>
      <c r="H2125" s="2" t="s">
        <v>81</v>
      </c>
      <c r="I2125" s="2" t="s">
        <v>82</v>
      </c>
      <c r="J2125" s="2" t="s">
        <v>59</v>
      </c>
      <c r="K2125">
        <v>3.42</v>
      </c>
      <c r="L2125">
        <v>22326077.120000001</v>
      </c>
      <c r="M2125">
        <v>652809272.50999999</v>
      </c>
      <c r="N2125" s="2" t="s">
        <v>119</v>
      </c>
      <c r="O2125" s="2" t="s">
        <v>120</v>
      </c>
      <c r="P2125" s="2" t="s">
        <v>3380</v>
      </c>
      <c r="Q2125" s="2" t="s">
        <v>3942</v>
      </c>
      <c r="R2125" s="2" t="s">
        <v>29</v>
      </c>
      <c r="S2125" s="2" t="s">
        <v>30</v>
      </c>
    </row>
    <row r="2126" spans="1:19">
      <c r="A2126" s="1">
        <v>44896</v>
      </c>
      <c r="B2126" s="1">
        <v>44896</v>
      </c>
      <c r="C2126">
        <v>2022</v>
      </c>
      <c r="D2126">
        <v>12</v>
      </c>
      <c r="E2126" s="2" t="s">
        <v>123</v>
      </c>
      <c r="F2126" s="2" t="s">
        <v>124</v>
      </c>
      <c r="G2126" s="2" t="s">
        <v>21</v>
      </c>
      <c r="H2126" s="2" t="s">
        <v>22</v>
      </c>
      <c r="I2126" s="2" t="s">
        <v>73</v>
      </c>
      <c r="J2126" s="2" t="s">
        <v>24</v>
      </c>
      <c r="K2126">
        <v>1150.68</v>
      </c>
      <c r="L2126">
        <v>77912.61</v>
      </c>
      <c r="M2126">
        <v>6771.01</v>
      </c>
      <c r="N2126" s="2" t="s">
        <v>125</v>
      </c>
      <c r="O2126" s="2" t="s">
        <v>126</v>
      </c>
      <c r="P2126" s="2" t="s">
        <v>3943</v>
      </c>
      <c r="Q2126" s="2" t="s">
        <v>3944</v>
      </c>
      <c r="R2126" s="2" t="s">
        <v>29</v>
      </c>
      <c r="S2126" s="2" t="s">
        <v>30</v>
      </c>
    </row>
    <row r="2127" spans="1:19">
      <c r="A2127" s="1">
        <v>44896</v>
      </c>
      <c r="B2127" s="1">
        <v>44896</v>
      </c>
      <c r="C2127">
        <v>2022</v>
      </c>
      <c r="D2127">
        <v>12</v>
      </c>
      <c r="E2127" s="2" t="s">
        <v>129</v>
      </c>
      <c r="F2127" s="2" t="s">
        <v>130</v>
      </c>
      <c r="G2127" s="2" t="s">
        <v>21</v>
      </c>
      <c r="H2127" s="2" t="s">
        <v>22</v>
      </c>
      <c r="I2127" s="2" t="s">
        <v>73</v>
      </c>
      <c r="J2127" s="2" t="s">
        <v>24</v>
      </c>
      <c r="K2127">
        <v>1405.79</v>
      </c>
      <c r="L2127">
        <v>48611.08</v>
      </c>
      <c r="M2127">
        <v>3457.92</v>
      </c>
      <c r="N2127" s="2" t="s">
        <v>131</v>
      </c>
      <c r="O2127" s="2" t="s">
        <v>132</v>
      </c>
      <c r="P2127" s="2" t="s">
        <v>3945</v>
      </c>
      <c r="Q2127" s="2" t="s">
        <v>3946</v>
      </c>
      <c r="R2127" s="2" t="s">
        <v>29</v>
      </c>
      <c r="S2127" s="2" t="s">
        <v>30</v>
      </c>
    </row>
    <row r="2128" spans="1:19">
      <c r="A2128" s="1">
        <v>44896</v>
      </c>
      <c r="B2128" s="1">
        <v>44896</v>
      </c>
      <c r="C2128">
        <v>2022</v>
      </c>
      <c r="D2128">
        <v>12</v>
      </c>
      <c r="E2128" s="2" t="s">
        <v>135</v>
      </c>
      <c r="F2128" s="2" t="s">
        <v>136</v>
      </c>
      <c r="G2128" s="2" t="s">
        <v>21</v>
      </c>
      <c r="H2128" s="2" t="s">
        <v>22</v>
      </c>
      <c r="I2128" s="2" t="s">
        <v>73</v>
      </c>
      <c r="J2128" s="2" t="s">
        <v>101</v>
      </c>
      <c r="K2128">
        <v>2556.4699999999998</v>
      </c>
      <c r="L2128">
        <v>126523.69</v>
      </c>
      <c r="M2128">
        <v>4949.16</v>
      </c>
      <c r="N2128" s="2" t="s">
        <v>137</v>
      </c>
      <c r="O2128" s="2" t="s">
        <v>138</v>
      </c>
      <c r="P2128" s="2" t="s">
        <v>3947</v>
      </c>
      <c r="Q2128" s="2" t="s">
        <v>3948</v>
      </c>
      <c r="R2128" s="2" t="s">
        <v>29</v>
      </c>
      <c r="S2128" s="2" t="s">
        <v>30</v>
      </c>
    </row>
    <row r="2129" spans="1:19">
      <c r="A2129" s="1">
        <v>44896</v>
      </c>
      <c r="B2129" s="1">
        <v>44896</v>
      </c>
      <c r="C2129">
        <v>2022</v>
      </c>
      <c r="D2129">
        <v>12</v>
      </c>
      <c r="E2129" s="2" t="s">
        <v>141</v>
      </c>
      <c r="F2129" s="2" t="s">
        <v>142</v>
      </c>
      <c r="G2129" s="2" t="s">
        <v>21</v>
      </c>
      <c r="H2129" s="2" t="s">
        <v>22</v>
      </c>
      <c r="I2129" s="2" t="s">
        <v>73</v>
      </c>
      <c r="J2129" s="2" t="s">
        <v>24</v>
      </c>
      <c r="K2129">
        <v>807.77</v>
      </c>
      <c r="L2129">
        <v>19052.28</v>
      </c>
      <c r="M2129">
        <v>2358.63</v>
      </c>
      <c r="N2129" s="2" t="s">
        <v>143</v>
      </c>
      <c r="O2129" s="2" t="s">
        <v>144</v>
      </c>
      <c r="P2129" s="2" t="s">
        <v>3949</v>
      </c>
      <c r="Q2129" s="2" t="s">
        <v>3950</v>
      </c>
      <c r="R2129" s="2" t="s">
        <v>29</v>
      </c>
      <c r="S2129" s="2" t="s">
        <v>30</v>
      </c>
    </row>
    <row r="2130" spans="1:19">
      <c r="A2130" s="1">
        <v>44896</v>
      </c>
      <c r="B2130" s="1">
        <v>44896</v>
      </c>
      <c r="C2130">
        <v>2022</v>
      </c>
      <c r="D2130">
        <v>12</v>
      </c>
      <c r="E2130" s="2" t="s">
        <v>147</v>
      </c>
      <c r="F2130" s="2" t="s">
        <v>148</v>
      </c>
      <c r="G2130" s="2" t="s">
        <v>21</v>
      </c>
      <c r="H2130" s="2" t="s">
        <v>22</v>
      </c>
      <c r="I2130" s="2" t="s">
        <v>73</v>
      </c>
      <c r="J2130" s="2" t="s">
        <v>24</v>
      </c>
      <c r="K2130">
        <v>1859.33</v>
      </c>
      <c r="L2130">
        <v>39573.760000000002</v>
      </c>
      <c r="M2130">
        <v>2128.39</v>
      </c>
      <c r="N2130" s="2" t="s">
        <v>149</v>
      </c>
      <c r="O2130" s="2" t="s">
        <v>150</v>
      </c>
      <c r="P2130" s="2" t="s">
        <v>3951</v>
      </c>
      <c r="Q2130" s="2" t="s">
        <v>3952</v>
      </c>
      <c r="R2130" s="2" t="s">
        <v>29</v>
      </c>
      <c r="S2130" s="2" t="s">
        <v>30</v>
      </c>
    </row>
    <row r="2131" spans="1:19">
      <c r="A2131" s="1">
        <v>44896</v>
      </c>
      <c r="B2131" s="1">
        <v>44896</v>
      </c>
      <c r="C2131">
        <v>2022</v>
      </c>
      <c r="D2131">
        <v>12</v>
      </c>
      <c r="E2131" s="2" t="s">
        <v>153</v>
      </c>
      <c r="F2131" s="2" t="s">
        <v>154</v>
      </c>
      <c r="G2131" s="2" t="s">
        <v>21</v>
      </c>
      <c r="H2131" s="2" t="s">
        <v>22</v>
      </c>
      <c r="I2131" s="2" t="s">
        <v>73</v>
      </c>
      <c r="J2131" s="2" t="s">
        <v>101</v>
      </c>
      <c r="K2131">
        <v>2667.1</v>
      </c>
      <c r="L2131">
        <v>58626.04</v>
      </c>
      <c r="M2131">
        <v>2198.12</v>
      </c>
      <c r="N2131" s="2" t="s">
        <v>155</v>
      </c>
      <c r="O2131" s="2" t="s">
        <v>156</v>
      </c>
      <c r="P2131" s="2" t="s">
        <v>3953</v>
      </c>
      <c r="Q2131" s="2" t="s">
        <v>3954</v>
      </c>
      <c r="R2131" s="2" t="s">
        <v>29</v>
      </c>
      <c r="S2131" s="2" t="s">
        <v>30</v>
      </c>
    </row>
    <row r="2132" spans="1:19">
      <c r="A2132" s="1">
        <v>44896</v>
      </c>
      <c r="B2132" s="1">
        <v>44896</v>
      </c>
      <c r="C2132">
        <v>2022</v>
      </c>
      <c r="D2132">
        <v>12</v>
      </c>
      <c r="E2132" s="2" t="s">
        <v>159</v>
      </c>
      <c r="F2132" s="2" t="s">
        <v>160</v>
      </c>
      <c r="G2132" s="2" t="s">
        <v>21</v>
      </c>
      <c r="H2132" s="2" t="s">
        <v>22</v>
      </c>
      <c r="I2132" s="2" t="s">
        <v>66</v>
      </c>
      <c r="J2132" s="2" t="s">
        <v>59</v>
      </c>
      <c r="K2132">
        <v>1357.72</v>
      </c>
      <c r="L2132">
        <v>116425.42</v>
      </c>
      <c r="M2132">
        <v>8575.07</v>
      </c>
      <c r="N2132" s="2" t="s">
        <v>161</v>
      </c>
      <c r="O2132" s="2" t="s">
        <v>162</v>
      </c>
      <c r="P2132" s="2" t="s">
        <v>3955</v>
      </c>
      <c r="Q2132" s="2" t="s">
        <v>3956</v>
      </c>
      <c r="R2132" s="2" t="s">
        <v>29</v>
      </c>
      <c r="S2132" s="2" t="s">
        <v>30</v>
      </c>
    </row>
    <row r="2133" spans="1:19">
      <c r="A2133" s="1">
        <v>44896</v>
      </c>
      <c r="B2133" s="1">
        <v>44896</v>
      </c>
      <c r="C2133">
        <v>2022</v>
      </c>
      <c r="D2133">
        <v>12</v>
      </c>
      <c r="E2133" s="2" t="s">
        <v>165</v>
      </c>
      <c r="F2133" s="2" t="s">
        <v>166</v>
      </c>
      <c r="G2133" s="2" t="s">
        <v>21</v>
      </c>
      <c r="H2133" s="2" t="s">
        <v>22</v>
      </c>
      <c r="I2133" s="2" t="s">
        <v>23</v>
      </c>
      <c r="J2133" s="2" t="s">
        <v>24</v>
      </c>
      <c r="N2133" s="2" t="s">
        <v>167</v>
      </c>
      <c r="O2133" s="2" t="s">
        <v>168</v>
      </c>
      <c r="P2133" s="2" t="s">
        <v>175</v>
      </c>
      <c r="Q2133" s="2" t="s">
        <v>175</v>
      </c>
      <c r="R2133" s="2" t="s">
        <v>640</v>
      </c>
      <c r="S2133" s="2" t="s">
        <v>641</v>
      </c>
    </row>
    <row r="2134" spans="1:19">
      <c r="A2134" s="1">
        <v>44896</v>
      </c>
      <c r="B2134" s="1">
        <v>44896</v>
      </c>
      <c r="C2134">
        <v>2022</v>
      </c>
      <c r="D2134">
        <v>12</v>
      </c>
      <c r="E2134" s="2" t="s">
        <v>171</v>
      </c>
      <c r="F2134" s="2" t="s">
        <v>172</v>
      </c>
      <c r="G2134" s="2" t="s">
        <v>21</v>
      </c>
      <c r="H2134" s="2" t="s">
        <v>22</v>
      </c>
      <c r="I2134" s="2" t="s">
        <v>66</v>
      </c>
      <c r="J2134" s="2" t="s">
        <v>24</v>
      </c>
      <c r="N2134" s="2" t="s">
        <v>173</v>
      </c>
      <c r="O2134" s="2" t="s">
        <v>174</v>
      </c>
      <c r="P2134" s="2" t="s">
        <v>175</v>
      </c>
      <c r="Q2134" s="2" t="s">
        <v>175</v>
      </c>
      <c r="R2134" s="2" t="s">
        <v>640</v>
      </c>
      <c r="S2134" s="2" t="s">
        <v>641</v>
      </c>
    </row>
    <row r="2135" spans="1:19">
      <c r="A2135" s="1">
        <v>44896</v>
      </c>
      <c r="B2135" s="1">
        <v>44896</v>
      </c>
      <c r="C2135">
        <v>2022</v>
      </c>
      <c r="D2135">
        <v>12</v>
      </c>
      <c r="E2135" s="2" t="s">
        <v>177</v>
      </c>
      <c r="F2135" s="2" t="s">
        <v>178</v>
      </c>
      <c r="G2135" s="2" t="s">
        <v>21</v>
      </c>
      <c r="H2135" s="2" t="s">
        <v>22</v>
      </c>
      <c r="I2135" s="2" t="s">
        <v>23</v>
      </c>
      <c r="J2135" s="2" t="s">
        <v>24</v>
      </c>
      <c r="K2135">
        <v>4858.37</v>
      </c>
      <c r="L2135">
        <v>486552.13</v>
      </c>
      <c r="M2135">
        <v>10014.719999999999</v>
      </c>
      <c r="N2135" s="2" t="s">
        <v>179</v>
      </c>
      <c r="O2135" s="2" t="s">
        <v>180</v>
      </c>
      <c r="P2135" s="2" t="s">
        <v>3957</v>
      </c>
      <c r="Q2135" s="2" t="s">
        <v>3958</v>
      </c>
      <c r="R2135" s="2" t="s">
        <v>29</v>
      </c>
      <c r="S2135" s="2" t="s">
        <v>30</v>
      </c>
    </row>
    <row r="2136" spans="1:19">
      <c r="A2136" s="1">
        <v>44896</v>
      </c>
      <c r="B2136" s="1">
        <v>44896</v>
      </c>
      <c r="C2136">
        <v>2022</v>
      </c>
      <c r="D2136">
        <v>12</v>
      </c>
      <c r="E2136" s="2" t="s">
        <v>183</v>
      </c>
      <c r="F2136" s="2" t="s">
        <v>184</v>
      </c>
      <c r="G2136" s="2" t="s">
        <v>185</v>
      </c>
      <c r="H2136" s="2" t="s">
        <v>22</v>
      </c>
      <c r="I2136" s="2" t="s">
        <v>186</v>
      </c>
      <c r="J2136" s="2" t="s">
        <v>24</v>
      </c>
      <c r="K2136">
        <v>2712.04</v>
      </c>
      <c r="L2136">
        <v>3618612.16</v>
      </c>
      <c r="M2136">
        <v>133427.68</v>
      </c>
      <c r="N2136" s="2" t="s">
        <v>187</v>
      </c>
      <c r="O2136" s="2" t="s">
        <v>188</v>
      </c>
      <c r="P2136" s="2" t="s">
        <v>3959</v>
      </c>
      <c r="Q2136" s="2" t="s">
        <v>3960</v>
      </c>
      <c r="R2136" s="2" t="s">
        <v>29</v>
      </c>
      <c r="S2136" s="2" t="s">
        <v>30</v>
      </c>
    </row>
    <row r="2137" spans="1:19">
      <c r="A2137" s="1">
        <v>44896</v>
      </c>
      <c r="B2137" s="1">
        <v>44896</v>
      </c>
      <c r="C2137">
        <v>2022</v>
      </c>
      <c r="D2137">
        <v>12</v>
      </c>
      <c r="E2137" s="2" t="s">
        <v>191</v>
      </c>
      <c r="F2137" s="2" t="s">
        <v>192</v>
      </c>
      <c r="G2137" s="2" t="s">
        <v>185</v>
      </c>
      <c r="H2137" s="2" t="s">
        <v>22</v>
      </c>
      <c r="I2137" s="2" t="s">
        <v>186</v>
      </c>
      <c r="J2137" s="2" t="s">
        <v>24</v>
      </c>
      <c r="K2137">
        <v>949.91</v>
      </c>
      <c r="L2137">
        <v>4926079.45</v>
      </c>
      <c r="M2137">
        <v>518583.81</v>
      </c>
      <c r="N2137" s="2" t="s">
        <v>193</v>
      </c>
      <c r="O2137" s="2" t="s">
        <v>194</v>
      </c>
      <c r="P2137" s="2" t="s">
        <v>3961</v>
      </c>
      <c r="Q2137" s="2" t="s">
        <v>3962</v>
      </c>
      <c r="R2137" s="2" t="s">
        <v>29</v>
      </c>
      <c r="S2137" s="2" t="s">
        <v>30</v>
      </c>
    </row>
    <row r="2138" spans="1:19">
      <c r="A2138" s="1">
        <v>44896</v>
      </c>
      <c r="B2138" s="1">
        <v>44896</v>
      </c>
      <c r="C2138">
        <v>2022</v>
      </c>
      <c r="D2138">
        <v>12</v>
      </c>
      <c r="E2138" s="2" t="s">
        <v>197</v>
      </c>
      <c r="F2138" s="2" t="s">
        <v>198</v>
      </c>
      <c r="G2138" s="2" t="s">
        <v>185</v>
      </c>
      <c r="H2138" s="2" t="s">
        <v>22</v>
      </c>
      <c r="I2138" s="2" t="s">
        <v>186</v>
      </c>
      <c r="J2138" s="2" t="s">
        <v>59</v>
      </c>
      <c r="K2138">
        <v>3661.95</v>
      </c>
      <c r="L2138">
        <v>8544691.6099999994</v>
      </c>
      <c r="M2138">
        <v>233337.2</v>
      </c>
      <c r="N2138" s="2" t="s">
        <v>199</v>
      </c>
      <c r="O2138" s="2" t="s">
        <v>200</v>
      </c>
      <c r="P2138" s="2" t="s">
        <v>3963</v>
      </c>
      <c r="Q2138" s="2" t="s">
        <v>3964</v>
      </c>
      <c r="R2138" s="2" t="s">
        <v>29</v>
      </c>
      <c r="S2138" s="2" t="s">
        <v>30</v>
      </c>
    </row>
    <row r="2139" spans="1:19">
      <c r="A2139" s="1">
        <v>44896</v>
      </c>
      <c r="B2139" s="1">
        <v>44896</v>
      </c>
      <c r="C2139">
        <v>2022</v>
      </c>
      <c r="D2139">
        <v>12</v>
      </c>
      <c r="E2139" s="2" t="s">
        <v>203</v>
      </c>
      <c r="F2139" s="2" t="s">
        <v>204</v>
      </c>
      <c r="G2139" s="2" t="s">
        <v>39</v>
      </c>
      <c r="H2139" s="2" t="s">
        <v>22</v>
      </c>
      <c r="I2139" s="2" t="s">
        <v>40</v>
      </c>
      <c r="J2139" s="2" t="s">
        <v>24</v>
      </c>
      <c r="K2139">
        <v>934.53</v>
      </c>
      <c r="L2139">
        <v>25483.73</v>
      </c>
      <c r="M2139">
        <v>2726.9</v>
      </c>
      <c r="N2139" s="2" t="s">
        <v>205</v>
      </c>
      <c r="O2139" s="2" t="s">
        <v>206</v>
      </c>
      <c r="P2139" s="2" t="s">
        <v>3965</v>
      </c>
      <c r="Q2139" s="2" t="s">
        <v>3966</v>
      </c>
      <c r="R2139" s="2" t="s">
        <v>29</v>
      </c>
      <c r="S2139" s="2" t="s">
        <v>30</v>
      </c>
    </row>
    <row r="2140" spans="1:19">
      <c r="A2140" s="1">
        <v>44896</v>
      </c>
      <c r="B2140" s="1">
        <v>44896</v>
      </c>
      <c r="C2140">
        <v>2022</v>
      </c>
      <c r="D2140">
        <v>12</v>
      </c>
      <c r="E2140" s="2" t="s">
        <v>209</v>
      </c>
      <c r="F2140" s="2" t="s">
        <v>210</v>
      </c>
      <c r="G2140" s="2" t="s">
        <v>39</v>
      </c>
      <c r="H2140" s="2" t="s">
        <v>22</v>
      </c>
      <c r="I2140" s="2" t="s">
        <v>40</v>
      </c>
      <c r="J2140" s="2" t="s">
        <v>59</v>
      </c>
      <c r="K2140">
        <v>934.53</v>
      </c>
      <c r="L2140">
        <v>25483.73</v>
      </c>
      <c r="M2140">
        <v>2726.9</v>
      </c>
      <c r="N2140" s="2" t="s">
        <v>211</v>
      </c>
      <c r="O2140" s="2" t="s">
        <v>212</v>
      </c>
      <c r="P2140" s="2" t="s">
        <v>3965</v>
      </c>
      <c r="Q2140" s="2" t="s">
        <v>3966</v>
      </c>
      <c r="R2140" s="2" t="s">
        <v>29</v>
      </c>
      <c r="S2140" s="2" t="s">
        <v>30</v>
      </c>
    </row>
    <row r="2141" spans="1:19">
      <c r="A2141" s="1">
        <v>44896</v>
      </c>
      <c r="B2141" s="1">
        <v>44896</v>
      </c>
      <c r="C2141">
        <v>2022</v>
      </c>
      <c r="D2141">
        <v>12</v>
      </c>
      <c r="E2141" s="2" t="s">
        <v>213</v>
      </c>
      <c r="F2141" s="2" t="s">
        <v>214</v>
      </c>
      <c r="G2141" s="2" t="s">
        <v>185</v>
      </c>
      <c r="H2141" s="2" t="s">
        <v>22</v>
      </c>
      <c r="I2141" s="2" t="s">
        <v>215</v>
      </c>
      <c r="J2141" s="2" t="s">
        <v>24</v>
      </c>
      <c r="K2141">
        <v>68855.05</v>
      </c>
      <c r="L2141">
        <v>1615988.12</v>
      </c>
      <c r="M2141">
        <v>2346.94</v>
      </c>
      <c r="N2141" s="2" t="s">
        <v>216</v>
      </c>
      <c r="O2141" s="2" t="s">
        <v>217</v>
      </c>
      <c r="P2141" s="2" t="s">
        <v>3967</v>
      </c>
      <c r="Q2141" s="2" t="s">
        <v>3968</v>
      </c>
      <c r="R2141" s="2" t="s">
        <v>29</v>
      </c>
      <c r="S2141" s="2" t="s">
        <v>30</v>
      </c>
    </row>
    <row r="2142" spans="1:19">
      <c r="A2142" s="1">
        <v>44896</v>
      </c>
      <c r="B2142" s="1">
        <v>44896</v>
      </c>
      <c r="C2142">
        <v>2022</v>
      </c>
      <c r="D2142">
        <v>12</v>
      </c>
      <c r="E2142" s="2" t="s">
        <v>220</v>
      </c>
      <c r="F2142" s="2" t="s">
        <v>221</v>
      </c>
      <c r="G2142" s="2" t="s">
        <v>185</v>
      </c>
      <c r="H2142" s="2" t="s">
        <v>22</v>
      </c>
      <c r="I2142" s="2" t="s">
        <v>215</v>
      </c>
      <c r="J2142" s="2" t="s">
        <v>24</v>
      </c>
      <c r="K2142">
        <v>5560.78</v>
      </c>
      <c r="L2142">
        <v>375774.65</v>
      </c>
      <c r="M2142">
        <v>6757.59</v>
      </c>
      <c r="N2142" s="2" t="s">
        <v>222</v>
      </c>
      <c r="O2142" s="2" t="s">
        <v>223</v>
      </c>
      <c r="P2142" s="2" t="s">
        <v>3969</v>
      </c>
      <c r="Q2142" s="2" t="s">
        <v>3970</v>
      </c>
      <c r="R2142" s="2" t="s">
        <v>29</v>
      </c>
      <c r="S2142" s="2" t="s">
        <v>30</v>
      </c>
    </row>
    <row r="2143" spans="1:19">
      <c r="A2143" s="1">
        <v>44896</v>
      </c>
      <c r="B2143" s="1">
        <v>44896</v>
      </c>
      <c r="C2143">
        <v>2022</v>
      </c>
      <c r="D2143">
        <v>12</v>
      </c>
      <c r="E2143" s="2" t="s">
        <v>226</v>
      </c>
      <c r="F2143" s="2" t="s">
        <v>227</v>
      </c>
      <c r="G2143" s="2" t="s">
        <v>185</v>
      </c>
      <c r="H2143" s="2" t="s">
        <v>22</v>
      </c>
      <c r="I2143" s="2" t="s">
        <v>215</v>
      </c>
      <c r="J2143" s="2" t="s">
        <v>59</v>
      </c>
      <c r="K2143">
        <v>74415.83</v>
      </c>
      <c r="L2143">
        <v>1991762.77</v>
      </c>
      <c r="M2143">
        <v>2676.53</v>
      </c>
      <c r="N2143" s="2" t="s">
        <v>228</v>
      </c>
      <c r="O2143" s="2" t="s">
        <v>229</v>
      </c>
      <c r="P2143" s="2" t="s">
        <v>3971</v>
      </c>
      <c r="Q2143" s="2" t="s">
        <v>3972</v>
      </c>
      <c r="R2143" s="2" t="s">
        <v>29</v>
      </c>
      <c r="S2143" s="2" t="s">
        <v>30</v>
      </c>
    </row>
    <row r="2144" spans="1:19">
      <c r="A2144" s="1">
        <v>44896</v>
      </c>
      <c r="B2144" s="1">
        <v>44896</v>
      </c>
      <c r="C2144">
        <v>2022</v>
      </c>
      <c r="D2144">
        <v>12</v>
      </c>
      <c r="E2144" s="2" t="s">
        <v>232</v>
      </c>
      <c r="F2144" s="2" t="s">
        <v>233</v>
      </c>
      <c r="G2144" s="2" t="s">
        <v>21</v>
      </c>
      <c r="H2144" s="2" t="s">
        <v>22</v>
      </c>
      <c r="I2144" s="2" t="s">
        <v>23</v>
      </c>
      <c r="J2144" s="2" t="s">
        <v>24</v>
      </c>
      <c r="K2144">
        <v>1515.84</v>
      </c>
      <c r="L2144">
        <v>157435.06</v>
      </c>
      <c r="M2144">
        <v>10385.99</v>
      </c>
      <c r="N2144" s="2" t="s">
        <v>234</v>
      </c>
      <c r="O2144" s="2" t="s">
        <v>235</v>
      </c>
      <c r="P2144" s="2" t="s">
        <v>3973</v>
      </c>
      <c r="Q2144" s="2" t="s">
        <v>3974</v>
      </c>
      <c r="R2144" s="2" t="s">
        <v>29</v>
      </c>
      <c r="S2144" s="2" t="s">
        <v>30</v>
      </c>
    </row>
    <row r="2145" spans="1:19">
      <c r="A2145" s="1">
        <v>44896</v>
      </c>
      <c r="B2145" s="1">
        <v>44896</v>
      </c>
      <c r="C2145">
        <v>2022</v>
      </c>
      <c r="D2145">
        <v>12</v>
      </c>
      <c r="E2145" s="2" t="s">
        <v>238</v>
      </c>
      <c r="F2145" s="2" t="s">
        <v>239</v>
      </c>
      <c r="G2145" s="2" t="s">
        <v>21</v>
      </c>
      <c r="H2145" s="2" t="s">
        <v>22</v>
      </c>
      <c r="I2145" s="2" t="s">
        <v>66</v>
      </c>
      <c r="J2145" s="2" t="s">
        <v>24</v>
      </c>
      <c r="K2145">
        <v>1198.55</v>
      </c>
      <c r="L2145">
        <v>115737.14</v>
      </c>
      <c r="M2145">
        <v>9656.43</v>
      </c>
      <c r="N2145" s="2" t="s">
        <v>240</v>
      </c>
      <c r="O2145" s="2" t="s">
        <v>241</v>
      </c>
      <c r="P2145" s="2" t="s">
        <v>3975</v>
      </c>
      <c r="Q2145" s="2" t="s">
        <v>3976</v>
      </c>
      <c r="R2145" s="2" t="s">
        <v>29</v>
      </c>
      <c r="S2145" s="2" t="s">
        <v>30</v>
      </c>
    </row>
    <row r="2146" spans="1:19">
      <c r="A2146" s="1">
        <v>44896</v>
      </c>
      <c r="B2146" s="1">
        <v>44896</v>
      </c>
      <c r="C2146">
        <v>2022</v>
      </c>
      <c r="D2146">
        <v>12</v>
      </c>
      <c r="E2146" s="2" t="s">
        <v>244</v>
      </c>
      <c r="F2146" s="2" t="s">
        <v>245</v>
      </c>
      <c r="G2146" s="2" t="s">
        <v>21</v>
      </c>
      <c r="H2146" s="2" t="s">
        <v>22</v>
      </c>
      <c r="I2146" s="2" t="s">
        <v>23</v>
      </c>
      <c r="J2146" s="2" t="s">
        <v>24</v>
      </c>
      <c r="K2146">
        <v>4854.8100000000004</v>
      </c>
      <c r="L2146">
        <v>2981681.17</v>
      </c>
      <c r="M2146">
        <v>61417.05</v>
      </c>
      <c r="N2146" s="2" t="s">
        <v>246</v>
      </c>
      <c r="O2146" s="2" t="s">
        <v>247</v>
      </c>
      <c r="P2146" s="2" t="s">
        <v>3977</v>
      </c>
      <c r="Q2146" s="2" t="s">
        <v>3978</v>
      </c>
      <c r="R2146" s="2" t="s">
        <v>29</v>
      </c>
      <c r="S2146" s="2" t="s">
        <v>30</v>
      </c>
    </row>
    <row r="2147" spans="1:19">
      <c r="A2147" s="1">
        <v>44896</v>
      </c>
      <c r="B2147" s="1">
        <v>44896</v>
      </c>
      <c r="C2147">
        <v>2022</v>
      </c>
      <c r="D2147">
        <v>12</v>
      </c>
      <c r="E2147" s="2" t="s">
        <v>250</v>
      </c>
      <c r="F2147" s="2" t="s">
        <v>251</v>
      </c>
      <c r="G2147" s="2" t="s">
        <v>21</v>
      </c>
      <c r="H2147" s="2" t="s">
        <v>22</v>
      </c>
      <c r="I2147" s="2" t="s">
        <v>66</v>
      </c>
      <c r="J2147" s="2" t="s">
        <v>24</v>
      </c>
      <c r="K2147">
        <v>146.46</v>
      </c>
      <c r="L2147">
        <v>242.34</v>
      </c>
      <c r="M2147">
        <v>165.46</v>
      </c>
      <c r="N2147" s="2" t="s">
        <v>252</v>
      </c>
      <c r="O2147" s="2" t="s">
        <v>253</v>
      </c>
      <c r="P2147" s="2" t="s">
        <v>3979</v>
      </c>
      <c r="Q2147" s="2" t="s">
        <v>3980</v>
      </c>
      <c r="R2147" s="2" t="s">
        <v>29</v>
      </c>
      <c r="S2147" s="2" t="s">
        <v>30</v>
      </c>
    </row>
    <row r="2148" spans="1:19">
      <c r="A2148" s="1">
        <v>44896</v>
      </c>
      <c r="B2148" s="1">
        <v>44896</v>
      </c>
      <c r="C2148">
        <v>2022</v>
      </c>
      <c r="D2148">
        <v>12</v>
      </c>
      <c r="E2148" s="2" t="s">
        <v>256</v>
      </c>
      <c r="F2148" s="2" t="s">
        <v>257</v>
      </c>
      <c r="G2148" s="2" t="s">
        <v>21</v>
      </c>
      <c r="H2148" s="2" t="s">
        <v>22</v>
      </c>
      <c r="I2148" s="2" t="s">
        <v>258</v>
      </c>
      <c r="J2148" s="2" t="s">
        <v>24</v>
      </c>
      <c r="K2148">
        <v>608.14</v>
      </c>
      <c r="L2148">
        <v>619903.47</v>
      </c>
      <c r="M2148">
        <v>101934.34</v>
      </c>
      <c r="N2148" s="2" t="s">
        <v>259</v>
      </c>
      <c r="O2148" s="2" t="s">
        <v>260</v>
      </c>
      <c r="P2148" s="2" t="s">
        <v>3981</v>
      </c>
      <c r="Q2148" s="2" t="s">
        <v>3982</v>
      </c>
      <c r="R2148" s="2" t="s">
        <v>29</v>
      </c>
      <c r="S2148" s="2" t="s">
        <v>30</v>
      </c>
    </row>
    <row r="2149" spans="1:19">
      <c r="A2149" s="1">
        <v>44896</v>
      </c>
      <c r="B2149" s="1">
        <v>44896</v>
      </c>
      <c r="C2149">
        <v>2022</v>
      </c>
      <c r="D2149">
        <v>12</v>
      </c>
      <c r="E2149" s="2" t="s">
        <v>263</v>
      </c>
      <c r="F2149" s="2" t="s">
        <v>264</v>
      </c>
      <c r="G2149" s="2" t="s">
        <v>21</v>
      </c>
      <c r="H2149" s="2" t="s">
        <v>22</v>
      </c>
      <c r="I2149" s="2" t="s">
        <v>258</v>
      </c>
      <c r="J2149" s="2" t="s">
        <v>24</v>
      </c>
      <c r="K2149">
        <v>0</v>
      </c>
      <c r="L2149">
        <v>0</v>
      </c>
      <c r="N2149" s="2" t="s">
        <v>265</v>
      </c>
      <c r="O2149" s="2" t="s">
        <v>266</v>
      </c>
      <c r="P2149" s="2" t="s">
        <v>639</v>
      </c>
      <c r="Q2149" s="2" t="s">
        <v>639</v>
      </c>
      <c r="R2149" s="2" t="s">
        <v>29</v>
      </c>
      <c r="S2149" s="2" t="s">
        <v>30</v>
      </c>
    </row>
    <row r="2150" spans="1:19">
      <c r="A2150" s="1">
        <v>44896</v>
      </c>
      <c r="B2150" s="1">
        <v>44896</v>
      </c>
      <c r="C2150">
        <v>2022</v>
      </c>
      <c r="D2150">
        <v>12</v>
      </c>
      <c r="E2150" s="2" t="s">
        <v>269</v>
      </c>
      <c r="F2150" s="2" t="s">
        <v>270</v>
      </c>
      <c r="G2150" s="2" t="s">
        <v>21</v>
      </c>
      <c r="H2150" s="2" t="s">
        <v>22</v>
      </c>
      <c r="I2150" s="2" t="s">
        <v>258</v>
      </c>
      <c r="J2150" s="2" t="s">
        <v>59</v>
      </c>
      <c r="K2150">
        <v>608.14</v>
      </c>
      <c r="L2150">
        <v>619903.47</v>
      </c>
      <c r="M2150">
        <v>101934.34</v>
      </c>
      <c r="N2150" s="2" t="s">
        <v>271</v>
      </c>
      <c r="O2150" s="2" t="s">
        <v>272</v>
      </c>
      <c r="P2150" s="2" t="s">
        <v>3981</v>
      </c>
      <c r="Q2150" s="2" t="s">
        <v>3982</v>
      </c>
      <c r="R2150" s="2" t="s">
        <v>29</v>
      </c>
      <c r="S2150" s="2" t="s">
        <v>30</v>
      </c>
    </row>
    <row r="2151" spans="1:19">
      <c r="A2151" s="1">
        <v>44896</v>
      </c>
      <c r="B2151" s="1">
        <v>44896</v>
      </c>
      <c r="C2151">
        <v>2022</v>
      </c>
      <c r="D2151">
        <v>12</v>
      </c>
      <c r="E2151" s="2" t="s">
        <v>275</v>
      </c>
      <c r="F2151" s="2" t="s">
        <v>276</v>
      </c>
      <c r="G2151" s="2" t="s">
        <v>39</v>
      </c>
      <c r="H2151" s="2" t="s">
        <v>22</v>
      </c>
      <c r="I2151" s="2" t="s">
        <v>40</v>
      </c>
      <c r="J2151" s="2" t="s">
        <v>24</v>
      </c>
      <c r="K2151">
        <v>2.36</v>
      </c>
      <c r="L2151">
        <v>23.16</v>
      </c>
      <c r="M2151">
        <v>981.36</v>
      </c>
      <c r="N2151" s="2" t="s">
        <v>277</v>
      </c>
      <c r="O2151" s="2" t="s">
        <v>278</v>
      </c>
      <c r="P2151" s="2" t="s">
        <v>2043</v>
      </c>
      <c r="Q2151" s="2" t="s">
        <v>3983</v>
      </c>
      <c r="R2151" s="2" t="s">
        <v>29</v>
      </c>
      <c r="S2151" s="2" t="s">
        <v>30</v>
      </c>
    </row>
    <row r="2152" spans="1:19">
      <c r="A2152" s="1">
        <v>44896</v>
      </c>
      <c r="B2152" s="1">
        <v>44896</v>
      </c>
      <c r="C2152">
        <v>2022</v>
      </c>
      <c r="D2152">
        <v>12</v>
      </c>
      <c r="E2152" s="2" t="s">
        <v>281</v>
      </c>
      <c r="F2152" s="2" t="s">
        <v>282</v>
      </c>
      <c r="G2152" s="2" t="s">
        <v>39</v>
      </c>
      <c r="H2152" s="2" t="s">
        <v>22</v>
      </c>
      <c r="I2152" s="2" t="s">
        <v>40</v>
      </c>
      <c r="J2152" s="2" t="s">
        <v>24</v>
      </c>
      <c r="K2152">
        <v>0.02</v>
      </c>
      <c r="L2152">
        <v>0.08</v>
      </c>
      <c r="M2152">
        <v>400</v>
      </c>
      <c r="N2152" s="2" t="s">
        <v>283</v>
      </c>
      <c r="O2152" s="2" t="s">
        <v>284</v>
      </c>
      <c r="P2152" s="2" t="s">
        <v>1039</v>
      </c>
      <c r="Q2152" s="2" t="s">
        <v>1393</v>
      </c>
      <c r="R2152" s="2" t="s">
        <v>29</v>
      </c>
      <c r="S2152" s="2" t="s">
        <v>30</v>
      </c>
    </row>
    <row r="2153" spans="1:19">
      <c r="A2153" s="1">
        <v>44896</v>
      </c>
      <c r="B2153" s="1">
        <v>44896</v>
      </c>
      <c r="C2153">
        <v>2022</v>
      </c>
      <c r="D2153">
        <v>12</v>
      </c>
      <c r="E2153" s="2" t="s">
        <v>287</v>
      </c>
      <c r="F2153" s="2" t="s">
        <v>288</v>
      </c>
      <c r="G2153" s="2" t="s">
        <v>39</v>
      </c>
      <c r="H2153" s="2" t="s">
        <v>22</v>
      </c>
      <c r="I2153" s="2" t="s">
        <v>40</v>
      </c>
      <c r="J2153" s="2" t="s">
        <v>59</v>
      </c>
      <c r="K2153">
        <v>2.37</v>
      </c>
      <c r="L2153">
        <v>23.23</v>
      </c>
      <c r="M2153">
        <v>980.17</v>
      </c>
      <c r="N2153" s="2" t="s">
        <v>289</v>
      </c>
      <c r="O2153" s="2" t="s">
        <v>290</v>
      </c>
      <c r="P2153" s="2" t="s">
        <v>3984</v>
      </c>
      <c r="Q2153" s="2" t="s">
        <v>3985</v>
      </c>
      <c r="R2153" s="2" t="s">
        <v>29</v>
      </c>
      <c r="S2153" s="2" t="s">
        <v>30</v>
      </c>
    </row>
    <row r="2154" spans="1:19">
      <c r="A2154" s="1">
        <v>44896</v>
      </c>
      <c r="B2154" s="1">
        <v>44896</v>
      </c>
      <c r="C2154">
        <v>2022</v>
      </c>
      <c r="D2154">
        <v>12</v>
      </c>
      <c r="E2154" s="2" t="s">
        <v>293</v>
      </c>
      <c r="F2154" s="2" t="s">
        <v>294</v>
      </c>
      <c r="G2154" s="2" t="s">
        <v>21</v>
      </c>
      <c r="H2154" s="2" t="s">
        <v>22</v>
      </c>
      <c r="I2154" s="2" t="s">
        <v>295</v>
      </c>
      <c r="J2154" s="2" t="s">
        <v>24</v>
      </c>
      <c r="K2154">
        <v>1280.3699999999999</v>
      </c>
      <c r="L2154">
        <v>3526.56</v>
      </c>
      <c r="M2154">
        <v>275.43</v>
      </c>
      <c r="N2154" s="2" t="s">
        <v>296</v>
      </c>
      <c r="O2154" s="2" t="s">
        <v>297</v>
      </c>
      <c r="P2154" s="2" t="s">
        <v>3986</v>
      </c>
      <c r="Q2154" s="2" t="s">
        <v>3987</v>
      </c>
      <c r="R2154" s="2" t="s">
        <v>29</v>
      </c>
      <c r="S2154" s="2" t="s">
        <v>30</v>
      </c>
    </row>
    <row r="2155" spans="1:19">
      <c r="A2155" s="1">
        <v>44896</v>
      </c>
      <c r="B2155" s="1">
        <v>44896</v>
      </c>
      <c r="C2155">
        <v>2022</v>
      </c>
      <c r="D2155">
        <v>12</v>
      </c>
      <c r="E2155" s="2" t="s">
        <v>300</v>
      </c>
      <c r="F2155" s="2" t="s">
        <v>301</v>
      </c>
      <c r="G2155" s="2" t="s">
        <v>21</v>
      </c>
      <c r="H2155" s="2" t="s">
        <v>22</v>
      </c>
      <c r="I2155" s="2" t="s">
        <v>295</v>
      </c>
      <c r="J2155" s="2" t="s">
        <v>24</v>
      </c>
      <c r="K2155">
        <v>61.58</v>
      </c>
      <c r="L2155">
        <v>721.93</v>
      </c>
      <c r="M2155">
        <v>1172.3399999999999</v>
      </c>
      <c r="N2155" s="2" t="s">
        <v>302</v>
      </c>
      <c r="O2155" s="2" t="s">
        <v>303</v>
      </c>
      <c r="P2155" s="2" t="s">
        <v>3988</v>
      </c>
      <c r="Q2155" s="2" t="s">
        <v>3989</v>
      </c>
      <c r="R2155" s="2" t="s">
        <v>29</v>
      </c>
      <c r="S2155" s="2" t="s">
        <v>30</v>
      </c>
    </row>
    <row r="2156" spans="1:19">
      <c r="A2156" s="1">
        <v>44896</v>
      </c>
      <c r="B2156" s="1">
        <v>44896</v>
      </c>
      <c r="C2156">
        <v>2022</v>
      </c>
      <c r="D2156">
        <v>12</v>
      </c>
      <c r="E2156" s="2" t="s">
        <v>306</v>
      </c>
      <c r="F2156" s="2" t="s">
        <v>307</v>
      </c>
      <c r="G2156" s="2" t="s">
        <v>21</v>
      </c>
      <c r="H2156" s="2" t="s">
        <v>22</v>
      </c>
      <c r="I2156" s="2" t="s">
        <v>295</v>
      </c>
      <c r="J2156" s="2" t="s">
        <v>101</v>
      </c>
      <c r="K2156">
        <v>1341.94</v>
      </c>
      <c r="L2156">
        <v>4248.5</v>
      </c>
      <c r="M2156">
        <v>316.58999999999997</v>
      </c>
      <c r="N2156" s="2" t="s">
        <v>308</v>
      </c>
      <c r="O2156" s="2" t="s">
        <v>309</v>
      </c>
      <c r="P2156" s="2" t="s">
        <v>3990</v>
      </c>
      <c r="Q2156" s="2" t="s">
        <v>3991</v>
      </c>
      <c r="R2156" s="2" t="s">
        <v>29</v>
      </c>
      <c r="S2156" s="2" t="s">
        <v>30</v>
      </c>
    </row>
    <row r="2157" spans="1:19">
      <c r="A2157" s="1">
        <v>44896</v>
      </c>
      <c r="B2157" s="1">
        <v>44896</v>
      </c>
      <c r="C2157">
        <v>2022</v>
      </c>
      <c r="D2157">
        <v>12</v>
      </c>
      <c r="E2157" s="2" t="s">
        <v>312</v>
      </c>
      <c r="F2157" s="2" t="s">
        <v>313</v>
      </c>
      <c r="G2157" s="2" t="s">
        <v>21</v>
      </c>
      <c r="H2157" s="2" t="s">
        <v>22</v>
      </c>
      <c r="I2157" s="2" t="s">
        <v>295</v>
      </c>
      <c r="J2157" s="2" t="s">
        <v>59</v>
      </c>
      <c r="K2157">
        <v>6354.65</v>
      </c>
      <c r="L2157">
        <v>22648.19</v>
      </c>
      <c r="M2157">
        <v>356.4</v>
      </c>
      <c r="N2157" s="2" t="s">
        <v>314</v>
      </c>
      <c r="O2157" s="2" t="s">
        <v>315</v>
      </c>
      <c r="P2157" s="2" t="s">
        <v>3992</v>
      </c>
      <c r="Q2157" s="2" t="s">
        <v>3993</v>
      </c>
      <c r="R2157" s="2" t="s">
        <v>29</v>
      </c>
      <c r="S2157" s="2" t="s">
        <v>30</v>
      </c>
    </row>
    <row r="2158" spans="1:19">
      <c r="A2158" s="1">
        <v>44896</v>
      </c>
      <c r="B2158" s="1">
        <v>44896</v>
      </c>
      <c r="C2158">
        <v>2022</v>
      </c>
      <c r="D2158">
        <v>12</v>
      </c>
      <c r="E2158" s="2" t="s">
        <v>318</v>
      </c>
      <c r="F2158" s="2" t="s">
        <v>319</v>
      </c>
      <c r="G2158" s="2" t="s">
        <v>21</v>
      </c>
      <c r="H2158" s="2" t="s">
        <v>22</v>
      </c>
      <c r="I2158" s="2" t="s">
        <v>295</v>
      </c>
      <c r="J2158" s="2" t="s">
        <v>24</v>
      </c>
      <c r="K2158">
        <v>5012.71</v>
      </c>
      <c r="L2158">
        <v>18399.7</v>
      </c>
      <c r="M2158">
        <v>367.06</v>
      </c>
      <c r="N2158" s="2" t="s">
        <v>320</v>
      </c>
      <c r="O2158" s="2" t="s">
        <v>321</v>
      </c>
      <c r="P2158" s="2" t="s">
        <v>3994</v>
      </c>
      <c r="Q2158" s="2" t="s">
        <v>3995</v>
      </c>
      <c r="R2158" s="2" t="s">
        <v>29</v>
      </c>
      <c r="S2158" s="2" t="s">
        <v>30</v>
      </c>
    </row>
    <row r="2159" spans="1:19">
      <c r="A2159" s="1">
        <v>44896</v>
      </c>
      <c r="B2159" s="1">
        <v>44896</v>
      </c>
      <c r="C2159">
        <v>2022</v>
      </c>
      <c r="D2159">
        <v>12</v>
      </c>
      <c r="E2159" s="2" t="s">
        <v>324</v>
      </c>
      <c r="F2159" s="2" t="s">
        <v>325</v>
      </c>
      <c r="G2159" s="2" t="s">
        <v>21</v>
      </c>
      <c r="H2159" s="2" t="s">
        <v>22</v>
      </c>
      <c r="I2159" s="2" t="s">
        <v>23</v>
      </c>
      <c r="J2159" s="2" t="s">
        <v>59</v>
      </c>
      <c r="K2159">
        <v>90675.95</v>
      </c>
      <c r="L2159">
        <v>4928330.62</v>
      </c>
      <c r="M2159">
        <v>5435.1</v>
      </c>
      <c r="N2159" s="2" t="s">
        <v>326</v>
      </c>
      <c r="O2159" s="2" t="s">
        <v>327</v>
      </c>
      <c r="P2159" s="2" t="s">
        <v>3996</v>
      </c>
      <c r="Q2159" s="2" t="s">
        <v>3997</v>
      </c>
      <c r="R2159" s="2" t="s">
        <v>29</v>
      </c>
      <c r="S2159" s="2" t="s">
        <v>30</v>
      </c>
    </row>
    <row r="2160" spans="1:19">
      <c r="A2160" s="1">
        <v>44896</v>
      </c>
      <c r="B2160" s="1">
        <v>44896</v>
      </c>
      <c r="C2160">
        <v>2022</v>
      </c>
      <c r="D2160">
        <v>12</v>
      </c>
      <c r="E2160" s="2" t="s">
        <v>330</v>
      </c>
      <c r="F2160" s="2" t="s">
        <v>331</v>
      </c>
      <c r="G2160" s="2" t="s">
        <v>21</v>
      </c>
      <c r="H2160" s="2" t="s">
        <v>332</v>
      </c>
      <c r="I2160" s="2" t="s">
        <v>333</v>
      </c>
      <c r="J2160" s="2" t="s">
        <v>24</v>
      </c>
      <c r="K2160">
        <v>213.8</v>
      </c>
      <c r="L2160">
        <v>12180091.050000001</v>
      </c>
      <c r="M2160">
        <v>5696955.5899999999</v>
      </c>
      <c r="N2160" s="2" t="s">
        <v>334</v>
      </c>
      <c r="O2160" s="2" t="s">
        <v>335</v>
      </c>
      <c r="P2160" s="2" t="s">
        <v>3998</v>
      </c>
      <c r="Q2160" s="2" t="s">
        <v>3999</v>
      </c>
      <c r="R2160" s="2" t="s">
        <v>29</v>
      </c>
      <c r="S2160" s="2" t="s">
        <v>30</v>
      </c>
    </row>
    <row r="2161" spans="1:19">
      <c r="A2161" s="1">
        <v>44896</v>
      </c>
      <c r="B2161" s="1">
        <v>44896</v>
      </c>
      <c r="C2161">
        <v>2022</v>
      </c>
      <c r="D2161">
        <v>12</v>
      </c>
      <c r="E2161" s="2" t="s">
        <v>338</v>
      </c>
      <c r="F2161" s="2" t="s">
        <v>339</v>
      </c>
      <c r="G2161" s="2" t="s">
        <v>21</v>
      </c>
      <c r="H2161" s="2" t="s">
        <v>332</v>
      </c>
      <c r="I2161" s="2" t="s">
        <v>333</v>
      </c>
      <c r="J2161" s="2" t="s">
        <v>24</v>
      </c>
      <c r="K2161">
        <v>1.23</v>
      </c>
      <c r="L2161">
        <v>1555966.12</v>
      </c>
      <c r="M2161">
        <v>126501310.56999999</v>
      </c>
      <c r="N2161" s="2" t="s">
        <v>340</v>
      </c>
      <c r="O2161" s="2" t="s">
        <v>341</v>
      </c>
      <c r="P2161" s="2" t="s">
        <v>3281</v>
      </c>
      <c r="Q2161" s="2" t="s">
        <v>4000</v>
      </c>
      <c r="R2161" s="2" t="s">
        <v>29</v>
      </c>
      <c r="S2161" s="2" t="s">
        <v>30</v>
      </c>
    </row>
    <row r="2162" spans="1:19">
      <c r="A2162" s="1">
        <v>44896</v>
      </c>
      <c r="B2162" s="1">
        <v>44896</v>
      </c>
      <c r="C2162">
        <v>2022</v>
      </c>
      <c r="D2162">
        <v>12</v>
      </c>
      <c r="E2162" s="2" t="s">
        <v>344</v>
      </c>
      <c r="F2162" s="2" t="s">
        <v>345</v>
      </c>
      <c r="G2162" s="2" t="s">
        <v>21</v>
      </c>
      <c r="H2162" s="2" t="s">
        <v>332</v>
      </c>
      <c r="I2162" s="2" t="s">
        <v>333</v>
      </c>
      <c r="J2162" s="2" t="s">
        <v>59</v>
      </c>
      <c r="K2162">
        <v>215.03</v>
      </c>
      <c r="L2162">
        <v>13736057.18</v>
      </c>
      <c r="M2162">
        <v>6387972.46</v>
      </c>
      <c r="N2162" s="2" t="s">
        <v>346</v>
      </c>
      <c r="O2162" s="2" t="s">
        <v>347</v>
      </c>
      <c r="P2162" s="2" t="s">
        <v>4001</v>
      </c>
      <c r="Q2162" s="2" t="s">
        <v>4002</v>
      </c>
      <c r="R2162" s="2" t="s">
        <v>29</v>
      </c>
      <c r="S2162" s="2" t="s">
        <v>30</v>
      </c>
    </row>
    <row r="2163" spans="1:19">
      <c r="A2163" s="1">
        <v>44896</v>
      </c>
      <c r="B2163" s="1">
        <v>44896</v>
      </c>
      <c r="C2163">
        <v>2022</v>
      </c>
      <c r="D2163">
        <v>12</v>
      </c>
      <c r="E2163" s="2" t="s">
        <v>350</v>
      </c>
      <c r="F2163" s="2" t="s">
        <v>351</v>
      </c>
      <c r="G2163" s="2" t="s">
        <v>21</v>
      </c>
      <c r="H2163" s="2" t="s">
        <v>22</v>
      </c>
      <c r="I2163" s="2" t="s">
        <v>352</v>
      </c>
      <c r="J2163" s="2" t="s">
        <v>353</v>
      </c>
      <c r="K2163">
        <v>103826.92</v>
      </c>
      <c r="L2163">
        <v>18988611.140000001</v>
      </c>
      <c r="M2163">
        <v>18288.72</v>
      </c>
      <c r="N2163" s="2" t="s">
        <v>354</v>
      </c>
      <c r="O2163" s="2" t="s">
        <v>355</v>
      </c>
      <c r="P2163" s="2" t="s">
        <v>4003</v>
      </c>
      <c r="Q2163" s="2" t="s">
        <v>4004</v>
      </c>
      <c r="R2163" s="2" t="s">
        <v>29</v>
      </c>
      <c r="S2163" s="2" t="s">
        <v>30</v>
      </c>
    </row>
    <row r="2164" spans="1:19">
      <c r="A2164" s="1">
        <v>44896</v>
      </c>
      <c r="B2164" s="1">
        <v>44896</v>
      </c>
      <c r="C2164">
        <v>2022</v>
      </c>
      <c r="D2164">
        <v>12</v>
      </c>
      <c r="E2164" s="2" t="s">
        <v>358</v>
      </c>
      <c r="F2164" s="2" t="s">
        <v>359</v>
      </c>
      <c r="G2164" s="2" t="s">
        <v>21</v>
      </c>
      <c r="H2164" s="2" t="s">
        <v>22</v>
      </c>
      <c r="I2164" s="2" t="s">
        <v>352</v>
      </c>
      <c r="J2164" s="2" t="s">
        <v>353</v>
      </c>
      <c r="K2164">
        <v>104435.06</v>
      </c>
      <c r="L2164">
        <v>19608514.609999999</v>
      </c>
      <c r="M2164">
        <v>18775.8</v>
      </c>
      <c r="N2164" s="2" t="s">
        <v>360</v>
      </c>
      <c r="O2164" s="2" t="s">
        <v>361</v>
      </c>
      <c r="P2164" s="2" t="s">
        <v>4005</v>
      </c>
      <c r="Q2164" s="2" t="s">
        <v>4006</v>
      </c>
      <c r="R2164" s="2" t="s">
        <v>29</v>
      </c>
      <c r="S2164" s="2" t="s">
        <v>30</v>
      </c>
    </row>
    <row r="2165" spans="1:19">
      <c r="A2165" s="1">
        <v>44896</v>
      </c>
      <c r="B2165" s="1">
        <v>44896</v>
      </c>
      <c r="C2165">
        <v>2022</v>
      </c>
      <c r="D2165">
        <v>12</v>
      </c>
      <c r="E2165" s="2" t="s">
        <v>364</v>
      </c>
      <c r="F2165" s="2" t="s">
        <v>365</v>
      </c>
      <c r="G2165" s="2" t="s">
        <v>21</v>
      </c>
      <c r="H2165" s="2" t="s">
        <v>22</v>
      </c>
      <c r="I2165" s="2" t="s">
        <v>352</v>
      </c>
      <c r="J2165" s="2" t="s">
        <v>353</v>
      </c>
      <c r="K2165">
        <v>104220.03</v>
      </c>
      <c r="L2165">
        <v>5872457.4299999997</v>
      </c>
      <c r="M2165">
        <v>5634.67</v>
      </c>
      <c r="N2165" s="2" t="s">
        <v>366</v>
      </c>
      <c r="O2165" s="2" t="s">
        <v>367</v>
      </c>
      <c r="P2165" s="2" t="s">
        <v>4007</v>
      </c>
      <c r="Q2165" s="2" t="s">
        <v>4008</v>
      </c>
      <c r="R2165" s="2" t="s">
        <v>29</v>
      </c>
      <c r="S2165" s="2" t="s">
        <v>30</v>
      </c>
    </row>
    <row r="2166" spans="1:19">
      <c r="A2166" s="1">
        <v>44896</v>
      </c>
      <c r="B2166" s="1">
        <v>44896</v>
      </c>
      <c r="C2166">
        <v>2022</v>
      </c>
      <c r="D2166">
        <v>12</v>
      </c>
      <c r="E2166" s="2" t="s">
        <v>370</v>
      </c>
      <c r="F2166" s="2" t="s">
        <v>371</v>
      </c>
      <c r="G2166" s="2" t="s">
        <v>21</v>
      </c>
      <c r="H2166" s="2" t="s">
        <v>22</v>
      </c>
      <c r="I2166" s="2" t="s">
        <v>23</v>
      </c>
      <c r="J2166" s="2" t="s">
        <v>24</v>
      </c>
      <c r="K2166">
        <v>78288.95</v>
      </c>
      <c r="L2166">
        <v>1281970.8600000001</v>
      </c>
      <c r="M2166">
        <v>1637.49</v>
      </c>
      <c r="N2166" s="2" t="s">
        <v>372</v>
      </c>
      <c r="O2166" s="2" t="s">
        <v>373</v>
      </c>
      <c r="P2166" s="2" t="s">
        <v>4009</v>
      </c>
      <c r="Q2166" s="2" t="s">
        <v>4010</v>
      </c>
      <c r="R2166" s="2" t="s">
        <v>29</v>
      </c>
      <c r="S2166" s="2" t="s">
        <v>30</v>
      </c>
    </row>
    <row r="2167" spans="1:19">
      <c r="A2167" s="1">
        <v>44896</v>
      </c>
      <c r="B2167" s="1">
        <v>44896</v>
      </c>
      <c r="C2167">
        <v>2022</v>
      </c>
      <c r="D2167">
        <v>12</v>
      </c>
      <c r="E2167" s="2" t="s">
        <v>376</v>
      </c>
      <c r="F2167" s="2" t="s">
        <v>377</v>
      </c>
      <c r="G2167" s="2" t="s">
        <v>21</v>
      </c>
      <c r="H2167" s="2" t="s">
        <v>22</v>
      </c>
      <c r="I2167" s="2" t="s">
        <v>23</v>
      </c>
      <c r="J2167" s="2" t="s">
        <v>378</v>
      </c>
      <c r="K2167">
        <v>1.92</v>
      </c>
      <c r="L2167">
        <v>18.91</v>
      </c>
      <c r="M2167">
        <v>984.9</v>
      </c>
      <c r="N2167" s="2" t="s">
        <v>379</v>
      </c>
      <c r="O2167" s="2" t="s">
        <v>380</v>
      </c>
      <c r="P2167" s="2" t="s">
        <v>4011</v>
      </c>
      <c r="Q2167" s="2" t="s">
        <v>3919</v>
      </c>
      <c r="R2167" s="2" t="s">
        <v>29</v>
      </c>
      <c r="S2167" s="2" t="s">
        <v>30</v>
      </c>
    </row>
    <row r="2168" spans="1:19">
      <c r="A2168" s="1">
        <v>44927</v>
      </c>
      <c r="B2168" s="1">
        <v>44927</v>
      </c>
      <c r="C2168">
        <v>2023</v>
      </c>
      <c r="D2168">
        <v>1</v>
      </c>
      <c r="E2168" s="2" t="s">
        <v>19</v>
      </c>
      <c r="F2168" s="2" t="s">
        <v>20</v>
      </c>
      <c r="G2168" s="2" t="s">
        <v>21</v>
      </c>
      <c r="H2168" s="2" t="s">
        <v>22</v>
      </c>
      <c r="I2168" s="2" t="s">
        <v>23</v>
      </c>
      <c r="J2168" s="2" t="s">
        <v>24</v>
      </c>
      <c r="K2168">
        <v>0.32</v>
      </c>
      <c r="L2168">
        <v>22.73</v>
      </c>
      <c r="M2168">
        <v>7103.12</v>
      </c>
      <c r="N2168" s="2" t="s">
        <v>25</v>
      </c>
      <c r="O2168" s="2" t="s">
        <v>26</v>
      </c>
      <c r="P2168" s="2" t="s">
        <v>1083</v>
      </c>
      <c r="Q2168" s="2" t="s">
        <v>4012</v>
      </c>
      <c r="R2168" s="2" t="s">
        <v>29</v>
      </c>
      <c r="S2168" s="2" t="s">
        <v>30</v>
      </c>
    </row>
    <row r="2169" spans="1:19">
      <c r="A2169" s="1">
        <v>44927</v>
      </c>
      <c r="B2169" s="1">
        <v>44927</v>
      </c>
      <c r="C2169">
        <v>2023</v>
      </c>
      <c r="D2169">
        <v>1</v>
      </c>
      <c r="E2169" s="2" t="s">
        <v>31</v>
      </c>
      <c r="F2169" s="2" t="s">
        <v>32</v>
      </c>
      <c r="G2169" s="2" t="s">
        <v>21</v>
      </c>
      <c r="H2169" s="2" t="s">
        <v>22</v>
      </c>
      <c r="I2169" s="2" t="s">
        <v>23</v>
      </c>
      <c r="J2169" s="2" t="s">
        <v>24</v>
      </c>
      <c r="K2169">
        <v>1112.3499999999999</v>
      </c>
      <c r="L2169">
        <v>19955.689999999999</v>
      </c>
      <c r="M2169">
        <v>1794.01</v>
      </c>
      <c r="N2169" s="2" t="s">
        <v>33</v>
      </c>
      <c r="O2169" s="2" t="s">
        <v>34</v>
      </c>
      <c r="P2169" s="2" t="s">
        <v>4013</v>
      </c>
      <c r="Q2169" s="2" t="s">
        <v>4014</v>
      </c>
      <c r="R2169" s="2" t="s">
        <v>29</v>
      </c>
      <c r="S2169" s="2" t="s">
        <v>30</v>
      </c>
    </row>
    <row r="2170" spans="1:19">
      <c r="A2170" s="1">
        <v>44927</v>
      </c>
      <c r="B2170" s="1">
        <v>44927</v>
      </c>
      <c r="C2170">
        <v>2023</v>
      </c>
      <c r="D2170">
        <v>1</v>
      </c>
      <c r="E2170" s="2" t="s">
        <v>37</v>
      </c>
      <c r="F2170" s="2" t="s">
        <v>38</v>
      </c>
      <c r="G2170" s="2" t="s">
        <v>39</v>
      </c>
      <c r="H2170" s="2" t="s">
        <v>22</v>
      </c>
      <c r="I2170" s="2" t="s">
        <v>40</v>
      </c>
      <c r="J2170" s="2" t="s">
        <v>24</v>
      </c>
      <c r="K2170">
        <v>8.1300000000000008</v>
      </c>
      <c r="L2170">
        <v>385.5</v>
      </c>
      <c r="M2170">
        <v>4741.7</v>
      </c>
      <c r="N2170" s="2" t="s">
        <v>41</v>
      </c>
      <c r="O2170" s="2" t="s">
        <v>42</v>
      </c>
      <c r="P2170" s="2" t="s">
        <v>3923</v>
      </c>
      <c r="Q2170" s="2" t="s">
        <v>4015</v>
      </c>
      <c r="R2170" s="2" t="s">
        <v>29</v>
      </c>
      <c r="S2170" s="2" t="s">
        <v>30</v>
      </c>
    </row>
    <row r="2171" spans="1:19">
      <c r="A2171" s="1">
        <v>44927</v>
      </c>
      <c r="B2171" s="1">
        <v>44927</v>
      </c>
      <c r="C2171">
        <v>2023</v>
      </c>
      <c r="D2171">
        <v>1</v>
      </c>
      <c r="E2171" s="2" t="s">
        <v>45</v>
      </c>
      <c r="F2171" s="2" t="s">
        <v>46</v>
      </c>
      <c r="G2171" s="2" t="s">
        <v>39</v>
      </c>
      <c r="H2171" s="2" t="s">
        <v>22</v>
      </c>
      <c r="I2171" s="2" t="s">
        <v>40</v>
      </c>
      <c r="J2171" s="2" t="s">
        <v>24</v>
      </c>
      <c r="K2171">
        <v>5709.48</v>
      </c>
      <c r="L2171">
        <v>270595.34000000003</v>
      </c>
      <c r="M2171">
        <v>4739.3999999999996</v>
      </c>
      <c r="N2171" s="2" t="s">
        <v>47</v>
      </c>
      <c r="O2171" s="2" t="s">
        <v>48</v>
      </c>
      <c r="P2171" s="2" t="s">
        <v>4016</v>
      </c>
      <c r="Q2171" s="2" t="s">
        <v>4017</v>
      </c>
      <c r="R2171" s="2" t="s">
        <v>29</v>
      </c>
      <c r="S2171" s="2" t="s">
        <v>30</v>
      </c>
    </row>
    <row r="2172" spans="1:19">
      <c r="A2172" s="1">
        <v>44927</v>
      </c>
      <c r="B2172" s="1">
        <v>44927</v>
      </c>
      <c r="C2172">
        <v>2023</v>
      </c>
      <c r="D2172">
        <v>1</v>
      </c>
      <c r="E2172" s="2" t="s">
        <v>51</v>
      </c>
      <c r="F2172" s="2" t="s">
        <v>52</v>
      </c>
      <c r="G2172" s="2" t="s">
        <v>39</v>
      </c>
      <c r="H2172" s="2" t="s">
        <v>22</v>
      </c>
      <c r="I2172" s="2" t="s">
        <v>40</v>
      </c>
      <c r="J2172" s="2" t="s">
        <v>24</v>
      </c>
      <c r="K2172">
        <v>32.76</v>
      </c>
      <c r="L2172">
        <v>1161.48</v>
      </c>
      <c r="M2172">
        <v>3545.42</v>
      </c>
      <c r="N2172" s="2" t="s">
        <v>53</v>
      </c>
      <c r="O2172" s="2" t="s">
        <v>54</v>
      </c>
      <c r="P2172" s="2" t="s">
        <v>4018</v>
      </c>
      <c r="Q2172" s="2" t="s">
        <v>4019</v>
      </c>
      <c r="R2172" s="2" t="s">
        <v>29</v>
      </c>
      <c r="S2172" s="2" t="s">
        <v>30</v>
      </c>
    </row>
    <row r="2173" spans="1:19">
      <c r="A2173" s="1">
        <v>44927</v>
      </c>
      <c r="B2173" s="1">
        <v>44927</v>
      </c>
      <c r="C2173">
        <v>2023</v>
      </c>
      <c r="D2173">
        <v>1</v>
      </c>
      <c r="E2173" s="2" t="s">
        <v>57</v>
      </c>
      <c r="F2173" s="2" t="s">
        <v>58</v>
      </c>
      <c r="G2173" s="2" t="s">
        <v>39</v>
      </c>
      <c r="H2173" s="2" t="s">
        <v>22</v>
      </c>
      <c r="I2173" s="2" t="s">
        <v>40</v>
      </c>
      <c r="J2173" s="2" t="s">
        <v>59</v>
      </c>
      <c r="K2173">
        <v>5750.37</v>
      </c>
      <c r="L2173">
        <v>272142.32</v>
      </c>
      <c r="M2173">
        <v>4732.6099999999997</v>
      </c>
      <c r="N2173" s="2" t="s">
        <v>60</v>
      </c>
      <c r="O2173" s="2" t="s">
        <v>61</v>
      </c>
      <c r="P2173" s="2" t="s">
        <v>4020</v>
      </c>
      <c r="Q2173" s="2" t="s">
        <v>4021</v>
      </c>
      <c r="R2173" s="2" t="s">
        <v>29</v>
      </c>
      <c r="S2173" s="2" t="s">
        <v>30</v>
      </c>
    </row>
    <row r="2174" spans="1:19">
      <c r="A2174" s="1">
        <v>44927</v>
      </c>
      <c r="B2174" s="1">
        <v>44927</v>
      </c>
      <c r="C2174">
        <v>2023</v>
      </c>
      <c r="D2174">
        <v>1</v>
      </c>
      <c r="E2174" s="2" t="s">
        <v>64</v>
      </c>
      <c r="F2174" s="2" t="s">
        <v>65</v>
      </c>
      <c r="G2174" s="2" t="s">
        <v>21</v>
      </c>
      <c r="H2174" s="2" t="s">
        <v>22</v>
      </c>
      <c r="I2174" s="2" t="s">
        <v>66</v>
      </c>
      <c r="J2174" s="2" t="s">
        <v>24</v>
      </c>
      <c r="K2174">
        <v>13.01</v>
      </c>
      <c r="L2174">
        <v>468.35</v>
      </c>
      <c r="M2174">
        <v>3599.92</v>
      </c>
      <c r="N2174" s="2" t="s">
        <v>67</v>
      </c>
      <c r="O2174" s="2" t="s">
        <v>68</v>
      </c>
      <c r="P2174" s="2" t="s">
        <v>4022</v>
      </c>
      <c r="Q2174" s="2" t="s">
        <v>4023</v>
      </c>
      <c r="R2174" s="2" t="s">
        <v>29</v>
      </c>
      <c r="S2174" s="2" t="s">
        <v>30</v>
      </c>
    </row>
    <row r="2175" spans="1:19">
      <c r="A2175" s="1">
        <v>44927</v>
      </c>
      <c r="B2175" s="1">
        <v>44927</v>
      </c>
      <c r="C2175">
        <v>2023</v>
      </c>
      <c r="D2175">
        <v>1</v>
      </c>
      <c r="E2175" s="2" t="s">
        <v>71</v>
      </c>
      <c r="F2175" s="2" t="s">
        <v>72</v>
      </c>
      <c r="G2175" s="2" t="s">
        <v>21</v>
      </c>
      <c r="H2175" s="2" t="s">
        <v>22</v>
      </c>
      <c r="I2175" s="2" t="s">
        <v>73</v>
      </c>
      <c r="J2175" s="2" t="s">
        <v>59</v>
      </c>
      <c r="K2175">
        <v>5103.6099999999997</v>
      </c>
      <c r="L2175">
        <v>183460.35</v>
      </c>
      <c r="M2175">
        <v>3594.72</v>
      </c>
      <c r="N2175" s="2" t="s">
        <v>74</v>
      </c>
      <c r="O2175" s="2" t="s">
        <v>75</v>
      </c>
      <c r="P2175" s="2" t="s">
        <v>4024</v>
      </c>
      <c r="Q2175" s="2" t="s">
        <v>4025</v>
      </c>
      <c r="R2175" s="2" t="s">
        <v>29</v>
      </c>
      <c r="S2175" s="2" t="s">
        <v>30</v>
      </c>
    </row>
    <row r="2176" spans="1:19">
      <c r="A2176" s="1">
        <v>44927</v>
      </c>
      <c r="B2176" s="1">
        <v>44927</v>
      </c>
      <c r="C2176">
        <v>2023</v>
      </c>
      <c r="D2176">
        <v>1</v>
      </c>
      <c r="E2176" s="2" t="s">
        <v>78</v>
      </c>
      <c r="F2176" s="2" t="s">
        <v>79</v>
      </c>
      <c r="G2176" s="2" t="s">
        <v>80</v>
      </c>
      <c r="H2176" s="2" t="s">
        <v>81</v>
      </c>
      <c r="I2176" s="2" t="s">
        <v>82</v>
      </c>
      <c r="J2176" s="2" t="s">
        <v>24</v>
      </c>
      <c r="K2176">
        <v>2.4</v>
      </c>
      <c r="L2176">
        <v>6553595.9400000004</v>
      </c>
      <c r="M2176">
        <v>273066497.5</v>
      </c>
      <c r="N2176" s="2" t="s">
        <v>83</v>
      </c>
      <c r="O2176" s="2" t="s">
        <v>84</v>
      </c>
      <c r="P2176" s="2" t="s">
        <v>4026</v>
      </c>
      <c r="Q2176" s="2" t="s">
        <v>4027</v>
      </c>
      <c r="R2176" s="2" t="s">
        <v>29</v>
      </c>
      <c r="S2176" s="2" t="s">
        <v>30</v>
      </c>
    </row>
    <row r="2177" spans="1:19">
      <c r="A2177" s="1">
        <v>44927</v>
      </c>
      <c r="B2177" s="1">
        <v>44927</v>
      </c>
      <c r="C2177">
        <v>2023</v>
      </c>
      <c r="D2177">
        <v>1</v>
      </c>
      <c r="E2177" s="2" t="s">
        <v>87</v>
      </c>
      <c r="F2177" s="2" t="s">
        <v>88</v>
      </c>
      <c r="G2177" s="2" t="s">
        <v>80</v>
      </c>
      <c r="H2177" s="2" t="s">
        <v>81</v>
      </c>
      <c r="I2177" s="2" t="s">
        <v>82</v>
      </c>
      <c r="J2177" s="2" t="s">
        <v>24</v>
      </c>
      <c r="K2177">
        <v>0.6</v>
      </c>
      <c r="L2177">
        <v>785714.02</v>
      </c>
      <c r="M2177">
        <v>130952336.67</v>
      </c>
      <c r="N2177" s="2" t="s">
        <v>89</v>
      </c>
      <c r="O2177" s="2" t="s">
        <v>90</v>
      </c>
      <c r="P2177" s="2" t="s">
        <v>3936</v>
      </c>
      <c r="Q2177" s="2" t="s">
        <v>4028</v>
      </c>
      <c r="R2177" s="2" t="s">
        <v>29</v>
      </c>
      <c r="S2177" s="2" t="s">
        <v>30</v>
      </c>
    </row>
    <row r="2178" spans="1:19">
      <c r="A2178" s="1">
        <v>44927</v>
      </c>
      <c r="B2178" s="1">
        <v>44927</v>
      </c>
      <c r="C2178">
        <v>2023</v>
      </c>
      <c r="D2178">
        <v>1</v>
      </c>
      <c r="E2178" s="2" t="s">
        <v>93</v>
      </c>
      <c r="F2178" s="2" t="s">
        <v>94</v>
      </c>
      <c r="G2178" s="2" t="s">
        <v>80</v>
      </c>
      <c r="H2178" s="2" t="s">
        <v>81</v>
      </c>
      <c r="I2178" s="2" t="s">
        <v>82</v>
      </c>
      <c r="J2178" s="2" t="s">
        <v>24</v>
      </c>
      <c r="K2178">
        <v>0.35</v>
      </c>
      <c r="L2178">
        <v>5556922.4199999999</v>
      </c>
      <c r="M2178">
        <v>1587692120</v>
      </c>
      <c r="N2178" s="2" t="s">
        <v>95</v>
      </c>
      <c r="O2178" s="2" t="s">
        <v>96</v>
      </c>
      <c r="P2178" s="2" t="s">
        <v>4029</v>
      </c>
      <c r="Q2178" s="2" t="s">
        <v>4030</v>
      </c>
      <c r="R2178" s="2" t="s">
        <v>29</v>
      </c>
      <c r="S2178" s="2" t="s">
        <v>30</v>
      </c>
    </row>
    <row r="2179" spans="1:19">
      <c r="A2179" s="1">
        <v>44927</v>
      </c>
      <c r="B2179" s="1">
        <v>44927</v>
      </c>
      <c r="C2179">
        <v>2023</v>
      </c>
      <c r="D2179">
        <v>1</v>
      </c>
      <c r="E2179" s="2" t="s">
        <v>99</v>
      </c>
      <c r="F2179" s="2" t="s">
        <v>100</v>
      </c>
      <c r="G2179" s="2" t="s">
        <v>80</v>
      </c>
      <c r="H2179" s="2" t="s">
        <v>81</v>
      </c>
      <c r="I2179" s="2" t="s">
        <v>82</v>
      </c>
      <c r="J2179" s="2" t="s">
        <v>101</v>
      </c>
      <c r="K2179">
        <v>1.17</v>
      </c>
      <c r="L2179">
        <v>14383733.939999999</v>
      </c>
      <c r="M2179">
        <v>1229378969.23</v>
      </c>
      <c r="N2179" s="2" t="s">
        <v>102</v>
      </c>
      <c r="O2179" s="2" t="s">
        <v>103</v>
      </c>
      <c r="P2179" s="2" t="s">
        <v>618</v>
      </c>
      <c r="Q2179" s="2" t="s">
        <v>4031</v>
      </c>
      <c r="R2179" s="2" t="s">
        <v>29</v>
      </c>
      <c r="S2179" s="2" t="s">
        <v>30</v>
      </c>
    </row>
    <row r="2180" spans="1:19">
      <c r="A2180" s="1">
        <v>44927</v>
      </c>
      <c r="B2180" s="1">
        <v>44927</v>
      </c>
      <c r="C2180">
        <v>2023</v>
      </c>
      <c r="D2180">
        <v>1</v>
      </c>
      <c r="E2180" s="2" t="s">
        <v>106</v>
      </c>
      <c r="F2180" s="2" t="s">
        <v>107</v>
      </c>
      <c r="G2180" s="2" t="s">
        <v>80</v>
      </c>
      <c r="H2180" s="2" t="s">
        <v>81</v>
      </c>
      <c r="I2180" s="2" t="s">
        <v>82</v>
      </c>
      <c r="J2180" s="2" t="s">
        <v>24</v>
      </c>
      <c r="K2180">
        <v>0.21</v>
      </c>
      <c r="L2180">
        <v>8041097.5</v>
      </c>
      <c r="M2180">
        <v>3829094047.6199999</v>
      </c>
      <c r="N2180" s="2" t="s">
        <v>108</v>
      </c>
      <c r="O2180" s="2" t="s">
        <v>109</v>
      </c>
      <c r="P2180" s="2" t="s">
        <v>403</v>
      </c>
      <c r="Q2180" s="2" t="s">
        <v>4032</v>
      </c>
      <c r="R2180" s="2" t="s">
        <v>29</v>
      </c>
      <c r="S2180" s="2" t="s">
        <v>30</v>
      </c>
    </row>
    <row r="2181" spans="1:19">
      <c r="A2181" s="1">
        <v>44927</v>
      </c>
      <c r="B2181" s="1">
        <v>44927</v>
      </c>
      <c r="C2181">
        <v>2023</v>
      </c>
      <c r="D2181">
        <v>1</v>
      </c>
      <c r="E2181" s="2" t="s">
        <v>111</v>
      </c>
      <c r="F2181" s="2" t="s">
        <v>112</v>
      </c>
      <c r="G2181" s="2" t="s">
        <v>80</v>
      </c>
      <c r="H2181" s="2" t="s">
        <v>81</v>
      </c>
      <c r="I2181" s="2" t="s">
        <v>82</v>
      </c>
      <c r="J2181" s="2" t="s">
        <v>24</v>
      </c>
      <c r="K2181">
        <v>0.1</v>
      </c>
      <c r="L2181">
        <v>634016.21</v>
      </c>
      <c r="M2181">
        <v>634016210</v>
      </c>
      <c r="N2181" s="2" t="s">
        <v>113</v>
      </c>
      <c r="O2181" s="2" t="s">
        <v>114</v>
      </c>
      <c r="P2181" s="2" t="s">
        <v>425</v>
      </c>
      <c r="Q2181" s="2" t="s">
        <v>4033</v>
      </c>
      <c r="R2181" s="2" t="s">
        <v>29</v>
      </c>
      <c r="S2181" s="2" t="s">
        <v>30</v>
      </c>
    </row>
    <row r="2182" spans="1:19">
      <c r="A2182" s="1">
        <v>44927</v>
      </c>
      <c r="B2182" s="1">
        <v>44927</v>
      </c>
      <c r="C2182">
        <v>2023</v>
      </c>
      <c r="D2182">
        <v>1</v>
      </c>
      <c r="E2182" s="2" t="s">
        <v>117</v>
      </c>
      <c r="F2182" s="2" t="s">
        <v>118</v>
      </c>
      <c r="G2182" s="2" t="s">
        <v>80</v>
      </c>
      <c r="H2182" s="2" t="s">
        <v>81</v>
      </c>
      <c r="I2182" s="2" t="s">
        <v>82</v>
      </c>
      <c r="J2182" s="2" t="s">
        <v>59</v>
      </c>
      <c r="K2182">
        <v>3.66</v>
      </c>
      <c r="L2182">
        <v>21571346.09</v>
      </c>
      <c r="M2182">
        <v>589381040.71000004</v>
      </c>
      <c r="N2182" s="2" t="s">
        <v>119</v>
      </c>
      <c r="O2182" s="2" t="s">
        <v>120</v>
      </c>
      <c r="P2182" s="2" t="s">
        <v>1228</v>
      </c>
      <c r="Q2182" s="2" t="s">
        <v>4034</v>
      </c>
      <c r="R2182" s="2" t="s">
        <v>29</v>
      </c>
      <c r="S2182" s="2" t="s">
        <v>30</v>
      </c>
    </row>
    <row r="2183" spans="1:19">
      <c r="A2183" s="1">
        <v>44927</v>
      </c>
      <c r="B2183" s="1">
        <v>44927</v>
      </c>
      <c r="C2183">
        <v>2023</v>
      </c>
      <c r="D2183">
        <v>1</v>
      </c>
      <c r="E2183" s="2" t="s">
        <v>123</v>
      </c>
      <c r="F2183" s="2" t="s">
        <v>124</v>
      </c>
      <c r="G2183" s="2" t="s">
        <v>21</v>
      </c>
      <c r="H2183" s="2" t="s">
        <v>22</v>
      </c>
      <c r="I2183" s="2" t="s">
        <v>73</v>
      </c>
      <c r="J2183" s="2" t="s">
        <v>24</v>
      </c>
      <c r="K2183">
        <v>1184.33</v>
      </c>
      <c r="L2183">
        <v>78748.320000000007</v>
      </c>
      <c r="M2183">
        <v>6649.19</v>
      </c>
      <c r="N2183" s="2" t="s">
        <v>125</v>
      </c>
      <c r="O2183" s="2" t="s">
        <v>126</v>
      </c>
      <c r="P2183" s="2" t="s">
        <v>4035</v>
      </c>
      <c r="Q2183" s="2" t="s">
        <v>4036</v>
      </c>
      <c r="R2183" s="2" t="s">
        <v>29</v>
      </c>
      <c r="S2183" s="2" t="s">
        <v>30</v>
      </c>
    </row>
    <row r="2184" spans="1:19">
      <c r="A2184" s="1">
        <v>44927</v>
      </c>
      <c r="B2184" s="1">
        <v>44927</v>
      </c>
      <c r="C2184">
        <v>2023</v>
      </c>
      <c r="D2184">
        <v>1</v>
      </c>
      <c r="E2184" s="2" t="s">
        <v>129</v>
      </c>
      <c r="F2184" s="2" t="s">
        <v>130</v>
      </c>
      <c r="G2184" s="2" t="s">
        <v>21</v>
      </c>
      <c r="H2184" s="2" t="s">
        <v>22</v>
      </c>
      <c r="I2184" s="2" t="s">
        <v>73</v>
      </c>
      <c r="J2184" s="2" t="s">
        <v>24</v>
      </c>
      <c r="K2184">
        <v>1409.19</v>
      </c>
      <c r="L2184">
        <v>48934.07</v>
      </c>
      <c r="M2184">
        <v>3472.5</v>
      </c>
      <c r="N2184" s="2" t="s">
        <v>131</v>
      </c>
      <c r="O2184" s="2" t="s">
        <v>132</v>
      </c>
      <c r="P2184" s="2" t="s">
        <v>4037</v>
      </c>
      <c r="Q2184" s="2" t="s">
        <v>4038</v>
      </c>
      <c r="R2184" s="2" t="s">
        <v>29</v>
      </c>
      <c r="S2184" s="2" t="s">
        <v>30</v>
      </c>
    </row>
    <row r="2185" spans="1:19">
      <c r="A2185" s="1">
        <v>44927</v>
      </c>
      <c r="B2185" s="1">
        <v>44927</v>
      </c>
      <c r="C2185">
        <v>2023</v>
      </c>
      <c r="D2185">
        <v>1</v>
      </c>
      <c r="E2185" s="2" t="s">
        <v>135</v>
      </c>
      <c r="F2185" s="2" t="s">
        <v>136</v>
      </c>
      <c r="G2185" s="2" t="s">
        <v>21</v>
      </c>
      <c r="H2185" s="2" t="s">
        <v>22</v>
      </c>
      <c r="I2185" s="2" t="s">
        <v>73</v>
      </c>
      <c r="J2185" s="2" t="s">
        <v>101</v>
      </c>
      <c r="K2185">
        <v>2593.52</v>
      </c>
      <c r="L2185">
        <v>127682.4</v>
      </c>
      <c r="M2185">
        <v>4923.13</v>
      </c>
      <c r="N2185" s="2" t="s">
        <v>137</v>
      </c>
      <c r="O2185" s="2" t="s">
        <v>138</v>
      </c>
      <c r="P2185" s="2" t="s">
        <v>4039</v>
      </c>
      <c r="Q2185" s="2" t="s">
        <v>4040</v>
      </c>
      <c r="R2185" s="2" t="s">
        <v>29</v>
      </c>
      <c r="S2185" s="2" t="s">
        <v>30</v>
      </c>
    </row>
    <row r="2186" spans="1:19">
      <c r="A2186" s="1">
        <v>44927</v>
      </c>
      <c r="B2186" s="1">
        <v>44927</v>
      </c>
      <c r="C2186">
        <v>2023</v>
      </c>
      <c r="D2186">
        <v>1</v>
      </c>
      <c r="E2186" s="2" t="s">
        <v>141</v>
      </c>
      <c r="F2186" s="2" t="s">
        <v>142</v>
      </c>
      <c r="G2186" s="2" t="s">
        <v>21</v>
      </c>
      <c r="H2186" s="2" t="s">
        <v>22</v>
      </c>
      <c r="I2186" s="2" t="s">
        <v>73</v>
      </c>
      <c r="J2186" s="2" t="s">
        <v>24</v>
      </c>
      <c r="K2186">
        <v>767.59</v>
      </c>
      <c r="L2186">
        <v>18257.53</v>
      </c>
      <c r="M2186">
        <v>2378.5500000000002</v>
      </c>
      <c r="N2186" s="2" t="s">
        <v>143</v>
      </c>
      <c r="O2186" s="2" t="s">
        <v>144</v>
      </c>
      <c r="P2186" s="2" t="s">
        <v>4041</v>
      </c>
      <c r="Q2186" s="2" t="s">
        <v>4042</v>
      </c>
      <c r="R2186" s="2" t="s">
        <v>29</v>
      </c>
      <c r="S2186" s="2" t="s">
        <v>30</v>
      </c>
    </row>
    <row r="2187" spans="1:19">
      <c r="A2187" s="1">
        <v>44927</v>
      </c>
      <c r="B2187" s="1">
        <v>44927</v>
      </c>
      <c r="C2187">
        <v>2023</v>
      </c>
      <c r="D2187">
        <v>1</v>
      </c>
      <c r="E2187" s="2" t="s">
        <v>147</v>
      </c>
      <c r="F2187" s="2" t="s">
        <v>148</v>
      </c>
      <c r="G2187" s="2" t="s">
        <v>21</v>
      </c>
      <c r="H2187" s="2" t="s">
        <v>22</v>
      </c>
      <c r="I2187" s="2" t="s">
        <v>73</v>
      </c>
      <c r="J2187" s="2" t="s">
        <v>24</v>
      </c>
      <c r="K2187">
        <v>1742.51</v>
      </c>
      <c r="L2187">
        <v>37520.43</v>
      </c>
      <c r="M2187">
        <v>2153.2399999999998</v>
      </c>
      <c r="N2187" s="2" t="s">
        <v>149</v>
      </c>
      <c r="O2187" s="2" t="s">
        <v>150</v>
      </c>
      <c r="P2187" s="2" t="s">
        <v>4043</v>
      </c>
      <c r="Q2187" s="2" t="s">
        <v>4044</v>
      </c>
      <c r="R2187" s="2" t="s">
        <v>29</v>
      </c>
      <c r="S2187" s="2" t="s">
        <v>30</v>
      </c>
    </row>
    <row r="2188" spans="1:19">
      <c r="A2188" s="1">
        <v>44927</v>
      </c>
      <c r="B2188" s="1">
        <v>44927</v>
      </c>
      <c r="C2188">
        <v>2023</v>
      </c>
      <c r="D2188">
        <v>1</v>
      </c>
      <c r="E2188" s="2" t="s">
        <v>153</v>
      </c>
      <c r="F2188" s="2" t="s">
        <v>154</v>
      </c>
      <c r="G2188" s="2" t="s">
        <v>21</v>
      </c>
      <c r="H2188" s="2" t="s">
        <v>22</v>
      </c>
      <c r="I2188" s="2" t="s">
        <v>73</v>
      </c>
      <c r="J2188" s="2" t="s">
        <v>101</v>
      </c>
      <c r="K2188">
        <v>2510.09</v>
      </c>
      <c r="L2188">
        <v>55777.95</v>
      </c>
      <c r="M2188">
        <v>2222.15</v>
      </c>
      <c r="N2188" s="2" t="s">
        <v>155</v>
      </c>
      <c r="O2188" s="2" t="s">
        <v>156</v>
      </c>
      <c r="P2188" s="2" t="s">
        <v>4045</v>
      </c>
      <c r="Q2188" s="2" t="s">
        <v>4046</v>
      </c>
      <c r="R2188" s="2" t="s">
        <v>29</v>
      </c>
      <c r="S2188" s="2" t="s">
        <v>30</v>
      </c>
    </row>
    <row r="2189" spans="1:19">
      <c r="A2189" s="1">
        <v>44927</v>
      </c>
      <c r="B2189" s="1">
        <v>44927</v>
      </c>
      <c r="C2189">
        <v>2023</v>
      </c>
      <c r="D2189">
        <v>1</v>
      </c>
      <c r="E2189" s="2" t="s">
        <v>159</v>
      </c>
      <c r="F2189" s="2" t="s">
        <v>160</v>
      </c>
      <c r="G2189" s="2" t="s">
        <v>21</v>
      </c>
      <c r="H2189" s="2" t="s">
        <v>22</v>
      </c>
      <c r="I2189" s="2" t="s">
        <v>66</v>
      </c>
      <c r="J2189" s="2" t="s">
        <v>59</v>
      </c>
      <c r="K2189">
        <v>1360.36</v>
      </c>
      <c r="L2189">
        <v>115657.51</v>
      </c>
      <c r="M2189">
        <v>8501.98</v>
      </c>
      <c r="N2189" s="2" t="s">
        <v>161</v>
      </c>
      <c r="O2189" s="2" t="s">
        <v>162</v>
      </c>
      <c r="P2189" s="2" t="s">
        <v>4047</v>
      </c>
      <c r="Q2189" s="2" t="s">
        <v>4048</v>
      </c>
      <c r="R2189" s="2" t="s">
        <v>29</v>
      </c>
      <c r="S2189" s="2" t="s">
        <v>30</v>
      </c>
    </row>
    <row r="2190" spans="1:19">
      <c r="A2190" s="1">
        <v>44927</v>
      </c>
      <c r="B2190" s="1">
        <v>44927</v>
      </c>
      <c r="C2190">
        <v>2023</v>
      </c>
      <c r="D2190">
        <v>1</v>
      </c>
      <c r="E2190" s="2" t="s">
        <v>165</v>
      </c>
      <c r="F2190" s="2" t="s">
        <v>166</v>
      </c>
      <c r="G2190" s="2" t="s">
        <v>21</v>
      </c>
      <c r="H2190" s="2" t="s">
        <v>22</v>
      </c>
      <c r="I2190" s="2" t="s">
        <v>23</v>
      </c>
      <c r="J2190" s="2" t="s">
        <v>24</v>
      </c>
      <c r="N2190" s="2" t="s">
        <v>167</v>
      </c>
      <c r="O2190" s="2" t="s">
        <v>168</v>
      </c>
      <c r="P2190" s="2" t="s">
        <v>175</v>
      </c>
      <c r="Q2190" s="2" t="s">
        <v>175</v>
      </c>
      <c r="R2190" s="2" t="s">
        <v>640</v>
      </c>
      <c r="S2190" s="2" t="s">
        <v>641</v>
      </c>
    </row>
    <row r="2191" spans="1:19">
      <c r="A2191" s="1">
        <v>44927</v>
      </c>
      <c r="B2191" s="1">
        <v>44927</v>
      </c>
      <c r="C2191">
        <v>2023</v>
      </c>
      <c r="D2191">
        <v>1</v>
      </c>
      <c r="E2191" s="2" t="s">
        <v>171</v>
      </c>
      <c r="F2191" s="2" t="s">
        <v>172</v>
      </c>
      <c r="G2191" s="2" t="s">
        <v>21</v>
      </c>
      <c r="H2191" s="2" t="s">
        <v>22</v>
      </c>
      <c r="I2191" s="2" t="s">
        <v>66</v>
      </c>
      <c r="J2191" s="2" t="s">
        <v>24</v>
      </c>
      <c r="N2191" s="2" t="s">
        <v>173</v>
      </c>
      <c r="O2191" s="2" t="s">
        <v>174</v>
      </c>
      <c r="P2191" s="2" t="s">
        <v>175</v>
      </c>
      <c r="Q2191" s="2" t="s">
        <v>175</v>
      </c>
      <c r="R2191" s="2" t="s">
        <v>640</v>
      </c>
      <c r="S2191" s="2" t="s">
        <v>641</v>
      </c>
    </row>
    <row r="2192" spans="1:19">
      <c r="A2192" s="1">
        <v>44927</v>
      </c>
      <c r="B2192" s="1">
        <v>44927</v>
      </c>
      <c r="C2192">
        <v>2023</v>
      </c>
      <c r="D2192">
        <v>1</v>
      </c>
      <c r="E2192" s="2" t="s">
        <v>177</v>
      </c>
      <c r="F2192" s="2" t="s">
        <v>178</v>
      </c>
      <c r="G2192" s="2" t="s">
        <v>21</v>
      </c>
      <c r="H2192" s="2" t="s">
        <v>22</v>
      </c>
      <c r="I2192" s="2" t="s">
        <v>23</v>
      </c>
      <c r="J2192" s="2" t="s">
        <v>24</v>
      </c>
      <c r="K2192">
        <v>4745.08</v>
      </c>
      <c r="L2192">
        <v>477491.47</v>
      </c>
      <c r="M2192">
        <v>10062.879999999999</v>
      </c>
      <c r="N2192" s="2" t="s">
        <v>179</v>
      </c>
      <c r="O2192" s="2" t="s">
        <v>180</v>
      </c>
      <c r="P2192" s="2" t="s">
        <v>4049</v>
      </c>
      <c r="Q2192" s="2" t="s">
        <v>4050</v>
      </c>
      <c r="R2192" s="2" t="s">
        <v>29</v>
      </c>
      <c r="S2192" s="2" t="s">
        <v>30</v>
      </c>
    </row>
    <row r="2193" spans="1:19">
      <c r="A2193" s="1">
        <v>44927</v>
      </c>
      <c r="B2193" s="1">
        <v>44927</v>
      </c>
      <c r="C2193">
        <v>2023</v>
      </c>
      <c r="D2193">
        <v>1</v>
      </c>
      <c r="E2193" s="2" t="s">
        <v>183</v>
      </c>
      <c r="F2193" s="2" t="s">
        <v>184</v>
      </c>
      <c r="G2193" s="2" t="s">
        <v>185</v>
      </c>
      <c r="H2193" s="2" t="s">
        <v>22</v>
      </c>
      <c r="I2193" s="2" t="s">
        <v>186</v>
      </c>
      <c r="J2193" s="2" t="s">
        <v>24</v>
      </c>
      <c r="K2193">
        <v>2654.88</v>
      </c>
      <c r="L2193">
        <v>3237866.38</v>
      </c>
      <c r="M2193">
        <v>121959.05</v>
      </c>
      <c r="N2193" s="2" t="s">
        <v>187</v>
      </c>
      <c r="O2193" s="2" t="s">
        <v>188</v>
      </c>
      <c r="P2193" s="2" t="s">
        <v>4051</v>
      </c>
      <c r="Q2193" s="2" t="s">
        <v>4052</v>
      </c>
      <c r="R2193" s="2" t="s">
        <v>29</v>
      </c>
      <c r="S2193" s="2" t="s">
        <v>30</v>
      </c>
    </row>
    <row r="2194" spans="1:19">
      <c r="A2194" s="1">
        <v>44927</v>
      </c>
      <c r="B2194" s="1">
        <v>44927</v>
      </c>
      <c r="C2194">
        <v>2023</v>
      </c>
      <c r="D2194">
        <v>1</v>
      </c>
      <c r="E2194" s="2" t="s">
        <v>191</v>
      </c>
      <c r="F2194" s="2" t="s">
        <v>192</v>
      </c>
      <c r="G2194" s="2" t="s">
        <v>185</v>
      </c>
      <c r="H2194" s="2" t="s">
        <v>22</v>
      </c>
      <c r="I2194" s="2" t="s">
        <v>186</v>
      </c>
      <c r="J2194" s="2" t="s">
        <v>24</v>
      </c>
      <c r="K2194">
        <v>889.79</v>
      </c>
      <c r="L2194">
        <v>4089461.8</v>
      </c>
      <c r="M2194">
        <v>459598.53</v>
      </c>
      <c r="N2194" s="2" t="s">
        <v>193</v>
      </c>
      <c r="O2194" s="2" t="s">
        <v>194</v>
      </c>
      <c r="P2194" s="2" t="s">
        <v>4053</v>
      </c>
      <c r="Q2194" s="2" t="s">
        <v>4054</v>
      </c>
      <c r="R2194" s="2" t="s">
        <v>29</v>
      </c>
      <c r="S2194" s="2" t="s">
        <v>30</v>
      </c>
    </row>
    <row r="2195" spans="1:19">
      <c r="A2195" s="1">
        <v>44927</v>
      </c>
      <c r="B2195" s="1">
        <v>44927</v>
      </c>
      <c r="C2195">
        <v>2023</v>
      </c>
      <c r="D2195">
        <v>1</v>
      </c>
      <c r="E2195" s="2" t="s">
        <v>197</v>
      </c>
      <c r="F2195" s="2" t="s">
        <v>198</v>
      </c>
      <c r="G2195" s="2" t="s">
        <v>185</v>
      </c>
      <c r="H2195" s="2" t="s">
        <v>22</v>
      </c>
      <c r="I2195" s="2" t="s">
        <v>186</v>
      </c>
      <c r="J2195" s="2" t="s">
        <v>59</v>
      </c>
      <c r="K2195">
        <v>3544.67</v>
      </c>
      <c r="L2195">
        <v>7327328.1799999997</v>
      </c>
      <c r="M2195">
        <v>206713.97</v>
      </c>
      <c r="N2195" s="2" t="s">
        <v>199</v>
      </c>
      <c r="O2195" s="2" t="s">
        <v>200</v>
      </c>
      <c r="P2195" s="2" t="s">
        <v>4055</v>
      </c>
      <c r="Q2195" s="2" t="s">
        <v>4056</v>
      </c>
      <c r="R2195" s="2" t="s">
        <v>29</v>
      </c>
      <c r="S2195" s="2" t="s">
        <v>30</v>
      </c>
    </row>
    <row r="2196" spans="1:19">
      <c r="A2196" s="1">
        <v>44927</v>
      </c>
      <c r="B2196" s="1">
        <v>44927</v>
      </c>
      <c r="C2196">
        <v>2023</v>
      </c>
      <c r="D2196">
        <v>1</v>
      </c>
      <c r="E2196" s="2" t="s">
        <v>203</v>
      </c>
      <c r="F2196" s="2" t="s">
        <v>204</v>
      </c>
      <c r="G2196" s="2" t="s">
        <v>39</v>
      </c>
      <c r="H2196" s="2" t="s">
        <v>22</v>
      </c>
      <c r="I2196" s="2" t="s">
        <v>40</v>
      </c>
      <c r="J2196" s="2" t="s">
        <v>24</v>
      </c>
      <c r="K2196">
        <v>963.46</v>
      </c>
      <c r="L2196">
        <v>26202.86</v>
      </c>
      <c r="M2196">
        <v>2719.66</v>
      </c>
      <c r="N2196" s="2" t="s">
        <v>205</v>
      </c>
      <c r="O2196" s="2" t="s">
        <v>206</v>
      </c>
      <c r="P2196" s="2" t="s">
        <v>4057</v>
      </c>
      <c r="Q2196" s="2" t="s">
        <v>4058</v>
      </c>
      <c r="R2196" s="2" t="s">
        <v>29</v>
      </c>
      <c r="S2196" s="2" t="s">
        <v>30</v>
      </c>
    </row>
    <row r="2197" spans="1:19">
      <c r="A2197" s="1">
        <v>44927</v>
      </c>
      <c r="B2197" s="1">
        <v>44927</v>
      </c>
      <c r="C2197">
        <v>2023</v>
      </c>
      <c r="D2197">
        <v>1</v>
      </c>
      <c r="E2197" s="2" t="s">
        <v>209</v>
      </c>
      <c r="F2197" s="2" t="s">
        <v>210</v>
      </c>
      <c r="G2197" s="2" t="s">
        <v>39</v>
      </c>
      <c r="H2197" s="2" t="s">
        <v>22</v>
      </c>
      <c r="I2197" s="2" t="s">
        <v>40</v>
      </c>
      <c r="J2197" s="2" t="s">
        <v>59</v>
      </c>
      <c r="K2197">
        <v>963.46</v>
      </c>
      <c r="L2197">
        <v>26202.86</v>
      </c>
      <c r="M2197">
        <v>2719.66</v>
      </c>
      <c r="N2197" s="2" t="s">
        <v>211</v>
      </c>
      <c r="O2197" s="2" t="s">
        <v>212</v>
      </c>
      <c r="P2197" s="2" t="s">
        <v>4057</v>
      </c>
      <c r="Q2197" s="2" t="s">
        <v>4058</v>
      </c>
      <c r="R2197" s="2" t="s">
        <v>29</v>
      </c>
      <c r="S2197" s="2" t="s">
        <v>30</v>
      </c>
    </row>
    <row r="2198" spans="1:19">
      <c r="A2198" s="1">
        <v>44927</v>
      </c>
      <c r="B2198" s="1">
        <v>44927</v>
      </c>
      <c r="C2198">
        <v>2023</v>
      </c>
      <c r="D2198">
        <v>1</v>
      </c>
      <c r="E2198" s="2" t="s">
        <v>213</v>
      </c>
      <c r="F2198" s="2" t="s">
        <v>214</v>
      </c>
      <c r="G2198" s="2" t="s">
        <v>185</v>
      </c>
      <c r="H2198" s="2" t="s">
        <v>22</v>
      </c>
      <c r="I2198" s="2" t="s">
        <v>215</v>
      </c>
      <c r="J2198" s="2" t="s">
        <v>24</v>
      </c>
      <c r="K2198">
        <v>71063.5</v>
      </c>
      <c r="L2198">
        <v>1617560.8</v>
      </c>
      <c r="M2198">
        <v>2276.2199999999998</v>
      </c>
      <c r="N2198" s="2" t="s">
        <v>216</v>
      </c>
      <c r="O2198" s="2" t="s">
        <v>217</v>
      </c>
      <c r="P2198" s="2" t="s">
        <v>4059</v>
      </c>
      <c r="Q2198" s="2" t="s">
        <v>4060</v>
      </c>
      <c r="R2198" s="2" t="s">
        <v>29</v>
      </c>
      <c r="S2198" s="2" t="s">
        <v>30</v>
      </c>
    </row>
    <row r="2199" spans="1:19">
      <c r="A2199" s="1">
        <v>44927</v>
      </c>
      <c r="B2199" s="1">
        <v>44927</v>
      </c>
      <c r="C2199">
        <v>2023</v>
      </c>
      <c r="D2199">
        <v>1</v>
      </c>
      <c r="E2199" s="2" t="s">
        <v>220</v>
      </c>
      <c r="F2199" s="2" t="s">
        <v>221</v>
      </c>
      <c r="G2199" s="2" t="s">
        <v>185</v>
      </c>
      <c r="H2199" s="2" t="s">
        <v>22</v>
      </c>
      <c r="I2199" s="2" t="s">
        <v>215</v>
      </c>
      <c r="J2199" s="2" t="s">
        <v>24</v>
      </c>
      <c r="K2199">
        <v>4884.25</v>
      </c>
      <c r="L2199">
        <v>345334.11</v>
      </c>
      <c r="M2199">
        <v>7070.36</v>
      </c>
      <c r="N2199" s="2" t="s">
        <v>222</v>
      </c>
      <c r="O2199" s="2" t="s">
        <v>223</v>
      </c>
      <c r="P2199" s="2" t="s">
        <v>4061</v>
      </c>
      <c r="Q2199" s="2" t="s">
        <v>4062</v>
      </c>
      <c r="R2199" s="2" t="s">
        <v>29</v>
      </c>
      <c r="S2199" s="2" t="s">
        <v>30</v>
      </c>
    </row>
    <row r="2200" spans="1:19">
      <c r="A2200" s="1">
        <v>44927</v>
      </c>
      <c r="B2200" s="1">
        <v>44927</v>
      </c>
      <c r="C2200">
        <v>2023</v>
      </c>
      <c r="D2200">
        <v>1</v>
      </c>
      <c r="E2200" s="2" t="s">
        <v>226</v>
      </c>
      <c r="F2200" s="2" t="s">
        <v>227</v>
      </c>
      <c r="G2200" s="2" t="s">
        <v>185</v>
      </c>
      <c r="H2200" s="2" t="s">
        <v>22</v>
      </c>
      <c r="I2200" s="2" t="s">
        <v>215</v>
      </c>
      <c r="J2200" s="2" t="s">
        <v>59</v>
      </c>
      <c r="K2200">
        <v>75947.75</v>
      </c>
      <c r="L2200">
        <v>1962894.91</v>
      </c>
      <c r="M2200">
        <v>2584.5300000000002</v>
      </c>
      <c r="N2200" s="2" t="s">
        <v>228</v>
      </c>
      <c r="O2200" s="2" t="s">
        <v>229</v>
      </c>
      <c r="P2200" s="2" t="s">
        <v>4063</v>
      </c>
      <c r="Q2200" s="2" t="s">
        <v>4064</v>
      </c>
      <c r="R2200" s="2" t="s">
        <v>29</v>
      </c>
      <c r="S2200" s="2" t="s">
        <v>30</v>
      </c>
    </row>
    <row r="2201" spans="1:19">
      <c r="A2201" s="1">
        <v>44927</v>
      </c>
      <c r="B2201" s="1">
        <v>44927</v>
      </c>
      <c r="C2201">
        <v>2023</v>
      </c>
      <c r="D2201">
        <v>1</v>
      </c>
      <c r="E2201" s="2" t="s">
        <v>232</v>
      </c>
      <c r="F2201" s="2" t="s">
        <v>233</v>
      </c>
      <c r="G2201" s="2" t="s">
        <v>21</v>
      </c>
      <c r="H2201" s="2" t="s">
        <v>22</v>
      </c>
      <c r="I2201" s="2" t="s">
        <v>23</v>
      </c>
      <c r="J2201" s="2" t="s">
        <v>24</v>
      </c>
      <c r="K2201">
        <v>1354.13</v>
      </c>
      <c r="L2201">
        <v>131619.62</v>
      </c>
      <c r="M2201">
        <v>9719.8700000000008</v>
      </c>
      <c r="N2201" s="2" t="s">
        <v>234</v>
      </c>
      <c r="O2201" s="2" t="s">
        <v>235</v>
      </c>
      <c r="P2201" s="2" t="s">
        <v>4065</v>
      </c>
      <c r="Q2201" s="2" t="s">
        <v>4066</v>
      </c>
      <c r="R2201" s="2" t="s">
        <v>29</v>
      </c>
      <c r="S2201" s="2" t="s">
        <v>30</v>
      </c>
    </row>
    <row r="2202" spans="1:19">
      <c r="A2202" s="1">
        <v>44927</v>
      </c>
      <c r="B2202" s="1">
        <v>44927</v>
      </c>
      <c r="C2202">
        <v>2023</v>
      </c>
      <c r="D2202">
        <v>1</v>
      </c>
      <c r="E2202" s="2" t="s">
        <v>238</v>
      </c>
      <c r="F2202" s="2" t="s">
        <v>239</v>
      </c>
      <c r="G2202" s="2" t="s">
        <v>21</v>
      </c>
      <c r="H2202" s="2" t="s">
        <v>22</v>
      </c>
      <c r="I2202" s="2" t="s">
        <v>66</v>
      </c>
      <c r="J2202" s="2" t="s">
        <v>24</v>
      </c>
      <c r="K2202">
        <v>1202.79</v>
      </c>
      <c r="L2202">
        <v>114952.75</v>
      </c>
      <c r="M2202">
        <v>9557.18</v>
      </c>
      <c r="N2202" s="2" t="s">
        <v>240</v>
      </c>
      <c r="O2202" s="2" t="s">
        <v>241</v>
      </c>
      <c r="P2202" s="2" t="s">
        <v>4067</v>
      </c>
      <c r="Q2202" s="2" t="s">
        <v>4068</v>
      </c>
      <c r="R2202" s="2" t="s">
        <v>29</v>
      </c>
      <c r="S2202" s="2" t="s">
        <v>30</v>
      </c>
    </row>
    <row r="2203" spans="1:19">
      <c r="A2203" s="1">
        <v>44927</v>
      </c>
      <c r="B2203" s="1">
        <v>44927</v>
      </c>
      <c r="C2203">
        <v>2023</v>
      </c>
      <c r="D2203">
        <v>1</v>
      </c>
      <c r="E2203" s="2" t="s">
        <v>244</v>
      </c>
      <c r="F2203" s="2" t="s">
        <v>245</v>
      </c>
      <c r="G2203" s="2" t="s">
        <v>21</v>
      </c>
      <c r="H2203" s="2" t="s">
        <v>22</v>
      </c>
      <c r="I2203" s="2" t="s">
        <v>23</v>
      </c>
      <c r="J2203" s="2" t="s">
        <v>24</v>
      </c>
      <c r="K2203">
        <v>4798.3100000000004</v>
      </c>
      <c r="L2203">
        <v>2810179.96</v>
      </c>
      <c r="M2203">
        <v>58566.04</v>
      </c>
      <c r="N2203" s="2" t="s">
        <v>246</v>
      </c>
      <c r="O2203" s="2" t="s">
        <v>247</v>
      </c>
      <c r="P2203" s="2" t="s">
        <v>4069</v>
      </c>
      <c r="Q2203" s="2" t="s">
        <v>4070</v>
      </c>
      <c r="R2203" s="2" t="s">
        <v>29</v>
      </c>
      <c r="S2203" s="2" t="s">
        <v>30</v>
      </c>
    </row>
    <row r="2204" spans="1:19">
      <c r="A2204" s="1">
        <v>44927</v>
      </c>
      <c r="B2204" s="1">
        <v>44927</v>
      </c>
      <c r="C2204">
        <v>2023</v>
      </c>
      <c r="D2204">
        <v>1</v>
      </c>
      <c r="E2204" s="2" t="s">
        <v>250</v>
      </c>
      <c r="F2204" s="2" t="s">
        <v>251</v>
      </c>
      <c r="G2204" s="2" t="s">
        <v>21</v>
      </c>
      <c r="H2204" s="2" t="s">
        <v>22</v>
      </c>
      <c r="I2204" s="2" t="s">
        <v>66</v>
      </c>
      <c r="J2204" s="2" t="s">
        <v>24</v>
      </c>
      <c r="K2204">
        <v>144.56</v>
      </c>
      <c r="L2204">
        <v>236.41</v>
      </c>
      <c r="M2204">
        <v>163.54</v>
      </c>
      <c r="N2204" s="2" t="s">
        <v>252</v>
      </c>
      <c r="O2204" s="2" t="s">
        <v>253</v>
      </c>
      <c r="P2204" s="2" t="s">
        <v>4071</v>
      </c>
      <c r="Q2204" s="2" t="s">
        <v>4072</v>
      </c>
      <c r="R2204" s="2" t="s">
        <v>29</v>
      </c>
      <c r="S2204" s="2" t="s">
        <v>30</v>
      </c>
    </row>
    <row r="2205" spans="1:19">
      <c r="A2205" s="1">
        <v>44927</v>
      </c>
      <c r="B2205" s="1">
        <v>44927</v>
      </c>
      <c r="C2205">
        <v>2023</v>
      </c>
      <c r="D2205">
        <v>1</v>
      </c>
      <c r="E2205" s="2" t="s">
        <v>256</v>
      </c>
      <c r="F2205" s="2" t="s">
        <v>257</v>
      </c>
      <c r="G2205" s="2" t="s">
        <v>21</v>
      </c>
      <c r="H2205" s="2" t="s">
        <v>22</v>
      </c>
      <c r="I2205" s="2" t="s">
        <v>258</v>
      </c>
      <c r="J2205" s="2" t="s">
        <v>24</v>
      </c>
      <c r="K2205">
        <v>573.17999999999995</v>
      </c>
      <c r="L2205">
        <v>570639.37</v>
      </c>
      <c r="M2205">
        <v>99556.75</v>
      </c>
      <c r="N2205" s="2" t="s">
        <v>259</v>
      </c>
      <c r="O2205" s="2" t="s">
        <v>260</v>
      </c>
      <c r="P2205" s="2" t="s">
        <v>4073</v>
      </c>
      <c r="Q2205" s="2" t="s">
        <v>4074</v>
      </c>
      <c r="R2205" s="2" t="s">
        <v>29</v>
      </c>
      <c r="S2205" s="2" t="s">
        <v>30</v>
      </c>
    </row>
    <row r="2206" spans="1:19">
      <c r="A2206" s="1">
        <v>44927</v>
      </c>
      <c r="B2206" s="1">
        <v>44927</v>
      </c>
      <c r="C2206">
        <v>2023</v>
      </c>
      <c r="D2206">
        <v>1</v>
      </c>
      <c r="E2206" s="2" t="s">
        <v>263</v>
      </c>
      <c r="F2206" s="2" t="s">
        <v>264</v>
      </c>
      <c r="G2206" s="2" t="s">
        <v>21</v>
      </c>
      <c r="H2206" s="2" t="s">
        <v>22</v>
      </c>
      <c r="I2206" s="2" t="s">
        <v>258</v>
      </c>
      <c r="J2206" s="2" t="s">
        <v>24</v>
      </c>
      <c r="K2206">
        <v>0</v>
      </c>
      <c r="L2206">
        <v>0</v>
      </c>
      <c r="N2206" s="2" t="s">
        <v>265</v>
      </c>
      <c r="O2206" s="2" t="s">
        <v>266</v>
      </c>
      <c r="P2206" s="2" t="s">
        <v>639</v>
      </c>
      <c r="Q2206" s="2" t="s">
        <v>639</v>
      </c>
      <c r="R2206" s="2" t="s">
        <v>29</v>
      </c>
      <c r="S2206" s="2" t="s">
        <v>30</v>
      </c>
    </row>
    <row r="2207" spans="1:19">
      <c r="A2207" s="1">
        <v>44927</v>
      </c>
      <c r="B2207" s="1">
        <v>44927</v>
      </c>
      <c r="C2207">
        <v>2023</v>
      </c>
      <c r="D2207">
        <v>1</v>
      </c>
      <c r="E2207" s="2" t="s">
        <v>269</v>
      </c>
      <c r="F2207" s="2" t="s">
        <v>270</v>
      </c>
      <c r="G2207" s="2" t="s">
        <v>21</v>
      </c>
      <c r="H2207" s="2" t="s">
        <v>22</v>
      </c>
      <c r="I2207" s="2" t="s">
        <v>258</v>
      </c>
      <c r="J2207" s="2" t="s">
        <v>59</v>
      </c>
      <c r="K2207">
        <v>573.17999999999995</v>
      </c>
      <c r="L2207">
        <v>570639.37</v>
      </c>
      <c r="M2207">
        <v>99556.75</v>
      </c>
      <c r="N2207" s="2" t="s">
        <v>271</v>
      </c>
      <c r="O2207" s="2" t="s">
        <v>272</v>
      </c>
      <c r="P2207" s="2" t="s">
        <v>4073</v>
      </c>
      <c r="Q2207" s="2" t="s">
        <v>4074</v>
      </c>
      <c r="R2207" s="2" t="s">
        <v>29</v>
      </c>
      <c r="S2207" s="2" t="s">
        <v>30</v>
      </c>
    </row>
    <row r="2208" spans="1:19">
      <c r="A2208" s="1">
        <v>44927</v>
      </c>
      <c r="B2208" s="1">
        <v>44927</v>
      </c>
      <c r="C2208">
        <v>2023</v>
      </c>
      <c r="D2208">
        <v>1</v>
      </c>
      <c r="E2208" s="2" t="s">
        <v>275</v>
      </c>
      <c r="F2208" s="2" t="s">
        <v>276</v>
      </c>
      <c r="G2208" s="2" t="s">
        <v>39</v>
      </c>
      <c r="H2208" s="2" t="s">
        <v>22</v>
      </c>
      <c r="I2208" s="2" t="s">
        <v>40</v>
      </c>
      <c r="J2208" s="2" t="s">
        <v>24</v>
      </c>
      <c r="K2208">
        <v>2.42</v>
      </c>
      <c r="L2208">
        <v>23.81</v>
      </c>
      <c r="M2208">
        <v>983.88</v>
      </c>
      <c r="N2208" s="2" t="s">
        <v>277</v>
      </c>
      <c r="O2208" s="2" t="s">
        <v>278</v>
      </c>
      <c r="P2208" s="2" t="s">
        <v>4075</v>
      </c>
      <c r="Q2208" s="2" t="s">
        <v>4076</v>
      </c>
      <c r="R2208" s="2" t="s">
        <v>29</v>
      </c>
      <c r="S2208" s="2" t="s">
        <v>30</v>
      </c>
    </row>
    <row r="2209" spans="1:19">
      <c r="A2209" s="1">
        <v>44927</v>
      </c>
      <c r="B2209" s="1">
        <v>44927</v>
      </c>
      <c r="C2209">
        <v>2023</v>
      </c>
      <c r="D2209">
        <v>1</v>
      </c>
      <c r="E2209" s="2" t="s">
        <v>281</v>
      </c>
      <c r="F2209" s="2" t="s">
        <v>282</v>
      </c>
      <c r="G2209" s="2" t="s">
        <v>39</v>
      </c>
      <c r="H2209" s="2" t="s">
        <v>22</v>
      </c>
      <c r="I2209" s="2" t="s">
        <v>40</v>
      </c>
      <c r="J2209" s="2" t="s">
        <v>24</v>
      </c>
      <c r="K2209">
        <v>0.02</v>
      </c>
      <c r="L2209">
        <v>7.0000000000000007E-2</v>
      </c>
      <c r="M2209">
        <v>350</v>
      </c>
      <c r="N2209" s="2" t="s">
        <v>283</v>
      </c>
      <c r="O2209" s="2" t="s">
        <v>284</v>
      </c>
      <c r="P2209" s="2" t="s">
        <v>1039</v>
      </c>
      <c r="Q2209" s="2" t="s">
        <v>2234</v>
      </c>
      <c r="R2209" s="2" t="s">
        <v>29</v>
      </c>
      <c r="S2209" s="2" t="s">
        <v>30</v>
      </c>
    </row>
    <row r="2210" spans="1:19">
      <c r="A2210" s="1">
        <v>44927</v>
      </c>
      <c r="B2210" s="1">
        <v>44927</v>
      </c>
      <c r="C2210">
        <v>2023</v>
      </c>
      <c r="D2210">
        <v>1</v>
      </c>
      <c r="E2210" s="2" t="s">
        <v>287</v>
      </c>
      <c r="F2210" s="2" t="s">
        <v>288</v>
      </c>
      <c r="G2210" s="2" t="s">
        <v>39</v>
      </c>
      <c r="H2210" s="2" t="s">
        <v>22</v>
      </c>
      <c r="I2210" s="2" t="s">
        <v>40</v>
      </c>
      <c r="J2210" s="2" t="s">
        <v>59</v>
      </c>
      <c r="K2210">
        <v>2.44</v>
      </c>
      <c r="L2210">
        <v>23.88</v>
      </c>
      <c r="M2210">
        <v>978.69</v>
      </c>
      <c r="N2210" s="2" t="s">
        <v>289</v>
      </c>
      <c r="O2210" s="2" t="s">
        <v>290</v>
      </c>
      <c r="P2210" s="2" t="s">
        <v>1452</v>
      </c>
      <c r="Q2210" s="2" t="s">
        <v>4077</v>
      </c>
      <c r="R2210" s="2" t="s">
        <v>29</v>
      </c>
      <c r="S2210" s="2" t="s">
        <v>30</v>
      </c>
    </row>
    <row r="2211" spans="1:19">
      <c r="A2211" s="1">
        <v>44927</v>
      </c>
      <c r="B2211" s="1">
        <v>44927</v>
      </c>
      <c r="C2211">
        <v>2023</v>
      </c>
      <c r="D2211">
        <v>1</v>
      </c>
      <c r="E2211" s="2" t="s">
        <v>293</v>
      </c>
      <c r="F2211" s="2" t="s">
        <v>294</v>
      </c>
      <c r="G2211" s="2" t="s">
        <v>21</v>
      </c>
      <c r="H2211" s="2" t="s">
        <v>22</v>
      </c>
      <c r="I2211" s="2" t="s">
        <v>295</v>
      </c>
      <c r="J2211" s="2" t="s">
        <v>24</v>
      </c>
      <c r="K2211">
        <v>1190.8599999999999</v>
      </c>
      <c r="L2211">
        <v>3520.45</v>
      </c>
      <c r="M2211">
        <v>295.62</v>
      </c>
      <c r="N2211" s="2" t="s">
        <v>296</v>
      </c>
      <c r="O2211" s="2" t="s">
        <v>297</v>
      </c>
      <c r="P2211" s="2" t="s">
        <v>4078</v>
      </c>
      <c r="Q2211" s="2" t="s">
        <v>4079</v>
      </c>
      <c r="R2211" s="2" t="s">
        <v>29</v>
      </c>
      <c r="S2211" s="2" t="s">
        <v>30</v>
      </c>
    </row>
    <row r="2212" spans="1:19">
      <c r="A2212" s="1">
        <v>44927</v>
      </c>
      <c r="B2212" s="1">
        <v>44927</v>
      </c>
      <c r="C2212">
        <v>2023</v>
      </c>
      <c r="D2212">
        <v>1</v>
      </c>
      <c r="E2212" s="2" t="s">
        <v>300</v>
      </c>
      <c r="F2212" s="2" t="s">
        <v>301</v>
      </c>
      <c r="G2212" s="2" t="s">
        <v>21</v>
      </c>
      <c r="H2212" s="2" t="s">
        <v>22</v>
      </c>
      <c r="I2212" s="2" t="s">
        <v>295</v>
      </c>
      <c r="J2212" s="2" t="s">
        <v>24</v>
      </c>
      <c r="K2212">
        <v>64.59</v>
      </c>
      <c r="L2212">
        <v>773.62</v>
      </c>
      <c r="M2212">
        <v>1197.74</v>
      </c>
      <c r="N2212" s="2" t="s">
        <v>302</v>
      </c>
      <c r="O2212" s="2" t="s">
        <v>303</v>
      </c>
      <c r="P2212" s="2" t="s">
        <v>4080</v>
      </c>
      <c r="Q2212" s="2" t="s">
        <v>4081</v>
      </c>
      <c r="R2212" s="2" t="s">
        <v>29</v>
      </c>
      <c r="S2212" s="2" t="s">
        <v>30</v>
      </c>
    </row>
    <row r="2213" spans="1:19">
      <c r="A2213" s="1">
        <v>44927</v>
      </c>
      <c r="B2213" s="1">
        <v>44927</v>
      </c>
      <c r="C2213">
        <v>2023</v>
      </c>
      <c r="D2213">
        <v>1</v>
      </c>
      <c r="E2213" s="2" t="s">
        <v>306</v>
      </c>
      <c r="F2213" s="2" t="s">
        <v>307</v>
      </c>
      <c r="G2213" s="2" t="s">
        <v>21</v>
      </c>
      <c r="H2213" s="2" t="s">
        <v>22</v>
      </c>
      <c r="I2213" s="2" t="s">
        <v>295</v>
      </c>
      <c r="J2213" s="2" t="s">
        <v>101</v>
      </c>
      <c r="K2213">
        <v>1255.44</v>
      </c>
      <c r="L2213">
        <v>4294.0600000000004</v>
      </c>
      <c r="M2213">
        <v>342.04</v>
      </c>
      <c r="N2213" s="2" t="s">
        <v>308</v>
      </c>
      <c r="O2213" s="2" t="s">
        <v>309</v>
      </c>
      <c r="P2213" s="2" t="s">
        <v>4082</v>
      </c>
      <c r="Q2213" s="2" t="s">
        <v>4083</v>
      </c>
      <c r="R2213" s="2" t="s">
        <v>29</v>
      </c>
      <c r="S2213" s="2" t="s">
        <v>30</v>
      </c>
    </row>
    <row r="2214" spans="1:19">
      <c r="A2214" s="1">
        <v>44927</v>
      </c>
      <c r="B2214" s="1">
        <v>44927</v>
      </c>
      <c r="C2214">
        <v>2023</v>
      </c>
      <c r="D2214">
        <v>1</v>
      </c>
      <c r="E2214" s="2" t="s">
        <v>312</v>
      </c>
      <c r="F2214" s="2" t="s">
        <v>313</v>
      </c>
      <c r="G2214" s="2" t="s">
        <v>21</v>
      </c>
      <c r="H2214" s="2" t="s">
        <v>22</v>
      </c>
      <c r="I2214" s="2" t="s">
        <v>295</v>
      </c>
      <c r="J2214" s="2" t="s">
        <v>59</v>
      </c>
      <c r="K2214">
        <v>6129.4</v>
      </c>
      <c r="L2214">
        <v>22193.19</v>
      </c>
      <c r="M2214">
        <v>362.08</v>
      </c>
      <c r="N2214" s="2" t="s">
        <v>314</v>
      </c>
      <c r="O2214" s="2" t="s">
        <v>315</v>
      </c>
      <c r="P2214" s="2" t="s">
        <v>4084</v>
      </c>
      <c r="Q2214" s="2" t="s">
        <v>4085</v>
      </c>
      <c r="R2214" s="2" t="s">
        <v>29</v>
      </c>
      <c r="S2214" s="2" t="s">
        <v>30</v>
      </c>
    </row>
    <row r="2215" spans="1:19">
      <c r="A2215" s="1">
        <v>44927</v>
      </c>
      <c r="B2215" s="1">
        <v>44927</v>
      </c>
      <c r="C2215">
        <v>2023</v>
      </c>
      <c r="D2215">
        <v>1</v>
      </c>
      <c r="E2215" s="2" t="s">
        <v>318</v>
      </c>
      <c r="F2215" s="2" t="s">
        <v>319</v>
      </c>
      <c r="G2215" s="2" t="s">
        <v>21</v>
      </c>
      <c r="H2215" s="2" t="s">
        <v>22</v>
      </c>
      <c r="I2215" s="2" t="s">
        <v>295</v>
      </c>
      <c r="J2215" s="2" t="s">
        <v>24</v>
      </c>
      <c r="K2215">
        <v>4873.96</v>
      </c>
      <c r="L2215">
        <v>17899.13</v>
      </c>
      <c r="M2215">
        <v>367.24</v>
      </c>
      <c r="N2215" s="2" t="s">
        <v>320</v>
      </c>
      <c r="O2215" s="2" t="s">
        <v>321</v>
      </c>
      <c r="P2215" s="2" t="s">
        <v>4086</v>
      </c>
      <c r="Q2215" s="2" t="s">
        <v>4087</v>
      </c>
      <c r="R2215" s="2" t="s">
        <v>29</v>
      </c>
      <c r="S2215" s="2" t="s">
        <v>30</v>
      </c>
    </row>
    <row r="2216" spans="1:19">
      <c r="A2216" s="1">
        <v>44927</v>
      </c>
      <c r="B2216" s="1">
        <v>44927</v>
      </c>
      <c r="C2216">
        <v>2023</v>
      </c>
      <c r="D2216">
        <v>1</v>
      </c>
      <c r="E2216" s="2" t="s">
        <v>324</v>
      </c>
      <c r="F2216" s="2" t="s">
        <v>325</v>
      </c>
      <c r="G2216" s="2" t="s">
        <v>21</v>
      </c>
      <c r="H2216" s="2" t="s">
        <v>22</v>
      </c>
      <c r="I2216" s="2" t="s">
        <v>23</v>
      </c>
      <c r="J2216" s="2" t="s">
        <v>59</v>
      </c>
      <c r="K2216">
        <v>92396.07</v>
      </c>
      <c r="L2216">
        <v>4738328.25</v>
      </c>
      <c r="M2216">
        <v>5128.28</v>
      </c>
      <c r="N2216" s="2" t="s">
        <v>326</v>
      </c>
      <c r="O2216" s="2" t="s">
        <v>327</v>
      </c>
      <c r="P2216" s="2" t="s">
        <v>4088</v>
      </c>
      <c r="Q2216" s="2" t="s">
        <v>4089</v>
      </c>
      <c r="R2216" s="2" t="s">
        <v>29</v>
      </c>
      <c r="S2216" s="2" t="s">
        <v>30</v>
      </c>
    </row>
    <row r="2217" spans="1:19">
      <c r="A2217" s="1">
        <v>44927</v>
      </c>
      <c r="B2217" s="1">
        <v>44927</v>
      </c>
      <c r="C2217">
        <v>2023</v>
      </c>
      <c r="D2217">
        <v>1</v>
      </c>
      <c r="E2217" s="2" t="s">
        <v>330</v>
      </c>
      <c r="F2217" s="2" t="s">
        <v>331</v>
      </c>
      <c r="G2217" s="2" t="s">
        <v>21</v>
      </c>
      <c r="H2217" s="2" t="s">
        <v>332</v>
      </c>
      <c r="I2217" s="2" t="s">
        <v>333</v>
      </c>
      <c r="J2217" s="2" t="s">
        <v>24</v>
      </c>
      <c r="K2217">
        <v>202.99</v>
      </c>
      <c r="L2217">
        <v>11028450.5</v>
      </c>
      <c r="M2217">
        <v>5433001.8700000001</v>
      </c>
      <c r="N2217" s="2" t="s">
        <v>334</v>
      </c>
      <c r="O2217" s="2" t="s">
        <v>335</v>
      </c>
      <c r="P2217" s="2" t="s">
        <v>4090</v>
      </c>
      <c r="Q2217" s="2" t="s">
        <v>4091</v>
      </c>
      <c r="R2217" s="2" t="s">
        <v>29</v>
      </c>
      <c r="S2217" s="2" t="s">
        <v>30</v>
      </c>
    </row>
    <row r="2218" spans="1:19">
      <c r="A2218" s="1">
        <v>44927</v>
      </c>
      <c r="B2218" s="1">
        <v>44927</v>
      </c>
      <c r="C2218">
        <v>2023</v>
      </c>
      <c r="D2218">
        <v>1</v>
      </c>
      <c r="E2218" s="2" t="s">
        <v>338</v>
      </c>
      <c r="F2218" s="2" t="s">
        <v>339</v>
      </c>
      <c r="G2218" s="2" t="s">
        <v>21</v>
      </c>
      <c r="H2218" s="2" t="s">
        <v>332</v>
      </c>
      <c r="I2218" s="2" t="s">
        <v>333</v>
      </c>
      <c r="J2218" s="2" t="s">
        <v>24</v>
      </c>
      <c r="K2218">
        <v>1.19</v>
      </c>
      <c r="L2218">
        <v>1518016.27</v>
      </c>
      <c r="M2218">
        <v>127564392.44</v>
      </c>
      <c r="N2218" s="2" t="s">
        <v>340</v>
      </c>
      <c r="O2218" s="2" t="s">
        <v>341</v>
      </c>
      <c r="P2218" s="2" t="s">
        <v>1032</v>
      </c>
      <c r="Q2218" s="2" t="s">
        <v>4092</v>
      </c>
      <c r="R2218" s="2" t="s">
        <v>29</v>
      </c>
      <c r="S2218" s="2" t="s">
        <v>30</v>
      </c>
    </row>
    <row r="2219" spans="1:19">
      <c r="A2219" s="1">
        <v>44927</v>
      </c>
      <c r="B2219" s="1">
        <v>44927</v>
      </c>
      <c r="C2219">
        <v>2023</v>
      </c>
      <c r="D2219">
        <v>1</v>
      </c>
      <c r="E2219" s="2" t="s">
        <v>344</v>
      </c>
      <c r="F2219" s="2" t="s">
        <v>345</v>
      </c>
      <c r="G2219" s="2" t="s">
        <v>21</v>
      </c>
      <c r="H2219" s="2" t="s">
        <v>332</v>
      </c>
      <c r="I2219" s="2" t="s">
        <v>333</v>
      </c>
      <c r="J2219" s="2" t="s">
        <v>59</v>
      </c>
      <c r="K2219">
        <v>204.18</v>
      </c>
      <c r="L2219">
        <v>12546466.77</v>
      </c>
      <c r="M2219">
        <v>6144806.9199999999</v>
      </c>
      <c r="N2219" s="2" t="s">
        <v>346</v>
      </c>
      <c r="O2219" s="2" t="s">
        <v>347</v>
      </c>
      <c r="P2219" s="2" t="s">
        <v>4093</v>
      </c>
      <c r="Q2219" s="2" t="s">
        <v>4094</v>
      </c>
      <c r="R2219" s="2" t="s">
        <v>29</v>
      </c>
      <c r="S2219" s="2" t="s">
        <v>30</v>
      </c>
    </row>
    <row r="2220" spans="1:19">
      <c r="A2220" s="1">
        <v>44927</v>
      </c>
      <c r="B2220" s="1">
        <v>44927</v>
      </c>
      <c r="C2220">
        <v>2023</v>
      </c>
      <c r="D2220">
        <v>1</v>
      </c>
      <c r="E2220" s="2" t="s">
        <v>350</v>
      </c>
      <c r="F2220" s="2" t="s">
        <v>351</v>
      </c>
      <c r="G2220" s="2" t="s">
        <v>21</v>
      </c>
      <c r="H2220" s="2" t="s">
        <v>22</v>
      </c>
      <c r="I2220" s="2" t="s">
        <v>352</v>
      </c>
      <c r="J2220" s="2" t="s">
        <v>353</v>
      </c>
      <c r="K2220">
        <v>105193.62</v>
      </c>
      <c r="L2220">
        <v>17606106.07</v>
      </c>
      <c r="M2220">
        <v>16736.86</v>
      </c>
      <c r="N2220" s="2" t="s">
        <v>354</v>
      </c>
      <c r="O2220" s="2" t="s">
        <v>355</v>
      </c>
      <c r="P2220" s="2" t="s">
        <v>4095</v>
      </c>
      <c r="Q2220" s="2" t="s">
        <v>4096</v>
      </c>
      <c r="R2220" s="2" t="s">
        <v>29</v>
      </c>
      <c r="S2220" s="2" t="s">
        <v>30</v>
      </c>
    </row>
    <row r="2221" spans="1:19">
      <c r="A2221" s="1">
        <v>44927</v>
      </c>
      <c r="B2221" s="1">
        <v>44927</v>
      </c>
      <c r="C2221">
        <v>2023</v>
      </c>
      <c r="D2221">
        <v>1</v>
      </c>
      <c r="E2221" s="2" t="s">
        <v>358</v>
      </c>
      <c r="F2221" s="2" t="s">
        <v>359</v>
      </c>
      <c r="G2221" s="2" t="s">
        <v>21</v>
      </c>
      <c r="H2221" s="2" t="s">
        <v>22</v>
      </c>
      <c r="I2221" s="2" t="s">
        <v>352</v>
      </c>
      <c r="J2221" s="2" t="s">
        <v>353</v>
      </c>
      <c r="K2221">
        <v>105766.8</v>
      </c>
      <c r="L2221">
        <v>18176745.440000001</v>
      </c>
      <c r="M2221">
        <v>17185.68</v>
      </c>
      <c r="N2221" s="2" t="s">
        <v>360</v>
      </c>
      <c r="O2221" s="2" t="s">
        <v>361</v>
      </c>
      <c r="P2221" s="2" t="s">
        <v>4097</v>
      </c>
      <c r="Q2221" s="2" t="s">
        <v>4098</v>
      </c>
      <c r="R2221" s="2" t="s">
        <v>29</v>
      </c>
      <c r="S2221" s="2" t="s">
        <v>30</v>
      </c>
    </row>
    <row r="2222" spans="1:19">
      <c r="A2222" s="1">
        <v>44927</v>
      </c>
      <c r="B2222" s="1">
        <v>44927</v>
      </c>
      <c r="C2222">
        <v>2023</v>
      </c>
      <c r="D2222">
        <v>1</v>
      </c>
      <c r="E2222" s="2" t="s">
        <v>364</v>
      </c>
      <c r="F2222" s="2" t="s">
        <v>365</v>
      </c>
      <c r="G2222" s="2" t="s">
        <v>21</v>
      </c>
      <c r="H2222" s="2" t="s">
        <v>22</v>
      </c>
      <c r="I2222" s="2" t="s">
        <v>352</v>
      </c>
      <c r="J2222" s="2" t="s">
        <v>353</v>
      </c>
      <c r="K2222">
        <v>105562.62</v>
      </c>
      <c r="L2222">
        <v>5630278.6699999999</v>
      </c>
      <c r="M2222">
        <v>5333.59</v>
      </c>
      <c r="N2222" s="2" t="s">
        <v>366</v>
      </c>
      <c r="O2222" s="2" t="s">
        <v>367</v>
      </c>
      <c r="P2222" s="2" t="s">
        <v>4099</v>
      </c>
      <c r="Q2222" s="2" t="s">
        <v>4100</v>
      </c>
      <c r="R2222" s="2" t="s">
        <v>29</v>
      </c>
      <c r="S2222" s="2" t="s">
        <v>30</v>
      </c>
    </row>
    <row r="2223" spans="1:19">
      <c r="A2223" s="1">
        <v>44927</v>
      </c>
      <c r="B2223" s="1">
        <v>44927</v>
      </c>
      <c r="C2223">
        <v>2023</v>
      </c>
      <c r="D2223">
        <v>1</v>
      </c>
      <c r="E2223" s="2" t="s">
        <v>370</v>
      </c>
      <c r="F2223" s="2" t="s">
        <v>371</v>
      </c>
      <c r="G2223" s="2" t="s">
        <v>21</v>
      </c>
      <c r="H2223" s="2" t="s">
        <v>22</v>
      </c>
      <c r="I2223" s="2" t="s">
        <v>23</v>
      </c>
      <c r="J2223" s="2" t="s">
        <v>24</v>
      </c>
      <c r="K2223">
        <v>80385.88</v>
      </c>
      <c r="L2223">
        <v>1299058.78</v>
      </c>
      <c r="M2223">
        <v>1616.03</v>
      </c>
      <c r="N2223" s="2" t="s">
        <v>372</v>
      </c>
      <c r="O2223" s="2" t="s">
        <v>373</v>
      </c>
      <c r="P2223" s="2" t="s">
        <v>4101</v>
      </c>
      <c r="Q2223" s="2" t="s">
        <v>4102</v>
      </c>
      <c r="R2223" s="2" t="s">
        <v>29</v>
      </c>
      <c r="S2223" s="2" t="s">
        <v>30</v>
      </c>
    </row>
    <row r="2224" spans="1:19">
      <c r="A2224" s="1">
        <v>44927</v>
      </c>
      <c r="B2224" s="1">
        <v>44927</v>
      </c>
      <c r="C2224">
        <v>2023</v>
      </c>
      <c r="D2224">
        <v>1</v>
      </c>
      <c r="E2224" s="2" t="s">
        <v>376</v>
      </c>
      <c r="F2224" s="2" t="s">
        <v>377</v>
      </c>
      <c r="G2224" s="2" t="s">
        <v>21</v>
      </c>
      <c r="H2224" s="2" t="s">
        <v>22</v>
      </c>
      <c r="I2224" s="2" t="s">
        <v>23</v>
      </c>
      <c r="J2224" s="2" t="s">
        <v>378</v>
      </c>
      <c r="K2224">
        <v>1.79</v>
      </c>
      <c r="L2224">
        <v>19.489999999999998</v>
      </c>
      <c r="M2224">
        <v>1088.83</v>
      </c>
      <c r="N2224" s="2" t="s">
        <v>379</v>
      </c>
      <c r="O2224" s="2" t="s">
        <v>380</v>
      </c>
      <c r="P2224" s="2" t="s">
        <v>3918</v>
      </c>
      <c r="Q2224" s="2" t="s">
        <v>1989</v>
      </c>
      <c r="R2224" s="2" t="s">
        <v>29</v>
      </c>
      <c r="S2224" s="2" t="s">
        <v>30</v>
      </c>
    </row>
    <row r="2225" spans="1:19">
      <c r="A2225" s="1">
        <v>44958</v>
      </c>
      <c r="B2225" s="1">
        <v>44958</v>
      </c>
      <c r="C2225">
        <v>2023</v>
      </c>
      <c r="D2225">
        <v>2</v>
      </c>
      <c r="E2225" s="2" t="s">
        <v>19</v>
      </c>
      <c r="F2225" s="2" t="s">
        <v>20</v>
      </c>
      <c r="G2225" s="2" t="s">
        <v>21</v>
      </c>
      <c r="H2225" s="2" t="s">
        <v>22</v>
      </c>
      <c r="I2225" s="2" t="s">
        <v>23</v>
      </c>
      <c r="J2225" s="2" t="s">
        <v>24</v>
      </c>
      <c r="K2225">
        <v>0.31</v>
      </c>
      <c r="L2225">
        <v>22.44</v>
      </c>
      <c r="M2225">
        <v>7238.71</v>
      </c>
      <c r="N2225" s="2" t="s">
        <v>25</v>
      </c>
      <c r="O2225" s="2" t="s">
        <v>26</v>
      </c>
      <c r="P2225" s="2" t="s">
        <v>2811</v>
      </c>
      <c r="Q2225" s="2" t="s">
        <v>4103</v>
      </c>
      <c r="R2225" s="2" t="s">
        <v>29</v>
      </c>
      <c r="S2225" s="2" t="s">
        <v>30</v>
      </c>
    </row>
    <row r="2226" spans="1:19">
      <c r="A2226" s="1">
        <v>44958</v>
      </c>
      <c r="B2226" s="1">
        <v>44958</v>
      </c>
      <c r="C2226">
        <v>2023</v>
      </c>
      <c r="D2226">
        <v>2</v>
      </c>
      <c r="E2226" s="2" t="s">
        <v>31</v>
      </c>
      <c r="F2226" s="2" t="s">
        <v>32</v>
      </c>
      <c r="G2226" s="2" t="s">
        <v>21</v>
      </c>
      <c r="H2226" s="2" t="s">
        <v>22</v>
      </c>
      <c r="I2226" s="2" t="s">
        <v>23</v>
      </c>
      <c r="J2226" s="2" t="s">
        <v>24</v>
      </c>
      <c r="K2226">
        <v>2519.89</v>
      </c>
      <c r="L2226">
        <v>35468.300000000003</v>
      </c>
      <c r="M2226">
        <v>1407.53</v>
      </c>
      <c r="N2226" s="2" t="s">
        <v>33</v>
      </c>
      <c r="O2226" s="2" t="s">
        <v>34</v>
      </c>
      <c r="P2226" s="2" t="s">
        <v>4104</v>
      </c>
      <c r="Q2226" s="2" t="s">
        <v>4105</v>
      </c>
      <c r="R2226" s="2" t="s">
        <v>29</v>
      </c>
      <c r="S2226" s="2" t="s">
        <v>30</v>
      </c>
    </row>
    <row r="2227" spans="1:19">
      <c r="A2227" s="1">
        <v>44958</v>
      </c>
      <c r="B2227" s="1">
        <v>44958</v>
      </c>
      <c r="C2227">
        <v>2023</v>
      </c>
      <c r="D2227">
        <v>2</v>
      </c>
      <c r="E2227" s="2" t="s">
        <v>37</v>
      </c>
      <c r="F2227" s="2" t="s">
        <v>38</v>
      </c>
      <c r="G2227" s="2" t="s">
        <v>39</v>
      </c>
      <c r="H2227" s="2" t="s">
        <v>22</v>
      </c>
      <c r="I2227" s="2" t="s">
        <v>40</v>
      </c>
      <c r="J2227" s="2" t="s">
        <v>24</v>
      </c>
      <c r="K2227">
        <v>7.39</v>
      </c>
      <c r="L2227">
        <v>357.82</v>
      </c>
      <c r="M2227">
        <v>4841.95</v>
      </c>
      <c r="N2227" s="2" t="s">
        <v>41</v>
      </c>
      <c r="O2227" s="2" t="s">
        <v>42</v>
      </c>
      <c r="P2227" s="2" t="s">
        <v>4106</v>
      </c>
      <c r="Q2227" s="2" t="s">
        <v>4107</v>
      </c>
      <c r="R2227" s="2" t="s">
        <v>29</v>
      </c>
      <c r="S2227" s="2" t="s">
        <v>30</v>
      </c>
    </row>
    <row r="2228" spans="1:19">
      <c r="A2228" s="1">
        <v>44958</v>
      </c>
      <c r="B2228" s="1">
        <v>44958</v>
      </c>
      <c r="C2228">
        <v>2023</v>
      </c>
      <c r="D2228">
        <v>2</v>
      </c>
      <c r="E2228" s="2" t="s">
        <v>45</v>
      </c>
      <c r="F2228" s="2" t="s">
        <v>46</v>
      </c>
      <c r="G2228" s="2" t="s">
        <v>39</v>
      </c>
      <c r="H2228" s="2" t="s">
        <v>22</v>
      </c>
      <c r="I2228" s="2" t="s">
        <v>40</v>
      </c>
      <c r="J2228" s="2" t="s">
        <v>24</v>
      </c>
      <c r="K2228">
        <v>5433.46</v>
      </c>
      <c r="L2228">
        <v>262097.8</v>
      </c>
      <c r="M2228">
        <v>4823.7700000000004</v>
      </c>
      <c r="N2228" s="2" t="s">
        <v>47</v>
      </c>
      <c r="O2228" s="2" t="s">
        <v>48</v>
      </c>
      <c r="P2228" s="2" t="s">
        <v>4108</v>
      </c>
      <c r="Q2228" s="2" t="s">
        <v>4109</v>
      </c>
      <c r="R2228" s="2" t="s">
        <v>29</v>
      </c>
      <c r="S2228" s="2" t="s">
        <v>30</v>
      </c>
    </row>
    <row r="2229" spans="1:19">
      <c r="A2229" s="1">
        <v>44958</v>
      </c>
      <c r="B2229" s="1">
        <v>44958</v>
      </c>
      <c r="C2229">
        <v>2023</v>
      </c>
      <c r="D2229">
        <v>2</v>
      </c>
      <c r="E2229" s="2" t="s">
        <v>51</v>
      </c>
      <c r="F2229" s="2" t="s">
        <v>52</v>
      </c>
      <c r="G2229" s="2" t="s">
        <v>39</v>
      </c>
      <c r="H2229" s="2" t="s">
        <v>22</v>
      </c>
      <c r="I2229" s="2" t="s">
        <v>40</v>
      </c>
      <c r="J2229" s="2" t="s">
        <v>24</v>
      </c>
      <c r="K2229">
        <v>31.47</v>
      </c>
      <c r="L2229">
        <v>1225.03</v>
      </c>
      <c r="M2229">
        <v>3892.69</v>
      </c>
      <c r="N2229" s="2" t="s">
        <v>53</v>
      </c>
      <c r="O2229" s="2" t="s">
        <v>54</v>
      </c>
      <c r="P2229" s="2" t="s">
        <v>4110</v>
      </c>
      <c r="Q2229" s="2" t="s">
        <v>4111</v>
      </c>
      <c r="R2229" s="2" t="s">
        <v>29</v>
      </c>
      <c r="S2229" s="2" t="s">
        <v>30</v>
      </c>
    </row>
    <row r="2230" spans="1:19">
      <c r="A2230" s="1">
        <v>44958</v>
      </c>
      <c r="B2230" s="1">
        <v>44958</v>
      </c>
      <c r="C2230">
        <v>2023</v>
      </c>
      <c r="D2230">
        <v>2</v>
      </c>
      <c r="E2230" s="2" t="s">
        <v>57</v>
      </c>
      <c r="F2230" s="2" t="s">
        <v>58</v>
      </c>
      <c r="G2230" s="2" t="s">
        <v>39</v>
      </c>
      <c r="H2230" s="2" t="s">
        <v>22</v>
      </c>
      <c r="I2230" s="2" t="s">
        <v>40</v>
      </c>
      <c r="J2230" s="2" t="s">
        <v>59</v>
      </c>
      <c r="K2230">
        <v>5472.33</v>
      </c>
      <c r="L2230">
        <v>263680.65000000002</v>
      </c>
      <c r="M2230">
        <v>4818.43</v>
      </c>
      <c r="N2230" s="2" t="s">
        <v>60</v>
      </c>
      <c r="O2230" s="2" t="s">
        <v>61</v>
      </c>
      <c r="P2230" s="2" t="s">
        <v>4112</v>
      </c>
      <c r="Q2230" s="2" t="s">
        <v>4113</v>
      </c>
      <c r="R2230" s="2" t="s">
        <v>29</v>
      </c>
      <c r="S2230" s="2" t="s">
        <v>30</v>
      </c>
    </row>
    <row r="2231" spans="1:19">
      <c r="A2231" s="1">
        <v>44958</v>
      </c>
      <c r="B2231" s="1">
        <v>44958</v>
      </c>
      <c r="C2231">
        <v>2023</v>
      </c>
      <c r="D2231">
        <v>2</v>
      </c>
      <c r="E2231" s="2" t="s">
        <v>64</v>
      </c>
      <c r="F2231" s="2" t="s">
        <v>65</v>
      </c>
      <c r="G2231" s="2" t="s">
        <v>21</v>
      </c>
      <c r="H2231" s="2" t="s">
        <v>22</v>
      </c>
      <c r="I2231" s="2" t="s">
        <v>66</v>
      </c>
      <c r="J2231" s="2" t="s">
        <v>24</v>
      </c>
      <c r="K2231">
        <v>11.5</v>
      </c>
      <c r="L2231">
        <v>454.07</v>
      </c>
      <c r="M2231">
        <v>3948.43</v>
      </c>
      <c r="N2231" s="2" t="s">
        <v>67</v>
      </c>
      <c r="O2231" s="2" t="s">
        <v>68</v>
      </c>
      <c r="P2231" s="2" t="s">
        <v>4114</v>
      </c>
      <c r="Q2231" s="2" t="s">
        <v>4115</v>
      </c>
      <c r="R2231" s="2" t="s">
        <v>29</v>
      </c>
      <c r="S2231" s="2" t="s">
        <v>30</v>
      </c>
    </row>
    <row r="2232" spans="1:19">
      <c r="A2232" s="1">
        <v>44958</v>
      </c>
      <c r="B2232" s="1">
        <v>44958</v>
      </c>
      <c r="C2232">
        <v>2023</v>
      </c>
      <c r="D2232">
        <v>2</v>
      </c>
      <c r="E2232" s="2" t="s">
        <v>71</v>
      </c>
      <c r="F2232" s="2" t="s">
        <v>72</v>
      </c>
      <c r="G2232" s="2" t="s">
        <v>21</v>
      </c>
      <c r="H2232" s="2" t="s">
        <v>22</v>
      </c>
      <c r="I2232" s="2" t="s">
        <v>73</v>
      </c>
      <c r="J2232" s="2" t="s">
        <v>59</v>
      </c>
      <c r="K2232">
        <v>4588.51</v>
      </c>
      <c r="L2232">
        <v>168377.71</v>
      </c>
      <c r="M2232">
        <v>3669.55</v>
      </c>
      <c r="N2232" s="2" t="s">
        <v>74</v>
      </c>
      <c r="O2232" s="2" t="s">
        <v>75</v>
      </c>
      <c r="P2232" s="2" t="s">
        <v>4116</v>
      </c>
      <c r="Q2232" s="2" t="s">
        <v>4117</v>
      </c>
      <c r="R2232" s="2" t="s">
        <v>29</v>
      </c>
      <c r="S2232" s="2" t="s">
        <v>30</v>
      </c>
    </row>
    <row r="2233" spans="1:19">
      <c r="A2233" s="1">
        <v>44958</v>
      </c>
      <c r="B2233" s="1">
        <v>44958</v>
      </c>
      <c r="C2233">
        <v>2023</v>
      </c>
      <c r="D2233">
        <v>2</v>
      </c>
      <c r="E2233" s="2" t="s">
        <v>78</v>
      </c>
      <c r="F2233" s="2" t="s">
        <v>79</v>
      </c>
      <c r="G2233" s="2" t="s">
        <v>80</v>
      </c>
      <c r="H2233" s="2" t="s">
        <v>81</v>
      </c>
      <c r="I2233" s="2" t="s">
        <v>82</v>
      </c>
      <c r="J2233" s="2" t="s">
        <v>24</v>
      </c>
      <c r="K2233">
        <v>2.11</v>
      </c>
      <c r="L2233">
        <v>6602897.2599999998</v>
      </c>
      <c r="M2233">
        <v>312933519.43000001</v>
      </c>
      <c r="N2233" s="2" t="s">
        <v>83</v>
      </c>
      <c r="O2233" s="2" t="s">
        <v>84</v>
      </c>
      <c r="P2233" s="2" t="s">
        <v>3093</v>
      </c>
      <c r="Q2233" s="2" t="s">
        <v>4118</v>
      </c>
      <c r="R2233" s="2" t="s">
        <v>29</v>
      </c>
      <c r="S2233" s="2" t="s">
        <v>30</v>
      </c>
    </row>
    <row r="2234" spans="1:19">
      <c r="A2234" s="1">
        <v>44958</v>
      </c>
      <c r="B2234" s="1">
        <v>44958</v>
      </c>
      <c r="C2234">
        <v>2023</v>
      </c>
      <c r="D2234">
        <v>2</v>
      </c>
      <c r="E2234" s="2" t="s">
        <v>87</v>
      </c>
      <c r="F2234" s="2" t="s">
        <v>88</v>
      </c>
      <c r="G2234" s="2" t="s">
        <v>80</v>
      </c>
      <c r="H2234" s="2" t="s">
        <v>81</v>
      </c>
      <c r="I2234" s="2" t="s">
        <v>82</v>
      </c>
      <c r="J2234" s="2" t="s">
        <v>24</v>
      </c>
      <c r="K2234">
        <v>0.68</v>
      </c>
      <c r="L2234">
        <v>895740.38</v>
      </c>
      <c r="M2234">
        <v>131726526.47</v>
      </c>
      <c r="N2234" s="2" t="s">
        <v>89</v>
      </c>
      <c r="O2234" s="2" t="s">
        <v>90</v>
      </c>
      <c r="P2234" s="2" t="s">
        <v>808</v>
      </c>
      <c r="Q2234" s="2" t="s">
        <v>4119</v>
      </c>
      <c r="R2234" s="2" t="s">
        <v>29</v>
      </c>
      <c r="S2234" s="2" t="s">
        <v>30</v>
      </c>
    </row>
    <row r="2235" spans="1:19">
      <c r="A2235" s="1">
        <v>44958</v>
      </c>
      <c r="B2235" s="1">
        <v>44958</v>
      </c>
      <c r="C2235">
        <v>2023</v>
      </c>
      <c r="D2235">
        <v>2</v>
      </c>
      <c r="E2235" s="2" t="s">
        <v>93</v>
      </c>
      <c r="F2235" s="2" t="s">
        <v>94</v>
      </c>
      <c r="G2235" s="2" t="s">
        <v>80</v>
      </c>
      <c r="H2235" s="2" t="s">
        <v>81</v>
      </c>
      <c r="I2235" s="2" t="s">
        <v>82</v>
      </c>
      <c r="J2235" s="2" t="s">
        <v>24</v>
      </c>
      <c r="K2235">
        <v>0.38</v>
      </c>
      <c r="L2235">
        <v>6436404.4800000004</v>
      </c>
      <c r="M2235">
        <v>1693790652.6300001</v>
      </c>
      <c r="N2235" s="2" t="s">
        <v>95</v>
      </c>
      <c r="O2235" s="2" t="s">
        <v>96</v>
      </c>
      <c r="P2235" s="2" t="s">
        <v>827</v>
      </c>
      <c r="Q2235" s="2" t="s">
        <v>4120</v>
      </c>
      <c r="R2235" s="2" t="s">
        <v>29</v>
      </c>
      <c r="S2235" s="2" t="s">
        <v>30</v>
      </c>
    </row>
    <row r="2236" spans="1:19">
      <c r="A2236" s="1">
        <v>44958</v>
      </c>
      <c r="B2236" s="1">
        <v>44958</v>
      </c>
      <c r="C2236">
        <v>2023</v>
      </c>
      <c r="D2236">
        <v>2</v>
      </c>
      <c r="E2236" s="2" t="s">
        <v>99</v>
      </c>
      <c r="F2236" s="2" t="s">
        <v>100</v>
      </c>
      <c r="G2236" s="2" t="s">
        <v>80</v>
      </c>
      <c r="H2236" s="2" t="s">
        <v>81</v>
      </c>
      <c r="I2236" s="2" t="s">
        <v>82</v>
      </c>
      <c r="J2236" s="2" t="s">
        <v>101</v>
      </c>
      <c r="K2236">
        <v>1.27</v>
      </c>
      <c r="L2236">
        <v>14888685.359999999</v>
      </c>
      <c r="M2236">
        <v>1172337429.9200001</v>
      </c>
      <c r="N2236" s="2" t="s">
        <v>102</v>
      </c>
      <c r="O2236" s="2" t="s">
        <v>103</v>
      </c>
      <c r="P2236" s="2" t="s">
        <v>727</v>
      </c>
      <c r="Q2236" s="2" t="s">
        <v>4121</v>
      </c>
      <c r="R2236" s="2" t="s">
        <v>29</v>
      </c>
      <c r="S2236" s="2" t="s">
        <v>30</v>
      </c>
    </row>
    <row r="2237" spans="1:19">
      <c r="A2237" s="1">
        <v>44958</v>
      </c>
      <c r="B2237" s="1">
        <v>44958</v>
      </c>
      <c r="C2237">
        <v>2023</v>
      </c>
      <c r="D2237">
        <v>2</v>
      </c>
      <c r="E2237" s="2" t="s">
        <v>106</v>
      </c>
      <c r="F2237" s="2" t="s">
        <v>107</v>
      </c>
      <c r="G2237" s="2" t="s">
        <v>80</v>
      </c>
      <c r="H2237" s="2" t="s">
        <v>81</v>
      </c>
      <c r="I2237" s="2" t="s">
        <v>82</v>
      </c>
      <c r="J2237" s="2" t="s">
        <v>24</v>
      </c>
      <c r="K2237">
        <v>0.21</v>
      </c>
      <c r="L2237">
        <v>7556540.5</v>
      </c>
      <c r="M2237">
        <v>3598352619.0500002</v>
      </c>
      <c r="N2237" s="2" t="s">
        <v>108</v>
      </c>
      <c r="O2237" s="2" t="s">
        <v>109</v>
      </c>
      <c r="P2237" s="2" t="s">
        <v>403</v>
      </c>
      <c r="Q2237" s="2" t="s">
        <v>4122</v>
      </c>
      <c r="R2237" s="2" t="s">
        <v>29</v>
      </c>
      <c r="S2237" s="2" t="s">
        <v>30</v>
      </c>
    </row>
    <row r="2238" spans="1:19">
      <c r="A2238" s="1">
        <v>44958</v>
      </c>
      <c r="B2238" s="1">
        <v>44958</v>
      </c>
      <c r="C2238">
        <v>2023</v>
      </c>
      <c r="D2238">
        <v>2</v>
      </c>
      <c r="E2238" s="2" t="s">
        <v>111</v>
      </c>
      <c r="F2238" s="2" t="s">
        <v>112</v>
      </c>
      <c r="G2238" s="2" t="s">
        <v>80</v>
      </c>
      <c r="H2238" s="2" t="s">
        <v>81</v>
      </c>
      <c r="I2238" s="2" t="s">
        <v>82</v>
      </c>
      <c r="J2238" s="2" t="s">
        <v>24</v>
      </c>
      <c r="K2238">
        <v>0.13</v>
      </c>
      <c r="L2238">
        <v>789787.51</v>
      </c>
      <c r="M2238">
        <v>607528853.85000002</v>
      </c>
      <c r="N2238" s="2" t="s">
        <v>113</v>
      </c>
      <c r="O2238" s="2" t="s">
        <v>114</v>
      </c>
      <c r="P2238" s="2" t="s">
        <v>3378</v>
      </c>
      <c r="Q2238" s="2" t="s">
        <v>4123</v>
      </c>
      <c r="R2238" s="2" t="s">
        <v>29</v>
      </c>
      <c r="S2238" s="2" t="s">
        <v>30</v>
      </c>
    </row>
    <row r="2239" spans="1:19">
      <c r="A2239" s="1">
        <v>44958</v>
      </c>
      <c r="B2239" s="1">
        <v>44958</v>
      </c>
      <c r="C2239">
        <v>2023</v>
      </c>
      <c r="D2239">
        <v>2</v>
      </c>
      <c r="E2239" s="2" t="s">
        <v>117</v>
      </c>
      <c r="F2239" s="2" t="s">
        <v>118</v>
      </c>
      <c r="G2239" s="2" t="s">
        <v>80</v>
      </c>
      <c r="H2239" s="2" t="s">
        <v>81</v>
      </c>
      <c r="I2239" s="2" t="s">
        <v>82</v>
      </c>
      <c r="J2239" s="2" t="s">
        <v>59</v>
      </c>
      <c r="K2239">
        <v>3.51</v>
      </c>
      <c r="L2239">
        <v>22281370.129999999</v>
      </c>
      <c r="M2239">
        <v>634796869.79999995</v>
      </c>
      <c r="N2239" s="2" t="s">
        <v>119</v>
      </c>
      <c r="O2239" s="2" t="s">
        <v>120</v>
      </c>
      <c r="P2239" s="2" t="s">
        <v>4124</v>
      </c>
      <c r="Q2239" s="2" t="s">
        <v>4125</v>
      </c>
      <c r="R2239" s="2" t="s">
        <v>29</v>
      </c>
      <c r="S2239" s="2" t="s">
        <v>30</v>
      </c>
    </row>
    <row r="2240" spans="1:19">
      <c r="A2240" s="1">
        <v>44958</v>
      </c>
      <c r="B2240" s="1">
        <v>44958</v>
      </c>
      <c r="C2240">
        <v>2023</v>
      </c>
      <c r="D2240">
        <v>2</v>
      </c>
      <c r="E2240" s="2" t="s">
        <v>123</v>
      </c>
      <c r="F2240" s="2" t="s">
        <v>124</v>
      </c>
      <c r="G2240" s="2" t="s">
        <v>21</v>
      </c>
      <c r="H2240" s="2" t="s">
        <v>22</v>
      </c>
      <c r="I2240" s="2" t="s">
        <v>73</v>
      </c>
      <c r="J2240" s="2" t="s">
        <v>24</v>
      </c>
      <c r="K2240">
        <v>1067.32</v>
      </c>
      <c r="L2240">
        <v>74073.490000000005</v>
      </c>
      <c r="M2240">
        <v>6940.14</v>
      </c>
      <c r="N2240" s="2" t="s">
        <v>125</v>
      </c>
      <c r="O2240" s="2" t="s">
        <v>126</v>
      </c>
      <c r="P2240" s="2" t="s">
        <v>4126</v>
      </c>
      <c r="Q2240" s="2" t="s">
        <v>4127</v>
      </c>
      <c r="R2240" s="2" t="s">
        <v>29</v>
      </c>
      <c r="S2240" s="2" t="s">
        <v>30</v>
      </c>
    </row>
    <row r="2241" spans="1:19">
      <c r="A2241" s="1">
        <v>44958</v>
      </c>
      <c r="B2241" s="1">
        <v>44958</v>
      </c>
      <c r="C2241">
        <v>2023</v>
      </c>
      <c r="D2241">
        <v>2</v>
      </c>
      <c r="E2241" s="2" t="s">
        <v>129</v>
      </c>
      <c r="F2241" s="2" t="s">
        <v>130</v>
      </c>
      <c r="G2241" s="2" t="s">
        <v>21</v>
      </c>
      <c r="H2241" s="2" t="s">
        <v>22</v>
      </c>
      <c r="I2241" s="2" t="s">
        <v>73</v>
      </c>
      <c r="J2241" s="2" t="s">
        <v>24</v>
      </c>
      <c r="K2241">
        <v>1255.8800000000001</v>
      </c>
      <c r="L2241">
        <v>44610.84</v>
      </c>
      <c r="M2241">
        <v>3552.16</v>
      </c>
      <c r="N2241" s="2" t="s">
        <v>131</v>
      </c>
      <c r="O2241" s="2" t="s">
        <v>132</v>
      </c>
      <c r="P2241" s="2" t="s">
        <v>4128</v>
      </c>
      <c r="Q2241" s="2" t="s">
        <v>4129</v>
      </c>
      <c r="R2241" s="2" t="s">
        <v>29</v>
      </c>
      <c r="S2241" s="2" t="s">
        <v>30</v>
      </c>
    </row>
    <row r="2242" spans="1:19">
      <c r="A2242" s="1">
        <v>44958</v>
      </c>
      <c r="B2242" s="1">
        <v>44958</v>
      </c>
      <c r="C2242">
        <v>2023</v>
      </c>
      <c r="D2242">
        <v>2</v>
      </c>
      <c r="E2242" s="2" t="s">
        <v>135</v>
      </c>
      <c r="F2242" s="2" t="s">
        <v>136</v>
      </c>
      <c r="G2242" s="2" t="s">
        <v>21</v>
      </c>
      <c r="H2242" s="2" t="s">
        <v>22</v>
      </c>
      <c r="I2242" s="2" t="s">
        <v>73</v>
      </c>
      <c r="J2242" s="2" t="s">
        <v>101</v>
      </c>
      <c r="K2242">
        <v>2323.1999999999998</v>
      </c>
      <c r="L2242">
        <v>118684.32</v>
      </c>
      <c r="M2242">
        <v>5108.66</v>
      </c>
      <c r="N2242" s="2" t="s">
        <v>137</v>
      </c>
      <c r="O2242" s="2" t="s">
        <v>138</v>
      </c>
      <c r="P2242" s="2" t="s">
        <v>4130</v>
      </c>
      <c r="Q2242" s="2" t="s">
        <v>4131</v>
      </c>
      <c r="R2242" s="2" t="s">
        <v>29</v>
      </c>
      <c r="S2242" s="2" t="s">
        <v>30</v>
      </c>
    </row>
    <row r="2243" spans="1:19">
      <c r="A2243" s="1">
        <v>44958</v>
      </c>
      <c r="B2243" s="1">
        <v>44958</v>
      </c>
      <c r="C2243">
        <v>2023</v>
      </c>
      <c r="D2243">
        <v>2</v>
      </c>
      <c r="E2243" s="2" t="s">
        <v>141</v>
      </c>
      <c r="F2243" s="2" t="s">
        <v>142</v>
      </c>
      <c r="G2243" s="2" t="s">
        <v>21</v>
      </c>
      <c r="H2243" s="2" t="s">
        <v>22</v>
      </c>
      <c r="I2243" s="2" t="s">
        <v>73</v>
      </c>
      <c r="J2243" s="2" t="s">
        <v>24</v>
      </c>
      <c r="K2243">
        <v>683.36</v>
      </c>
      <c r="L2243">
        <v>16261.17</v>
      </c>
      <c r="M2243">
        <v>2379.59</v>
      </c>
      <c r="N2243" s="2" t="s">
        <v>143</v>
      </c>
      <c r="O2243" s="2" t="s">
        <v>144</v>
      </c>
      <c r="P2243" s="2" t="s">
        <v>4132</v>
      </c>
      <c r="Q2243" s="2" t="s">
        <v>4133</v>
      </c>
      <c r="R2243" s="2" t="s">
        <v>29</v>
      </c>
      <c r="S2243" s="2" t="s">
        <v>30</v>
      </c>
    </row>
    <row r="2244" spans="1:19">
      <c r="A2244" s="1">
        <v>44958</v>
      </c>
      <c r="B2244" s="1">
        <v>44958</v>
      </c>
      <c r="C2244">
        <v>2023</v>
      </c>
      <c r="D2244">
        <v>2</v>
      </c>
      <c r="E2244" s="2" t="s">
        <v>147</v>
      </c>
      <c r="F2244" s="2" t="s">
        <v>148</v>
      </c>
      <c r="G2244" s="2" t="s">
        <v>21</v>
      </c>
      <c r="H2244" s="2" t="s">
        <v>22</v>
      </c>
      <c r="I2244" s="2" t="s">
        <v>73</v>
      </c>
      <c r="J2244" s="2" t="s">
        <v>24</v>
      </c>
      <c r="K2244">
        <v>1581.95</v>
      </c>
      <c r="L2244">
        <v>33432.21</v>
      </c>
      <c r="M2244">
        <v>2113.35</v>
      </c>
      <c r="N2244" s="2" t="s">
        <v>149</v>
      </c>
      <c r="O2244" s="2" t="s">
        <v>150</v>
      </c>
      <c r="P2244" s="2" t="s">
        <v>4134</v>
      </c>
      <c r="Q2244" s="2" t="s">
        <v>4135</v>
      </c>
      <c r="R2244" s="2" t="s">
        <v>29</v>
      </c>
      <c r="S2244" s="2" t="s">
        <v>30</v>
      </c>
    </row>
    <row r="2245" spans="1:19">
      <c r="A2245" s="1">
        <v>44958</v>
      </c>
      <c r="B2245" s="1">
        <v>44958</v>
      </c>
      <c r="C2245">
        <v>2023</v>
      </c>
      <c r="D2245">
        <v>2</v>
      </c>
      <c r="E2245" s="2" t="s">
        <v>153</v>
      </c>
      <c r="F2245" s="2" t="s">
        <v>154</v>
      </c>
      <c r="G2245" s="2" t="s">
        <v>21</v>
      </c>
      <c r="H2245" s="2" t="s">
        <v>22</v>
      </c>
      <c r="I2245" s="2" t="s">
        <v>73</v>
      </c>
      <c r="J2245" s="2" t="s">
        <v>101</v>
      </c>
      <c r="K2245">
        <v>2265.31</v>
      </c>
      <c r="L2245">
        <v>49693.39</v>
      </c>
      <c r="M2245">
        <v>2193.67</v>
      </c>
      <c r="N2245" s="2" t="s">
        <v>155</v>
      </c>
      <c r="O2245" s="2" t="s">
        <v>156</v>
      </c>
      <c r="P2245" s="2" t="s">
        <v>4136</v>
      </c>
      <c r="Q2245" s="2" t="s">
        <v>4137</v>
      </c>
      <c r="R2245" s="2" t="s">
        <v>29</v>
      </c>
      <c r="S2245" s="2" t="s">
        <v>30</v>
      </c>
    </row>
    <row r="2246" spans="1:19">
      <c r="A2246" s="1">
        <v>44958</v>
      </c>
      <c r="B2246" s="1">
        <v>44958</v>
      </c>
      <c r="C2246">
        <v>2023</v>
      </c>
      <c r="D2246">
        <v>2</v>
      </c>
      <c r="E2246" s="2" t="s">
        <v>159</v>
      </c>
      <c r="F2246" s="2" t="s">
        <v>160</v>
      </c>
      <c r="G2246" s="2" t="s">
        <v>21</v>
      </c>
      <c r="H2246" s="2" t="s">
        <v>22</v>
      </c>
      <c r="I2246" s="2" t="s">
        <v>66</v>
      </c>
      <c r="J2246" s="2" t="s">
        <v>59</v>
      </c>
      <c r="K2246">
        <v>1359.79</v>
      </c>
      <c r="L2246">
        <v>115271.9</v>
      </c>
      <c r="M2246">
        <v>8477.18</v>
      </c>
      <c r="N2246" s="2" t="s">
        <v>161</v>
      </c>
      <c r="O2246" s="2" t="s">
        <v>162</v>
      </c>
      <c r="P2246" s="2" t="s">
        <v>4138</v>
      </c>
      <c r="Q2246" s="2" t="s">
        <v>4139</v>
      </c>
      <c r="R2246" s="2" t="s">
        <v>29</v>
      </c>
      <c r="S2246" s="2" t="s">
        <v>30</v>
      </c>
    </row>
    <row r="2247" spans="1:19">
      <c r="A2247" s="1">
        <v>44958</v>
      </c>
      <c r="B2247" s="1">
        <v>44958</v>
      </c>
      <c r="C2247">
        <v>2023</v>
      </c>
      <c r="D2247">
        <v>2</v>
      </c>
      <c r="E2247" s="2" t="s">
        <v>165</v>
      </c>
      <c r="F2247" s="2" t="s">
        <v>166</v>
      </c>
      <c r="G2247" s="2" t="s">
        <v>21</v>
      </c>
      <c r="H2247" s="2" t="s">
        <v>22</v>
      </c>
      <c r="I2247" s="2" t="s">
        <v>23</v>
      </c>
      <c r="J2247" s="2" t="s">
        <v>24</v>
      </c>
      <c r="N2247" s="2" t="s">
        <v>167</v>
      </c>
      <c r="O2247" s="2" t="s">
        <v>168</v>
      </c>
      <c r="P2247" s="2" t="s">
        <v>175</v>
      </c>
      <c r="Q2247" s="2" t="s">
        <v>175</v>
      </c>
      <c r="R2247" s="2" t="s">
        <v>640</v>
      </c>
      <c r="S2247" s="2" t="s">
        <v>641</v>
      </c>
    </row>
    <row r="2248" spans="1:19">
      <c r="A2248" s="1">
        <v>44958</v>
      </c>
      <c r="B2248" s="1">
        <v>44958</v>
      </c>
      <c r="C2248">
        <v>2023</v>
      </c>
      <c r="D2248">
        <v>2</v>
      </c>
      <c r="E2248" s="2" t="s">
        <v>171</v>
      </c>
      <c r="F2248" s="2" t="s">
        <v>172</v>
      </c>
      <c r="G2248" s="2" t="s">
        <v>21</v>
      </c>
      <c r="H2248" s="2" t="s">
        <v>22</v>
      </c>
      <c r="I2248" s="2" t="s">
        <v>66</v>
      </c>
      <c r="J2248" s="2" t="s">
        <v>24</v>
      </c>
      <c r="N2248" s="2" t="s">
        <v>173</v>
      </c>
      <c r="O2248" s="2" t="s">
        <v>174</v>
      </c>
      <c r="P2248" s="2" t="s">
        <v>175</v>
      </c>
      <c r="Q2248" s="2" t="s">
        <v>175</v>
      </c>
      <c r="R2248" s="2" t="s">
        <v>640</v>
      </c>
      <c r="S2248" s="2" t="s">
        <v>641</v>
      </c>
    </row>
    <row r="2249" spans="1:19">
      <c r="A2249" s="1">
        <v>44958</v>
      </c>
      <c r="B2249" s="1">
        <v>44958</v>
      </c>
      <c r="C2249">
        <v>2023</v>
      </c>
      <c r="D2249">
        <v>2</v>
      </c>
      <c r="E2249" s="2" t="s">
        <v>177</v>
      </c>
      <c r="F2249" s="2" t="s">
        <v>178</v>
      </c>
      <c r="G2249" s="2" t="s">
        <v>21</v>
      </c>
      <c r="H2249" s="2" t="s">
        <v>22</v>
      </c>
      <c r="I2249" s="2" t="s">
        <v>23</v>
      </c>
      <c r="J2249" s="2" t="s">
        <v>24</v>
      </c>
      <c r="K2249">
        <v>4478.13</v>
      </c>
      <c r="L2249">
        <v>468647.13</v>
      </c>
      <c r="M2249">
        <v>10465.24</v>
      </c>
      <c r="N2249" s="2" t="s">
        <v>179</v>
      </c>
      <c r="O2249" s="2" t="s">
        <v>180</v>
      </c>
      <c r="P2249" s="2" t="s">
        <v>4140</v>
      </c>
      <c r="Q2249" s="2" t="s">
        <v>4141</v>
      </c>
      <c r="R2249" s="2" t="s">
        <v>29</v>
      </c>
      <c r="S2249" s="2" t="s">
        <v>30</v>
      </c>
    </row>
    <row r="2250" spans="1:19">
      <c r="A2250" s="1">
        <v>44958</v>
      </c>
      <c r="B2250" s="1">
        <v>44958</v>
      </c>
      <c r="C2250">
        <v>2023</v>
      </c>
      <c r="D2250">
        <v>2</v>
      </c>
      <c r="E2250" s="2" t="s">
        <v>183</v>
      </c>
      <c r="F2250" s="2" t="s">
        <v>184</v>
      </c>
      <c r="G2250" s="2" t="s">
        <v>185</v>
      </c>
      <c r="H2250" s="2" t="s">
        <v>22</v>
      </c>
      <c r="I2250" s="2" t="s">
        <v>186</v>
      </c>
      <c r="J2250" s="2" t="s">
        <v>24</v>
      </c>
      <c r="K2250">
        <v>2484.4899999999998</v>
      </c>
      <c r="L2250">
        <v>3207966.21</v>
      </c>
      <c r="M2250">
        <v>129119.71</v>
      </c>
      <c r="N2250" s="2" t="s">
        <v>187</v>
      </c>
      <c r="O2250" s="2" t="s">
        <v>188</v>
      </c>
      <c r="P2250" s="2" t="s">
        <v>4142</v>
      </c>
      <c r="Q2250" s="2" t="s">
        <v>4143</v>
      </c>
      <c r="R2250" s="2" t="s">
        <v>29</v>
      </c>
      <c r="S2250" s="2" t="s">
        <v>30</v>
      </c>
    </row>
    <row r="2251" spans="1:19">
      <c r="A2251" s="1">
        <v>44958</v>
      </c>
      <c r="B2251" s="1">
        <v>44958</v>
      </c>
      <c r="C2251">
        <v>2023</v>
      </c>
      <c r="D2251">
        <v>2</v>
      </c>
      <c r="E2251" s="2" t="s">
        <v>191</v>
      </c>
      <c r="F2251" s="2" t="s">
        <v>192</v>
      </c>
      <c r="G2251" s="2" t="s">
        <v>185</v>
      </c>
      <c r="H2251" s="2" t="s">
        <v>22</v>
      </c>
      <c r="I2251" s="2" t="s">
        <v>186</v>
      </c>
      <c r="J2251" s="2" t="s">
        <v>24</v>
      </c>
      <c r="K2251">
        <v>834.55</v>
      </c>
      <c r="L2251">
        <v>4172937.46</v>
      </c>
      <c r="M2251">
        <v>500022.46</v>
      </c>
      <c r="N2251" s="2" t="s">
        <v>193</v>
      </c>
      <c r="O2251" s="2" t="s">
        <v>194</v>
      </c>
      <c r="P2251" s="2" t="s">
        <v>4144</v>
      </c>
      <c r="Q2251" s="2" t="s">
        <v>4145</v>
      </c>
      <c r="R2251" s="2" t="s">
        <v>29</v>
      </c>
      <c r="S2251" s="2" t="s">
        <v>30</v>
      </c>
    </row>
    <row r="2252" spans="1:19">
      <c r="A2252" s="1">
        <v>44958</v>
      </c>
      <c r="B2252" s="1">
        <v>44958</v>
      </c>
      <c r="C2252">
        <v>2023</v>
      </c>
      <c r="D2252">
        <v>2</v>
      </c>
      <c r="E2252" s="2" t="s">
        <v>197</v>
      </c>
      <c r="F2252" s="2" t="s">
        <v>198</v>
      </c>
      <c r="G2252" s="2" t="s">
        <v>185</v>
      </c>
      <c r="H2252" s="2" t="s">
        <v>22</v>
      </c>
      <c r="I2252" s="2" t="s">
        <v>186</v>
      </c>
      <c r="J2252" s="2" t="s">
        <v>59</v>
      </c>
      <c r="K2252">
        <v>3319.04</v>
      </c>
      <c r="L2252">
        <v>7380903.6699999999</v>
      </c>
      <c r="M2252">
        <v>222380.68</v>
      </c>
      <c r="N2252" s="2" t="s">
        <v>199</v>
      </c>
      <c r="O2252" s="2" t="s">
        <v>200</v>
      </c>
      <c r="P2252" s="2" t="s">
        <v>4146</v>
      </c>
      <c r="Q2252" s="2" t="s">
        <v>4147</v>
      </c>
      <c r="R2252" s="2" t="s">
        <v>29</v>
      </c>
      <c r="S2252" s="2" t="s">
        <v>30</v>
      </c>
    </row>
    <row r="2253" spans="1:19">
      <c r="A2253" s="1">
        <v>44958</v>
      </c>
      <c r="B2253" s="1">
        <v>44958</v>
      </c>
      <c r="C2253">
        <v>2023</v>
      </c>
      <c r="D2253">
        <v>2</v>
      </c>
      <c r="E2253" s="2" t="s">
        <v>203</v>
      </c>
      <c r="F2253" s="2" t="s">
        <v>204</v>
      </c>
      <c r="G2253" s="2" t="s">
        <v>39</v>
      </c>
      <c r="H2253" s="2" t="s">
        <v>22</v>
      </c>
      <c r="I2253" s="2" t="s">
        <v>40</v>
      </c>
      <c r="J2253" s="2" t="s">
        <v>24</v>
      </c>
      <c r="K2253">
        <v>918.44</v>
      </c>
      <c r="L2253">
        <v>25483.16</v>
      </c>
      <c r="M2253">
        <v>2774.61</v>
      </c>
      <c r="N2253" s="2" t="s">
        <v>205</v>
      </c>
      <c r="O2253" s="2" t="s">
        <v>206</v>
      </c>
      <c r="P2253" s="2" t="s">
        <v>4148</v>
      </c>
      <c r="Q2253" s="2" t="s">
        <v>4149</v>
      </c>
      <c r="R2253" s="2" t="s">
        <v>29</v>
      </c>
      <c r="S2253" s="2" t="s">
        <v>30</v>
      </c>
    </row>
    <row r="2254" spans="1:19">
      <c r="A2254" s="1">
        <v>44958</v>
      </c>
      <c r="B2254" s="1">
        <v>44958</v>
      </c>
      <c r="C2254">
        <v>2023</v>
      </c>
      <c r="D2254">
        <v>2</v>
      </c>
      <c r="E2254" s="2" t="s">
        <v>209</v>
      </c>
      <c r="F2254" s="2" t="s">
        <v>210</v>
      </c>
      <c r="G2254" s="2" t="s">
        <v>39</v>
      </c>
      <c r="H2254" s="2" t="s">
        <v>22</v>
      </c>
      <c r="I2254" s="2" t="s">
        <v>40</v>
      </c>
      <c r="J2254" s="2" t="s">
        <v>59</v>
      </c>
      <c r="K2254">
        <v>918.44</v>
      </c>
      <c r="L2254">
        <v>25483.16</v>
      </c>
      <c r="M2254">
        <v>2774.61</v>
      </c>
      <c r="N2254" s="2" t="s">
        <v>211</v>
      </c>
      <c r="O2254" s="2" t="s">
        <v>212</v>
      </c>
      <c r="P2254" s="2" t="s">
        <v>4148</v>
      </c>
      <c r="Q2254" s="2" t="s">
        <v>4149</v>
      </c>
      <c r="R2254" s="2" t="s">
        <v>29</v>
      </c>
      <c r="S2254" s="2" t="s">
        <v>30</v>
      </c>
    </row>
    <row r="2255" spans="1:19">
      <c r="A2255" s="1">
        <v>44958</v>
      </c>
      <c r="B2255" s="1">
        <v>44958</v>
      </c>
      <c r="C2255">
        <v>2023</v>
      </c>
      <c r="D2255">
        <v>2</v>
      </c>
      <c r="E2255" s="2" t="s">
        <v>213</v>
      </c>
      <c r="F2255" s="2" t="s">
        <v>214</v>
      </c>
      <c r="G2255" s="2" t="s">
        <v>185</v>
      </c>
      <c r="H2255" s="2" t="s">
        <v>22</v>
      </c>
      <c r="I2255" s="2" t="s">
        <v>215</v>
      </c>
      <c r="J2255" s="2" t="s">
        <v>24</v>
      </c>
      <c r="K2255">
        <v>67435.09</v>
      </c>
      <c r="L2255">
        <v>1576313.6</v>
      </c>
      <c r="M2255">
        <v>2337.5300000000002</v>
      </c>
      <c r="N2255" s="2" t="s">
        <v>216</v>
      </c>
      <c r="O2255" s="2" t="s">
        <v>217</v>
      </c>
      <c r="P2255" s="2" t="s">
        <v>4150</v>
      </c>
      <c r="Q2255" s="2" t="s">
        <v>4151</v>
      </c>
      <c r="R2255" s="2" t="s">
        <v>29</v>
      </c>
      <c r="S2255" s="2" t="s">
        <v>30</v>
      </c>
    </row>
    <row r="2256" spans="1:19">
      <c r="A2256" s="1">
        <v>44958</v>
      </c>
      <c r="B2256" s="1">
        <v>44958</v>
      </c>
      <c r="C2256">
        <v>2023</v>
      </c>
      <c r="D2256">
        <v>2</v>
      </c>
      <c r="E2256" s="2" t="s">
        <v>220</v>
      </c>
      <c r="F2256" s="2" t="s">
        <v>221</v>
      </c>
      <c r="G2256" s="2" t="s">
        <v>185</v>
      </c>
      <c r="H2256" s="2" t="s">
        <v>22</v>
      </c>
      <c r="I2256" s="2" t="s">
        <v>215</v>
      </c>
      <c r="J2256" s="2" t="s">
        <v>24</v>
      </c>
      <c r="K2256">
        <v>5107.7700000000004</v>
      </c>
      <c r="L2256">
        <v>353815.22</v>
      </c>
      <c r="M2256">
        <v>6927</v>
      </c>
      <c r="N2256" s="2" t="s">
        <v>222</v>
      </c>
      <c r="O2256" s="2" t="s">
        <v>223</v>
      </c>
      <c r="P2256" s="2" t="s">
        <v>4152</v>
      </c>
      <c r="Q2256" s="2" t="s">
        <v>4153</v>
      </c>
      <c r="R2256" s="2" t="s">
        <v>29</v>
      </c>
      <c r="S2256" s="2" t="s">
        <v>30</v>
      </c>
    </row>
    <row r="2257" spans="1:19">
      <c r="A2257" s="1">
        <v>44958</v>
      </c>
      <c r="B2257" s="1">
        <v>44958</v>
      </c>
      <c r="C2257">
        <v>2023</v>
      </c>
      <c r="D2257">
        <v>2</v>
      </c>
      <c r="E2257" s="2" t="s">
        <v>226</v>
      </c>
      <c r="F2257" s="2" t="s">
        <v>227</v>
      </c>
      <c r="G2257" s="2" t="s">
        <v>185</v>
      </c>
      <c r="H2257" s="2" t="s">
        <v>22</v>
      </c>
      <c r="I2257" s="2" t="s">
        <v>215</v>
      </c>
      <c r="J2257" s="2" t="s">
        <v>59</v>
      </c>
      <c r="K2257">
        <v>72542.86</v>
      </c>
      <c r="L2257">
        <v>1930128.81</v>
      </c>
      <c r="M2257">
        <v>2660.67</v>
      </c>
      <c r="N2257" s="2" t="s">
        <v>228</v>
      </c>
      <c r="O2257" s="2" t="s">
        <v>229</v>
      </c>
      <c r="P2257" s="2" t="s">
        <v>4154</v>
      </c>
      <c r="Q2257" s="2" t="s">
        <v>4155</v>
      </c>
      <c r="R2257" s="2" t="s">
        <v>29</v>
      </c>
      <c r="S2257" s="2" t="s">
        <v>30</v>
      </c>
    </row>
    <row r="2258" spans="1:19">
      <c r="A2258" s="1">
        <v>44958</v>
      </c>
      <c r="B2258" s="1">
        <v>44958</v>
      </c>
      <c r="C2258">
        <v>2023</v>
      </c>
      <c r="D2258">
        <v>2</v>
      </c>
      <c r="E2258" s="2" t="s">
        <v>232</v>
      </c>
      <c r="F2258" s="2" t="s">
        <v>233</v>
      </c>
      <c r="G2258" s="2" t="s">
        <v>21</v>
      </c>
      <c r="H2258" s="2" t="s">
        <v>22</v>
      </c>
      <c r="I2258" s="2" t="s">
        <v>23</v>
      </c>
      <c r="J2258" s="2" t="s">
        <v>24</v>
      </c>
      <c r="K2258">
        <v>1517.57</v>
      </c>
      <c r="L2258">
        <v>131504.73000000001</v>
      </c>
      <c r="M2258">
        <v>8665.48</v>
      </c>
      <c r="N2258" s="2" t="s">
        <v>234</v>
      </c>
      <c r="O2258" s="2" t="s">
        <v>235</v>
      </c>
      <c r="P2258" s="2" t="s">
        <v>4156</v>
      </c>
      <c r="Q2258" s="2" t="s">
        <v>4157</v>
      </c>
      <c r="R2258" s="2" t="s">
        <v>29</v>
      </c>
      <c r="S2258" s="2" t="s">
        <v>30</v>
      </c>
    </row>
    <row r="2259" spans="1:19">
      <c r="A2259" s="1">
        <v>44958</v>
      </c>
      <c r="B2259" s="1">
        <v>44958</v>
      </c>
      <c r="C2259">
        <v>2023</v>
      </c>
      <c r="D2259">
        <v>2</v>
      </c>
      <c r="E2259" s="2" t="s">
        <v>238</v>
      </c>
      <c r="F2259" s="2" t="s">
        <v>239</v>
      </c>
      <c r="G2259" s="2" t="s">
        <v>21</v>
      </c>
      <c r="H2259" s="2" t="s">
        <v>22</v>
      </c>
      <c r="I2259" s="2" t="s">
        <v>66</v>
      </c>
      <c r="J2259" s="2" t="s">
        <v>24</v>
      </c>
      <c r="K2259">
        <v>1209.1300000000001</v>
      </c>
      <c r="L2259">
        <v>114587.27</v>
      </c>
      <c r="M2259">
        <v>9476.84</v>
      </c>
      <c r="N2259" s="2" t="s">
        <v>240</v>
      </c>
      <c r="O2259" s="2" t="s">
        <v>241</v>
      </c>
      <c r="P2259" s="2" t="s">
        <v>4158</v>
      </c>
      <c r="Q2259" s="2" t="s">
        <v>4159</v>
      </c>
      <c r="R2259" s="2" t="s">
        <v>29</v>
      </c>
      <c r="S2259" s="2" t="s">
        <v>30</v>
      </c>
    </row>
    <row r="2260" spans="1:19">
      <c r="A2260" s="1">
        <v>44958</v>
      </c>
      <c r="B2260" s="1">
        <v>44958</v>
      </c>
      <c r="C2260">
        <v>2023</v>
      </c>
      <c r="D2260">
        <v>2</v>
      </c>
      <c r="E2260" s="2" t="s">
        <v>244</v>
      </c>
      <c r="F2260" s="2" t="s">
        <v>245</v>
      </c>
      <c r="G2260" s="2" t="s">
        <v>21</v>
      </c>
      <c r="H2260" s="2" t="s">
        <v>22</v>
      </c>
      <c r="I2260" s="2" t="s">
        <v>23</v>
      </c>
      <c r="J2260" s="2" t="s">
        <v>24</v>
      </c>
      <c r="K2260">
        <v>4675.6099999999997</v>
      </c>
      <c r="L2260">
        <v>2775971.89</v>
      </c>
      <c r="M2260">
        <v>59371.33</v>
      </c>
      <c r="N2260" s="2" t="s">
        <v>246</v>
      </c>
      <c r="O2260" s="2" t="s">
        <v>247</v>
      </c>
      <c r="P2260" s="2" t="s">
        <v>4160</v>
      </c>
      <c r="Q2260" s="2" t="s">
        <v>4161</v>
      </c>
      <c r="R2260" s="2" t="s">
        <v>29</v>
      </c>
      <c r="S2260" s="2" t="s">
        <v>30</v>
      </c>
    </row>
    <row r="2261" spans="1:19">
      <c r="A2261" s="1">
        <v>44958</v>
      </c>
      <c r="B2261" s="1">
        <v>44958</v>
      </c>
      <c r="C2261">
        <v>2023</v>
      </c>
      <c r="D2261">
        <v>2</v>
      </c>
      <c r="E2261" s="2" t="s">
        <v>250</v>
      </c>
      <c r="F2261" s="2" t="s">
        <v>251</v>
      </c>
      <c r="G2261" s="2" t="s">
        <v>21</v>
      </c>
      <c r="H2261" s="2" t="s">
        <v>22</v>
      </c>
      <c r="I2261" s="2" t="s">
        <v>66</v>
      </c>
      <c r="J2261" s="2" t="s">
        <v>24</v>
      </c>
      <c r="K2261">
        <v>139.16</v>
      </c>
      <c r="L2261">
        <v>230.55</v>
      </c>
      <c r="M2261">
        <v>165.67</v>
      </c>
      <c r="N2261" s="2" t="s">
        <v>252</v>
      </c>
      <c r="O2261" s="2" t="s">
        <v>253</v>
      </c>
      <c r="P2261" s="2" t="s">
        <v>4162</v>
      </c>
      <c r="Q2261" s="2" t="s">
        <v>4163</v>
      </c>
      <c r="R2261" s="2" t="s">
        <v>29</v>
      </c>
      <c r="S2261" s="2" t="s">
        <v>30</v>
      </c>
    </row>
    <row r="2262" spans="1:19">
      <c r="A2262" s="1">
        <v>44958</v>
      </c>
      <c r="B2262" s="1">
        <v>44958</v>
      </c>
      <c r="C2262">
        <v>2023</v>
      </c>
      <c r="D2262">
        <v>2</v>
      </c>
      <c r="E2262" s="2" t="s">
        <v>256</v>
      </c>
      <c r="F2262" s="2" t="s">
        <v>257</v>
      </c>
      <c r="G2262" s="2" t="s">
        <v>21</v>
      </c>
      <c r="H2262" s="2" t="s">
        <v>22</v>
      </c>
      <c r="I2262" s="2" t="s">
        <v>258</v>
      </c>
      <c r="J2262" s="2" t="s">
        <v>24</v>
      </c>
      <c r="K2262">
        <v>553.9</v>
      </c>
      <c r="L2262">
        <v>565690.47</v>
      </c>
      <c r="M2262">
        <v>102128.63</v>
      </c>
      <c r="N2262" s="2" t="s">
        <v>259</v>
      </c>
      <c r="O2262" s="2" t="s">
        <v>260</v>
      </c>
      <c r="P2262" s="2" t="s">
        <v>4164</v>
      </c>
      <c r="Q2262" s="2" t="s">
        <v>4165</v>
      </c>
      <c r="R2262" s="2" t="s">
        <v>29</v>
      </c>
      <c r="S2262" s="2" t="s">
        <v>30</v>
      </c>
    </row>
    <row r="2263" spans="1:19">
      <c r="A2263" s="1">
        <v>44958</v>
      </c>
      <c r="B2263" s="1">
        <v>44958</v>
      </c>
      <c r="C2263">
        <v>2023</v>
      </c>
      <c r="D2263">
        <v>2</v>
      </c>
      <c r="E2263" s="2" t="s">
        <v>263</v>
      </c>
      <c r="F2263" s="2" t="s">
        <v>264</v>
      </c>
      <c r="G2263" s="2" t="s">
        <v>21</v>
      </c>
      <c r="H2263" s="2" t="s">
        <v>22</v>
      </c>
      <c r="I2263" s="2" t="s">
        <v>258</v>
      </c>
      <c r="J2263" s="2" t="s">
        <v>24</v>
      </c>
      <c r="K2263">
        <v>0</v>
      </c>
      <c r="L2263">
        <v>0</v>
      </c>
      <c r="N2263" s="2" t="s">
        <v>265</v>
      </c>
      <c r="O2263" s="2" t="s">
        <v>266</v>
      </c>
      <c r="P2263" s="2" t="s">
        <v>639</v>
      </c>
      <c r="Q2263" s="2" t="s">
        <v>639</v>
      </c>
      <c r="R2263" s="2" t="s">
        <v>29</v>
      </c>
      <c r="S2263" s="2" t="s">
        <v>30</v>
      </c>
    </row>
    <row r="2264" spans="1:19">
      <c r="A2264" s="1">
        <v>44958</v>
      </c>
      <c r="B2264" s="1">
        <v>44958</v>
      </c>
      <c r="C2264">
        <v>2023</v>
      </c>
      <c r="D2264">
        <v>2</v>
      </c>
      <c r="E2264" s="2" t="s">
        <v>269</v>
      </c>
      <c r="F2264" s="2" t="s">
        <v>270</v>
      </c>
      <c r="G2264" s="2" t="s">
        <v>21</v>
      </c>
      <c r="H2264" s="2" t="s">
        <v>22</v>
      </c>
      <c r="I2264" s="2" t="s">
        <v>258</v>
      </c>
      <c r="J2264" s="2" t="s">
        <v>59</v>
      </c>
      <c r="K2264">
        <v>553.9</v>
      </c>
      <c r="L2264">
        <v>565690.47</v>
      </c>
      <c r="M2264">
        <v>102128.63</v>
      </c>
      <c r="N2264" s="2" t="s">
        <v>271</v>
      </c>
      <c r="O2264" s="2" t="s">
        <v>272</v>
      </c>
      <c r="P2264" s="2" t="s">
        <v>4164</v>
      </c>
      <c r="Q2264" s="2" t="s">
        <v>4165</v>
      </c>
      <c r="R2264" s="2" t="s">
        <v>29</v>
      </c>
      <c r="S2264" s="2" t="s">
        <v>30</v>
      </c>
    </row>
    <row r="2265" spans="1:19">
      <c r="A2265" s="1">
        <v>44958</v>
      </c>
      <c r="B2265" s="1">
        <v>44958</v>
      </c>
      <c r="C2265">
        <v>2023</v>
      </c>
      <c r="D2265">
        <v>2</v>
      </c>
      <c r="E2265" s="2" t="s">
        <v>275</v>
      </c>
      <c r="F2265" s="2" t="s">
        <v>276</v>
      </c>
      <c r="G2265" s="2" t="s">
        <v>39</v>
      </c>
      <c r="H2265" s="2" t="s">
        <v>22</v>
      </c>
      <c r="I2265" s="2" t="s">
        <v>40</v>
      </c>
      <c r="J2265" s="2" t="s">
        <v>24</v>
      </c>
      <c r="K2265">
        <v>2.16</v>
      </c>
      <c r="L2265">
        <v>21.41</v>
      </c>
      <c r="M2265">
        <v>991.2</v>
      </c>
      <c r="N2265" s="2" t="s">
        <v>277</v>
      </c>
      <c r="O2265" s="2" t="s">
        <v>278</v>
      </c>
      <c r="P2265" s="2" t="s">
        <v>3609</v>
      </c>
      <c r="Q2265" s="2" t="s">
        <v>4166</v>
      </c>
      <c r="R2265" s="2" t="s">
        <v>29</v>
      </c>
      <c r="S2265" s="2" t="s">
        <v>30</v>
      </c>
    </row>
    <row r="2266" spans="1:19">
      <c r="A2266" s="1">
        <v>44958</v>
      </c>
      <c r="B2266" s="1">
        <v>44958</v>
      </c>
      <c r="C2266">
        <v>2023</v>
      </c>
      <c r="D2266">
        <v>2</v>
      </c>
      <c r="E2266" s="2" t="s">
        <v>281</v>
      </c>
      <c r="F2266" s="2" t="s">
        <v>282</v>
      </c>
      <c r="G2266" s="2" t="s">
        <v>39</v>
      </c>
      <c r="H2266" s="2" t="s">
        <v>22</v>
      </c>
      <c r="I2266" s="2" t="s">
        <v>40</v>
      </c>
      <c r="J2266" s="2" t="s">
        <v>24</v>
      </c>
      <c r="K2266">
        <v>0.01</v>
      </c>
      <c r="L2266">
        <v>0.05</v>
      </c>
      <c r="M2266">
        <v>500</v>
      </c>
      <c r="N2266" s="2" t="s">
        <v>283</v>
      </c>
      <c r="O2266" s="2" t="s">
        <v>284</v>
      </c>
      <c r="P2266" s="2" t="s">
        <v>832</v>
      </c>
      <c r="Q2266" s="2" t="s">
        <v>516</v>
      </c>
      <c r="R2266" s="2" t="s">
        <v>29</v>
      </c>
      <c r="S2266" s="2" t="s">
        <v>30</v>
      </c>
    </row>
    <row r="2267" spans="1:19">
      <c r="A2267" s="1">
        <v>44958</v>
      </c>
      <c r="B2267" s="1">
        <v>44958</v>
      </c>
      <c r="C2267">
        <v>2023</v>
      </c>
      <c r="D2267">
        <v>2</v>
      </c>
      <c r="E2267" s="2" t="s">
        <v>287</v>
      </c>
      <c r="F2267" s="2" t="s">
        <v>288</v>
      </c>
      <c r="G2267" s="2" t="s">
        <v>39</v>
      </c>
      <c r="H2267" s="2" t="s">
        <v>22</v>
      </c>
      <c r="I2267" s="2" t="s">
        <v>40</v>
      </c>
      <c r="J2267" s="2" t="s">
        <v>59</v>
      </c>
      <c r="K2267">
        <v>2.17</v>
      </c>
      <c r="L2267">
        <v>21.46</v>
      </c>
      <c r="M2267">
        <v>988.94</v>
      </c>
      <c r="N2267" s="2" t="s">
        <v>289</v>
      </c>
      <c r="O2267" s="2" t="s">
        <v>290</v>
      </c>
      <c r="P2267" s="2" t="s">
        <v>4167</v>
      </c>
      <c r="Q2267" s="2" t="s">
        <v>4168</v>
      </c>
      <c r="R2267" s="2" t="s">
        <v>29</v>
      </c>
      <c r="S2267" s="2" t="s">
        <v>30</v>
      </c>
    </row>
    <row r="2268" spans="1:19">
      <c r="A2268" s="1">
        <v>44958</v>
      </c>
      <c r="B2268" s="1">
        <v>44958</v>
      </c>
      <c r="C2268">
        <v>2023</v>
      </c>
      <c r="D2268">
        <v>2</v>
      </c>
      <c r="E2268" s="2" t="s">
        <v>293</v>
      </c>
      <c r="F2268" s="2" t="s">
        <v>294</v>
      </c>
      <c r="G2268" s="2" t="s">
        <v>21</v>
      </c>
      <c r="H2268" s="2" t="s">
        <v>22</v>
      </c>
      <c r="I2268" s="2" t="s">
        <v>295</v>
      </c>
      <c r="J2268" s="2" t="s">
        <v>24</v>
      </c>
      <c r="K2268">
        <v>1058.78</v>
      </c>
      <c r="L2268">
        <v>3251.5</v>
      </c>
      <c r="M2268">
        <v>307.10000000000002</v>
      </c>
      <c r="N2268" s="2" t="s">
        <v>296</v>
      </c>
      <c r="O2268" s="2" t="s">
        <v>297</v>
      </c>
      <c r="P2268" s="2" t="s">
        <v>4169</v>
      </c>
      <c r="Q2268" s="2" t="s">
        <v>4170</v>
      </c>
      <c r="R2268" s="2" t="s">
        <v>29</v>
      </c>
      <c r="S2268" s="2" t="s">
        <v>30</v>
      </c>
    </row>
    <row r="2269" spans="1:19">
      <c r="A2269" s="1">
        <v>44958</v>
      </c>
      <c r="B2269" s="1">
        <v>44958</v>
      </c>
      <c r="C2269">
        <v>2023</v>
      </c>
      <c r="D2269">
        <v>2</v>
      </c>
      <c r="E2269" s="2" t="s">
        <v>300</v>
      </c>
      <c r="F2269" s="2" t="s">
        <v>301</v>
      </c>
      <c r="G2269" s="2" t="s">
        <v>21</v>
      </c>
      <c r="H2269" s="2" t="s">
        <v>22</v>
      </c>
      <c r="I2269" s="2" t="s">
        <v>295</v>
      </c>
      <c r="J2269" s="2" t="s">
        <v>24</v>
      </c>
      <c r="K2269">
        <v>63.07</v>
      </c>
      <c r="L2269">
        <v>791.75</v>
      </c>
      <c r="M2269">
        <v>1255.3499999999999</v>
      </c>
      <c r="N2269" s="2" t="s">
        <v>302</v>
      </c>
      <c r="O2269" s="2" t="s">
        <v>303</v>
      </c>
      <c r="P2269" s="2" t="s">
        <v>4171</v>
      </c>
      <c r="Q2269" s="2" t="s">
        <v>4172</v>
      </c>
      <c r="R2269" s="2" t="s">
        <v>29</v>
      </c>
      <c r="S2269" s="2" t="s">
        <v>30</v>
      </c>
    </row>
    <row r="2270" spans="1:19">
      <c r="A2270" s="1">
        <v>44958</v>
      </c>
      <c r="B2270" s="1">
        <v>44958</v>
      </c>
      <c r="C2270">
        <v>2023</v>
      </c>
      <c r="D2270">
        <v>2</v>
      </c>
      <c r="E2270" s="2" t="s">
        <v>306</v>
      </c>
      <c r="F2270" s="2" t="s">
        <v>307</v>
      </c>
      <c r="G2270" s="2" t="s">
        <v>21</v>
      </c>
      <c r="H2270" s="2" t="s">
        <v>22</v>
      </c>
      <c r="I2270" s="2" t="s">
        <v>295</v>
      </c>
      <c r="J2270" s="2" t="s">
        <v>101</v>
      </c>
      <c r="K2270">
        <v>1121.8499999999999</v>
      </c>
      <c r="L2270">
        <v>4043.25</v>
      </c>
      <c r="M2270">
        <v>360.41</v>
      </c>
      <c r="N2270" s="2" t="s">
        <v>308</v>
      </c>
      <c r="O2270" s="2" t="s">
        <v>309</v>
      </c>
      <c r="P2270" s="2" t="s">
        <v>4173</v>
      </c>
      <c r="Q2270" s="2" t="s">
        <v>4174</v>
      </c>
      <c r="R2270" s="2" t="s">
        <v>29</v>
      </c>
      <c r="S2270" s="2" t="s">
        <v>30</v>
      </c>
    </row>
    <row r="2271" spans="1:19">
      <c r="A2271" s="1">
        <v>44958</v>
      </c>
      <c r="B2271" s="1">
        <v>44958</v>
      </c>
      <c r="C2271">
        <v>2023</v>
      </c>
      <c r="D2271">
        <v>2</v>
      </c>
      <c r="E2271" s="2" t="s">
        <v>312</v>
      </c>
      <c r="F2271" s="2" t="s">
        <v>313</v>
      </c>
      <c r="G2271" s="2" t="s">
        <v>21</v>
      </c>
      <c r="H2271" s="2" t="s">
        <v>22</v>
      </c>
      <c r="I2271" s="2" t="s">
        <v>295</v>
      </c>
      <c r="J2271" s="2" t="s">
        <v>59</v>
      </c>
      <c r="K2271">
        <v>6050.89</v>
      </c>
      <c r="L2271">
        <v>22398.880000000001</v>
      </c>
      <c r="M2271">
        <v>370.17</v>
      </c>
      <c r="N2271" s="2" t="s">
        <v>314</v>
      </c>
      <c r="O2271" s="2" t="s">
        <v>315</v>
      </c>
      <c r="P2271" s="2" t="s">
        <v>4175</v>
      </c>
      <c r="Q2271" s="2" t="s">
        <v>4176</v>
      </c>
      <c r="R2271" s="2" t="s">
        <v>29</v>
      </c>
      <c r="S2271" s="2" t="s">
        <v>30</v>
      </c>
    </row>
    <row r="2272" spans="1:19">
      <c r="A2272" s="1">
        <v>44958</v>
      </c>
      <c r="B2272" s="1">
        <v>44958</v>
      </c>
      <c r="C2272">
        <v>2023</v>
      </c>
      <c r="D2272">
        <v>2</v>
      </c>
      <c r="E2272" s="2" t="s">
        <v>318</v>
      </c>
      <c r="F2272" s="2" t="s">
        <v>319</v>
      </c>
      <c r="G2272" s="2" t="s">
        <v>21</v>
      </c>
      <c r="H2272" s="2" t="s">
        <v>22</v>
      </c>
      <c r="I2272" s="2" t="s">
        <v>295</v>
      </c>
      <c r="J2272" s="2" t="s">
        <v>24</v>
      </c>
      <c r="K2272">
        <v>4929.04</v>
      </c>
      <c r="L2272">
        <v>18355.64</v>
      </c>
      <c r="M2272">
        <v>372.4</v>
      </c>
      <c r="N2272" s="2" t="s">
        <v>320</v>
      </c>
      <c r="O2272" s="2" t="s">
        <v>321</v>
      </c>
      <c r="P2272" s="2" t="s">
        <v>4177</v>
      </c>
      <c r="Q2272" s="2" t="s">
        <v>4178</v>
      </c>
      <c r="R2272" s="2" t="s">
        <v>29</v>
      </c>
      <c r="S2272" s="2" t="s">
        <v>30</v>
      </c>
    </row>
    <row r="2273" spans="1:19">
      <c r="A2273" s="1">
        <v>44958</v>
      </c>
      <c r="B2273" s="1">
        <v>44958</v>
      </c>
      <c r="C2273">
        <v>2023</v>
      </c>
      <c r="D2273">
        <v>2</v>
      </c>
      <c r="E2273" s="2" t="s">
        <v>324</v>
      </c>
      <c r="F2273" s="2" t="s">
        <v>325</v>
      </c>
      <c r="G2273" s="2" t="s">
        <v>21</v>
      </c>
      <c r="H2273" s="2" t="s">
        <v>22</v>
      </c>
      <c r="I2273" s="2" t="s">
        <v>23</v>
      </c>
      <c r="J2273" s="2" t="s">
        <v>59</v>
      </c>
      <c r="K2273">
        <v>88539.09</v>
      </c>
      <c r="L2273">
        <v>4647461.08</v>
      </c>
      <c r="M2273">
        <v>5249.05</v>
      </c>
      <c r="N2273" s="2" t="s">
        <v>326</v>
      </c>
      <c r="O2273" s="2" t="s">
        <v>327</v>
      </c>
      <c r="P2273" s="2" t="s">
        <v>4179</v>
      </c>
      <c r="Q2273" s="2" t="s">
        <v>4180</v>
      </c>
      <c r="R2273" s="2" t="s">
        <v>29</v>
      </c>
      <c r="S2273" s="2" t="s">
        <v>30</v>
      </c>
    </row>
    <row r="2274" spans="1:19">
      <c r="A2274" s="1">
        <v>44958</v>
      </c>
      <c r="B2274" s="1">
        <v>44958</v>
      </c>
      <c r="C2274">
        <v>2023</v>
      </c>
      <c r="D2274">
        <v>2</v>
      </c>
      <c r="E2274" s="2" t="s">
        <v>330</v>
      </c>
      <c r="F2274" s="2" t="s">
        <v>331</v>
      </c>
      <c r="G2274" s="2" t="s">
        <v>21</v>
      </c>
      <c r="H2274" s="2" t="s">
        <v>332</v>
      </c>
      <c r="I2274" s="2" t="s">
        <v>333</v>
      </c>
      <c r="J2274" s="2" t="s">
        <v>24</v>
      </c>
      <c r="K2274">
        <v>199.35</v>
      </c>
      <c r="L2274">
        <v>10566198.18</v>
      </c>
      <c r="M2274">
        <v>5300325.1500000004</v>
      </c>
      <c r="N2274" s="2" t="s">
        <v>334</v>
      </c>
      <c r="O2274" s="2" t="s">
        <v>335</v>
      </c>
      <c r="P2274" s="2" t="s">
        <v>4181</v>
      </c>
      <c r="Q2274" s="2" t="s">
        <v>4182</v>
      </c>
      <c r="R2274" s="2" t="s">
        <v>29</v>
      </c>
      <c r="S2274" s="2" t="s">
        <v>30</v>
      </c>
    </row>
    <row r="2275" spans="1:19">
      <c r="A2275" s="1">
        <v>44958</v>
      </c>
      <c r="B2275" s="1">
        <v>44958</v>
      </c>
      <c r="C2275">
        <v>2023</v>
      </c>
      <c r="D2275">
        <v>2</v>
      </c>
      <c r="E2275" s="2" t="s">
        <v>338</v>
      </c>
      <c r="F2275" s="2" t="s">
        <v>339</v>
      </c>
      <c r="G2275" s="2" t="s">
        <v>21</v>
      </c>
      <c r="H2275" s="2" t="s">
        <v>332</v>
      </c>
      <c r="I2275" s="2" t="s">
        <v>333</v>
      </c>
      <c r="J2275" s="2" t="s">
        <v>24</v>
      </c>
      <c r="K2275">
        <v>1.1399999999999999</v>
      </c>
      <c r="L2275">
        <v>1487380.85</v>
      </c>
      <c r="M2275">
        <v>130472004.39</v>
      </c>
      <c r="N2275" s="2" t="s">
        <v>340</v>
      </c>
      <c r="O2275" s="2" t="s">
        <v>341</v>
      </c>
      <c r="P2275" s="2" t="s">
        <v>2133</v>
      </c>
      <c r="Q2275" s="2" t="s">
        <v>4183</v>
      </c>
      <c r="R2275" s="2" t="s">
        <v>29</v>
      </c>
      <c r="S2275" s="2" t="s">
        <v>30</v>
      </c>
    </row>
    <row r="2276" spans="1:19">
      <c r="A2276" s="1">
        <v>44958</v>
      </c>
      <c r="B2276" s="1">
        <v>44958</v>
      </c>
      <c r="C2276">
        <v>2023</v>
      </c>
      <c r="D2276">
        <v>2</v>
      </c>
      <c r="E2276" s="2" t="s">
        <v>344</v>
      </c>
      <c r="F2276" s="2" t="s">
        <v>345</v>
      </c>
      <c r="G2276" s="2" t="s">
        <v>21</v>
      </c>
      <c r="H2276" s="2" t="s">
        <v>332</v>
      </c>
      <c r="I2276" s="2" t="s">
        <v>333</v>
      </c>
      <c r="J2276" s="2" t="s">
        <v>59</v>
      </c>
      <c r="K2276">
        <v>200.5</v>
      </c>
      <c r="L2276">
        <v>12053579.029999999</v>
      </c>
      <c r="M2276">
        <v>6011760.1100000003</v>
      </c>
      <c r="N2276" s="2" t="s">
        <v>346</v>
      </c>
      <c r="O2276" s="2" t="s">
        <v>347</v>
      </c>
      <c r="P2276" s="2" t="s">
        <v>4184</v>
      </c>
      <c r="Q2276" s="2" t="s">
        <v>4185</v>
      </c>
      <c r="R2276" s="2" t="s">
        <v>29</v>
      </c>
      <c r="S2276" s="2" t="s">
        <v>30</v>
      </c>
    </row>
    <row r="2277" spans="1:19">
      <c r="A2277" s="1">
        <v>44958</v>
      </c>
      <c r="B2277" s="1">
        <v>44958</v>
      </c>
      <c r="C2277">
        <v>2023</v>
      </c>
      <c r="D2277">
        <v>2</v>
      </c>
      <c r="E2277" s="2" t="s">
        <v>350</v>
      </c>
      <c r="F2277" s="2" t="s">
        <v>351</v>
      </c>
      <c r="G2277" s="2" t="s">
        <v>21</v>
      </c>
      <c r="H2277" s="2" t="s">
        <v>22</v>
      </c>
      <c r="I2277" s="2" t="s">
        <v>352</v>
      </c>
      <c r="J2277" s="2" t="s">
        <v>353</v>
      </c>
      <c r="K2277">
        <v>100738.77</v>
      </c>
      <c r="L2277">
        <v>17007088.600000001</v>
      </c>
      <c r="M2277">
        <v>16882.37</v>
      </c>
      <c r="N2277" s="2" t="s">
        <v>354</v>
      </c>
      <c r="O2277" s="2" t="s">
        <v>355</v>
      </c>
      <c r="P2277" s="2" t="s">
        <v>4186</v>
      </c>
      <c r="Q2277" s="2" t="s">
        <v>4187</v>
      </c>
      <c r="R2277" s="2" t="s">
        <v>29</v>
      </c>
      <c r="S2277" s="2" t="s">
        <v>30</v>
      </c>
    </row>
    <row r="2278" spans="1:19">
      <c r="A2278" s="1">
        <v>44958</v>
      </c>
      <c r="B2278" s="1">
        <v>44958</v>
      </c>
      <c r="C2278">
        <v>2023</v>
      </c>
      <c r="D2278">
        <v>2</v>
      </c>
      <c r="E2278" s="2" t="s">
        <v>358</v>
      </c>
      <c r="F2278" s="2" t="s">
        <v>359</v>
      </c>
      <c r="G2278" s="2" t="s">
        <v>21</v>
      </c>
      <c r="H2278" s="2" t="s">
        <v>22</v>
      </c>
      <c r="I2278" s="2" t="s">
        <v>352</v>
      </c>
      <c r="J2278" s="2" t="s">
        <v>353</v>
      </c>
      <c r="K2278">
        <v>101292.67</v>
      </c>
      <c r="L2278">
        <v>17572779.07</v>
      </c>
      <c r="M2278">
        <v>17348.52</v>
      </c>
      <c r="N2278" s="2" t="s">
        <v>360</v>
      </c>
      <c r="O2278" s="2" t="s">
        <v>361</v>
      </c>
      <c r="P2278" s="2" t="s">
        <v>4188</v>
      </c>
      <c r="Q2278" s="2" t="s">
        <v>4189</v>
      </c>
      <c r="R2278" s="2" t="s">
        <v>29</v>
      </c>
      <c r="S2278" s="2" t="s">
        <v>30</v>
      </c>
    </row>
    <row r="2279" spans="1:19">
      <c r="A2279" s="1">
        <v>44958</v>
      </c>
      <c r="B2279" s="1">
        <v>44958</v>
      </c>
      <c r="C2279">
        <v>2023</v>
      </c>
      <c r="D2279">
        <v>2</v>
      </c>
      <c r="E2279" s="2" t="s">
        <v>364</v>
      </c>
      <c r="F2279" s="2" t="s">
        <v>365</v>
      </c>
      <c r="G2279" s="2" t="s">
        <v>21</v>
      </c>
      <c r="H2279" s="2" t="s">
        <v>22</v>
      </c>
      <c r="I2279" s="2" t="s">
        <v>352</v>
      </c>
      <c r="J2279" s="2" t="s">
        <v>353</v>
      </c>
      <c r="K2279">
        <v>101092.17</v>
      </c>
      <c r="L2279">
        <v>5519200.04</v>
      </c>
      <c r="M2279">
        <v>5459.57</v>
      </c>
      <c r="N2279" s="2" t="s">
        <v>366</v>
      </c>
      <c r="O2279" s="2" t="s">
        <v>367</v>
      </c>
      <c r="P2279" s="2" t="s">
        <v>4190</v>
      </c>
      <c r="Q2279" s="2" t="s">
        <v>4191</v>
      </c>
      <c r="R2279" s="2" t="s">
        <v>29</v>
      </c>
      <c r="S2279" s="2" t="s">
        <v>30</v>
      </c>
    </row>
    <row r="2280" spans="1:19">
      <c r="A2280" s="1">
        <v>44958</v>
      </c>
      <c r="B2280" s="1">
        <v>44958</v>
      </c>
      <c r="C2280">
        <v>2023</v>
      </c>
      <c r="D2280">
        <v>2</v>
      </c>
      <c r="E2280" s="2" t="s">
        <v>370</v>
      </c>
      <c r="F2280" s="2" t="s">
        <v>371</v>
      </c>
      <c r="G2280" s="2" t="s">
        <v>21</v>
      </c>
      <c r="H2280" s="2" t="s">
        <v>22</v>
      </c>
      <c r="I2280" s="2" t="s">
        <v>23</v>
      </c>
      <c r="J2280" s="2" t="s">
        <v>24</v>
      </c>
      <c r="K2280">
        <v>75347.570000000007</v>
      </c>
      <c r="L2280">
        <v>1235846.58</v>
      </c>
      <c r="M2280">
        <v>1640.19</v>
      </c>
      <c r="N2280" s="2" t="s">
        <v>372</v>
      </c>
      <c r="O2280" s="2" t="s">
        <v>373</v>
      </c>
      <c r="P2280" s="2" t="s">
        <v>4192</v>
      </c>
      <c r="Q2280" s="2" t="s">
        <v>4193</v>
      </c>
      <c r="R2280" s="2" t="s">
        <v>29</v>
      </c>
      <c r="S2280" s="2" t="s">
        <v>30</v>
      </c>
    </row>
    <row r="2281" spans="1:19">
      <c r="A2281" s="1">
        <v>44958</v>
      </c>
      <c r="B2281" s="1">
        <v>44958</v>
      </c>
      <c r="C2281">
        <v>2023</v>
      </c>
      <c r="D2281">
        <v>2</v>
      </c>
      <c r="E2281" s="2" t="s">
        <v>376</v>
      </c>
      <c r="F2281" s="2" t="s">
        <v>377</v>
      </c>
      <c r="G2281" s="2" t="s">
        <v>21</v>
      </c>
      <c r="H2281" s="2" t="s">
        <v>22</v>
      </c>
      <c r="I2281" s="2" t="s">
        <v>23</v>
      </c>
      <c r="J2281" s="2" t="s">
        <v>378</v>
      </c>
      <c r="K2281">
        <v>1.51</v>
      </c>
      <c r="L2281">
        <v>17.45</v>
      </c>
      <c r="M2281">
        <v>1155.6300000000001</v>
      </c>
      <c r="N2281" s="2" t="s">
        <v>379</v>
      </c>
      <c r="O2281" s="2" t="s">
        <v>380</v>
      </c>
      <c r="P2281" s="2" t="s">
        <v>3659</v>
      </c>
      <c r="Q2281" s="2" t="s">
        <v>4194</v>
      </c>
      <c r="R2281" s="2" t="s">
        <v>29</v>
      </c>
      <c r="S2281" s="2" t="s">
        <v>30</v>
      </c>
    </row>
    <row r="2282" spans="1:19">
      <c r="A2282" s="1">
        <v>44986</v>
      </c>
      <c r="B2282" s="1">
        <v>44986</v>
      </c>
      <c r="C2282">
        <v>2023</v>
      </c>
      <c r="D2282">
        <v>3</v>
      </c>
      <c r="E2282" s="2" t="s">
        <v>19</v>
      </c>
      <c r="F2282" s="2" t="s">
        <v>20</v>
      </c>
      <c r="G2282" s="2" t="s">
        <v>21</v>
      </c>
      <c r="H2282" s="2" t="s">
        <v>22</v>
      </c>
      <c r="I2282" s="2" t="s">
        <v>23</v>
      </c>
      <c r="J2282" s="2" t="s">
        <v>24</v>
      </c>
      <c r="K2282">
        <v>0.36</v>
      </c>
      <c r="L2282">
        <v>23.51</v>
      </c>
      <c r="M2282">
        <v>6530.56</v>
      </c>
      <c r="N2282" s="2" t="s">
        <v>25</v>
      </c>
      <c r="O2282" s="2" t="s">
        <v>26</v>
      </c>
      <c r="P2282" s="2" t="s">
        <v>3657</v>
      </c>
      <c r="Q2282" s="2" t="s">
        <v>4195</v>
      </c>
      <c r="R2282" s="2" t="s">
        <v>29</v>
      </c>
      <c r="S2282" s="2" t="s">
        <v>30</v>
      </c>
    </row>
    <row r="2283" spans="1:19">
      <c r="A2283" s="1">
        <v>44986</v>
      </c>
      <c r="B2283" s="1">
        <v>44986</v>
      </c>
      <c r="C2283">
        <v>2023</v>
      </c>
      <c r="D2283">
        <v>3</v>
      </c>
      <c r="E2283" s="2" t="s">
        <v>31</v>
      </c>
      <c r="F2283" s="2" t="s">
        <v>32</v>
      </c>
      <c r="G2283" s="2" t="s">
        <v>21</v>
      </c>
      <c r="H2283" s="2" t="s">
        <v>22</v>
      </c>
      <c r="I2283" s="2" t="s">
        <v>23</v>
      </c>
      <c r="J2283" s="2" t="s">
        <v>24</v>
      </c>
      <c r="K2283">
        <v>1932.07</v>
      </c>
      <c r="L2283">
        <v>26400.2</v>
      </c>
      <c r="M2283">
        <v>1366.42</v>
      </c>
      <c r="N2283" s="2" t="s">
        <v>33</v>
      </c>
      <c r="O2283" s="2" t="s">
        <v>34</v>
      </c>
      <c r="P2283" s="2" t="s">
        <v>4196</v>
      </c>
      <c r="Q2283" s="2" t="s">
        <v>4197</v>
      </c>
      <c r="R2283" s="2" t="s">
        <v>29</v>
      </c>
      <c r="S2283" s="2" t="s">
        <v>30</v>
      </c>
    </row>
    <row r="2284" spans="1:19">
      <c r="A2284" s="1">
        <v>44986</v>
      </c>
      <c r="B2284" s="1">
        <v>44986</v>
      </c>
      <c r="C2284">
        <v>2023</v>
      </c>
      <c r="D2284">
        <v>3</v>
      </c>
      <c r="E2284" s="2" t="s">
        <v>37</v>
      </c>
      <c r="F2284" s="2" t="s">
        <v>38</v>
      </c>
      <c r="G2284" s="2" t="s">
        <v>39</v>
      </c>
      <c r="H2284" s="2" t="s">
        <v>22</v>
      </c>
      <c r="I2284" s="2" t="s">
        <v>40</v>
      </c>
      <c r="J2284" s="2" t="s">
        <v>24</v>
      </c>
      <c r="K2284">
        <v>8.26</v>
      </c>
      <c r="L2284">
        <v>401.52</v>
      </c>
      <c r="M2284">
        <v>4861.0200000000004</v>
      </c>
      <c r="N2284" s="2" t="s">
        <v>41</v>
      </c>
      <c r="O2284" s="2" t="s">
        <v>42</v>
      </c>
      <c r="P2284" s="2" t="s">
        <v>4198</v>
      </c>
      <c r="Q2284" s="2" t="s">
        <v>4199</v>
      </c>
      <c r="R2284" s="2" t="s">
        <v>29</v>
      </c>
      <c r="S2284" s="2" t="s">
        <v>30</v>
      </c>
    </row>
    <row r="2285" spans="1:19">
      <c r="A2285" s="1">
        <v>44986</v>
      </c>
      <c r="B2285" s="1">
        <v>44986</v>
      </c>
      <c r="C2285">
        <v>2023</v>
      </c>
      <c r="D2285">
        <v>3</v>
      </c>
      <c r="E2285" s="2" t="s">
        <v>45</v>
      </c>
      <c r="F2285" s="2" t="s">
        <v>46</v>
      </c>
      <c r="G2285" s="2" t="s">
        <v>39</v>
      </c>
      <c r="H2285" s="2" t="s">
        <v>22</v>
      </c>
      <c r="I2285" s="2" t="s">
        <v>40</v>
      </c>
      <c r="J2285" s="2" t="s">
        <v>24</v>
      </c>
      <c r="K2285">
        <v>5878.89</v>
      </c>
      <c r="L2285">
        <v>284949.02</v>
      </c>
      <c r="M2285">
        <v>4846.99</v>
      </c>
      <c r="N2285" s="2" t="s">
        <v>47</v>
      </c>
      <c r="O2285" s="2" t="s">
        <v>48</v>
      </c>
      <c r="P2285" s="2" t="s">
        <v>4200</v>
      </c>
      <c r="Q2285" s="2" t="s">
        <v>4201</v>
      </c>
      <c r="R2285" s="2" t="s">
        <v>29</v>
      </c>
      <c r="S2285" s="2" t="s">
        <v>30</v>
      </c>
    </row>
    <row r="2286" spans="1:19">
      <c r="A2286" s="1">
        <v>44986</v>
      </c>
      <c r="B2286" s="1">
        <v>44986</v>
      </c>
      <c r="C2286">
        <v>2023</v>
      </c>
      <c r="D2286">
        <v>3</v>
      </c>
      <c r="E2286" s="2" t="s">
        <v>51</v>
      </c>
      <c r="F2286" s="2" t="s">
        <v>52</v>
      </c>
      <c r="G2286" s="2" t="s">
        <v>39</v>
      </c>
      <c r="H2286" s="2" t="s">
        <v>22</v>
      </c>
      <c r="I2286" s="2" t="s">
        <v>40</v>
      </c>
      <c r="J2286" s="2" t="s">
        <v>24</v>
      </c>
      <c r="K2286">
        <v>34.56</v>
      </c>
      <c r="L2286">
        <v>1411.04</v>
      </c>
      <c r="M2286">
        <v>4082.87</v>
      </c>
      <c r="N2286" s="2" t="s">
        <v>53</v>
      </c>
      <c r="O2286" s="2" t="s">
        <v>54</v>
      </c>
      <c r="P2286" s="2" t="s">
        <v>4202</v>
      </c>
      <c r="Q2286" s="2" t="s">
        <v>4203</v>
      </c>
      <c r="R2286" s="2" t="s">
        <v>29</v>
      </c>
      <c r="S2286" s="2" t="s">
        <v>30</v>
      </c>
    </row>
    <row r="2287" spans="1:19">
      <c r="A2287" s="1">
        <v>44986</v>
      </c>
      <c r="B2287" s="1">
        <v>44986</v>
      </c>
      <c r="C2287">
        <v>2023</v>
      </c>
      <c r="D2287">
        <v>3</v>
      </c>
      <c r="E2287" s="2" t="s">
        <v>57</v>
      </c>
      <c r="F2287" s="2" t="s">
        <v>58</v>
      </c>
      <c r="G2287" s="2" t="s">
        <v>39</v>
      </c>
      <c r="H2287" s="2" t="s">
        <v>22</v>
      </c>
      <c r="I2287" s="2" t="s">
        <v>40</v>
      </c>
      <c r="J2287" s="2" t="s">
        <v>59</v>
      </c>
      <c r="K2287">
        <v>5921.72</v>
      </c>
      <c r="L2287">
        <v>286761.59000000003</v>
      </c>
      <c r="M2287">
        <v>4842.54</v>
      </c>
      <c r="N2287" s="2" t="s">
        <v>60</v>
      </c>
      <c r="O2287" s="2" t="s">
        <v>61</v>
      </c>
      <c r="P2287" s="2" t="s">
        <v>4204</v>
      </c>
      <c r="Q2287" s="2" t="s">
        <v>4205</v>
      </c>
      <c r="R2287" s="2" t="s">
        <v>29</v>
      </c>
      <c r="S2287" s="2" t="s">
        <v>30</v>
      </c>
    </row>
    <row r="2288" spans="1:19">
      <c r="A2288" s="1">
        <v>44986</v>
      </c>
      <c r="B2288" s="1">
        <v>44986</v>
      </c>
      <c r="C2288">
        <v>2023</v>
      </c>
      <c r="D2288">
        <v>3</v>
      </c>
      <c r="E2288" s="2" t="s">
        <v>64</v>
      </c>
      <c r="F2288" s="2" t="s">
        <v>65</v>
      </c>
      <c r="G2288" s="2" t="s">
        <v>21</v>
      </c>
      <c r="H2288" s="2" t="s">
        <v>22</v>
      </c>
      <c r="I2288" s="2" t="s">
        <v>66</v>
      </c>
      <c r="J2288" s="2" t="s">
        <v>24</v>
      </c>
      <c r="K2288">
        <v>12.92</v>
      </c>
      <c r="L2288">
        <v>491.71</v>
      </c>
      <c r="M2288">
        <v>3805.8</v>
      </c>
      <c r="N2288" s="2" t="s">
        <v>67</v>
      </c>
      <c r="O2288" s="2" t="s">
        <v>68</v>
      </c>
      <c r="P2288" s="2" t="s">
        <v>1933</v>
      </c>
      <c r="Q2288" s="2" t="s">
        <v>4206</v>
      </c>
      <c r="R2288" s="2" t="s">
        <v>29</v>
      </c>
      <c r="S2288" s="2" t="s">
        <v>30</v>
      </c>
    </row>
    <row r="2289" spans="1:19">
      <c r="A2289" s="1">
        <v>44986</v>
      </c>
      <c r="B2289" s="1">
        <v>44986</v>
      </c>
      <c r="C2289">
        <v>2023</v>
      </c>
      <c r="D2289">
        <v>3</v>
      </c>
      <c r="E2289" s="2" t="s">
        <v>71</v>
      </c>
      <c r="F2289" s="2" t="s">
        <v>72</v>
      </c>
      <c r="G2289" s="2" t="s">
        <v>21</v>
      </c>
      <c r="H2289" s="2" t="s">
        <v>22</v>
      </c>
      <c r="I2289" s="2" t="s">
        <v>73</v>
      </c>
      <c r="J2289" s="2" t="s">
        <v>59</v>
      </c>
      <c r="K2289">
        <v>5016.79</v>
      </c>
      <c r="L2289">
        <v>191035.14</v>
      </c>
      <c r="M2289">
        <v>3807.92</v>
      </c>
      <c r="N2289" s="2" t="s">
        <v>74</v>
      </c>
      <c r="O2289" s="2" t="s">
        <v>75</v>
      </c>
      <c r="P2289" s="2" t="s">
        <v>4207</v>
      </c>
      <c r="Q2289" s="2" t="s">
        <v>4208</v>
      </c>
      <c r="R2289" s="2" t="s">
        <v>29</v>
      </c>
      <c r="S2289" s="2" t="s">
        <v>30</v>
      </c>
    </row>
    <row r="2290" spans="1:19">
      <c r="A2290" s="1">
        <v>44986</v>
      </c>
      <c r="B2290" s="1">
        <v>44986</v>
      </c>
      <c r="C2290">
        <v>2023</v>
      </c>
      <c r="D2290">
        <v>3</v>
      </c>
      <c r="E2290" s="2" t="s">
        <v>78</v>
      </c>
      <c r="F2290" s="2" t="s">
        <v>79</v>
      </c>
      <c r="G2290" s="2" t="s">
        <v>80</v>
      </c>
      <c r="H2290" s="2" t="s">
        <v>81</v>
      </c>
      <c r="I2290" s="2" t="s">
        <v>82</v>
      </c>
      <c r="J2290" s="2" t="s">
        <v>24</v>
      </c>
      <c r="K2290">
        <v>2.2799999999999998</v>
      </c>
      <c r="L2290">
        <v>7329086.8300000001</v>
      </c>
      <c r="M2290">
        <v>321451176.75</v>
      </c>
      <c r="N2290" s="2" t="s">
        <v>83</v>
      </c>
      <c r="O2290" s="2" t="s">
        <v>84</v>
      </c>
      <c r="P2290" s="2" t="s">
        <v>1249</v>
      </c>
      <c r="Q2290" s="2" t="s">
        <v>4209</v>
      </c>
      <c r="R2290" s="2" t="s">
        <v>29</v>
      </c>
      <c r="S2290" s="2" t="s">
        <v>30</v>
      </c>
    </row>
    <row r="2291" spans="1:19">
      <c r="A2291" s="1">
        <v>44986</v>
      </c>
      <c r="B2291" s="1">
        <v>44986</v>
      </c>
      <c r="C2291">
        <v>2023</v>
      </c>
      <c r="D2291">
        <v>3</v>
      </c>
      <c r="E2291" s="2" t="s">
        <v>87</v>
      </c>
      <c r="F2291" s="2" t="s">
        <v>88</v>
      </c>
      <c r="G2291" s="2" t="s">
        <v>80</v>
      </c>
      <c r="H2291" s="2" t="s">
        <v>81</v>
      </c>
      <c r="I2291" s="2" t="s">
        <v>82</v>
      </c>
      <c r="J2291" s="2" t="s">
        <v>24</v>
      </c>
      <c r="K2291">
        <v>0.65</v>
      </c>
      <c r="L2291">
        <v>952079.05</v>
      </c>
      <c r="M2291">
        <v>146473700</v>
      </c>
      <c r="N2291" s="2" t="s">
        <v>89</v>
      </c>
      <c r="O2291" s="2" t="s">
        <v>90</v>
      </c>
      <c r="P2291" s="2" t="s">
        <v>2789</v>
      </c>
      <c r="Q2291" s="2" t="s">
        <v>4210</v>
      </c>
      <c r="R2291" s="2" t="s">
        <v>29</v>
      </c>
      <c r="S2291" s="2" t="s">
        <v>30</v>
      </c>
    </row>
    <row r="2292" spans="1:19">
      <c r="A2292" s="1">
        <v>44986</v>
      </c>
      <c r="B2292" s="1">
        <v>44986</v>
      </c>
      <c r="C2292">
        <v>2023</v>
      </c>
      <c r="D2292">
        <v>3</v>
      </c>
      <c r="E2292" s="2" t="s">
        <v>93</v>
      </c>
      <c r="F2292" s="2" t="s">
        <v>94</v>
      </c>
      <c r="G2292" s="2" t="s">
        <v>80</v>
      </c>
      <c r="H2292" s="2" t="s">
        <v>81</v>
      </c>
      <c r="I2292" s="2" t="s">
        <v>82</v>
      </c>
      <c r="J2292" s="2" t="s">
        <v>24</v>
      </c>
      <c r="K2292">
        <v>0.4</v>
      </c>
      <c r="L2292">
        <v>6682508.3799999999</v>
      </c>
      <c r="M2292">
        <v>1670627095</v>
      </c>
      <c r="N2292" s="2" t="s">
        <v>95</v>
      </c>
      <c r="O2292" s="2" t="s">
        <v>96</v>
      </c>
      <c r="P2292" s="2" t="s">
        <v>2906</v>
      </c>
      <c r="Q2292" s="2" t="s">
        <v>4211</v>
      </c>
      <c r="R2292" s="2" t="s">
        <v>29</v>
      </c>
      <c r="S2292" s="2" t="s">
        <v>30</v>
      </c>
    </row>
    <row r="2293" spans="1:19">
      <c r="A2293" s="1">
        <v>44986</v>
      </c>
      <c r="B2293" s="1">
        <v>44986</v>
      </c>
      <c r="C2293">
        <v>2023</v>
      </c>
      <c r="D2293">
        <v>3</v>
      </c>
      <c r="E2293" s="2" t="s">
        <v>99</v>
      </c>
      <c r="F2293" s="2" t="s">
        <v>100</v>
      </c>
      <c r="G2293" s="2" t="s">
        <v>80</v>
      </c>
      <c r="H2293" s="2" t="s">
        <v>81</v>
      </c>
      <c r="I2293" s="2" t="s">
        <v>82</v>
      </c>
      <c r="J2293" s="2" t="s">
        <v>101</v>
      </c>
      <c r="K2293">
        <v>1.25</v>
      </c>
      <c r="L2293">
        <v>14269423.68</v>
      </c>
      <c r="M2293">
        <v>1141553894.4000001</v>
      </c>
      <c r="N2293" s="2" t="s">
        <v>102</v>
      </c>
      <c r="O2293" s="2" t="s">
        <v>103</v>
      </c>
      <c r="P2293" s="2" t="s">
        <v>4212</v>
      </c>
      <c r="Q2293" s="2" t="s">
        <v>4213</v>
      </c>
      <c r="R2293" s="2" t="s">
        <v>29</v>
      </c>
      <c r="S2293" s="2" t="s">
        <v>30</v>
      </c>
    </row>
    <row r="2294" spans="1:19">
      <c r="A2294" s="1">
        <v>44986</v>
      </c>
      <c r="B2294" s="1">
        <v>44986</v>
      </c>
      <c r="C2294">
        <v>2023</v>
      </c>
      <c r="D2294">
        <v>3</v>
      </c>
      <c r="E2294" s="2" t="s">
        <v>106</v>
      </c>
      <c r="F2294" s="2" t="s">
        <v>107</v>
      </c>
      <c r="G2294" s="2" t="s">
        <v>80</v>
      </c>
      <c r="H2294" s="2" t="s">
        <v>81</v>
      </c>
      <c r="I2294" s="2" t="s">
        <v>82</v>
      </c>
      <c r="J2294" s="2" t="s">
        <v>24</v>
      </c>
      <c r="K2294">
        <v>0.2</v>
      </c>
      <c r="L2294">
        <v>6634836.25</v>
      </c>
      <c r="M2294">
        <v>3317418125</v>
      </c>
      <c r="N2294" s="2" t="s">
        <v>108</v>
      </c>
      <c r="O2294" s="2" t="s">
        <v>109</v>
      </c>
      <c r="P2294" s="2" t="s">
        <v>1142</v>
      </c>
      <c r="Q2294" s="2" t="s">
        <v>4214</v>
      </c>
      <c r="R2294" s="2" t="s">
        <v>29</v>
      </c>
      <c r="S2294" s="2" t="s">
        <v>30</v>
      </c>
    </row>
    <row r="2295" spans="1:19">
      <c r="A2295" s="1">
        <v>44986</v>
      </c>
      <c r="B2295" s="1">
        <v>44986</v>
      </c>
      <c r="C2295">
        <v>2023</v>
      </c>
      <c r="D2295">
        <v>3</v>
      </c>
      <c r="E2295" s="2" t="s">
        <v>111</v>
      </c>
      <c r="F2295" s="2" t="s">
        <v>112</v>
      </c>
      <c r="G2295" s="2" t="s">
        <v>80</v>
      </c>
      <c r="H2295" s="2" t="s">
        <v>81</v>
      </c>
      <c r="I2295" s="2" t="s">
        <v>82</v>
      </c>
      <c r="J2295" s="2" t="s">
        <v>24</v>
      </c>
      <c r="K2295">
        <v>0.13</v>
      </c>
      <c r="L2295">
        <v>859897</v>
      </c>
      <c r="M2295">
        <v>661459230.76999998</v>
      </c>
      <c r="N2295" s="2" t="s">
        <v>113</v>
      </c>
      <c r="O2295" s="2" t="s">
        <v>114</v>
      </c>
      <c r="P2295" s="2" t="s">
        <v>3378</v>
      </c>
      <c r="Q2295" s="2" t="s">
        <v>4215</v>
      </c>
      <c r="R2295" s="2" t="s">
        <v>29</v>
      </c>
      <c r="S2295" s="2" t="s">
        <v>30</v>
      </c>
    </row>
    <row r="2296" spans="1:19">
      <c r="A2296" s="1">
        <v>44986</v>
      </c>
      <c r="B2296" s="1">
        <v>44986</v>
      </c>
      <c r="C2296">
        <v>2023</v>
      </c>
      <c r="D2296">
        <v>3</v>
      </c>
      <c r="E2296" s="2" t="s">
        <v>117</v>
      </c>
      <c r="F2296" s="2" t="s">
        <v>118</v>
      </c>
      <c r="G2296" s="2" t="s">
        <v>80</v>
      </c>
      <c r="H2296" s="2" t="s">
        <v>81</v>
      </c>
      <c r="I2296" s="2" t="s">
        <v>82</v>
      </c>
      <c r="J2296" s="2" t="s">
        <v>59</v>
      </c>
      <c r="K2296">
        <v>3.66</v>
      </c>
      <c r="L2296">
        <v>22458407.510000002</v>
      </c>
      <c r="M2296">
        <v>613617691.52999997</v>
      </c>
      <c r="N2296" s="2" t="s">
        <v>119</v>
      </c>
      <c r="O2296" s="2" t="s">
        <v>120</v>
      </c>
      <c r="P2296" s="2" t="s">
        <v>1228</v>
      </c>
      <c r="Q2296" s="2" t="s">
        <v>4216</v>
      </c>
      <c r="R2296" s="2" t="s">
        <v>29</v>
      </c>
      <c r="S2296" s="2" t="s">
        <v>30</v>
      </c>
    </row>
    <row r="2297" spans="1:19">
      <c r="A2297" s="1">
        <v>44986</v>
      </c>
      <c r="B2297" s="1">
        <v>44986</v>
      </c>
      <c r="C2297">
        <v>2023</v>
      </c>
      <c r="D2297">
        <v>3</v>
      </c>
      <c r="E2297" s="2" t="s">
        <v>123</v>
      </c>
      <c r="F2297" s="2" t="s">
        <v>124</v>
      </c>
      <c r="G2297" s="2" t="s">
        <v>21</v>
      </c>
      <c r="H2297" s="2" t="s">
        <v>22</v>
      </c>
      <c r="I2297" s="2" t="s">
        <v>73</v>
      </c>
      <c r="J2297" s="2" t="s">
        <v>24</v>
      </c>
      <c r="K2297">
        <v>1229.69</v>
      </c>
      <c r="L2297">
        <v>86390.93</v>
      </c>
      <c r="M2297">
        <v>7025.42</v>
      </c>
      <c r="N2297" s="2" t="s">
        <v>125</v>
      </c>
      <c r="O2297" s="2" t="s">
        <v>126</v>
      </c>
      <c r="P2297" s="2" t="s">
        <v>4217</v>
      </c>
      <c r="Q2297" s="2" t="s">
        <v>4218</v>
      </c>
      <c r="R2297" s="2" t="s">
        <v>29</v>
      </c>
      <c r="S2297" s="2" t="s">
        <v>30</v>
      </c>
    </row>
    <row r="2298" spans="1:19">
      <c r="A2298" s="1">
        <v>44986</v>
      </c>
      <c r="B2298" s="1">
        <v>44986</v>
      </c>
      <c r="C2298">
        <v>2023</v>
      </c>
      <c r="D2298">
        <v>3</v>
      </c>
      <c r="E2298" s="2" t="s">
        <v>129</v>
      </c>
      <c r="F2298" s="2" t="s">
        <v>130</v>
      </c>
      <c r="G2298" s="2" t="s">
        <v>21</v>
      </c>
      <c r="H2298" s="2" t="s">
        <v>22</v>
      </c>
      <c r="I2298" s="2" t="s">
        <v>73</v>
      </c>
      <c r="J2298" s="2" t="s">
        <v>24</v>
      </c>
      <c r="K2298">
        <v>1404.6</v>
      </c>
      <c r="L2298">
        <v>50920.2</v>
      </c>
      <c r="M2298">
        <v>3625.25</v>
      </c>
      <c r="N2298" s="2" t="s">
        <v>131</v>
      </c>
      <c r="O2298" s="2" t="s">
        <v>132</v>
      </c>
      <c r="P2298" s="2" t="s">
        <v>4219</v>
      </c>
      <c r="Q2298" s="2" t="s">
        <v>4220</v>
      </c>
      <c r="R2298" s="2" t="s">
        <v>29</v>
      </c>
      <c r="S2298" s="2" t="s">
        <v>30</v>
      </c>
    </row>
    <row r="2299" spans="1:19">
      <c r="A2299" s="1">
        <v>44986</v>
      </c>
      <c r="B2299" s="1">
        <v>44986</v>
      </c>
      <c r="C2299">
        <v>2023</v>
      </c>
      <c r="D2299">
        <v>3</v>
      </c>
      <c r="E2299" s="2" t="s">
        <v>135</v>
      </c>
      <c r="F2299" s="2" t="s">
        <v>136</v>
      </c>
      <c r="G2299" s="2" t="s">
        <v>21</v>
      </c>
      <c r="H2299" s="2" t="s">
        <v>22</v>
      </c>
      <c r="I2299" s="2" t="s">
        <v>73</v>
      </c>
      <c r="J2299" s="2" t="s">
        <v>101</v>
      </c>
      <c r="K2299">
        <v>2634.29</v>
      </c>
      <c r="L2299">
        <v>137311.13</v>
      </c>
      <c r="M2299">
        <v>5212.45</v>
      </c>
      <c r="N2299" s="2" t="s">
        <v>137</v>
      </c>
      <c r="O2299" s="2" t="s">
        <v>138</v>
      </c>
      <c r="P2299" s="2" t="s">
        <v>4221</v>
      </c>
      <c r="Q2299" s="2" t="s">
        <v>4222</v>
      </c>
      <c r="R2299" s="2" t="s">
        <v>29</v>
      </c>
      <c r="S2299" s="2" t="s">
        <v>30</v>
      </c>
    </row>
    <row r="2300" spans="1:19">
      <c r="A2300" s="1">
        <v>44986</v>
      </c>
      <c r="B2300" s="1">
        <v>44986</v>
      </c>
      <c r="C2300">
        <v>2023</v>
      </c>
      <c r="D2300">
        <v>3</v>
      </c>
      <c r="E2300" s="2" t="s">
        <v>141</v>
      </c>
      <c r="F2300" s="2" t="s">
        <v>142</v>
      </c>
      <c r="G2300" s="2" t="s">
        <v>21</v>
      </c>
      <c r="H2300" s="2" t="s">
        <v>22</v>
      </c>
      <c r="I2300" s="2" t="s">
        <v>73</v>
      </c>
      <c r="J2300" s="2" t="s">
        <v>24</v>
      </c>
      <c r="K2300">
        <v>730.15</v>
      </c>
      <c r="L2300">
        <v>18501.79</v>
      </c>
      <c r="M2300">
        <v>2533.9699999999998</v>
      </c>
      <c r="N2300" s="2" t="s">
        <v>143</v>
      </c>
      <c r="O2300" s="2" t="s">
        <v>144</v>
      </c>
      <c r="P2300" s="2" t="s">
        <v>4223</v>
      </c>
      <c r="Q2300" s="2" t="s">
        <v>4224</v>
      </c>
      <c r="R2300" s="2" t="s">
        <v>29</v>
      </c>
      <c r="S2300" s="2" t="s">
        <v>30</v>
      </c>
    </row>
    <row r="2301" spans="1:19">
      <c r="A2301" s="1">
        <v>44986</v>
      </c>
      <c r="B2301" s="1">
        <v>44986</v>
      </c>
      <c r="C2301">
        <v>2023</v>
      </c>
      <c r="D2301">
        <v>3</v>
      </c>
      <c r="E2301" s="2" t="s">
        <v>147</v>
      </c>
      <c r="F2301" s="2" t="s">
        <v>148</v>
      </c>
      <c r="G2301" s="2" t="s">
        <v>21</v>
      </c>
      <c r="H2301" s="2" t="s">
        <v>22</v>
      </c>
      <c r="I2301" s="2" t="s">
        <v>73</v>
      </c>
      <c r="J2301" s="2" t="s">
        <v>24</v>
      </c>
      <c r="K2301">
        <v>1652.35</v>
      </c>
      <c r="L2301">
        <v>35222.230000000003</v>
      </c>
      <c r="M2301">
        <v>2131.64</v>
      </c>
      <c r="N2301" s="2" t="s">
        <v>149</v>
      </c>
      <c r="O2301" s="2" t="s">
        <v>150</v>
      </c>
      <c r="P2301" s="2" t="s">
        <v>4225</v>
      </c>
      <c r="Q2301" s="2" t="s">
        <v>4226</v>
      </c>
      <c r="R2301" s="2" t="s">
        <v>29</v>
      </c>
      <c r="S2301" s="2" t="s">
        <v>30</v>
      </c>
    </row>
    <row r="2302" spans="1:19">
      <c r="A2302" s="1">
        <v>44986</v>
      </c>
      <c r="B2302" s="1">
        <v>44986</v>
      </c>
      <c r="C2302">
        <v>2023</v>
      </c>
      <c r="D2302">
        <v>3</v>
      </c>
      <c r="E2302" s="2" t="s">
        <v>153</v>
      </c>
      <c r="F2302" s="2" t="s">
        <v>154</v>
      </c>
      <c r="G2302" s="2" t="s">
        <v>21</v>
      </c>
      <c r="H2302" s="2" t="s">
        <v>22</v>
      </c>
      <c r="I2302" s="2" t="s">
        <v>73</v>
      </c>
      <c r="J2302" s="2" t="s">
        <v>101</v>
      </c>
      <c r="K2302">
        <v>2382.5</v>
      </c>
      <c r="L2302">
        <v>53724.02</v>
      </c>
      <c r="M2302">
        <v>2254.94</v>
      </c>
      <c r="N2302" s="2" t="s">
        <v>155</v>
      </c>
      <c r="O2302" s="2" t="s">
        <v>156</v>
      </c>
      <c r="P2302" s="2" t="s">
        <v>4227</v>
      </c>
      <c r="Q2302" s="2" t="s">
        <v>4228</v>
      </c>
      <c r="R2302" s="2" t="s">
        <v>29</v>
      </c>
      <c r="S2302" s="2" t="s">
        <v>30</v>
      </c>
    </row>
    <row r="2303" spans="1:19">
      <c r="A2303" s="1">
        <v>44986</v>
      </c>
      <c r="B2303" s="1">
        <v>44986</v>
      </c>
      <c r="C2303">
        <v>2023</v>
      </c>
      <c r="D2303">
        <v>3</v>
      </c>
      <c r="E2303" s="2" t="s">
        <v>159</v>
      </c>
      <c r="F2303" s="2" t="s">
        <v>160</v>
      </c>
      <c r="G2303" s="2" t="s">
        <v>21</v>
      </c>
      <c r="H2303" s="2" t="s">
        <v>22</v>
      </c>
      <c r="I2303" s="2" t="s">
        <v>66</v>
      </c>
      <c r="J2303" s="2" t="s">
        <v>59</v>
      </c>
      <c r="K2303">
        <v>1403.39</v>
      </c>
      <c r="L2303">
        <v>126112.96000000001</v>
      </c>
      <c r="M2303">
        <v>8986.31</v>
      </c>
      <c r="N2303" s="2" t="s">
        <v>161</v>
      </c>
      <c r="O2303" s="2" t="s">
        <v>162</v>
      </c>
      <c r="P2303" s="2" t="s">
        <v>4229</v>
      </c>
      <c r="Q2303" s="2" t="s">
        <v>4230</v>
      </c>
      <c r="R2303" s="2" t="s">
        <v>29</v>
      </c>
      <c r="S2303" s="2" t="s">
        <v>30</v>
      </c>
    </row>
    <row r="2304" spans="1:19">
      <c r="A2304" s="1">
        <v>44986</v>
      </c>
      <c r="B2304" s="1">
        <v>44986</v>
      </c>
      <c r="C2304">
        <v>2023</v>
      </c>
      <c r="D2304">
        <v>3</v>
      </c>
      <c r="E2304" s="2" t="s">
        <v>165</v>
      </c>
      <c r="F2304" s="2" t="s">
        <v>166</v>
      </c>
      <c r="G2304" s="2" t="s">
        <v>21</v>
      </c>
      <c r="H2304" s="2" t="s">
        <v>22</v>
      </c>
      <c r="I2304" s="2" t="s">
        <v>23</v>
      </c>
      <c r="J2304" s="2" t="s">
        <v>24</v>
      </c>
      <c r="N2304" s="2" t="s">
        <v>167</v>
      </c>
      <c r="O2304" s="2" t="s">
        <v>168</v>
      </c>
      <c r="P2304" s="2" t="s">
        <v>175</v>
      </c>
      <c r="Q2304" s="2" t="s">
        <v>175</v>
      </c>
      <c r="R2304" s="2" t="s">
        <v>640</v>
      </c>
      <c r="S2304" s="2" t="s">
        <v>641</v>
      </c>
    </row>
    <row r="2305" spans="1:19">
      <c r="A2305" s="1">
        <v>44986</v>
      </c>
      <c r="B2305" s="1">
        <v>44986</v>
      </c>
      <c r="C2305">
        <v>2023</v>
      </c>
      <c r="D2305">
        <v>3</v>
      </c>
      <c r="E2305" s="2" t="s">
        <v>171</v>
      </c>
      <c r="F2305" s="2" t="s">
        <v>172</v>
      </c>
      <c r="G2305" s="2" t="s">
        <v>21</v>
      </c>
      <c r="H2305" s="2" t="s">
        <v>22</v>
      </c>
      <c r="I2305" s="2" t="s">
        <v>66</v>
      </c>
      <c r="J2305" s="2" t="s">
        <v>24</v>
      </c>
      <c r="N2305" s="2" t="s">
        <v>173</v>
      </c>
      <c r="O2305" s="2" t="s">
        <v>174</v>
      </c>
      <c r="P2305" s="2" t="s">
        <v>175</v>
      </c>
      <c r="Q2305" s="2" t="s">
        <v>175</v>
      </c>
      <c r="R2305" s="2" t="s">
        <v>640</v>
      </c>
      <c r="S2305" s="2" t="s">
        <v>641</v>
      </c>
    </row>
    <row r="2306" spans="1:19">
      <c r="A2306" s="1">
        <v>44986</v>
      </c>
      <c r="B2306" s="1">
        <v>44986</v>
      </c>
      <c r="C2306">
        <v>2023</v>
      </c>
      <c r="D2306">
        <v>3</v>
      </c>
      <c r="E2306" s="2" t="s">
        <v>177</v>
      </c>
      <c r="F2306" s="2" t="s">
        <v>178</v>
      </c>
      <c r="G2306" s="2" t="s">
        <v>21</v>
      </c>
      <c r="H2306" s="2" t="s">
        <v>22</v>
      </c>
      <c r="I2306" s="2" t="s">
        <v>23</v>
      </c>
      <c r="J2306" s="2" t="s">
        <v>24</v>
      </c>
      <c r="K2306">
        <v>4970.5600000000004</v>
      </c>
      <c r="L2306">
        <v>546234.65</v>
      </c>
      <c r="M2306">
        <v>10989.4</v>
      </c>
      <c r="N2306" s="2" t="s">
        <v>179</v>
      </c>
      <c r="O2306" s="2" t="s">
        <v>180</v>
      </c>
      <c r="P2306" s="2" t="s">
        <v>4231</v>
      </c>
      <c r="Q2306" s="2" t="s">
        <v>4232</v>
      </c>
      <c r="R2306" s="2" t="s">
        <v>29</v>
      </c>
      <c r="S2306" s="2" t="s">
        <v>30</v>
      </c>
    </row>
    <row r="2307" spans="1:19">
      <c r="A2307" s="1">
        <v>44986</v>
      </c>
      <c r="B2307" s="1">
        <v>44986</v>
      </c>
      <c r="C2307">
        <v>2023</v>
      </c>
      <c r="D2307">
        <v>3</v>
      </c>
      <c r="E2307" s="2" t="s">
        <v>183</v>
      </c>
      <c r="F2307" s="2" t="s">
        <v>184</v>
      </c>
      <c r="G2307" s="2" t="s">
        <v>185</v>
      </c>
      <c r="H2307" s="2" t="s">
        <v>22</v>
      </c>
      <c r="I2307" s="2" t="s">
        <v>186</v>
      </c>
      <c r="J2307" s="2" t="s">
        <v>24</v>
      </c>
      <c r="K2307">
        <v>2892.3</v>
      </c>
      <c r="L2307">
        <v>4211832.92</v>
      </c>
      <c r="M2307">
        <v>145622.26999999999</v>
      </c>
      <c r="N2307" s="2" t="s">
        <v>187</v>
      </c>
      <c r="O2307" s="2" t="s">
        <v>188</v>
      </c>
      <c r="P2307" s="2" t="s">
        <v>4233</v>
      </c>
      <c r="Q2307" s="2" t="s">
        <v>4234</v>
      </c>
      <c r="R2307" s="2" t="s">
        <v>29</v>
      </c>
      <c r="S2307" s="2" t="s">
        <v>30</v>
      </c>
    </row>
    <row r="2308" spans="1:19">
      <c r="A2308" s="1">
        <v>44986</v>
      </c>
      <c r="B2308" s="1">
        <v>44986</v>
      </c>
      <c r="C2308">
        <v>2023</v>
      </c>
      <c r="D2308">
        <v>3</v>
      </c>
      <c r="E2308" s="2" t="s">
        <v>191</v>
      </c>
      <c r="F2308" s="2" t="s">
        <v>192</v>
      </c>
      <c r="G2308" s="2" t="s">
        <v>185</v>
      </c>
      <c r="H2308" s="2" t="s">
        <v>22</v>
      </c>
      <c r="I2308" s="2" t="s">
        <v>186</v>
      </c>
      <c r="J2308" s="2" t="s">
        <v>24</v>
      </c>
      <c r="K2308">
        <v>987.21</v>
      </c>
      <c r="L2308">
        <v>4769894</v>
      </c>
      <c r="M2308">
        <v>483169.13</v>
      </c>
      <c r="N2308" s="2" t="s">
        <v>193</v>
      </c>
      <c r="O2308" s="2" t="s">
        <v>194</v>
      </c>
      <c r="P2308" s="2" t="s">
        <v>4235</v>
      </c>
      <c r="Q2308" s="2" t="s">
        <v>4236</v>
      </c>
      <c r="R2308" s="2" t="s">
        <v>29</v>
      </c>
      <c r="S2308" s="2" t="s">
        <v>30</v>
      </c>
    </row>
    <row r="2309" spans="1:19">
      <c r="A2309" s="1">
        <v>44986</v>
      </c>
      <c r="B2309" s="1">
        <v>44986</v>
      </c>
      <c r="C2309">
        <v>2023</v>
      </c>
      <c r="D2309">
        <v>3</v>
      </c>
      <c r="E2309" s="2" t="s">
        <v>197</v>
      </c>
      <c r="F2309" s="2" t="s">
        <v>198</v>
      </c>
      <c r="G2309" s="2" t="s">
        <v>185</v>
      </c>
      <c r="H2309" s="2" t="s">
        <v>22</v>
      </c>
      <c r="I2309" s="2" t="s">
        <v>186</v>
      </c>
      <c r="J2309" s="2" t="s">
        <v>59</v>
      </c>
      <c r="K2309">
        <v>3879.51</v>
      </c>
      <c r="L2309">
        <v>8981726.9199999999</v>
      </c>
      <c r="M2309">
        <v>231517.05</v>
      </c>
      <c r="N2309" s="2" t="s">
        <v>199</v>
      </c>
      <c r="O2309" s="2" t="s">
        <v>200</v>
      </c>
      <c r="P2309" s="2" t="s">
        <v>4237</v>
      </c>
      <c r="Q2309" s="2" t="s">
        <v>4238</v>
      </c>
      <c r="R2309" s="2" t="s">
        <v>29</v>
      </c>
      <c r="S2309" s="2" t="s">
        <v>30</v>
      </c>
    </row>
    <row r="2310" spans="1:19">
      <c r="A2310" s="1">
        <v>44986</v>
      </c>
      <c r="B2310" s="1">
        <v>44986</v>
      </c>
      <c r="C2310">
        <v>2023</v>
      </c>
      <c r="D2310">
        <v>3</v>
      </c>
      <c r="E2310" s="2" t="s">
        <v>203</v>
      </c>
      <c r="F2310" s="2" t="s">
        <v>204</v>
      </c>
      <c r="G2310" s="2" t="s">
        <v>39</v>
      </c>
      <c r="H2310" s="2" t="s">
        <v>22</v>
      </c>
      <c r="I2310" s="2" t="s">
        <v>40</v>
      </c>
      <c r="J2310" s="2" t="s">
        <v>24</v>
      </c>
      <c r="K2310">
        <v>1083.6099999999999</v>
      </c>
      <c r="L2310">
        <v>30014.62</v>
      </c>
      <c r="M2310">
        <v>2769.87</v>
      </c>
      <c r="N2310" s="2" t="s">
        <v>205</v>
      </c>
      <c r="O2310" s="2" t="s">
        <v>206</v>
      </c>
      <c r="P2310" s="2" t="s">
        <v>4239</v>
      </c>
      <c r="Q2310" s="2" t="s">
        <v>4240</v>
      </c>
      <c r="R2310" s="2" t="s">
        <v>29</v>
      </c>
      <c r="S2310" s="2" t="s">
        <v>30</v>
      </c>
    </row>
    <row r="2311" spans="1:19">
      <c r="A2311" s="1">
        <v>44986</v>
      </c>
      <c r="B2311" s="1">
        <v>44986</v>
      </c>
      <c r="C2311">
        <v>2023</v>
      </c>
      <c r="D2311">
        <v>3</v>
      </c>
      <c r="E2311" s="2" t="s">
        <v>209</v>
      </c>
      <c r="F2311" s="2" t="s">
        <v>210</v>
      </c>
      <c r="G2311" s="2" t="s">
        <v>39</v>
      </c>
      <c r="H2311" s="2" t="s">
        <v>22</v>
      </c>
      <c r="I2311" s="2" t="s">
        <v>40</v>
      </c>
      <c r="J2311" s="2" t="s">
        <v>59</v>
      </c>
      <c r="K2311">
        <v>1083.6099999999999</v>
      </c>
      <c r="L2311">
        <v>30014.62</v>
      </c>
      <c r="M2311">
        <v>2769.87</v>
      </c>
      <c r="N2311" s="2" t="s">
        <v>211</v>
      </c>
      <c r="O2311" s="2" t="s">
        <v>212</v>
      </c>
      <c r="P2311" s="2" t="s">
        <v>4239</v>
      </c>
      <c r="Q2311" s="2" t="s">
        <v>4240</v>
      </c>
      <c r="R2311" s="2" t="s">
        <v>29</v>
      </c>
      <c r="S2311" s="2" t="s">
        <v>30</v>
      </c>
    </row>
    <row r="2312" spans="1:19">
      <c r="A2312" s="1">
        <v>44986</v>
      </c>
      <c r="B2312" s="1">
        <v>44986</v>
      </c>
      <c r="C2312">
        <v>2023</v>
      </c>
      <c r="D2312">
        <v>3</v>
      </c>
      <c r="E2312" s="2" t="s">
        <v>213</v>
      </c>
      <c r="F2312" s="2" t="s">
        <v>214</v>
      </c>
      <c r="G2312" s="2" t="s">
        <v>185</v>
      </c>
      <c r="H2312" s="2" t="s">
        <v>22</v>
      </c>
      <c r="I2312" s="2" t="s">
        <v>215</v>
      </c>
      <c r="J2312" s="2" t="s">
        <v>24</v>
      </c>
      <c r="K2312">
        <v>75779.86</v>
      </c>
      <c r="L2312">
        <v>1813209.18</v>
      </c>
      <c r="M2312">
        <v>2392.73</v>
      </c>
      <c r="N2312" s="2" t="s">
        <v>216</v>
      </c>
      <c r="O2312" s="2" t="s">
        <v>217</v>
      </c>
      <c r="P2312" s="2" t="s">
        <v>4241</v>
      </c>
      <c r="Q2312" s="2" t="s">
        <v>4242</v>
      </c>
      <c r="R2312" s="2" t="s">
        <v>29</v>
      </c>
      <c r="S2312" s="2" t="s">
        <v>30</v>
      </c>
    </row>
    <row r="2313" spans="1:19">
      <c r="A2313" s="1">
        <v>44986</v>
      </c>
      <c r="B2313" s="1">
        <v>44986</v>
      </c>
      <c r="C2313">
        <v>2023</v>
      </c>
      <c r="D2313">
        <v>3</v>
      </c>
      <c r="E2313" s="2" t="s">
        <v>220</v>
      </c>
      <c r="F2313" s="2" t="s">
        <v>221</v>
      </c>
      <c r="G2313" s="2" t="s">
        <v>185</v>
      </c>
      <c r="H2313" s="2" t="s">
        <v>22</v>
      </c>
      <c r="I2313" s="2" t="s">
        <v>215</v>
      </c>
      <c r="J2313" s="2" t="s">
        <v>24</v>
      </c>
      <c r="K2313">
        <v>5868.83</v>
      </c>
      <c r="L2313">
        <v>436884.55</v>
      </c>
      <c r="M2313">
        <v>7444.15</v>
      </c>
      <c r="N2313" s="2" t="s">
        <v>222</v>
      </c>
      <c r="O2313" s="2" t="s">
        <v>223</v>
      </c>
      <c r="P2313" s="2" t="s">
        <v>4243</v>
      </c>
      <c r="Q2313" s="2" t="s">
        <v>4244</v>
      </c>
      <c r="R2313" s="2" t="s">
        <v>29</v>
      </c>
      <c r="S2313" s="2" t="s">
        <v>30</v>
      </c>
    </row>
    <row r="2314" spans="1:19">
      <c r="A2314" s="1">
        <v>44986</v>
      </c>
      <c r="B2314" s="1">
        <v>44986</v>
      </c>
      <c r="C2314">
        <v>2023</v>
      </c>
      <c r="D2314">
        <v>3</v>
      </c>
      <c r="E2314" s="2" t="s">
        <v>226</v>
      </c>
      <c r="F2314" s="2" t="s">
        <v>227</v>
      </c>
      <c r="G2314" s="2" t="s">
        <v>185</v>
      </c>
      <c r="H2314" s="2" t="s">
        <v>22</v>
      </c>
      <c r="I2314" s="2" t="s">
        <v>215</v>
      </c>
      <c r="J2314" s="2" t="s">
        <v>59</v>
      </c>
      <c r="K2314">
        <v>81648.69</v>
      </c>
      <c r="L2314">
        <v>2250093.73</v>
      </c>
      <c r="M2314">
        <v>2755.82</v>
      </c>
      <c r="N2314" s="2" t="s">
        <v>228</v>
      </c>
      <c r="O2314" s="2" t="s">
        <v>229</v>
      </c>
      <c r="P2314" s="2" t="s">
        <v>4245</v>
      </c>
      <c r="Q2314" s="2" t="s">
        <v>4246</v>
      </c>
      <c r="R2314" s="2" t="s">
        <v>29</v>
      </c>
      <c r="S2314" s="2" t="s">
        <v>30</v>
      </c>
    </row>
    <row r="2315" spans="1:19">
      <c r="A2315" s="1">
        <v>44986</v>
      </c>
      <c r="B2315" s="1">
        <v>44986</v>
      </c>
      <c r="C2315">
        <v>2023</v>
      </c>
      <c r="D2315">
        <v>3</v>
      </c>
      <c r="E2315" s="2" t="s">
        <v>232</v>
      </c>
      <c r="F2315" s="2" t="s">
        <v>233</v>
      </c>
      <c r="G2315" s="2" t="s">
        <v>21</v>
      </c>
      <c r="H2315" s="2" t="s">
        <v>22</v>
      </c>
      <c r="I2315" s="2" t="s">
        <v>23</v>
      </c>
      <c r="J2315" s="2" t="s">
        <v>24</v>
      </c>
      <c r="K2315">
        <v>1962.73</v>
      </c>
      <c r="L2315">
        <v>178757.16</v>
      </c>
      <c r="M2315">
        <v>9107.58</v>
      </c>
      <c r="N2315" s="2" t="s">
        <v>234</v>
      </c>
      <c r="O2315" s="2" t="s">
        <v>235</v>
      </c>
      <c r="P2315" s="2" t="s">
        <v>4247</v>
      </c>
      <c r="Q2315" s="2" t="s">
        <v>4248</v>
      </c>
      <c r="R2315" s="2" t="s">
        <v>29</v>
      </c>
      <c r="S2315" s="2" t="s">
        <v>30</v>
      </c>
    </row>
    <row r="2316" spans="1:19">
      <c r="A2316" s="1">
        <v>44986</v>
      </c>
      <c r="B2316" s="1">
        <v>44986</v>
      </c>
      <c r="C2316">
        <v>2023</v>
      </c>
      <c r="D2316">
        <v>3</v>
      </c>
      <c r="E2316" s="2" t="s">
        <v>238</v>
      </c>
      <c r="F2316" s="2" t="s">
        <v>239</v>
      </c>
      <c r="G2316" s="2" t="s">
        <v>21</v>
      </c>
      <c r="H2316" s="2" t="s">
        <v>22</v>
      </c>
      <c r="I2316" s="2" t="s">
        <v>66</v>
      </c>
      <c r="J2316" s="2" t="s">
        <v>24</v>
      </c>
      <c r="K2316">
        <v>1246.53</v>
      </c>
      <c r="L2316">
        <v>125375.59</v>
      </c>
      <c r="M2316">
        <v>10057.969999999999</v>
      </c>
      <c r="N2316" s="2" t="s">
        <v>240</v>
      </c>
      <c r="O2316" s="2" t="s">
        <v>241</v>
      </c>
      <c r="P2316" s="2" t="s">
        <v>4249</v>
      </c>
      <c r="Q2316" s="2" t="s">
        <v>4250</v>
      </c>
      <c r="R2316" s="2" t="s">
        <v>29</v>
      </c>
      <c r="S2316" s="2" t="s">
        <v>30</v>
      </c>
    </row>
    <row r="2317" spans="1:19">
      <c r="A2317" s="1">
        <v>44986</v>
      </c>
      <c r="B2317" s="1">
        <v>44986</v>
      </c>
      <c r="C2317">
        <v>2023</v>
      </c>
      <c r="D2317">
        <v>3</v>
      </c>
      <c r="E2317" s="2" t="s">
        <v>244</v>
      </c>
      <c r="F2317" s="2" t="s">
        <v>245</v>
      </c>
      <c r="G2317" s="2" t="s">
        <v>21</v>
      </c>
      <c r="H2317" s="2" t="s">
        <v>22</v>
      </c>
      <c r="I2317" s="2" t="s">
        <v>23</v>
      </c>
      <c r="J2317" s="2" t="s">
        <v>24</v>
      </c>
      <c r="K2317">
        <v>5469.06</v>
      </c>
      <c r="L2317">
        <v>3750569.41</v>
      </c>
      <c r="M2317">
        <v>68577.95</v>
      </c>
      <c r="N2317" s="2" t="s">
        <v>246</v>
      </c>
      <c r="O2317" s="2" t="s">
        <v>247</v>
      </c>
      <c r="P2317" s="2" t="s">
        <v>4251</v>
      </c>
      <c r="Q2317" s="2" t="s">
        <v>4252</v>
      </c>
      <c r="R2317" s="2" t="s">
        <v>29</v>
      </c>
      <c r="S2317" s="2" t="s">
        <v>30</v>
      </c>
    </row>
    <row r="2318" spans="1:19">
      <c r="A2318" s="1">
        <v>44986</v>
      </c>
      <c r="B2318" s="1">
        <v>44986</v>
      </c>
      <c r="C2318">
        <v>2023</v>
      </c>
      <c r="D2318">
        <v>3</v>
      </c>
      <c r="E2318" s="2" t="s">
        <v>250</v>
      </c>
      <c r="F2318" s="2" t="s">
        <v>251</v>
      </c>
      <c r="G2318" s="2" t="s">
        <v>21</v>
      </c>
      <c r="H2318" s="2" t="s">
        <v>22</v>
      </c>
      <c r="I2318" s="2" t="s">
        <v>66</v>
      </c>
      <c r="J2318" s="2" t="s">
        <v>24</v>
      </c>
      <c r="K2318">
        <v>143.94</v>
      </c>
      <c r="L2318">
        <v>245.66</v>
      </c>
      <c r="M2318">
        <v>170.67</v>
      </c>
      <c r="N2318" s="2" t="s">
        <v>252</v>
      </c>
      <c r="O2318" s="2" t="s">
        <v>253</v>
      </c>
      <c r="P2318" s="2" t="s">
        <v>4253</v>
      </c>
      <c r="Q2318" s="2" t="s">
        <v>4254</v>
      </c>
      <c r="R2318" s="2" t="s">
        <v>29</v>
      </c>
      <c r="S2318" s="2" t="s">
        <v>30</v>
      </c>
    </row>
    <row r="2319" spans="1:19">
      <c r="A2319" s="1">
        <v>44986</v>
      </c>
      <c r="B2319" s="1">
        <v>44986</v>
      </c>
      <c r="C2319">
        <v>2023</v>
      </c>
      <c r="D2319">
        <v>3</v>
      </c>
      <c r="E2319" s="2" t="s">
        <v>256</v>
      </c>
      <c r="F2319" s="2" t="s">
        <v>257</v>
      </c>
      <c r="G2319" s="2" t="s">
        <v>21</v>
      </c>
      <c r="H2319" s="2" t="s">
        <v>22</v>
      </c>
      <c r="I2319" s="2" t="s">
        <v>258</v>
      </c>
      <c r="J2319" s="2" t="s">
        <v>24</v>
      </c>
      <c r="K2319">
        <v>642.76</v>
      </c>
      <c r="L2319">
        <v>706181.13</v>
      </c>
      <c r="M2319">
        <v>109867</v>
      </c>
      <c r="N2319" s="2" t="s">
        <v>259</v>
      </c>
      <c r="O2319" s="2" t="s">
        <v>260</v>
      </c>
      <c r="P2319" s="2" t="s">
        <v>4255</v>
      </c>
      <c r="Q2319" s="2" t="s">
        <v>4256</v>
      </c>
      <c r="R2319" s="2" t="s">
        <v>29</v>
      </c>
      <c r="S2319" s="2" t="s">
        <v>30</v>
      </c>
    </row>
    <row r="2320" spans="1:19">
      <c r="A2320" s="1">
        <v>44986</v>
      </c>
      <c r="B2320" s="1">
        <v>44986</v>
      </c>
      <c r="C2320">
        <v>2023</v>
      </c>
      <c r="D2320">
        <v>3</v>
      </c>
      <c r="E2320" s="2" t="s">
        <v>263</v>
      </c>
      <c r="F2320" s="2" t="s">
        <v>264</v>
      </c>
      <c r="G2320" s="2" t="s">
        <v>21</v>
      </c>
      <c r="H2320" s="2" t="s">
        <v>22</v>
      </c>
      <c r="I2320" s="2" t="s">
        <v>258</v>
      </c>
      <c r="J2320" s="2" t="s">
        <v>24</v>
      </c>
      <c r="K2320">
        <v>0</v>
      </c>
      <c r="L2320">
        <v>0</v>
      </c>
      <c r="N2320" s="2" t="s">
        <v>265</v>
      </c>
      <c r="O2320" s="2" t="s">
        <v>266</v>
      </c>
      <c r="P2320" s="2" t="s">
        <v>639</v>
      </c>
      <c r="Q2320" s="2" t="s">
        <v>639</v>
      </c>
      <c r="R2320" s="2" t="s">
        <v>29</v>
      </c>
      <c r="S2320" s="2" t="s">
        <v>30</v>
      </c>
    </row>
    <row r="2321" spans="1:19">
      <c r="A2321" s="1">
        <v>44986</v>
      </c>
      <c r="B2321" s="1">
        <v>44986</v>
      </c>
      <c r="C2321">
        <v>2023</v>
      </c>
      <c r="D2321">
        <v>3</v>
      </c>
      <c r="E2321" s="2" t="s">
        <v>269</v>
      </c>
      <c r="F2321" s="2" t="s">
        <v>270</v>
      </c>
      <c r="G2321" s="2" t="s">
        <v>21</v>
      </c>
      <c r="H2321" s="2" t="s">
        <v>22</v>
      </c>
      <c r="I2321" s="2" t="s">
        <v>258</v>
      </c>
      <c r="J2321" s="2" t="s">
        <v>59</v>
      </c>
      <c r="K2321">
        <v>642.76</v>
      </c>
      <c r="L2321">
        <v>706181.13</v>
      </c>
      <c r="M2321">
        <v>109867</v>
      </c>
      <c r="N2321" s="2" t="s">
        <v>271</v>
      </c>
      <c r="O2321" s="2" t="s">
        <v>272</v>
      </c>
      <c r="P2321" s="2" t="s">
        <v>4255</v>
      </c>
      <c r="Q2321" s="2" t="s">
        <v>4256</v>
      </c>
      <c r="R2321" s="2" t="s">
        <v>29</v>
      </c>
      <c r="S2321" s="2" t="s">
        <v>30</v>
      </c>
    </row>
    <row r="2322" spans="1:19">
      <c r="A2322" s="1">
        <v>44986</v>
      </c>
      <c r="B2322" s="1">
        <v>44986</v>
      </c>
      <c r="C2322">
        <v>2023</v>
      </c>
      <c r="D2322">
        <v>3</v>
      </c>
      <c r="E2322" s="2" t="s">
        <v>275</v>
      </c>
      <c r="F2322" s="2" t="s">
        <v>276</v>
      </c>
      <c r="G2322" s="2" t="s">
        <v>39</v>
      </c>
      <c r="H2322" s="2" t="s">
        <v>22</v>
      </c>
      <c r="I2322" s="2" t="s">
        <v>40</v>
      </c>
      <c r="J2322" s="2" t="s">
        <v>24</v>
      </c>
      <c r="K2322">
        <v>2.31</v>
      </c>
      <c r="L2322">
        <v>22.55</v>
      </c>
      <c r="M2322">
        <v>976.19</v>
      </c>
      <c r="N2322" s="2" t="s">
        <v>277</v>
      </c>
      <c r="O2322" s="2" t="s">
        <v>278</v>
      </c>
      <c r="P2322" s="2" t="s">
        <v>4257</v>
      </c>
      <c r="Q2322" s="2" t="s">
        <v>4258</v>
      </c>
      <c r="R2322" s="2" t="s">
        <v>29</v>
      </c>
      <c r="S2322" s="2" t="s">
        <v>30</v>
      </c>
    </row>
    <row r="2323" spans="1:19">
      <c r="A2323" s="1">
        <v>44986</v>
      </c>
      <c r="B2323" s="1">
        <v>44986</v>
      </c>
      <c r="C2323">
        <v>2023</v>
      </c>
      <c r="D2323">
        <v>3</v>
      </c>
      <c r="E2323" s="2" t="s">
        <v>281</v>
      </c>
      <c r="F2323" s="2" t="s">
        <v>282</v>
      </c>
      <c r="G2323" s="2" t="s">
        <v>39</v>
      </c>
      <c r="H2323" s="2" t="s">
        <v>22</v>
      </c>
      <c r="I2323" s="2" t="s">
        <v>40</v>
      </c>
      <c r="J2323" s="2" t="s">
        <v>24</v>
      </c>
      <c r="K2323">
        <v>0.02</v>
      </c>
      <c r="L2323">
        <v>0.09</v>
      </c>
      <c r="M2323">
        <v>450</v>
      </c>
      <c r="N2323" s="2" t="s">
        <v>283</v>
      </c>
      <c r="O2323" s="2" t="s">
        <v>284</v>
      </c>
      <c r="P2323" s="2" t="s">
        <v>1039</v>
      </c>
      <c r="Q2323" s="2" t="s">
        <v>534</v>
      </c>
      <c r="R2323" s="2" t="s">
        <v>29</v>
      </c>
      <c r="S2323" s="2" t="s">
        <v>30</v>
      </c>
    </row>
    <row r="2324" spans="1:19">
      <c r="A2324" s="1">
        <v>44986</v>
      </c>
      <c r="B2324" s="1">
        <v>44986</v>
      </c>
      <c r="C2324">
        <v>2023</v>
      </c>
      <c r="D2324">
        <v>3</v>
      </c>
      <c r="E2324" s="2" t="s">
        <v>287</v>
      </c>
      <c r="F2324" s="2" t="s">
        <v>288</v>
      </c>
      <c r="G2324" s="2" t="s">
        <v>39</v>
      </c>
      <c r="H2324" s="2" t="s">
        <v>22</v>
      </c>
      <c r="I2324" s="2" t="s">
        <v>40</v>
      </c>
      <c r="J2324" s="2" t="s">
        <v>59</v>
      </c>
      <c r="K2324">
        <v>2.3199999999999998</v>
      </c>
      <c r="L2324">
        <v>22.64</v>
      </c>
      <c r="M2324">
        <v>975.86</v>
      </c>
      <c r="N2324" s="2" t="s">
        <v>289</v>
      </c>
      <c r="O2324" s="2" t="s">
        <v>290</v>
      </c>
      <c r="P2324" s="2" t="s">
        <v>1750</v>
      </c>
      <c r="Q2324" s="2" t="s">
        <v>4259</v>
      </c>
      <c r="R2324" s="2" t="s">
        <v>29</v>
      </c>
      <c r="S2324" s="2" t="s">
        <v>30</v>
      </c>
    </row>
    <row r="2325" spans="1:19">
      <c r="A2325" s="1">
        <v>44986</v>
      </c>
      <c r="B2325" s="1">
        <v>44986</v>
      </c>
      <c r="C2325">
        <v>2023</v>
      </c>
      <c r="D2325">
        <v>3</v>
      </c>
      <c r="E2325" s="2" t="s">
        <v>293</v>
      </c>
      <c r="F2325" s="2" t="s">
        <v>294</v>
      </c>
      <c r="G2325" s="2" t="s">
        <v>21</v>
      </c>
      <c r="H2325" s="2" t="s">
        <v>22</v>
      </c>
      <c r="I2325" s="2" t="s">
        <v>295</v>
      </c>
      <c r="J2325" s="2" t="s">
        <v>24</v>
      </c>
      <c r="K2325">
        <v>513.36</v>
      </c>
      <c r="L2325">
        <v>3282.94</v>
      </c>
      <c r="M2325">
        <v>639.5</v>
      </c>
      <c r="N2325" s="2" t="s">
        <v>296</v>
      </c>
      <c r="O2325" s="2" t="s">
        <v>297</v>
      </c>
      <c r="P2325" s="2" t="s">
        <v>4260</v>
      </c>
      <c r="Q2325" s="2" t="s">
        <v>4261</v>
      </c>
      <c r="R2325" s="2" t="s">
        <v>29</v>
      </c>
      <c r="S2325" s="2" t="s">
        <v>30</v>
      </c>
    </row>
    <row r="2326" spans="1:19">
      <c r="A2326" s="1">
        <v>44986</v>
      </c>
      <c r="B2326" s="1">
        <v>44986</v>
      </c>
      <c r="C2326">
        <v>2023</v>
      </c>
      <c r="D2326">
        <v>3</v>
      </c>
      <c r="E2326" s="2" t="s">
        <v>300</v>
      </c>
      <c r="F2326" s="2" t="s">
        <v>301</v>
      </c>
      <c r="G2326" s="2" t="s">
        <v>21</v>
      </c>
      <c r="H2326" s="2" t="s">
        <v>22</v>
      </c>
      <c r="I2326" s="2" t="s">
        <v>295</v>
      </c>
      <c r="J2326" s="2" t="s">
        <v>24</v>
      </c>
      <c r="K2326">
        <v>705.7</v>
      </c>
      <c r="L2326">
        <v>1040.99</v>
      </c>
      <c r="M2326">
        <v>147.51</v>
      </c>
      <c r="N2326" s="2" t="s">
        <v>302</v>
      </c>
      <c r="O2326" s="2" t="s">
        <v>303</v>
      </c>
      <c r="P2326" s="2" t="s">
        <v>4262</v>
      </c>
      <c r="Q2326" s="2" t="s">
        <v>4263</v>
      </c>
      <c r="R2326" s="2" t="s">
        <v>29</v>
      </c>
      <c r="S2326" s="2" t="s">
        <v>30</v>
      </c>
    </row>
    <row r="2327" spans="1:19">
      <c r="A2327" s="1">
        <v>44986</v>
      </c>
      <c r="B2327" s="1">
        <v>44986</v>
      </c>
      <c r="C2327">
        <v>2023</v>
      </c>
      <c r="D2327">
        <v>3</v>
      </c>
      <c r="E2327" s="2" t="s">
        <v>306</v>
      </c>
      <c r="F2327" s="2" t="s">
        <v>307</v>
      </c>
      <c r="G2327" s="2" t="s">
        <v>21</v>
      </c>
      <c r="H2327" s="2" t="s">
        <v>22</v>
      </c>
      <c r="I2327" s="2" t="s">
        <v>295</v>
      </c>
      <c r="J2327" s="2" t="s">
        <v>101</v>
      </c>
      <c r="K2327">
        <v>1219.06</v>
      </c>
      <c r="L2327">
        <v>4323.93</v>
      </c>
      <c r="M2327">
        <v>354.69</v>
      </c>
      <c r="N2327" s="2" t="s">
        <v>308</v>
      </c>
      <c r="O2327" s="2" t="s">
        <v>309</v>
      </c>
      <c r="P2327" s="2" t="s">
        <v>4264</v>
      </c>
      <c r="Q2327" s="2" t="s">
        <v>4265</v>
      </c>
      <c r="R2327" s="2" t="s">
        <v>29</v>
      </c>
      <c r="S2327" s="2" t="s">
        <v>30</v>
      </c>
    </row>
    <row r="2328" spans="1:19">
      <c r="A2328" s="1">
        <v>44986</v>
      </c>
      <c r="B2328" s="1">
        <v>44986</v>
      </c>
      <c r="C2328">
        <v>2023</v>
      </c>
      <c r="D2328">
        <v>3</v>
      </c>
      <c r="E2328" s="2" t="s">
        <v>312</v>
      </c>
      <c r="F2328" s="2" t="s">
        <v>313</v>
      </c>
      <c r="G2328" s="2" t="s">
        <v>21</v>
      </c>
      <c r="H2328" s="2" t="s">
        <v>22</v>
      </c>
      <c r="I2328" s="2" t="s">
        <v>295</v>
      </c>
      <c r="J2328" s="2" t="s">
        <v>59</v>
      </c>
      <c r="K2328">
        <v>6402.38</v>
      </c>
      <c r="L2328">
        <v>24004.99</v>
      </c>
      <c r="M2328">
        <v>374.94</v>
      </c>
      <c r="N2328" s="2" t="s">
        <v>314</v>
      </c>
      <c r="O2328" s="2" t="s">
        <v>315</v>
      </c>
      <c r="P2328" s="2" t="s">
        <v>4266</v>
      </c>
      <c r="Q2328" s="2" t="s">
        <v>4267</v>
      </c>
      <c r="R2328" s="2" t="s">
        <v>29</v>
      </c>
      <c r="S2328" s="2" t="s">
        <v>30</v>
      </c>
    </row>
    <row r="2329" spans="1:19">
      <c r="A2329" s="1">
        <v>44986</v>
      </c>
      <c r="B2329" s="1">
        <v>44986</v>
      </c>
      <c r="C2329">
        <v>2023</v>
      </c>
      <c r="D2329">
        <v>3</v>
      </c>
      <c r="E2329" s="2" t="s">
        <v>318</v>
      </c>
      <c r="F2329" s="2" t="s">
        <v>319</v>
      </c>
      <c r="G2329" s="2" t="s">
        <v>21</v>
      </c>
      <c r="H2329" s="2" t="s">
        <v>22</v>
      </c>
      <c r="I2329" s="2" t="s">
        <v>295</v>
      </c>
      <c r="J2329" s="2" t="s">
        <v>24</v>
      </c>
      <c r="K2329">
        <v>5183.32</v>
      </c>
      <c r="L2329">
        <v>19681.05</v>
      </c>
      <c r="M2329">
        <v>379.7</v>
      </c>
      <c r="N2329" s="2" t="s">
        <v>320</v>
      </c>
      <c r="O2329" s="2" t="s">
        <v>321</v>
      </c>
      <c r="P2329" s="2" t="s">
        <v>4268</v>
      </c>
      <c r="Q2329" s="2" t="s">
        <v>4269</v>
      </c>
      <c r="R2329" s="2" t="s">
        <v>29</v>
      </c>
      <c r="S2329" s="2" t="s">
        <v>30</v>
      </c>
    </row>
    <row r="2330" spans="1:19">
      <c r="A2330" s="1">
        <v>44986</v>
      </c>
      <c r="B2330" s="1">
        <v>44986</v>
      </c>
      <c r="C2330">
        <v>2023</v>
      </c>
      <c r="D2330">
        <v>3</v>
      </c>
      <c r="E2330" s="2" t="s">
        <v>324</v>
      </c>
      <c r="F2330" s="2" t="s">
        <v>325</v>
      </c>
      <c r="G2330" s="2" t="s">
        <v>21</v>
      </c>
      <c r="H2330" s="2" t="s">
        <v>22</v>
      </c>
      <c r="I2330" s="2" t="s">
        <v>23</v>
      </c>
      <c r="J2330" s="2" t="s">
        <v>59</v>
      </c>
      <c r="K2330">
        <v>100851.12</v>
      </c>
      <c r="L2330">
        <v>5906935.5300000003</v>
      </c>
      <c r="M2330">
        <v>5857.08</v>
      </c>
      <c r="N2330" s="2" t="s">
        <v>326</v>
      </c>
      <c r="O2330" s="2" t="s">
        <v>327</v>
      </c>
      <c r="P2330" s="2" t="s">
        <v>4270</v>
      </c>
      <c r="Q2330" s="2" t="s">
        <v>4271</v>
      </c>
      <c r="R2330" s="2" t="s">
        <v>29</v>
      </c>
      <c r="S2330" s="2" t="s">
        <v>30</v>
      </c>
    </row>
    <row r="2331" spans="1:19">
      <c r="A2331" s="1">
        <v>44986</v>
      </c>
      <c r="B2331" s="1">
        <v>44986</v>
      </c>
      <c r="C2331">
        <v>2023</v>
      </c>
      <c r="D2331">
        <v>3</v>
      </c>
      <c r="E2331" s="2" t="s">
        <v>330</v>
      </c>
      <c r="F2331" s="2" t="s">
        <v>331</v>
      </c>
      <c r="G2331" s="2" t="s">
        <v>21</v>
      </c>
      <c r="H2331" s="2" t="s">
        <v>332</v>
      </c>
      <c r="I2331" s="2" t="s">
        <v>333</v>
      </c>
      <c r="J2331" s="2" t="s">
        <v>24</v>
      </c>
      <c r="K2331">
        <v>246.66</v>
      </c>
      <c r="L2331">
        <v>14416322.43</v>
      </c>
      <c r="M2331">
        <v>5844613</v>
      </c>
      <c r="N2331" s="2" t="s">
        <v>334</v>
      </c>
      <c r="O2331" s="2" t="s">
        <v>335</v>
      </c>
      <c r="P2331" s="2" t="s">
        <v>4272</v>
      </c>
      <c r="Q2331" s="2" t="s">
        <v>4273</v>
      </c>
      <c r="R2331" s="2" t="s">
        <v>29</v>
      </c>
      <c r="S2331" s="2" t="s">
        <v>30</v>
      </c>
    </row>
    <row r="2332" spans="1:19">
      <c r="A2332" s="1">
        <v>44986</v>
      </c>
      <c r="B2332" s="1">
        <v>44986</v>
      </c>
      <c r="C2332">
        <v>2023</v>
      </c>
      <c r="D2332">
        <v>3</v>
      </c>
      <c r="E2332" s="2" t="s">
        <v>338</v>
      </c>
      <c r="F2332" s="2" t="s">
        <v>339</v>
      </c>
      <c r="G2332" s="2" t="s">
        <v>21</v>
      </c>
      <c r="H2332" s="2" t="s">
        <v>332</v>
      </c>
      <c r="I2332" s="2" t="s">
        <v>333</v>
      </c>
      <c r="J2332" s="2" t="s">
        <v>24</v>
      </c>
      <c r="K2332">
        <v>1.35</v>
      </c>
      <c r="L2332">
        <v>1706579.81</v>
      </c>
      <c r="M2332">
        <v>126413319.26000001</v>
      </c>
      <c r="N2332" s="2" t="s">
        <v>340</v>
      </c>
      <c r="O2332" s="2" t="s">
        <v>341</v>
      </c>
      <c r="P2332" s="2" t="s">
        <v>1743</v>
      </c>
      <c r="Q2332" s="2" t="s">
        <v>4274</v>
      </c>
      <c r="R2332" s="2" t="s">
        <v>29</v>
      </c>
      <c r="S2332" s="2" t="s">
        <v>30</v>
      </c>
    </row>
    <row r="2333" spans="1:19">
      <c r="A2333" s="1">
        <v>44986</v>
      </c>
      <c r="B2333" s="1">
        <v>44986</v>
      </c>
      <c r="C2333">
        <v>2023</v>
      </c>
      <c r="D2333">
        <v>3</v>
      </c>
      <c r="E2333" s="2" t="s">
        <v>344</v>
      </c>
      <c r="F2333" s="2" t="s">
        <v>345</v>
      </c>
      <c r="G2333" s="2" t="s">
        <v>21</v>
      </c>
      <c r="H2333" s="2" t="s">
        <v>332</v>
      </c>
      <c r="I2333" s="2" t="s">
        <v>333</v>
      </c>
      <c r="J2333" s="2" t="s">
        <v>59</v>
      </c>
      <c r="K2333">
        <v>248.01</v>
      </c>
      <c r="L2333">
        <v>16122902.24</v>
      </c>
      <c r="M2333">
        <v>6500908.1200000001</v>
      </c>
      <c r="N2333" s="2" t="s">
        <v>346</v>
      </c>
      <c r="O2333" s="2" t="s">
        <v>347</v>
      </c>
      <c r="P2333" s="2" t="s">
        <v>4275</v>
      </c>
      <c r="Q2333" s="2" t="s">
        <v>4276</v>
      </c>
      <c r="R2333" s="2" t="s">
        <v>29</v>
      </c>
      <c r="S2333" s="2" t="s">
        <v>30</v>
      </c>
    </row>
    <row r="2334" spans="1:19">
      <c r="A2334" s="1">
        <v>44986</v>
      </c>
      <c r="B2334" s="1">
        <v>44986</v>
      </c>
      <c r="C2334">
        <v>2023</v>
      </c>
      <c r="D2334">
        <v>3</v>
      </c>
      <c r="E2334" s="2" t="s">
        <v>350</v>
      </c>
      <c r="F2334" s="2" t="s">
        <v>351</v>
      </c>
      <c r="G2334" s="2" t="s">
        <v>21</v>
      </c>
      <c r="H2334" s="2" t="s">
        <v>22</v>
      </c>
      <c r="I2334" s="2" t="s">
        <v>352</v>
      </c>
      <c r="J2334" s="2" t="s">
        <v>353</v>
      </c>
      <c r="K2334">
        <v>113921.68</v>
      </c>
      <c r="L2334">
        <v>22370990.859999999</v>
      </c>
      <c r="M2334">
        <v>19637.169999999998</v>
      </c>
      <c r="N2334" s="2" t="s">
        <v>354</v>
      </c>
      <c r="O2334" s="2" t="s">
        <v>355</v>
      </c>
      <c r="P2334" s="2" t="s">
        <v>4277</v>
      </c>
      <c r="Q2334" s="2" t="s">
        <v>4278</v>
      </c>
      <c r="R2334" s="2" t="s">
        <v>29</v>
      </c>
      <c r="S2334" s="2" t="s">
        <v>30</v>
      </c>
    </row>
    <row r="2335" spans="1:19">
      <c r="A2335" s="1">
        <v>44986</v>
      </c>
      <c r="B2335" s="1">
        <v>44986</v>
      </c>
      <c r="C2335">
        <v>2023</v>
      </c>
      <c r="D2335">
        <v>3</v>
      </c>
      <c r="E2335" s="2" t="s">
        <v>358</v>
      </c>
      <c r="F2335" s="2" t="s">
        <v>359</v>
      </c>
      <c r="G2335" s="2" t="s">
        <v>21</v>
      </c>
      <c r="H2335" s="2" t="s">
        <v>22</v>
      </c>
      <c r="I2335" s="2" t="s">
        <v>352</v>
      </c>
      <c r="J2335" s="2" t="s">
        <v>353</v>
      </c>
      <c r="K2335">
        <v>114564.44</v>
      </c>
      <c r="L2335">
        <v>23077171.989999998</v>
      </c>
      <c r="M2335">
        <v>20143.400000000001</v>
      </c>
      <c r="N2335" s="2" t="s">
        <v>360</v>
      </c>
      <c r="O2335" s="2" t="s">
        <v>361</v>
      </c>
      <c r="P2335" s="2" t="s">
        <v>4279</v>
      </c>
      <c r="Q2335" s="2" t="s">
        <v>4280</v>
      </c>
      <c r="R2335" s="2" t="s">
        <v>29</v>
      </c>
      <c r="S2335" s="2" t="s">
        <v>30</v>
      </c>
    </row>
    <row r="2336" spans="1:19">
      <c r="A2336" s="1">
        <v>44986</v>
      </c>
      <c r="B2336" s="1">
        <v>44986</v>
      </c>
      <c r="C2336">
        <v>2023</v>
      </c>
      <c r="D2336">
        <v>3</v>
      </c>
      <c r="E2336" s="2" t="s">
        <v>364</v>
      </c>
      <c r="F2336" s="2" t="s">
        <v>365</v>
      </c>
      <c r="G2336" s="2" t="s">
        <v>21</v>
      </c>
      <c r="H2336" s="2" t="s">
        <v>22</v>
      </c>
      <c r="I2336" s="2" t="s">
        <v>352</v>
      </c>
      <c r="J2336" s="2" t="s">
        <v>353</v>
      </c>
      <c r="K2336">
        <v>114316.43</v>
      </c>
      <c r="L2336">
        <v>6954269.75</v>
      </c>
      <c r="M2336">
        <v>6083.35</v>
      </c>
      <c r="N2336" s="2" t="s">
        <v>366</v>
      </c>
      <c r="O2336" s="2" t="s">
        <v>367</v>
      </c>
      <c r="P2336" s="2" t="s">
        <v>4281</v>
      </c>
      <c r="Q2336" s="2" t="s">
        <v>4282</v>
      </c>
      <c r="R2336" s="2" t="s">
        <v>29</v>
      </c>
      <c r="S2336" s="2" t="s">
        <v>30</v>
      </c>
    </row>
    <row r="2337" spans="1:19">
      <c r="A2337" s="1">
        <v>44986</v>
      </c>
      <c r="B2337" s="1">
        <v>44986</v>
      </c>
      <c r="C2337">
        <v>2023</v>
      </c>
      <c r="D2337">
        <v>3</v>
      </c>
      <c r="E2337" s="2" t="s">
        <v>370</v>
      </c>
      <c r="F2337" s="2" t="s">
        <v>371</v>
      </c>
      <c r="G2337" s="2" t="s">
        <v>21</v>
      </c>
      <c r="H2337" s="2" t="s">
        <v>22</v>
      </c>
      <c r="I2337" s="2" t="s">
        <v>23</v>
      </c>
      <c r="J2337" s="2" t="s">
        <v>24</v>
      </c>
      <c r="K2337">
        <v>86516.34</v>
      </c>
      <c r="L2337">
        <v>1404950.59</v>
      </c>
      <c r="M2337">
        <v>1623.91</v>
      </c>
      <c r="N2337" s="2" t="s">
        <v>372</v>
      </c>
      <c r="O2337" s="2" t="s">
        <v>373</v>
      </c>
      <c r="P2337" s="2" t="s">
        <v>4283</v>
      </c>
      <c r="Q2337" s="2" t="s">
        <v>4284</v>
      </c>
      <c r="R2337" s="2" t="s">
        <v>29</v>
      </c>
      <c r="S2337" s="2" t="s">
        <v>30</v>
      </c>
    </row>
    <row r="2338" spans="1:19">
      <c r="A2338" s="1">
        <v>44986</v>
      </c>
      <c r="B2338" s="1">
        <v>44986</v>
      </c>
      <c r="C2338">
        <v>2023</v>
      </c>
      <c r="D2338">
        <v>3</v>
      </c>
      <c r="E2338" s="2" t="s">
        <v>376</v>
      </c>
      <c r="F2338" s="2" t="s">
        <v>377</v>
      </c>
      <c r="G2338" s="2" t="s">
        <v>21</v>
      </c>
      <c r="H2338" s="2" t="s">
        <v>22</v>
      </c>
      <c r="I2338" s="2" t="s">
        <v>23</v>
      </c>
      <c r="J2338" s="2" t="s">
        <v>378</v>
      </c>
      <c r="K2338">
        <v>1.5</v>
      </c>
      <c r="L2338">
        <v>17.559999999999999</v>
      </c>
      <c r="M2338">
        <v>1170.67</v>
      </c>
      <c r="N2338" s="2" t="s">
        <v>379</v>
      </c>
      <c r="O2338" s="2" t="s">
        <v>380</v>
      </c>
      <c r="P2338" s="2" t="s">
        <v>1908</v>
      </c>
      <c r="Q2338" s="2" t="s">
        <v>4285</v>
      </c>
      <c r="R2338" s="2" t="s">
        <v>29</v>
      </c>
      <c r="S2338" s="2" t="s">
        <v>30</v>
      </c>
    </row>
    <row r="2339" spans="1:19">
      <c r="A2339" s="1">
        <v>45017</v>
      </c>
      <c r="B2339" s="1">
        <v>45017</v>
      </c>
      <c r="C2339">
        <v>2023</v>
      </c>
      <c r="D2339">
        <v>4</v>
      </c>
      <c r="E2339" s="2" t="s">
        <v>19</v>
      </c>
      <c r="F2339" s="2" t="s">
        <v>20</v>
      </c>
      <c r="G2339" s="2" t="s">
        <v>21</v>
      </c>
      <c r="H2339" s="2" t="s">
        <v>22</v>
      </c>
      <c r="I2339" s="2" t="s">
        <v>23</v>
      </c>
      <c r="J2339" s="2" t="s">
        <v>24</v>
      </c>
      <c r="K2339">
        <v>0.36</v>
      </c>
      <c r="L2339">
        <v>24.62</v>
      </c>
      <c r="M2339">
        <v>6838.89</v>
      </c>
      <c r="N2339" s="2" t="s">
        <v>25</v>
      </c>
      <c r="O2339" s="2" t="s">
        <v>26</v>
      </c>
      <c r="P2339" s="2" t="s">
        <v>3657</v>
      </c>
      <c r="Q2339" s="2" t="s">
        <v>4286</v>
      </c>
      <c r="R2339" s="2" t="s">
        <v>29</v>
      </c>
      <c r="S2339" s="2" t="s">
        <v>30</v>
      </c>
    </row>
    <row r="2340" spans="1:19">
      <c r="A2340" s="1">
        <v>45017</v>
      </c>
      <c r="B2340" s="1">
        <v>45017</v>
      </c>
      <c r="C2340">
        <v>2023</v>
      </c>
      <c r="D2340">
        <v>4</v>
      </c>
      <c r="E2340" s="2" t="s">
        <v>31</v>
      </c>
      <c r="F2340" s="2" t="s">
        <v>32</v>
      </c>
      <c r="G2340" s="2" t="s">
        <v>21</v>
      </c>
      <c r="H2340" s="2" t="s">
        <v>22</v>
      </c>
      <c r="I2340" s="2" t="s">
        <v>23</v>
      </c>
      <c r="J2340" s="2" t="s">
        <v>24</v>
      </c>
      <c r="K2340">
        <v>1066.77</v>
      </c>
      <c r="L2340">
        <v>19744.32</v>
      </c>
      <c r="M2340">
        <v>1850.85</v>
      </c>
      <c r="N2340" s="2" t="s">
        <v>33</v>
      </c>
      <c r="O2340" s="2" t="s">
        <v>34</v>
      </c>
      <c r="P2340" s="2" t="s">
        <v>4287</v>
      </c>
      <c r="Q2340" s="2" t="s">
        <v>4288</v>
      </c>
      <c r="R2340" s="2" t="s">
        <v>29</v>
      </c>
      <c r="S2340" s="2" t="s">
        <v>30</v>
      </c>
    </row>
    <row r="2341" spans="1:19">
      <c r="A2341" s="1">
        <v>45017</v>
      </c>
      <c r="B2341" s="1">
        <v>45017</v>
      </c>
      <c r="C2341">
        <v>2023</v>
      </c>
      <c r="D2341">
        <v>4</v>
      </c>
      <c r="E2341" s="2" t="s">
        <v>37</v>
      </c>
      <c r="F2341" s="2" t="s">
        <v>38</v>
      </c>
      <c r="G2341" s="2" t="s">
        <v>39</v>
      </c>
      <c r="H2341" s="2" t="s">
        <v>22</v>
      </c>
      <c r="I2341" s="2" t="s">
        <v>40</v>
      </c>
      <c r="J2341" s="2" t="s">
        <v>24</v>
      </c>
      <c r="K2341">
        <v>7.49</v>
      </c>
      <c r="L2341">
        <v>356.76</v>
      </c>
      <c r="M2341">
        <v>4763.1499999999996</v>
      </c>
      <c r="N2341" s="2" t="s">
        <v>41</v>
      </c>
      <c r="O2341" s="2" t="s">
        <v>42</v>
      </c>
      <c r="P2341" s="2" t="s">
        <v>4289</v>
      </c>
      <c r="Q2341" s="2" t="s">
        <v>4290</v>
      </c>
      <c r="R2341" s="2" t="s">
        <v>29</v>
      </c>
      <c r="S2341" s="2" t="s">
        <v>30</v>
      </c>
    </row>
    <row r="2342" spans="1:19">
      <c r="A2342" s="1">
        <v>45017</v>
      </c>
      <c r="B2342" s="1">
        <v>45017</v>
      </c>
      <c r="C2342">
        <v>2023</v>
      </c>
      <c r="D2342">
        <v>4</v>
      </c>
      <c r="E2342" s="2" t="s">
        <v>45</v>
      </c>
      <c r="F2342" s="2" t="s">
        <v>46</v>
      </c>
      <c r="G2342" s="2" t="s">
        <v>39</v>
      </c>
      <c r="H2342" s="2" t="s">
        <v>22</v>
      </c>
      <c r="I2342" s="2" t="s">
        <v>40</v>
      </c>
      <c r="J2342" s="2" t="s">
        <v>24</v>
      </c>
      <c r="K2342">
        <v>5667.31</v>
      </c>
      <c r="L2342">
        <v>281247.77</v>
      </c>
      <c r="M2342">
        <v>4962.63</v>
      </c>
      <c r="N2342" s="2" t="s">
        <v>47</v>
      </c>
      <c r="O2342" s="2" t="s">
        <v>48</v>
      </c>
      <c r="P2342" s="2" t="s">
        <v>4291</v>
      </c>
      <c r="Q2342" s="2" t="s">
        <v>4292</v>
      </c>
      <c r="R2342" s="2" t="s">
        <v>29</v>
      </c>
      <c r="S2342" s="2" t="s">
        <v>30</v>
      </c>
    </row>
    <row r="2343" spans="1:19">
      <c r="A2343" s="1">
        <v>45017</v>
      </c>
      <c r="B2343" s="1">
        <v>45017</v>
      </c>
      <c r="C2343">
        <v>2023</v>
      </c>
      <c r="D2343">
        <v>4</v>
      </c>
      <c r="E2343" s="2" t="s">
        <v>51</v>
      </c>
      <c r="F2343" s="2" t="s">
        <v>52</v>
      </c>
      <c r="G2343" s="2" t="s">
        <v>39</v>
      </c>
      <c r="H2343" s="2" t="s">
        <v>22</v>
      </c>
      <c r="I2343" s="2" t="s">
        <v>40</v>
      </c>
      <c r="J2343" s="2" t="s">
        <v>24</v>
      </c>
      <c r="K2343">
        <v>32.4</v>
      </c>
      <c r="L2343">
        <v>1268.52</v>
      </c>
      <c r="M2343">
        <v>3915.19</v>
      </c>
      <c r="N2343" s="2" t="s">
        <v>53</v>
      </c>
      <c r="O2343" s="2" t="s">
        <v>54</v>
      </c>
      <c r="P2343" s="2" t="s">
        <v>4293</v>
      </c>
      <c r="Q2343" s="2" t="s">
        <v>4294</v>
      </c>
      <c r="R2343" s="2" t="s">
        <v>29</v>
      </c>
      <c r="S2343" s="2" t="s">
        <v>30</v>
      </c>
    </row>
    <row r="2344" spans="1:19">
      <c r="A2344" s="1">
        <v>45017</v>
      </c>
      <c r="B2344" s="1">
        <v>45017</v>
      </c>
      <c r="C2344">
        <v>2023</v>
      </c>
      <c r="D2344">
        <v>4</v>
      </c>
      <c r="E2344" s="2" t="s">
        <v>57</v>
      </c>
      <c r="F2344" s="2" t="s">
        <v>58</v>
      </c>
      <c r="G2344" s="2" t="s">
        <v>39</v>
      </c>
      <c r="H2344" s="2" t="s">
        <v>22</v>
      </c>
      <c r="I2344" s="2" t="s">
        <v>40</v>
      </c>
      <c r="J2344" s="2" t="s">
        <v>59</v>
      </c>
      <c r="K2344">
        <v>5707.2</v>
      </c>
      <c r="L2344">
        <v>282873.05</v>
      </c>
      <c r="M2344">
        <v>4956.42</v>
      </c>
      <c r="N2344" s="2" t="s">
        <v>60</v>
      </c>
      <c r="O2344" s="2" t="s">
        <v>61</v>
      </c>
      <c r="P2344" s="2" t="s">
        <v>4295</v>
      </c>
      <c r="Q2344" s="2" t="s">
        <v>4296</v>
      </c>
      <c r="R2344" s="2" t="s">
        <v>29</v>
      </c>
      <c r="S2344" s="2" t="s">
        <v>30</v>
      </c>
    </row>
    <row r="2345" spans="1:19">
      <c r="A2345" s="1">
        <v>45017</v>
      </c>
      <c r="B2345" s="1">
        <v>45017</v>
      </c>
      <c r="C2345">
        <v>2023</v>
      </c>
      <c r="D2345">
        <v>4</v>
      </c>
      <c r="E2345" s="2" t="s">
        <v>64</v>
      </c>
      <c r="F2345" s="2" t="s">
        <v>65</v>
      </c>
      <c r="G2345" s="2" t="s">
        <v>21</v>
      </c>
      <c r="H2345" s="2" t="s">
        <v>22</v>
      </c>
      <c r="I2345" s="2" t="s">
        <v>66</v>
      </c>
      <c r="J2345" s="2" t="s">
        <v>24</v>
      </c>
      <c r="K2345">
        <v>16.09</v>
      </c>
      <c r="L2345">
        <v>603.91</v>
      </c>
      <c r="M2345">
        <v>3753.33</v>
      </c>
      <c r="N2345" s="2" t="s">
        <v>67</v>
      </c>
      <c r="O2345" s="2" t="s">
        <v>68</v>
      </c>
      <c r="P2345" s="2" t="s">
        <v>4297</v>
      </c>
      <c r="Q2345" s="2" t="s">
        <v>4298</v>
      </c>
      <c r="R2345" s="2" t="s">
        <v>29</v>
      </c>
      <c r="S2345" s="2" t="s">
        <v>30</v>
      </c>
    </row>
    <row r="2346" spans="1:19">
      <c r="A2346" s="1">
        <v>45017</v>
      </c>
      <c r="B2346" s="1">
        <v>45017</v>
      </c>
      <c r="C2346">
        <v>2023</v>
      </c>
      <c r="D2346">
        <v>4</v>
      </c>
      <c r="E2346" s="2" t="s">
        <v>71</v>
      </c>
      <c r="F2346" s="2" t="s">
        <v>72</v>
      </c>
      <c r="G2346" s="2" t="s">
        <v>21</v>
      </c>
      <c r="H2346" s="2" t="s">
        <v>22</v>
      </c>
      <c r="I2346" s="2" t="s">
        <v>73</v>
      </c>
      <c r="J2346" s="2" t="s">
        <v>59</v>
      </c>
      <c r="K2346">
        <v>4887.9399999999996</v>
      </c>
      <c r="L2346">
        <v>187395.9</v>
      </c>
      <c r="M2346">
        <v>3833.84</v>
      </c>
      <c r="N2346" s="2" t="s">
        <v>74</v>
      </c>
      <c r="O2346" s="2" t="s">
        <v>75</v>
      </c>
      <c r="P2346" s="2" t="s">
        <v>4299</v>
      </c>
      <c r="Q2346" s="2" t="s">
        <v>4300</v>
      </c>
      <c r="R2346" s="2" t="s">
        <v>29</v>
      </c>
      <c r="S2346" s="2" t="s">
        <v>30</v>
      </c>
    </row>
    <row r="2347" spans="1:19">
      <c r="A2347" s="1">
        <v>45017</v>
      </c>
      <c r="B2347" s="1">
        <v>45017</v>
      </c>
      <c r="C2347">
        <v>2023</v>
      </c>
      <c r="D2347">
        <v>4</v>
      </c>
      <c r="E2347" s="2" t="s">
        <v>78</v>
      </c>
      <c r="F2347" s="2" t="s">
        <v>79</v>
      </c>
      <c r="G2347" s="2" t="s">
        <v>80</v>
      </c>
      <c r="H2347" s="2" t="s">
        <v>81</v>
      </c>
      <c r="I2347" s="2" t="s">
        <v>82</v>
      </c>
      <c r="J2347" s="2" t="s">
        <v>24</v>
      </c>
      <c r="K2347">
        <v>1.79</v>
      </c>
      <c r="L2347">
        <v>6450150.9000000004</v>
      </c>
      <c r="M2347">
        <v>360343625.69999999</v>
      </c>
      <c r="N2347" s="2" t="s">
        <v>83</v>
      </c>
      <c r="O2347" s="2" t="s">
        <v>84</v>
      </c>
      <c r="P2347" s="2" t="s">
        <v>3918</v>
      </c>
      <c r="Q2347" s="2" t="s">
        <v>4301</v>
      </c>
      <c r="R2347" s="2" t="s">
        <v>29</v>
      </c>
      <c r="S2347" s="2" t="s">
        <v>30</v>
      </c>
    </row>
    <row r="2348" spans="1:19">
      <c r="A2348" s="1">
        <v>45017</v>
      </c>
      <c r="B2348" s="1">
        <v>45017</v>
      </c>
      <c r="C2348">
        <v>2023</v>
      </c>
      <c r="D2348">
        <v>4</v>
      </c>
      <c r="E2348" s="2" t="s">
        <v>87</v>
      </c>
      <c r="F2348" s="2" t="s">
        <v>88</v>
      </c>
      <c r="G2348" s="2" t="s">
        <v>80</v>
      </c>
      <c r="H2348" s="2" t="s">
        <v>81</v>
      </c>
      <c r="I2348" s="2" t="s">
        <v>82</v>
      </c>
      <c r="J2348" s="2" t="s">
        <v>24</v>
      </c>
      <c r="K2348">
        <v>0.79</v>
      </c>
      <c r="L2348">
        <v>1158659.71</v>
      </c>
      <c r="M2348">
        <v>146665786.08000001</v>
      </c>
      <c r="N2348" s="2" t="s">
        <v>89</v>
      </c>
      <c r="O2348" s="2" t="s">
        <v>90</v>
      </c>
      <c r="P2348" s="2" t="s">
        <v>1549</v>
      </c>
      <c r="Q2348" s="2" t="s">
        <v>4302</v>
      </c>
      <c r="R2348" s="2" t="s">
        <v>29</v>
      </c>
      <c r="S2348" s="2" t="s">
        <v>30</v>
      </c>
    </row>
    <row r="2349" spans="1:19">
      <c r="A2349" s="1">
        <v>45017</v>
      </c>
      <c r="B2349" s="1">
        <v>45017</v>
      </c>
      <c r="C2349">
        <v>2023</v>
      </c>
      <c r="D2349">
        <v>4</v>
      </c>
      <c r="E2349" s="2" t="s">
        <v>93</v>
      </c>
      <c r="F2349" s="2" t="s">
        <v>94</v>
      </c>
      <c r="G2349" s="2" t="s">
        <v>80</v>
      </c>
      <c r="H2349" s="2" t="s">
        <v>81</v>
      </c>
      <c r="I2349" s="2" t="s">
        <v>82</v>
      </c>
      <c r="J2349" s="2" t="s">
        <v>24</v>
      </c>
      <c r="K2349">
        <v>0.36</v>
      </c>
      <c r="L2349">
        <v>6633808.3399999999</v>
      </c>
      <c r="M2349">
        <v>1842724538.8900001</v>
      </c>
      <c r="N2349" s="2" t="s">
        <v>95</v>
      </c>
      <c r="O2349" s="2" t="s">
        <v>96</v>
      </c>
      <c r="P2349" s="2" t="s">
        <v>3657</v>
      </c>
      <c r="Q2349" s="2" t="s">
        <v>4303</v>
      </c>
      <c r="R2349" s="2" t="s">
        <v>29</v>
      </c>
      <c r="S2349" s="2" t="s">
        <v>30</v>
      </c>
    </row>
    <row r="2350" spans="1:19">
      <c r="A2350" s="1">
        <v>45017</v>
      </c>
      <c r="B2350" s="1">
        <v>45017</v>
      </c>
      <c r="C2350">
        <v>2023</v>
      </c>
      <c r="D2350">
        <v>4</v>
      </c>
      <c r="E2350" s="2" t="s">
        <v>99</v>
      </c>
      <c r="F2350" s="2" t="s">
        <v>100</v>
      </c>
      <c r="G2350" s="2" t="s">
        <v>80</v>
      </c>
      <c r="H2350" s="2" t="s">
        <v>81</v>
      </c>
      <c r="I2350" s="2" t="s">
        <v>82</v>
      </c>
      <c r="J2350" s="2" t="s">
        <v>101</v>
      </c>
      <c r="K2350">
        <v>1.32</v>
      </c>
      <c r="L2350">
        <v>13093141.699999999</v>
      </c>
      <c r="M2350">
        <v>991904674.24000001</v>
      </c>
      <c r="N2350" s="2" t="s">
        <v>102</v>
      </c>
      <c r="O2350" s="2" t="s">
        <v>103</v>
      </c>
      <c r="P2350" s="2" t="s">
        <v>3375</v>
      </c>
      <c r="Q2350" s="2" t="s">
        <v>4304</v>
      </c>
      <c r="R2350" s="2" t="s">
        <v>29</v>
      </c>
      <c r="S2350" s="2" t="s">
        <v>30</v>
      </c>
    </row>
    <row r="2351" spans="1:19">
      <c r="A2351" s="1">
        <v>45017</v>
      </c>
      <c r="B2351" s="1">
        <v>45017</v>
      </c>
      <c r="C2351">
        <v>2023</v>
      </c>
      <c r="D2351">
        <v>4</v>
      </c>
      <c r="E2351" s="2" t="s">
        <v>106</v>
      </c>
      <c r="F2351" s="2" t="s">
        <v>107</v>
      </c>
      <c r="G2351" s="2" t="s">
        <v>80</v>
      </c>
      <c r="H2351" s="2" t="s">
        <v>81</v>
      </c>
      <c r="I2351" s="2" t="s">
        <v>82</v>
      </c>
      <c r="J2351" s="2" t="s">
        <v>24</v>
      </c>
      <c r="K2351">
        <v>0.17</v>
      </c>
      <c r="L2351">
        <v>5300673.6500000004</v>
      </c>
      <c r="M2351">
        <v>3118043323.5300002</v>
      </c>
      <c r="N2351" s="2" t="s">
        <v>108</v>
      </c>
      <c r="O2351" s="2" t="s">
        <v>109</v>
      </c>
      <c r="P2351" s="2" t="s">
        <v>169</v>
      </c>
      <c r="Q2351" s="2" t="s">
        <v>4305</v>
      </c>
      <c r="R2351" s="2" t="s">
        <v>29</v>
      </c>
      <c r="S2351" s="2" t="s">
        <v>30</v>
      </c>
    </row>
    <row r="2352" spans="1:19">
      <c r="A2352" s="1">
        <v>45017</v>
      </c>
      <c r="B2352" s="1">
        <v>45017</v>
      </c>
      <c r="C2352">
        <v>2023</v>
      </c>
      <c r="D2352">
        <v>4</v>
      </c>
      <c r="E2352" s="2" t="s">
        <v>111</v>
      </c>
      <c r="F2352" s="2" t="s">
        <v>112</v>
      </c>
      <c r="G2352" s="2" t="s">
        <v>80</v>
      </c>
      <c r="H2352" s="2" t="s">
        <v>81</v>
      </c>
      <c r="I2352" s="2" t="s">
        <v>82</v>
      </c>
      <c r="J2352" s="2" t="s">
        <v>24</v>
      </c>
      <c r="K2352">
        <v>0.09</v>
      </c>
      <c r="L2352">
        <v>571838.18999999994</v>
      </c>
      <c r="M2352">
        <v>635375766.66999996</v>
      </c>
      <c r="N2352" s="2" t="s">
        <v>113</v>
      </c>
      <c r="O2352" s="2" t="s">
        <v>114</v>
      </c>
      <c r="P2352" s="2" t="s">
        <v>534</v>
      </c>
      <c r="Q2352" s="2" t="s">
        <v>4306</v>
      </c>
      <c r="R2352" s="2" t="s">
        <v>29</v>
      </c>
      <c r="S2352" s="2" t="s">
        <v>30</v>
      </c>
    </row>
    <row r="2353" spans="1:19">
      <c r="A2353" s="1">
        <v>45017</v>
      </c>
      <c r="B2353" s="1">
        <v>45017</v>
      </c>
      <c r="C2353">
        <v>2023</v>
      </c>
      <c r="D2353">
        <v>4</v>
      </c>
      <c r="E2353" s="2" t="s">
        <v>117</v>
      </c>
      <c r="F2353" s="2" t="s">
        <v>118</v>
      </c>
      <c r="G2353" s="2" t="s">
        <v>80</v>
      </c>
      <c r="H2353" s="2" t="s">
        <v>81</v>
      </c>
      <c r="I2353" s="2" t="s">
        <v>82</v>
      </c>
      <c r="J2353" s="2" t="s">
        <v>59</v>
      </c>
      <c r="K2353">
        <v>3.21</v>
      </c>
      <c r="L2353">
        <v>20115130.789999999</v>
      </c>
      <c r="M2353">
        <v>626639588.47000003</v>
      </c>
      <c r="N2353" s="2" t="s">
        <v>119</v>
      </c>
      <c r="O2353" s="2" t="s">
        <v>120</v>
      </c>
      <c r="P2353" s="2" t="s">
        <v>2522</v>
      </c>
      <c r="Q2353" s="2" t="s">
        <v>4307</v>
      </c>
      <c r="R2353" s="2" t="s">
        <v>29</v>
      </c>
      <c r="S2353" s="2" t="s">
        <v>30</v>
      </c>
    </row>
    <row r="2354" spans="1:19">
      <c r="A2354" s="1">
        <v>45017</v>
      </c>
      <c r="B2354" s="1">
        <v>45017</v>
      </c>
      <c r="C2354">
        <v>2023</v>
      </c>
      <c r="D2354">
        <v>4</v>
      </c>
      <c r="E2354" s="2" t="s">
        <v>123</v>
      </c>
      <c r="F2354" s="2" t="s">
        <v>124</v>
      </c>
      <c r="G2354" s="2" t="s">
        <v>21</v>
      </c>
      <c r="H2354" s="2" t="s">
        <v>22</v>
      </c>
      <c r="I2354" s="2" t="s">
        <v>73</v>
      </c>
      <c r="J2354" s="2" t="s">
        <v>24</v>
      </c>
      <c r="K2354">
        <v>1184.3499999999999</v>
      </c>
      <c r="L2354">
        <v>81144.06</v>
      </c>
      <c r="M2354">
        <v>6851.36</v>
      </c>
      <c r="N2354" s="2" t="s">
        <v>125</v>
      </c>
      <c r="O2354" s="2" t="s">
        <v>126</v>
      </c>
      <c r="P2354" s="2" t="s">
        <v>4308</v>
      </c>
      <c r="Q2354" s="2" t="s">
        <v>4309</v>
      </c>
      <c r="R2354" s="2" t="s">
        <v>29</v>
      </c>
      <c r="S2354" s="2" t="s">
        <v>30</v>
      </c>
    </row>
    <row r="2355" spans="1:19">
      <c r="A2355" s="1">
        <v>45017</v>
      </c>
      <c r="B2355" s="1">
        <v>45017</v>
      </c>
      <c r="C2355">
        <v>2023</v>
      </c>
      <c r="D2355">
        <v>4</v>
      </c>
      <c r="E2355" s="2" t="s">
        <v>129</v>
      </c>
      <c r="F2355" s="2" t="s">
        <v>130</v>
      </c>
      <c r="G2355" s="2" t="s">
        <v>21</v>
      </c>
      <c r="H2355" s="2" t="s">
        <v>22</v>
      </c>
      <c r="I2355" s="2" t="s">
        <v>73</v>
      </c>
      <c r="J2355" s="2" t="s">
        <v>24</v>
      </c>
      <c r="K2355">
        <v>1408.2</v>
      </c>
      <c r="L2355">
        <v>51624.45</v>
      </c>
      <c r="M2355">
        <v>3665.99</v>
      </c>
      <c r="N2355" s="2" t="s">
        <v>131</v>
      </c>
      <c r="O2355" s="2" t="s">
        <v>132</v>
      </c>
      <c r="P2355" s="2" t="s">
        <v>4310</v>
      </c>
      <c r="Q2355" s="2" t="s">
        <v>4311</v>
      </c>
      <c r="R2355" s="2" t="s">
        <v>29</v>
      </c>
      <c r="S2355" s="2" t="s">
        <v>30</v>
      </c>
    </row>
    <row r="2356" spans="1:19">
      <c r="A2356" s="1">
        <v>45017</v>
      </c>
      <c r="B2356" s="1">
        <v>45017</v>
      </c>
      <c r="C2356">
        <v>2023</v>
      </c>
      <c r="D2356">
        <v>4</v>
      </c>
      <c r="E2356" s="2" t="s">
        <v>135</v>
      </c>
      <c r="F2356" s="2" t="s">
        <v>136</v>
      </c>
      <c r="G2356" s="2" t="s">
        <v>21</v>
      </c>
      <c r="H2356" s="2" t="s">
        <v>22</v>
      </c>
      <c r="I2356" s="2" t="s">
        <v>73</v>
      </c>
      <c r="J2356" s="2" t="s">
        <v>101</v>
      </c>
      <c r="K2356">
        <v>2592.5500000000002</v>
      </c>
      <c r="L2356">
        <v>132768.51</v>
      </c>
      <c r="M2356">
        <v>5121.16</v>
      </c>
      <c r="N2356" s="2" t="s">
        <v>137</v>
      </c>
      <c r="O2356" s="2" t="s">
        <v>138</v>
      </c>
      <c r="P2356" s="2" t="s">
        <v>4312</v>
      </c>
      <c r="Q2356" s="2" t="s">
        <v>4313</v>
      </c>
      <c r="R2356" s="2" t="s">
        <v>29</v>
      </c>
      <c r="S2356" s="2" t="s">
        <v>30</v>
      </c>
    </row>
    <row r="2357" spans="1:19">
      <c r="A2357" s="1">
        <v>45017</v>
      </c>
      <c r="B2357" s="1">
        <v>45017</v>
      </c>
      <c r="C2357">
        <v>2023</v>
      </c>
      <c r="D2357">
        <v>4</v>
      </c>
      <c r="E2357" s="2" t="s">
        <v>141</v>
      </c>
      <c r="F2357" s="2" t="s">
        <v>142</v>
      </c>
      <c r="G2357" s="2" t="s">
        <v>21</v>
      </c>
      <c r="H2357" s="2" t="s">
        <v>22</v>
      </c>
      <c r="I2357" s="2" t="s">
        <v>73</v>
      </c>
      <c r="J2357" s="2" t="s">
        <v>24</v>
      </c>
      <c r="K2357">
        <v>661.43</v>
      </c>
      <c r="L2357">
        <v>16980.43</v>
      </c>
      <c r="M2357">
        <v>2567.23</v>
      </c>
      <c r="N2357" s="2" t="s">
        <v>143</v>
      </c>
      <c r="O2357" s="2" t="s">
        <v>144</v>
      </c>
      <c r="P2357" s="2" t="s">
        <v>4314</v>
      </c>
      <c r="Q2357" s="2" t="s">
        <v>4315</v>
      </c>
      <c r="R2357" s="2" t="s">
        <v>29</v>
      </c>
      <c r="S2357" s="2" t="s">
        <v>30</v>
      </c>
    </row>
    <row r="2358" spans="1:19">
      <c r="A2358" s="1">
        <v>45017</v>
      </c>
      <c r="B2358" s="1">
        <v>45017</v>
      </c>
      <c r="C2358">
        <v>2023</v>
      </c>
      <c r="D2358">
        <v>4</v>
      </c>
      <c r="E2358" s="2" t="s">
        <v>147</v>
      </c>
      <c r="F2358" s="2" t="s">
        <v>148</v>
      </c>
      <c r="G2358" s="2" t="s">
        <v>21</v>
      </c>
      <c r="H2358" s="2" t="s">
        <v>22</v>
      </c>
      <c r="I2358" s="2" t="s">
        <v>73</v>
      </c>
      <c r="J2358" s="2" t="s">
        <v>24</v>
      </c>
      <c r="K2358">
        <v>1633.96</v>
      </c>
      <c r="L2358">
        <v>37646.949999999997</v>
      </c>
      <c r="M2358">
        <v>2304.0300000000002</v>
      </c>
      <c r="N2358" s="2" t="s">
        <v>149</v>
      </c>
      <c r="O2358" s="2" t="s">
        <v>150</v>
      </c>
      <c r="P2358" s="2" t="s">
        <v>4316</v>
      </c>
      <c r="Q2358" s="2" t="s">
        <v>4317</v>
      </c>
      <c r="R2358" s="2" t="s">
        <v>29</v>
      </c>
      <c r="S2358" s="2" t="s">
        <v>30</v>
      </c>
    </row>
    <row r="2359" spans="1:19">
      <c r="A2359" s="1">
        <v>45017</v>
      </c>
      <c r="B2359" s="1">
        <v>45017</v>
      </c>
      <c r="C2359">
        <v>2023</v>
      </c>
      <c r="D2359">
        <v>4</v>
      </c>
      <c r="E2359" s="2" t="s">
        <v>153</v>
      </c>
      <c r="F2359" s="2" t="s">
        <v>154</v>
      </c>
      <c r="G2359" s="2" t="s">
        <v>21</v>
      </c>
      <c r="H2359" s="2" t="s">
        <v>22</v>
      </c>
      <c r="I2359" s="2" t="s">
        <v>73</v>
      </c>
      <c r="J2359" s="2" t="s">
        <v>101</v>
      </c>
      <c r="K2359">
        <v>2295.38</v>
      </c>
      <c r="L2359">
        <v>54627.39</v>
      </c>
      <c r="M2359">
        <v>2379.88</v>
      </c>
      <c r="N2359" s="2" t="s">
        <v>155</v>
      </c>
      <c r="O2359" s="2" t="s">
        <v>156</v>
      </c>
      <c r="P2359" s="2" t="s">
        <v>4318</v>
      </c>
      <c r="Q2359" s="2" t="s">
        <v>4319</v>
      </c>
      <c r="R2359" s="2" t="s">
        <v>29</v>
      </c>
      <c r="S2359" s="2" t="s">
        <v>30</v>
      </c>
    </row>
    <row r="2360" spans="1:19">
      <c r="A2360" s="1">
        <v>45017</v>
      </c>
      <c r="B2360" s="1">
        <v>45017</v>
      </c>
      <c r="C2360">
        <v>2023</v>
      </c>
      <c r="D2360">
        <v>4</v>
      </c>
      <c r="E2360" s="2" t="s">
        <v>159</v>
      </c>
      <c r="F2360" s="2" t="s">
        <v>160</v>
      </c>
      <c r="G2360" s="2" t="s">
        <v>21</v>
      </c>
      <c r="H2360" s="2" t="s">
        <v>22</v>
      </c>
      <c r="I2360" s="2" t="s">
        <v>66</v>
      </c>
      <c r="J2360" s="2" t="s">
        <v>59</v>
      </c>
      <c r="K2360">
        <v>1398.58</v>
      </c>
      <c r="L2360">
        <v>120184.75</v>
      </c>
      <c r="M2360">
        <v>8593.34</v>
      </c>
      <c r="N2360" s="2" t="s">
        <v>161</v>
      </c>
      <c r="O2360" s="2" t="s">
        <v>162</v>
      </c>
      <c r="P2360" s="2" t="s">
        <v>4320</v>
      </c>
      <c r="Q2360" s="2" t="s">
        <v>4321</v>
      </c>
      <c r="R2360" s="2" t="s">
        <v>29</v>
      </c>
      <c r="S2360" s="2" t="s">
        <v>30</v>
      </c>
    </row>
    <row r="2361" spans="1:19">
      <c r="A2361" s="1">
        <v>45017</v>
      </c>
      <c r="B2361" s="1">
        <v>45017</v>
      </c>
      <c r="C2361">
        <v>2023</v>
      </c>
      <c r="D2361">
        <v>4</v>
      </c>
      <c r="E2361" s="2" t="s">
        <v>165</v>
      </c>
      <c r="F2361" s="2" t="s">
        <v>166</v>
      </c>
      <c r="G2361" s="2" t="s">
        <v>21</v>
      </c>
      <c r="H2361" s="2" t="s">
        <v>22</v>
      </c>
      <c r="I2361" s="2" t="s">
        <v>23</v>
      </c>
      <c r="J2361" s="2" t="s">
        <v>24</v>
      </c>
      <c r="N2361" s="2" t="s">
        <v>167</v>
      </c>
      <c r="O2361" s="2" t="s">
        <v>168</v>
      </c>
      <c r="P2361" s="2" t="s">
        <v>175</v>
      </c>
      <c r="Q2361" s="2" t="s">
        <v>175</v>
      </c>
      <c r="R2361" s="2" t="s">
        <v>640</v>
      </c>
      <c r="S2361" s="2" t="s">
        <v>641</v>
      </c>
    </row>
    <row r="2362" spans="1:19">
      <c r="A2362" s="1">
        <v>45017</v>
      </c>
      <c r="B2362" s="1">
        <v>45017</v>
      </c>
      <c r="C2362">
        <v>2023</v>
      </c>
      <c r="D2362">
        <v>4</v>
      </c>
      <c r="E2362" s="2" t="s">
        <v>171</v>
      </c>
      <c r="F2362" s="2" t="s">
        <v>172</v>
      </c>
      <c r="G2362" s="2" t="s">
        <v>21</v>
      </c>
      <c r="H2362" s="2" t="s">
        <v>22</v>
      </c>
      <c r="I2362" s="2" t="s">
        <v>66</v>
      </c>
      <c r="J2362" s="2" t="s">
        <v>24</v>
      </c>
      <c r="N2362" s="2" t="s">
        <v>173</v>
      </c>
      <c r="O2362" s="2" t="s">
        <v>174</v>
      </c>
      <c r="P2362" s="2" t="s">
        <v>175</v>
      </c>
      <c r="Q2362" s="2" t="s">
        <v>175</v>
      </c>
      <c r="R2362" s="2" t="s">
        <v>640</v>
      </c>
      <c r="S2362" s="2" t="s">
        <v>641</v>
      </c>
    </row>
    <row r="2363" spans="1:19">
      <c r="A2363" s="1">
        <v>45017</v>
      </c>
      <c r="B2363" s="1">
        <v>45017</v>
      </c>
      <c r="C2363">
        <v>2023</v>
      </c>
      <c r="D2363">
        <v>4</v>
      </c>
      <c r="E2363" s="2" t="s">
        <v>177</v>
      </c>
      <c r="F2363" s="2" t="s">
        <v>178</v>
      </c>
      <c r="G2363" s="2" t="s">
        <v>21</v>
      </c>
      <c r="H2363" s="2" t="s">
        <v>22</v>
      </c>
      <c r="I2363" s="2" t="s">
        <v>23</v>
      </c>
      <c r="J2363" s="2" t="s">
        <v>24</v>
      </c>
      <c r="K2363">
        <v>4957.93</v>
      </c>
      <c r="L2363">
        <v>521050.26</v>
      </c>
      <c r="M2363">
        <v>10509.43</v>
      </c>
      <c r="N2363" s="2" t="s">
        <v>179</v>
      </c>
      <c r="O2363" s="2" t="s">
        <v>180</v>
      </c>
      <c r="P2363" s="2" t="s">
        <v>4322</v>
      </c>
      <c r="Q2363" s="2" t="s">
        <v>4323</v>
      </c>
      <c r="R2363" s="2" t="s">
        <v>29</v>
      </c>
      <c r="S2363" s="2" t="s">
        <v>30</v>
      </c>
    </row>
    <row r="2364" spans="1:19">
      <c r="A2364" s="1">
        <v>45017</v>
      </c>
      <c r="B2364" s="1">
        <v>45017</v>
      </c>
      <c r="C2364">
        <v>2023</v>
      </c>
      <c r="D2364">
        <v>4</v>
      </c>
      <c r="E2364" s="2" t="s">
        <v>183</v>
      </c>
      <c r="F2364" s="2" t="s">
        <v>184</v>
      </c>
      <c r="G2364" s="2" t="s">
        <v>185</v>
      </c>
      <c r="H2364" s="2" t="s">
        <v>22</v>
      </c>
      <c r="I2364" s="2" t="s">
        <v>186</v>
      </c>
      <c r="J2364" s="2" t="s">
        <v>24</v>
      </c>
      <c r="K2364">
        <v>2550.98</v>
      </c>
      <c r="L2364">
        <v>3322894.1</v>
      </c>
      <c r="M2364">
        <v>130259.51</v>
      </c>
      <c r="N2364" s="2" t="s">
        <v>187</v>
      </c>
      <c r="O2364" s="2" t="s">
        <v>188</v>
      </c>
      <c r="P2364" s="2" t="s">
        <v>4324</v>
      </c>
      <c r="Q2364" s="2" t="s">
        <v>4325</v>
      </c>
      <c r="R2364" s="2" t="s">
        <v>29</v>
      </c>
      <c r="S2364" s="2" t="s">
        <v>30</v>
      </c>
    </row>
    <row r="2365" spans="1:19">
      <c r="A2365" s="1">
        <v>45017</v>
      </c>
      <c r="B2365" s="1">
        <v>45017</v>
      </c>
      <c r="C2365">
        <v>2023</v>
      </c>
      <c r="D2365">
        <v>4</v>
      </c>
      <c r="E2365" s="2" t="s">
        <v>191</v>
      </c>
      <c r="F2365" s="2" t="s">
        <v>192</v>
      </c>
      <c r="G2365" s="2" t="s">
        <v>185</v>
      </c>
      <c r="H2365" s="2" t="s">
        <v>22</v>
      </c>
      <c r="I2365" s="2" t="s">
        <v>186</v>
      </c>
      <c r="J2365" s="2" t="s">
        <v>24</v>
      </c>
      <c r="K2365">
        <v>855.07</v>
      </c>
      <c r="L2365">
        <v>3713764.18</v>
      </c>
      <c r="M2365">
        <v>434322.83</v>
      </c>
      <c r="N2365" s="2" t="s">
        <v>193</v>
      </c>
      <c r="O2365" s="2" t="s">
        <v>194</v>
      </c>
      <c r="P2365" s="2" t="s">
        <v>4326</v>
      </c>
      <c r="Q2365" s="2" t="s">
        <v>4327</v>
      </c>
      <c r="R2365" s="2" t="s">
        <v>29</v>
      </c>
      <c r="S2365" s="2" t="s">
        <v>30</v>
      </c>
    </row>
    <row r="2366" spans="1:19">
      <c r="A2366" s="1">
        <v>45017</v>
      </c>
      <c r="B2366" s="1">
        <v>45017</v>
      </c>
      <c r="C2366">
        <v>2023</v>
      </c>
      <c r="D2366">
        <v>4</v>
      </c>
      <c r="E2366" s="2" t="s">
        <v>197</v>
      </c>
      <c r="F2366" s="2" t="s">
        <v>198</v>
      </c>
      <c r="G2366" s="2" t="s">
        <v>185</v>
      </c>
      <c r="H2366" s="2" t="s">
        <v>22</v>
      </c>
      <c r="I2366" s="2" t="s">
        <v>186</v>
      </c>
      <c r="J2366" s="2" t="s">
        <v>59</v>
      </c>
      <c r="K2366">
        <v>3406.05</v>
      </c>
      <c r="L2366">
        <v>7036658.2800000003</v>
      </c>
      <c r="M2366">
        <v>206592.92</v>
      </c>
      <c r="N2366" s="2" t="s">
        <v>199</v>
      </c>
      <c r="O2366" s="2" t="s">
        <v>200</v>
      </c>
      <c r="P2366" s="2" t="s">
        <v>4328</v>
      </c>
      <c r="Q2366" s="2" t="s">
        <v>4329</v>
      </c>
      <c r="R2366" s="2" t="s">
        <v>29</v>
      </c>
      <c r="S2366" s="2" t="s">
        <v>30</v>
      </c>
    </row>
    <row r="2367" spans="1:19">
      <c r="A2367" s="1">
        <v>45017</v>
      </c>
      <c r="B2367" s="1">
        <v>45017</v>
      </c>
      <c r="C2367">
        <v>2023</v>
      </c>
      <c r="D2367">
        <v>4</v>
      </c>
      <c r="E2367" s="2" t="s">
        <v>203</v>
      </c>
      <c r="F2367" s="2" t="s">
        <v>204</v>
      </c>
      <c r="G2367" s="2" t="s">
        <v>39</v>
      </c>
      <c r="H2367" s="2" t="s">
        <v>22</v>
      </c>
      <c r="I2367" s="2" t="s">
        <v>40</v>
      </c>
      <c r="J2367" s="2" t="s">
        <v>24</v>
      </c>
      <c r="K2367">
        <v>998.82</v>
      </c>
      <c r="L2367">
        <v>28953.7</v>
      </c>
      <c r="M2367">
        <v>2898.79</v>
      </c>
      <c r="N2367" s="2" t="s">
        <v>205</v>
      </c>
      <c r="O2367" s="2" t="s">
        <v>206</v>
      </c>
      <c r="P2367" s="2" t="s">
        <v>4330</v>
      </c>
      <c r="Q2367" s="2" t="s">
        <v>4331</v>
      </c>
      <c r="R2367" s="2" t="s">
        <v>29</v>
      </c>
      <c r="S2367" s="2" t="s">
        <v>30</v>
      </c>
    </row>
    <row r="2368" spans="1:19">
      <c r="A2368" s="1">
        <v>45017</v>
      </c>
      <c r="B2368" s="1">
        <v>45017</v>
      </c>
      <c r="C2368">
        <v>2023</v>
      </c>
      <c r="D2368">
        <v>4</v>
      </c>
      <c r="E2368" s="2" t="s">
        <v>209</v>
      </c>
      <c r="F2368" s="2" t="s">
        <v>210</v>
      </c>
      <c r="G2368" s="2" t="s">
        <v>39</v>
      </c>
      <c r="H2368" s="2" t="s">
        <v>22</v>
      </c>
      <c r="I2368" s="2" t="s">
        <v>40</v>
      </c>
      <c r="J2368" s="2" t="s">
        <v>59</v>
      </c>
      <c r="K2368">
        <v>998.82</v>
      </c>
      <c r="L2368">
        <v>28953.7</v>
      </c>
      <c r="M2368">
        <v>2898.79</v>
      </c>
      <c r="N2368" s="2" t="s">
        <v>211</v>
      </c>
      <c r="O2368" s="2" t="s">
        <v>212</v>
      </c>
      <c r="P2368" s="2" t="s">
        <v>4330</v>
      </c>
      <c r="Q2368" s="2" t="s">
        <v>4331</v>
      </c>
      <c r="R2368" s="2" t="s">
        <v>29</v>
      </c>
      <c r="S2368" s="2" t="s">
        <v>30</v>
      </c>
    </row>
    <row r="2369" spans="1:19">
      <c r="A2369" s="1">
        <v>45017</v>
      </c>
      <c r="B2369" s="1">
        <v>45017</v>
      </c>
      <c r="C2369">
        <v>2023</v>
      </c>
      <c r="D2369">
        <v>4</v>
      </c>
      <c r="E2369" s="2" t="s">
        <v>213</v>
      </c>
      <c r="F2369" s="2" t="s">
        <v>214</v>
      </c>
      <c r="G2369" s="2" t="s">
        <v>185</v>
      </c>
      <c r="H2369" s="2" t="s">
        <v>22</v>
      </c>
      <c r="I2369" s="2" t="s">
        <v>215</v>
      </c>
      <c r="J2369" s="2" t="s">
        <v>24</v>
      </c>
      <c r="K2369">
        <v>77567.62</v>
      </c>
      <c r="L2369">
        <v>1752564.21</v>
      </c>
      <c r="M2369">
        <v>2259.4</v>
      </c>
      <c r="N2369" s="2" t="s">
        <v>216</v>
      </c>
      <c r="O2369" s="2" t="s">
        <v>217</v>
      </c>
      <c r="P2369" s="2" t="s">
        <v>4332</v>
      </c>
      <c r="Q2369" s="2" t="s">
        <v>4333</v>
      </c>
      <c r="R2369" s="2" t="s">
        <v>29</v>
      </c>
      <c r="S2369" s="2" t="s">
        <v>30</v>
      </c>
    </row>
    <row r="2370" spans="1:19">
      <c r="A2370" s="1">
        <v>45017</v>
      </c>
      <c r="B2370" s="1">
        <v>45017</v>
      </c>
      <c r="C2370">
        <v>2023</v>
      </c>
      <c r="D2370">
        <v>4</v>
      </c>
      <c r="E2370" s="2" t="s">
        <v>220</v>
      </c>
      <c r="F2370" s="2" t="s">
        <v>221</v>
      </c>
      <c r="G2370" s="2" t="s">
        <v>185</v>
      </c>
      <c r="H2370" s="2" t="s">
        <v>22</v>
      </c>
      <c r="I2370" s="2" t="s">
        <v>215</v>
      </c>
      <c r="J2370" s="2" t="s">
        <v>24</v>
      </c>
      <c r="K2370">
        <v>5789.55</v>
      </c>
      <c r="L2370">
        <v>402248.4</v>
      </c>
      <c r="M2370">
        <v>6947.84</v>
      </c>
      <c r="N2370" s="2" t="s">
        <v>222</v>
      </c>
      <c r="O2370" s="2" t="s">
        <v>223</v>
      </c>
      <c r="P2370" s="2" t="s">
        <v>4334</v>
      </c>
      <c r="Q2370" s="2" t="s">
        <v>4335</v>
      </c>
      <c r="R2370" s="2" t="s">
        <v>29</v>
      </c>
      <c r="S2370" s="2" t="s">
        <v>30</v>
      </c>
    </row>
    <row r="2371" spans="1:19">
      <c r="A2371" s="1">
        <v>45017</v>
      </c>
      <c r="B2371" s="1">
        <v>45017</v>
      </c>
      <c r="C2371">
        <v>2023</v>
      </c>
      <c r="D2371">
        <v>4</v>
      </c>
      <c r="E2371" s="2" t="s">
        <v>226</v>
      </c>
      <c r="F2371" s="2" t="s">
        <v>227</v>
      </c>
      <c r="G2371" s="2" t="s">
        <v>185</v>
      </c>
      <c r="H2371" s="2" t="s">
        <v>22</v>
      </c>
      <c r="I2371" s="2" t="s">
        <v>215</v>
      </c>
      <c r="J2371" s="2" t="s">
        <v>59</v>
      </c>
      <c r="K2371">
        <v>83357.17</v>
      </c>
      <c r="L2371">
        <v>2154812.61</v>
      </c>
      <c r="M2371">
        <v>2585.04</v>
      </c>
      <c r="N2371" s="2" t="s">
        <v>228</v>
      </c>
      <c r="O2371" s="2" t="s">
        <v>229</v>
      </c>
      <c r="P2371" s="2" t="s">
        <v>4336</v>
      </c>
      <c r="Q2371" s="2" t="s">
        <v>4337</v>
      </c>
      <c r="R2371" s="2" t="s">
        <v>29</v>
      </c>
      <c r="S2371" s="2" t="s">
        <v>30</v>
      </c>
    </row>
    <row r="2372" spans="1:19">
      <c r="A2372" s="1">
        <v>45017</v>
      </c>
      <c r="B2372" s="1">
        <v>45017</v>
      </c>
      <c r="C2372">
        <v>2023</v>
      </c>
      <c r="D2372">
        <v>4</v>
      </c>
      <c r="E2372" s="2" t="s">
        <v>232</v>
      </c>
      <c r="F2372" s="2" t="s">
        <v>233</v>
      </c>
      <c r="G2372" s="2" t="s">
        <v>21</v>
      </c>
      <c r="H2372" s="2" t="s">
        <v>22</v>
      </c>
      <c r="I2372" s="2" t="s">
        <v>23</v>
      </c>
      <c r="J2372" s="2" t="s">
        <v>24</v>
      </c>
      <c r="K2372">
        <v>1009.42</v>
      </c>
      <c r="L2372">
        <v>117078.64</v>
      </c>
      <c r="M2372">
        <v>11598.61</v>
      </c>
      <c r="N2372" s="2" t="s">
        <v>234</v>
      </c>
      <c r="O2372" s="2" t="s">
        <v>235</v>
      </c>
      <c r="P2372" s="2" t="s">
        <v>4338</v>
      </c>
      <c r="Q2372" s="2" t="s">
        <v>4339</v>
      </c>
      <c r="R2372" s="2" t="s">
        <v>29</v>
      </c>
      <c r="S2372" s="2" t="s">
        <v>30</v>
      </c>
    </row>
    <row r="2373" spans="1:19">
      <c r="A2373" s="1">
        <v>45017</v>
      </c>
      <c r="B2373" s="1">
        <v>45017</v>
      </c>
      <c r="C2373">
        <v>2023</v>
      </c>
      <c r="D2373">
        <v>4</v>
      </c>
      <c r="E2373" s="2" t="s">
        <v>238</v>
      </c>
      <c r="F2373" s="2" t="s">
        <v>239</v>
      </c>
      <c r="G2373" s="2" t="s">
        <v>21</v>
      </c>
      <c r="H2373" s="2" t="s">
        <v>22</v>
      </c>
      <c r="I2373" s="2" t="s">
        <v>66</v>
      </c>
      <c r="J2373" s="2" t="s">
        <v>24</v>
      </c>
      <c r="K2373">
        <v>1242.93</v>
      </c>
      <c r="L2373">
        <v>119337.60000000001</v>
      </c>
      <c r="M2373">
        <v>9601.31</v>
      </c>
      <c r="N2373" s="2" t="s">
        <v>240</v>
      </c>
      <c r="O2373" s="2" t="s">
        <v>241</v>
      </c>
      <c r="P2373" s="2" t="s">
        <v>4340</v>
      </c>
      <c r="Q2373" s="2" t="s">
        <v>4341</v>
      </c>
      <c r="R2373" s="2" t="s">
        <v>29</v>
      </c>
      <c r="S2373" s="2" t="s">
        <v>30</v>
      </c>
    </row>
    <row r="2374" spans="1:19">
      <c r="A2374" s="1">
        <v>45017</v>
      </c>
      <c r="B2374" s="1">
        <v>45017</v>
      </c>
      <c r="C2374">
        <v>2023</v>
      </c>
      <c r="D2374">
        <v>4</v>
      </c>
      <c r="E2374" s="2" t="s">
        <v>244</v>
      </c>
      <c r="F2374" s="2" t="s">
        <v>245</v>
      </c>
      <c r="G2374" s="2" t="s">
        <v>21</v>
      </c>
      <c r="H2374" s="2" t="s">
        <v>22</v>
      </c>
      <c r="I2374" s="2" t="s">
        <v>23</v>
      </c>
      <c r="J2374" s="2" t="s">
        <v>24</v>
      </c>
      <c r="K2374">
        <v>4825.37</v>
      </c>
      <c r="L2374">
        <v>2761038.29</v>
      </c>
      <c r="M2374">
        <v>57219.199999999997</v>
      </c>
      <c r="N2374" s="2" t="s">
        <v>246</v>
      </c>
      <c r="O2374" s="2" t="s">
        <v>247</v>
      </c>
      <c r="P2374" s="2" t="s">
        <v>4342</v>
      </c>
      <c r="Q2374" s="2" t="s">
        <v>4343</v>
      </c>
      <c r="R2374" s="2" t="s">
        <v>29</v>
      </c>
      <c r="S2374" s="2" t="s">
        <v>30</v>
      </c>
    </row>
    <row r="2375" spans="1:19">
      <c r="A2375" s="1">
        <v>45017</v>
      </c>
      <c r="B2375" s="1">
        <v>45017</v>
      </c>
      <c r="C2375">
        <v>2023</v>
      </c>
      <c r="D2375">
        <v>4</v>
      </c>
      <c r="E2375" s="2" t="s">
        <v>250</v>
      </c>
      <c r="F2375" s="2" t="s">
        <v>251</v>
      </c>
      <c r="G2375" s="2" t="s">
        <v>21</v>
      </c>
      <c r="H2375" s="2" t="s">
        <v>22</v>
      </c>
      <c r="I2375" s="2" t="s">
        <v>66</v>
      </c>
      <c r="J2375" s="2" t="s">
        <v>24</v>
      </c>
      <c r="K2375">
        <v>139.56</v>
      </c>
      <c r="L2375">
        <v>243.23</v>
      </c>
      <c r="M2375">
        <v>174.28</v>
      </c>
      <c r="N2375" s="2" t="s">
        <v>252</v>
      </c>
      <c r="O2375" s="2" t="s">
        <v>253</v>
      </c>
      <c r="P2375" s="2" t="s">
        <v>4344</v>
      </c>
      <c r="Q2375" s="2" t="s">
        <v>4345</v>
      </c>
      <c r="R2375" s="2" t="s">
        <v>29</v>
      </c>
      <c r="S2375" s="2" t="s">
        <v>30</v>
      </c>
    </row>
    <row r="2376" spans="1:19">
      <c r="A2376" s="1">
        <v>45017</v>
      </c>
      <c r="B2376" s="1">
        <v>45017</v>
      </c>
      <c r="C2376">
        <v>2023</v>
      </c>
      <c r="D2376">
        <v>4</v>
      </c>
      <c r="E2376" s="2" t="s">
        <v>256</v>
      </c>
      <c r="F2376" s="2" t="s">
        <v>257</v>
      </c>
      <c r="G2376" s="2" t="s">
        <v>21</v>
      </c>
      <c r="H2376" s="2" t="s">
        <v>22</v>
      </c>
      <c r="I2376" s="2" t="s">
        <v>258</v>
      </c>
      <c r="J2376" s="2" t="s">
        <v>24</v>
      </c>
      <c r="K2376">
        <v>554.05999999999995</v>
      </c>
      <c r="L2376">
        <v>639281.14</v>
      </c>
      <c r="M2376">
        <v>115381.21</v>
      </c>
      <c r="N2376" s="2" t="s">
        <v>259</v>
      </c>
      <c r="O2376" s="2" t="s">
        <v>260</v>
      </c>
      <c r="P2376" s="2" t="s">
        <v>4346</v>
      </c>
      <c r="Q2376" s="2" t="s">
        <v>4347</v>
      </c>
      <c r="R2376" s="2" t="s">
        <v>29</v>
      </c>
      <c r="S2376" s="2" t="s">
        <v>30</v>
      </c>
    </row>
    <row r="2377" spans="1:19">
      <c r="A2377" s="1">
        <v>45017</v>
      </c>
      <c r="B2377" s="1">
        <v>45017</v>
      </c>
      <c r="C2377">
        <v>2023</v>
      </c>
      <c r="D2377">
        <v>4</v>
      </c>
      <c r="E2377" s="2" t="s">
        <v>263</v>
      </c>
      <c r="F2377" s="2" t="s">
        <v>264</v>
      </c>
      <c r="G2377" s="2" t="s">
        <v>21</v>
      </c>
      <c r="H2377" s="2" t="s">
        <v>22</v>
      </c>
      <c r="I2377" s="2" t="s">
        <v>258</v>
      </c>
      <c r="J2377" s="2" t="s">
        <v>24</v>
      </c>
      <c r="K2377">
        <v>0</v>
      </c>
      <c r="L2377">
        <v>0</v>
      </c>
      <c r="N2377" s="2" t="s">
        <v>265</v>
      </c>
      <c r="O2377" s="2" t="s">
        <v>266</v>
      </c>
      <c r="P2377" s="2" t="s">
        <v>639</v>
      </c>
      <c r="Q2377" s="2" t="s">
        <v>639</v>
      </c>
      <c r="R2377" s="2" t="s">
        <v>29</v>
      </c>
      <c r="S2377" s="2" t="s">
        <v>30</v>
      </c>
    </row>
    <row r="2378" spans="1:19">
      <c r="A2378" s="1">
        <v>45017</v>
      </c>
      <c r="B2378" s="1">
        <v>45017</v>
      </c>
      <c r="C2378">
        <v>2023</v>
      </c>
      <c r="D2378">
        <v>4</v>
      </c>
      <c r="E2378" s="2" t="s">
        <v>269</v>
      </c>
      <c r="F2378" s="2" t="s">
        <v>270</v>
      </c>
      <c r="G2378" s="2" t="s">
        <v>21</v>
      </c>
      <c r="H2378" s="2" t="s">
        <v>22</v>
      </c>
      <c r="I2378" s="2" t="s">
        <v>258</v>
      </c>
      <c r="J2378" s="2" t="s">
        <v>59</v>
      </c>
      <c r="K2378">
        <v>554.05999999999995</v>
      </c>
      <c r="L2378">
        <v>639281.14</v>
      </c>
      <c r="M2378">
        <v>115381.21</v>
      </c>
      <c r="N2378" s="2" t="s">
        <v>271</v>
      </c>
      <c r="O2378" s="2" t="s">
        <v>272</v>
      </c>
      <c r="P2378" s="2" t="s">
        <v>4346</v>
      </c>
      <c r="Q2378" s="2" t="s">
        <v>4347</v>
      </c>
      <c r="R2378" s="2" t="s">
        <v>29</v>
      </c>
      <c r="S2378" s="2" t="s">
        <v>30</v>
      </c>
    </row>
    <row r="2379" spans="1:19">
      <c r="A2379" s="1">
        <v>45017</v>
      </c>
      <c r="B2379" s="1">
        <v>45017</v>
      </c>
      <c r="C2379">
        <v>2023</v>
      </c>
      <c r="D2379">
        <v>4</v>
      </c>
      <c r="E2379" s="2" t="s">
        <v>275</v>
      </c>
      <c r="F2379" s="2" t="s">
        <v>276</v>
      </c>
      <c r="G2379" s="2" t="s">
        <v>39</v>
      </c>
      <c r="H2379" s="2" t="s">
        <v>22</v>
      </c>
      <c r="I2379" s="2" t="s">
        <v>40</v>
      </c>
      <c r="J2379" s="2" t="s">
        <v>24</v>
      </c>
      <c r="K2379">
        <v>2.09</v>
      </c>
      <c r="L2379">
        <v>20.73</v>
      </c>
      <c r="M2379">
        <v>991.87</v>
      </c>
      <c r="N2379" s="2" t="s">
        <v>277</v>
      </c>
      <c r="O2379" s="2" t="s">
        <v>278</v>
      </c>
      <c r="P2379" s="2" t="s">
        <v>4348</v>
      </c>
      <c r="Q2379" s="2" t="s">
        <v>4349</v>
      </c>
      <c r="R2379" s="2" t="s">
        <v>29</v>
      </c>
      <c r="S2379" s="2" t="s">
        <v>30</v>
      </c>
    </row>
    <row r="2380" spans="1:19">
      <c r="A2380" s="1">
        <v>45017</v>
      </c>
      <c r="B2380" s="1">
        <v>45017</v>
      </c>
      <c r="C2380">
        <v>2023</v>
      </c>
      <c r="D2380">
        <v>4</v>
      </c>
      <c r="E2380" s="2" t="s">
        <v>281</v>
      </c>
      <c r="F2380" s="2" t="s">
        <v>282</v>
      </c>
      <c r="G2380" s="2" t="s">
        <v>39</v>
      </c>
      <c r="H2380" s="2" t="s">
        <v>22</v>
      </c>
      <c r="I2380" s="2" t="s">
        <v>40</v>
      </c>
      <c r="J2380" s="2" t="s">
        <v>24</v>
      </c>
      <c r="K2380">
        <v>0.02</v>
      </c>
      <c r="L2380">
        <v>0.08</v>
      </c>
      <c r="M2380">
        <v>400</v>
      </c>
      <c r="N2380" s="2" t="s">
        <v>283</v>
      </c>
      <c r="O2380" s="2" t="s">
        <v>284</v>
      </c>
      <c r="P2380" s="2" t="s">
        <v>1039</v>
      </c>
      <c r="Q2380" s="2" t="s">
        <v>1393</v>
      </c>
      <c r="R2380" s="2" t="s">
        <v>29</v>
      </c>
      <c r="S2380" s="2" t="s">
        <v>30</v>
      </c>
    </row>
    <row r="2381" spans="1:19">
      <c r="A2381" s="1">
        <v>45017</v>
      </c>
      <c r="B2381" s="1">
        <v>45017</v>
      </c>
      <c r="C2381">
        <v>2023</v>
      </c>
      <c r="D2381">
        <v>4</v>
      </c>
      <c r="E2381" s="2" t="s">
        <v>287</v>
      </c>
      <c r="F2381" s="2" t="s">
        <v>288</v>
      </c>
      <c r="G2381" s="2" t="s">
        <v>39</v>
      </c>
      <c r="H2381" s="2" t="s">
        <v>22</v>
      </c>
      <c r="I2381" s="2" t="s">
        <v>40</v>
      </c>
      <c r="J2381" s="2" t="s">
        <v>59</v>
      </c>
      <c r="K2381">
        <v>2.11</v>
      </c>
      <c r="L2381">
        <v>20.82</v>
      </c>
      <c r="M2381">
        <v>986.73</v>
      </c>
      <c r="N2381" s="2" t="s">
        <v>289</v>
      </c>
      <c r="O2381" s="2" t="s">
        <v>290</v>
      </c>
      <c r="P2381" s="2" t="s">
        <v>3093</v>
      </c>
      <c r="Q2381" s="2" t="s">
        <v>4350</v>
      </c>
      <c r="R2381" s="2" t="s">
        <v>29</v>
      </c>
      <c r="S2381" s="2" t="s">
        <v>30</v>
      </c>
    </row>
    <row r="2382" spans="1:19">
      <c r="A2382" s="1">
        <v>45017</v>
      </c>
      <c r="B2382" s="1">
        <v>45017</v>
      </c>
      <c r="C2382">
        <v>2023</v>
      </c>
      <c r="D2382">
        <v>4</v>
      </c>
      <c r="E2382" s="2" t="s">
        <v>293</v>
      </c>
      <c r="F2382" s="2" t="s">
        <v>294</v>
      </c>
      <c r="G2382" s="2" t="s">
        <v>21</v>
      </c>
      <c r="H2382" s="2" t="s">
        <v>22</v>
      </c>
      <c r="I2382" s="2" t="s">
        <v>295</v>
      </c>
      <c r="J2382" s="2" t="s">
        <v>24</v>
      </c>
      <c r="K2382">
        <v>612.19000000000005</v>
      </c>
      <c r="L2382">
        <v>2653.28</v>
      </c>
      <c r="M2382">
        <v>433.41</v>
      </c>
      <c r="N2382" s="2" t="s">
        <v>296</v>
      </c>
      <c r="O2382" s="2" t="s">
        <v>297</v>
      </c>
      <c r="P2382" s="2" t="s">
        <v>4351</v>
      </c>
      <c r="Q2382" s="2" t="s">
        <v>4352</v>
      </c>
      <c r="R2382" s="2" t="s">
        <v>29</v>
      </c>
      <c r="S2382" s="2" t="s">
        <v>30</v>
      </c>
    </row>
    <row r="2383" spans="1:19">
      <c r="A2383" s="1">
        <v>45017</v>
      </c>
      <c r="B2383" s="1">
        <v>45017</v>
      </c>
      <c r="C2383">
        <v>2023</v>
      </c>
      <c r="D2383">
        <v>4</v>
      </c>
      <c r="E2383" s="2" t="s">
        <v>300</v>
      </c>
      <c r="F2383" s="2" t="s">
        <v>301</v>
      </c>
      <c r="G2383" s="2" t="s">
        <v>21</v>
      </c>
      <c r="H2383" s="2" t="s">
        <v>22</v>
      </c>
      <c r="I2383" s="2" t="s">
        <v>295</v>
      </c>
      <c r="J2383" s="2" t="s">
        <v>24</v>
      </c>
      <c r="K2383">
        <v>676.69</v>
      </c>
      <c r="L2383">
        <v>1079.22</v>
      </c>
      <c r="M2383">
        <v>159.49</v>
      </c>
      <c r="N2383" s="2" t="s">
        <v>302</v>
      </c>
      <c r="O2383" s="2" t="s">
        <v>303</v>
      </c>
      <c r="P2383" s="2" t="s">
        <v>4353</v>
      </c>
      <c r="Q2383" s="2" t="s">
        <v>4354</v>
      </c>
      <c r="R2383" s="2" t="s">
        <v>29</v>
      </c>
      <c r="S2383" s="2" t="s">
        <v>30</v>
      </c>
    </row>
    <row r="2384" spans="1:19">
      <c r="A2384" s="1">
        <v>45017</v>
      </c>
      <c r="B2384" s="1">
        <v>45017</v>
      </c>
      <c r="C2384">
        <v>2023</v>
      </c>
      <c r="D2384">
        <v>4</v>
      </c>
      <c r="E2384" s="2" t="s">
        <v>306</v>
      </c>
      <c r="F2384" s="2" t="s">
        <v>307</v>
      </c>
      <c r="G2384" s="2" t="s">
        <v>21</v>
      </c>
      <c r="H2384" s="2" t="s">
        <v>22</v>
      </c>
      <c r="I2384" s="2" t="s">
        <v>295</v>
      </c>
      <c r="J2384" s="2" t="s">
        <v>101</v>
      </c>
      <c r="K2384">
        <v>1288.8800000000001</v>
      </c>
      <c r="L2384">
        <v>3732.51</v>
      </c>
      <c r="M2384">
        <v>289.58999999999997</v>
      </c>
      <c r="N2384" s="2" t="s">
        <v>308</v>
      </c>
      <c r="O2384" s="2" t="s">
        <v>309</v>
      </c>
      <c r="P2384" s="2" t="s">
        <v>4355</v>
      </c>
      <c r="Q2384" s="2" t="s">
        <v>4356</v>
      </c>
      <c r="R2384" s="2" t="s">
        <v>29</v>
      </c>
      <c r="S2384" s="2" t="s">
        <v>30</v>
      </c>
    </row>
    <row r="2385" spans="1:19">
      <c r="A2385" s="1">
        <v>45017</v>
      </c>
      <c r="B2385" s="1">
        <v>45017</v>
      </c>
      <c r="C2385">
        <v>2023</v>
      </c>
      <c r="D2385">
        <v>4</v>
      </c>
      <c r="E2385" s="2" t="s">
        <v>312</v>
      </c>
      <c r="F2385" s="2" t="s">
        <v>313</v>
      </c>
      <c r="G2385" s="2" t="s">
        <v>21</v>
      </c>
      <c r="H2385" s="2" t="s">
        <v>22</v>
      </c>
      <c r="I2385" s="2" t="s">
        <v>295</v>
      </c>
      <c r="J2385" s="2" t="s">
        <v>59</v>
      </c>
      <c r="K2385">
        <v>6442.16</v>
      </c>
      <c r="L2385">
        <v>22633.85</v>
      </c>
      <c r="M2385">
        <v>351.34</v>
      </c>
      <c r="N2385" s="2" t="s">
        <v>314</v>
      </c>
      <c r="O2385" s="2" t="s">
        <v>315</v>
      </c>
      <c r="P2385" s="2" t="s">
        <v>4357</v>
      </c>
      <c r="Q2385" s="2" t="s">
        <v>4358</v>
      </c>
      <c r="R2385" s="2" t="s">
        <v>29</v>
      </c>
      <c r="S2385" s="2" t="s">
        <v>30</v>
      </c>
    </row>
    <row r="2386" spans="1:19">
      <c r="A2386" s="1">
        <v>45017</v>
      </c>
      <c r="B2386" s="1">
        <v>45017</v>
      </c>
      <c r="C2386">
        <v>2023</v>
      </c>
      <c r="D2386">
        <v>4</v>
      </c>
      <c r="E2386" s="2" t="s">
        <v>318</v>
      </c>
      <c r="F2386" s="2" t="s">
        <v>319</v>
      </c>
      <c r="G2386" s="2" t="s">
        <v>21</v>
      </c>
      <c r="H2386" s="2" t="s">
        <v>22</v>
      </c>
      <c r="I2386" s="2" t="s">
        <v>295</v>
      </c>
      <c r="J2386" s="2" t="s">
        <v>24</v>
      </c>
      <c r="K2386">
        <v>5153.28</v>
      </c>
      <c r="L2386">
        <v>18901.34</v>
      </c>
      <c r="M2386">
        <v>366.78</v>
      </c>
      <c r="N2386" s="2" t="s">
        <v>320</v>
      </c>
      <c r="O2386" s="2" t="s">
        <v>321</v>
      </c>
      <c r="P2386" s="2" t="s">
        <v>4359</v>
      </c>
      <c r="Q2386" s="2" t="s">
        <v>4360</v>
      </c>
      <c r="R2386" s="2" t="s">
        <v>29</v>
      </c>
      <c r="S2386" s="2" t="s">
        <v>30</v>
      </c>
    </row>
    <row r="2387" spans="1:19">
      <c r="A2387" s="1">
        <v>45017</v>
      </c>
      <c r="B2387" s="1">
        <v>45017</v>
      </c>
      <c r="C2387">
        <v>2023</v>
      </c>
      <c r="D2387">
        <v>4</v>
      </c>
      <c r="E2387" s="2" t="s">
        <v>324</v>
      </c>
      <c r="F2387" s="2" t="s">
        <v>325</v>
      </c>
      <c r="G2387" s="2" t="s">
        <v>21</v>
      </c>
      <c r="H2387" s="2" t="s">
        <v>22</v>
      </c>
      <c r="I2387" s="2" t="s">
        <v>23</v>
      </c>
      <c r="J2387" s="2" t="s">
        <v>59</v>
      </c>
      <c r="K2387">
        <v>100492.45</v>
      </c>
      <c r="L2387">
        <v>4834440.84</v>
      </c>
      <c r="M2387">
        <v>4810.75</v>
      </c>
      <c r="N2387" s="2" t="s">
        <v>326</v>
      </c>
      <c r="O2387" s="2" t="s">
        <v>327</v>
      </c>
      <c r="P2387" s="2" t="s">
        <v>4361</v>
      </c>
      <c r="Q2387" s="2" t="s">
        <v>4362</v>
      </c>
      <c r="R2387" s="2" t="s">
        <v>29</v>
      </c>
      <c r="S2387" s="2" t="s">
        <v>30</v>
      </c>
    </row>
    <row r="2388" spans="1:19">
      <c r="A2388" s="1">
        <v>45017</v>
      </c>
      <c r="B2388" s="1">
        <v>45017</v>
      </c>
      <c r="C2388">
        <v>2023</v>
      </c>
      <c r="D2388">
        <v>4</v>
      </c>
      <c r="E2388" s="2" t="s">
        <v>330</v>
      </c>
      <c r="F2388" s="2" t="s">
        <v>331</v>
      </c>
      <c r="G2388" s="2" t="s">
        <v>21</v>
      </c>
      <c r="H2388" s="2" t="s">
        <v>332</v>
      </c>
      <c r="I2388" s="2" t="s">
        <v>333</v>
      </c>
      <c r="J2388" s="2" t="s">
        <v>24</v>
      </c>
      <c r="K2388">
        <v>200.44</v>
      </c>
      <c r="L2388">
        <v>10452024.050000001</v>
      </c>
      <c r="M2388">
        <v>5214540.04</v>
      </c>
      <c r="N2388" s="2" t="s">
        <v>334</v>
      </c>
      <c r="O2388" s="2" t="s">
        <v>335</v>
      </c>
      <c r="P2388" s="2" t="s">
        <v>4363</v>
      </c>
      <c r="Q2388" s="2" t="s">
        <v>4364</v>
      </c>
      <c r="R2388" s="2" t="s">
        <v>29</v>
      </c>
      <c r="S2388" s="2" t="s">
        <v>30</v>
      </c>
    </row>
    <row r="2389" spans="1:19">
      <c r="A2389" s="1">
        <v>45017</v>
      </c>
      <c r="B2389" s="1">
        <v>45017</v>
      </c>
      <c r="C2389">
        <v>2023</v>
      </c>
      <c r="D2389">
        <v>4</v>
      </c>
      <c r="E2389" s="2" t="s">
        <v>338</v>
      </c>
      <c r="F2389" s="2" t="s">
        <v>339</v>
      </c>
      <c r="G2389" s="2" t="s">
        <v>21</v>
      </c>
      <c r="H2389" s="2" t="s">
        <v>332</v>
      </c>
      <c r="I2389" s="2" t="s">
        <v>333</v>
      </c>
      <c r="J2389" s="2" t="s">
        <v>24</v>
      </c>
      <c r="K2389">
        <v>1.1299999999999999</v>
      </c>
      <c r="L2389">
        <v>1424781.49</v>
      </c>
      <c r="M2389">
        <v>126086857.52</v>
      </c>
      <c r="N2389" s="2" t="s">
        <v>340</v>
      </c>
      <c r="O2389" s="2" t="s">
        <v>341</v>
      </c>
      <c r="P2389" s="2" t="s">
        <v>3065</v>
      </c>
      <c r="Q2389" s="2" t="s">
        <v>4365</v>
      </c>
      <c r="R2389" s="2" t="s">
        <v>29</v>
      </c>
      <c r="S2389" s="2" t="s">
        <v>30</v>
      </c>
    </row>
    <row r="2390" spans="1:19">
      <c r="A2390" s="1">
        <v>45017</v>
      </c>
      <c r="B2390" s="1">
        <v>45017</v>
      </c>
      <c r="C2390">
        <v>2023</v>
      </c>
      <c r="D2390">
        <v>4</v>
      </c>
      <c r="E2390" s="2" t="s">
        <v>344</v>
      </c>
      <c r="F2390" s="2" t="s">
        <v>345</v>
      </c>
      <c r="G2390" s="2" t="s">
        <v>21</v>
      </c>
      <c r="H2390" s="2" t="s">
        <v>332</v>
      </c>
      <c r="I2390" s="2" t="s">
        <v>333</v>
      </c>
      <c r="J2390" s="2" t="s">
        <v>59</v>
      </c>
      <c r="K2390">
        <v>201.57</v>
      </c>
      <c r="L2390">
        <v>11876805.539999999</v>
      </c>
      <c r="M2390">
        <v>5892149.4000000004</v>
      </c>
      <c r="N2390" s="2" t="s">
        <v>346</v>
      </c>
      <c r="O2390" s="2" t="s">
        <v>347</v>
      </c>
      <c r="P2390" s="2" t="s">
        <v>4366</v>
      </c>
      <c r="Q2390" s="2" t="s">
        <v>4367</v>
      </c>
      <c r="R2390" s="2" t="s">
        <v>29</v>
      </c>
      <c r="S2390" s="2" t="s">
        <v>30</v>
      </c>
    </row>
    <row r="2391" spans="1:19">
      <c r="A2391" s="1">
        <v>45017</v>
      </c>
      <c r="B2391" s="1">
        <v>45017</v>
      </c>
      <c r="C2391">
        <v>2023</v>
      </c>
      <c r="D2391">
        <v>4</v>
      </c>
      <c r="E2391" s="2" t="s">
        <v>350</v>
      </c>
      <c r="F2391" s="2" t="s">
        <v>351</v>
      </c>
      <c r="G2391" s="2" t="s">
        <v>21</v>
      </c>
      <c r="H2391" s="2" t="s">
        <v>22</v>
      </c>
      <c r="I2391" s="2" t="s">
        <v>352</v>
      </c>
      <c r="J2391" s="2" t="s">
        <v>353</v>
      </c>
      <c r="K2391">
        <v>113422.69</v>
      </c>
      <c r="L2391">
        <v>17041460.879999999</v>
      </c>
      <c r="M2391">
        <v>15024.74</v>
      </c>
      <c r="N2391" s="2" t="s">
        <v>354</v>
      </c>
      <c r="O2391" s="2" t="s">
        <v>355</v>
      </c>
      <c r="P2391" s="2" t="s">
        <v>4368</v>
      </c>
      <c r="Q2391" s="2" t="s">
        <v>4369</v>
      </c>
      <c r="R2391" s="2" t="s">
        <v>29</v>
      </c>
      <c r="S2391" s="2" t="s">
        <v>30</v>
      </c>
    </row>
    <row r="2392" spans="1:19">
      <c r="A2392" s="1">
        <v>45017</v>
      </c>
      <c r="B2392" s="1">
        <v>45017</v>
      </c>
      <c r="C2392">
        <v>2023</v>
      </c>
      <c r="D2392">
        <v>4</v>
      </c>
      <c r="E2392" s="2" t="s">
        <v>358</v>
      </c>
      <c r="F2392" s="2" t="s">
        <v>359</v>
      </c>
      <c r="G2392" s="2" t="s">
        <v>21</v>
      </c>
      <c r="H2392" s="2" t="s">
        <v>22</v>
      </c>
      <c r="I2392" s="2" t="s">
        <v>352</v>
      </c>
      <c r="J2392" s="2" t="s">
        <v>353</v>
      </c>
      <c r="K2392">
        <v>113976.75</v>
      </c>
      <c r="L2392">
        <v>17680742.02</v>
      </c>
      <c r="M2392">
        <v>15512.59</v>
      </c>
      <c r="N2392" s="2" t="s">
        <v>360</v>
      </c>
      <c r="O2392" s="2" t="s">
        <v>361</v>
      </c>
      <c r="P2392" s="2" t="s">
        <v>4370</v>
      </c>
      <c r="Q2392" s="2" t="s">
        <v>4371</v>
      </c>
      <c r="R2392" s="2" t="s">
        <v>29</v>
      </c>
      <c r="S2392" s="2" t="s">
        <v>30</v>
      </c>
    </row>
    <row r="2393" spans="1:19">
      <c r="A2393" s="1">
        <v>45017</v>
      </c>
      <c r="B2393" s="1">
        <v>45017</v>
      </c>
      <c r="C2393">
        <v>2023</v>
      </c>
      <c r="D2393">
        <v>4</v>
      </c>
      <c r="E2393" s="2" t="s">
        <v>364</v>
      </c>
      <c r="F2393" s="2" t="s">
        <v>365</v>
      </c>
      <c r="G2393" s="2" t="s">
        <v>21</v>
      </c>
      <c r="H2393" s="2" t="s">
        <v>22</v>
      </c>
      <c r="I2393" s="2" t="s">
        <v>352</v>
      </c>
      <c r="J2393" s="2" t="s">
        <v>353</v>
      </c>
      <c r="K2393">
        <v>113775.18</v>
      </c>
      <c r="L2393">
        <v>5803936.4800000004</v>
      </c>
      <c r="M2393">
        <v>5101.2299999999996</v>
      </c>
      <c r="N2393" s="2" t="s">
        <v>366</v>
      </c>
      <c r="O2393" s="2" t="s">
        <v>367</v>
      </c>
      <c r="P2393" s="2" t="s">
        <v>4372</v>
      </c>
      <c r="Q2393" s="2" t="s">
        <v>4373</v>
      </c>
      <c r="R2393" s="2" t="s">
        <v>29</v>
      </c>
      <c r="S2393" s="2" t="s">
        <v>30</v>
      </c>
    </row>
    <row r="2394" spans="1:19">
      <c r="A2394" s="1">
        <v>45017</v>
      </c>
      <c r="B2394" s="1">
        <v>45017</v>
      </c>
      <c r="C2394">
        <v>2023</v>
      </c>
      <c r="D2394">
        <v>4</v>
      </c>
      <c r="E2394" s="2" t="s">
        <v>370</v>
      </c>
      <c r="F2394" s="2" t="s">
        <v>371</v>
      </c>
      <c r="G2394" s="2" t="s">
        <v>21</v>
      </c>
      <c r="H2394" s="2" t="s">
        <v>22</v>
      </c>
      <c r="I2394" s="2" t="s">
        <v>23</v>
      </c>
      <c r="J2394" s="2" t="s">
        <v>24</v>
      </c>
      <c r="K2394">
        <v>88632.6</v>
      </c>
      <c r="L2394">
        <v>1415504.71</v>
      </c>
      <c r="M2394">
        <v>1597.05</v>
      </c>
      <c r="N2394" s="2" t="s">
        <v>372</v>
      </c>
      <c r="O2394" s="2" t="s">
        <v>373</v>
      </c>
      <c r="P2394" s="2" t="s">
        <v>4374</v>
      </c>
      <c r="Q2394" s="2" t="s">
        <v>4375</v>
      </c>
      <c r="R2394" s="2" t="s">
        <v>29</v>
      </c>
      <c r="S2394" s="2" t="s">
        <v>30</v>
      </c>
    </row>
    <row r="2395" spans="1:19">
      <c r="A2395" s="1">
        <v>45017</v>
      </c>
      <c r="B2395" s="1">
        <v>45017</v>
      </c>
      <c r="C2395">
        <v>2023</v>
      </c>
      <c r="D2395">
        <v>4</v>
      </c>
      <c r="E2395" s="2" t="s">
        <v>376</v>
      </c>
      <c r="F2395" s="2" t="s">
        <v>377</v>
      </c>
      <c r="G2395" s="2" t="s">
        <v>21</v>
      </c>
      <c r="H2395" s="2" t="s">
        <v>22</v>
      </c>
      <c r="I2395" s="2" t="s">
        <v>23</v>
      </c>
      <c r="J2395" s="2" t="s">
        <v>378</v>
      </c>
      <c r="K2395">
        <v>1.64</v>
      </c>
      <c r="L2395">
        <v>18.8</v>
      </c>
      <c r="M2395">
        <v>1146.3399999999999</v>
      </c>
      <c r="N2395" s="2" t="s">
        <v>379</v>
      </c>
      <c r="O2395" s="2" t="s">
        <v>380</v>
      </c>
      <c r="P2395" s="2" t="s">
        <v>1543</v>
      </c>
      <c r="Q2395" s="2" t="s">
        <v>4376</v>
      </c>
      <c r="R2395" s="2" t="s">
        <v>29</v>
      </c>
      <c r="S2395" s="2" t="s">
        <v>30</v>
      </c>
    </row>
    <row r="2396" spans="1:19">
      <c r="A2396" s="1">
        <v>45047</v>
      </c>
      <c r="B2396" s="1">
        <v>45047</v>
      </c>
      <c r="C2396">
        <v>2023</v>
      </c>
      <c r="D2396">
        <v>5</v>
      </c>
      <c r="E2396" s="2" t="s">
        <v>19</v>
      </c>
      <c r="F2396" s="2" t="s">
        <v>20</v>
      </c>
      <c r="G2396" s="2" t="s">
        <v>21</v>
      </c>
      <c r="H2396" s="2" t="s">
        <v>22</v>
      </c>
      <c r="I2396" s="2" t="s">
        <v>23</v>
      </c>
      <c r="J2396" s="2" t="s">
        <v>24</v>
      </c>
      <c r="K2396">
        <v>0.34</v>
      </c>
      <c r="L2396">
        <v>23.17</v>
      </c>
      <c r="M2396">
        <v>6814.71</v>
      </c>
      <c r="N2396" s="2" t="s">
        <v>25</v>
      </c>
      <c r="O2396" s="2" t="s">
        <v>26</v>
      </c>
      <c r="P2396" s="2" t="s">
        <v>3373</v>
      </c>
      <c r="Q2396" s="2" t="s">
        <v>4377</v>
      </c>
      <c r="R2396" s="2" t="s">
        <v>29</v>
      </c>
      <c r="S2396" s="2" t="s">
        <v>30</v>
      </c>
    </row>
    <row r="2397" spans="1:19">
      <c r="A2397" s="1">
        <v>45047</v>
      </c>
      <c r="B2397" s="1">
        <v>45047</v>
      </c>
      <c r="C2397">
        <v>2023</v>
      </c>
      <c r="D2397">
        <v>5</v>
      </c>
      <c r="E2397" s="2" t="s">
        <v>31</v>
      </c>
      <c r="F2397" s="2" t="s">
        <v>32</v>
      </c>
      <c r="G2397" s="2" t="s">
        <v>21</v>
      </c>
      <c r="H2397" s="2" t="s">
        <v>22</v>
      </c>
      <c r="I2397" s="2" t="s">
        <v>23</v>
      </c>
      <c r="J2397" s="2" t="s">
        <v>24</v>
      </c>
      <c r="K2397">
        <v>1838.94</v>
      </c>
      <c r="L2397">
        <v>31424.29</v>
      </c>
      <c r="M2397">
        <v>1708.83</v>
      </c>
      <c r="N2397" s="2" t="s">
        <v>33</v>
      </c>
      <c r="O2397" s="2" t="s">
        <v>34</v>
      </c>
      <c r="P2397" s="2" t="s">
        <v>4378</v>
      </c>
      <c r="Q2397" s="2" t="s">
        <v>4379</v>
      </c>
      <c r="R2397" s="2" t="s">
        <v>29</v>
      </c>
      <c r="S2397" s="2" t="s">
        <v>30</v>
      </c>
    </row>
    <row r="2398" spans="1:19">
      <c r="A2398" s="1">
        <v>45047</v>
      </c>
      <c r="B2398" s="1">
        <v>45047</v>
      </c>
      <c r="C2398">
        <v>2023</v>
      </c>
      <c r="D2398">
        <v>5</v>
      </c>
      <c r="E2398" s="2" t="s">
        <v>37</v>
      </c>
      <c r="F2398" s="2" t="s">
        <v>38</v>
      </c>
      <c r="G2398" s="2" t="s">
        <v>39</v>
      </c>
      <c r="H2398" s="2" t="s">
        <v>22</v>
      </c>
      <c r="I2398" s="2" t="s">
        <v>40</v>
      </c>
      <c r="J2398" s="2" t="s">
        <v>24</v>
      </c>
      <c r="K2398">
        <v>7.73</v>
      </c>
      <c r="L2398">
        <v>366.28</v>
      </c>
      <c r="M2398">
        <v>4738.42</v>
      </c>
      <c r="N2398" s="2" t="s">
        <v>41</v>
      </c>
      <c r="O2398" s="2" t="s">
        <v>42</v>
      </c>
      <c r="P2398" s="2" t="s">
        <v>4380</v>
      </c>
      <c r="Q2398" s="2" t="s">
        <v>4381</v>
      </c>
      <c r="R2398" s="2" t="s">
        <v>29</v>
      </c>
      <c r="S2398" s="2" t="s">
        <v>30</v>
      </c>
    </row>
    <row r="2399" spans="1:19">
      <c r="A2399" s="1">
        <v>45047</v>
      </c>
      <c r="B2399" s="1">
        <v>45047</v>
      </c>
      <c r="C2399">
        <v>2023</v>
      </c>
      <c r="D2399">
        <v>5</v>
      </c>
      <c r="E2399" s="2" t="s">
        <v>45</v>
      </c>
      <c r="F2399" s="2" t="s">
        <v>46</v>
      </c>
      <c r="G2399" s="2" t="s">
        <v>39</v>
      </c>
      <c r="H2399" s="2" t="s">
        <v>22</v>
      </c>
      <c r="I2399" s="2" t="s">
        <v>40</v>
      </c>
      <c r="J2399" s="2" t="s">
        <v>24</v>
      </c>
      <c r="K2399">
        <v>5655.91</v>
      </c>
      <c r="L2399">
        <v>278080.5</v>
      </c>
      <c r="M2399">
        <v>4916.6400000000003</v>
      </c>
      <c r="N2399" s="2" t="s">
        <v>47</v>
      </c>
      <c r="O2399" s="2" t="s">
        <v>48</v>
      </c>
      <c r="P2399" s="2" t="s">
        <v>4382</v>
      </c>
      <c r="Q2399" s="2" t="s">
        <v>4383</v>
      </c>
      <c r="R2399" s="2" t="s">
        <v>29</v>
      </c>
      <c r="S2399" s="2" t="s">
        <v>30</v>
      </c>
    </row>
    <row r="2400" spans="1:19">
      <c r="A2400" s="1">
        <v>45047</v>
      </c>
      <c r="B2400" s="1">
        <v>45047</v>
      </c>
      <c r="C2400">
        <v>2023</v>
      </c>
      <c r="D2400">
        <v>5</v>
      </c>
      <c r="E2400" s="2" t="s">
        <v>51</v>
      </c>
      <c r="F2400" s="2" t="s">
        <v>52</v>
      </c>
      <c r="G2400" s="2" t="s">
        <v>39</v>
      </c>
      <c r="H2400" s="2" t="s">
        <v>22</v>
      </c>
      <c r="I2400" s="2" t="s">
        <v>40</v>
      </c>
      <c r="J2400" s="2" t="s">
        <v>24</v>
      </c>
      <c r="K2400">
        <v>31.09</v>
      </c>
      <c r="L2400">
        <v>1174.6199999999999</v>
      </c>
      <c r="M2400">
        <v>3778.13</v>
      </c>
      <c r="N2400" s="2" t="s">
        <v>53</v>
      </c>
      <c r="O2400" s="2" t="s">
        <v>54</v>
      </c>
      <c r="P2400" s="2" t="s">
        <v>4384</v>
      </c>
      <c r="Q2400" s="2" t="s">
        <v>4385</v>
      </c>
      <c r="R2400" s="2" t="s">
        <v>29</v>
      </c>
      <c r="S2400" s="2" t="s">
        <v>30</v>
      </c>
    </row>
    <row r="2401" spans="1:19">
      <c r="A2401" s="1">
        <v>45047</v>
      </c>
      <c r="B2401" s="1">
        <v>45047</v>
      </c>
      <c r="C2401">
        <v>2023</v>
      </c>
      <c r="D2401">
        <v>5</v>
      </c>
      <c r="E2401" s="2" t="s">
        <v>57</v>
      </c>
      <c r="F2401" s="2" t="s">
        <v>58</v>
      </c>
      <c r="G2401" s="2" t="s">
        <v>39</v>
      </c>
      <c r="H2401" s="2" t="s">
        <v>22</v>
      </c>
      <c r="I2401" s="2" t="s">
        <v>40</v>
      </c>
      <c r="J2401" s="2" t="s">
        <v>59</v>
      </c>
      <c r="K2401">
        <v>5694.72</v>
      </c>
      <c r="L2401">
        <v>279621.40000000002</v>
      </c>
      <c r="M2401">
        <v>4910.1899999999996</v>
      </c>
      <c r="N2401" s="2" t="s">
        <v>60</v>
      </c>
      <c r="O2401" s="2" t="s">
        <v>61</v>
      </c>
      <c r="P2401" s="2" t="s">
        <v>4386</v>
      </c>
      <c r="Q2401" s="2" t="s">
        <v>4387</v>
      </c>
      <c r="R2401" s="2" t="s">
        <v>29</v>
      </c>
      <c r="S2401" s="2" t="s">
        <v>30</v>
      </c>
    </row>
    <row r="2402" spans="1:19">
      <c r="A2402" s="1">
        <v>45047</v>
      </c>
      <c r="B2402" s="1">
        <v>45047</v>
      </c>
      <c r="C2402">
        <v>2023</v>
      </c>
      <c r="D2402">
        <v>5</v>
      </c>
      <c r="E2402" s="2" t="s">
        <v>64</v>
      </c>
      <c r="F2402" s="2" t="s">
        <v>65</v>
      </c>
      <c r="G2402" s="2" t="s">
        <v>21</v>
      </c>
      <c r="H2402" s="2" t="s">
        <v>22</v>
      </c>
      <c r="I2402" s="2" t="s">
        <v>66</v>
      </c>
      <c r="J2402" s="2" t="s">
        <v>24</v>
      </c>
      <c r="K2402">
        <v>15.45</v>
      </c>
      <c r="L2402">
        <v>535.33000000000004</v>
      </c>
      <c r="M2402">
        <v>3464.92</v>
      </c>
      <c r="N2402" s="2" t="s">
        <v>67</v>
      </c>
      <c r="O2402" s="2" t="s">
        <v>68</v>
      </c>
      <c r="P2402" s="2" t="s">
        <v>4388</v>
      </c>
      <c r="Q2402" s="2" t="s">
        <v>4389</v>
      </c>
      <c r="R2402" s="2" t="s">
        <v>29</v>
      </c>
      <c r="S2402" s="2" t="s">
        <v>30</v>
      </c>
    </row>
    <row r="2403" spans="1:19">
      <c r="A2403" s="1">
        <v>45047</v>
      </c>
      <c r="B2403" s="1">
        <v>45047</v>
      </c>
      <c r="C2403">
        <v>2023</v>
      </c>
      <c r="D2403">
        <v>5</v>
      </c>
      <c r="E2403" s="2" t="s">
        <v>71</v>
      </c>
      <c r="F2403" s="2" t="s">
        <v>72</v>
      </c>
      <c r="G2403" s="2" t="s">
        <v>21</v>
      </c>
      <c r="H2403" s="2" t="s">
        <v>22</v>
      </c>
      <c r="I2403" s="2" t="s">
        <v>73</v>
      </c>
      <c r="J2403" s="2" t="s">
        <v>59</v>
      </c>
      <c r="K2403">
        <v>4974.51</v>
      </c>
      <c r="L2403">
        <v>193435.51</v>
      </c>
      <c r="M2403">
        <v>3888.53</v>
      </c>
      <c r="N2403" s="2" t="s">
        <v>74</v>
      </c>
      <c r="O2403" s="2" t="s">
        <v>75</v>
      </c>
      <c r="P2403" s="2" t="s">
        <v>4390</v>
      </c>
      <c r="Q2403" s="2" t="s">
        <v>4391</v>
      </c>
      <c r="R2403" s="2" t="s">
        <v>29</v>
      </c>
      <c r="S2403" s="2" t="s">
        <v>30</v>
      </c>
    </row>
    <row r="2404" spans="1:19">
      <c r="A2404" s="1">
        <v>45047</v>
      </c>
      <c r="B2404" s="1">
        <v>45047</v>
      </c>
      <c r="C2404">
        <v>2023</v>
      </c>
      <c r="D2404">
        <v>5</v>
      </c>
      <c r="E2404" s="2" t="s">
        <v>78</v>
      </c>
      <c r="F2404" s="2" t="s">
        <v>79</v>
      </c>
      <c r="G2404" s="2" t="s">
        <v>80</v>
      </c>
      <c r="H2404" s="2" t="s">
        <v>81</v>
      </c>
      <c r="I2404" s="2" t="s">
        <v>82</v>
      </c>
      <c r="J2404" s="2" t="s">
        <v>24</v>
      </c>
      <c r="K2404">
        <v>2.23</v>
      </c>
      <c r="L2404">
        <v>6189355.8600000003</v>
      </c>
      <c r="M2404">
        <v>277549590.13</v>
      </c>
      <c r="N2404" s="2" t="s">
        <v>83</v>
      </c>
      <c r="O2404" s="2" t="s">
        <v>84</v>
      </c>
      <c r="P2404" s="2" t="s">
        <v>1041</v>
      </c>
      <c r="Q2404" s="2" t="s">
        <v>4392</v>
      </c>
      <c r="R2404" s="2" t="s">
        <v>29</v>
      </c>
      <c r="S2404" s="2" t="s">
        <v>30</v>
      </c>
    </row>
    <row r="2405" spans="1:19">
      <c r="A2405" s="1">
        <v>45047</v>
      </c>
      <c r="B2405" s="1">
        <v>45047</v>
      </c>
      <c r="C2405">
        <v>2023</v>
      </c>
      <c r="D2405">
        <v>5</v>
      </c>
      <c r="E2405" s="2" t="s">
        <v>87</v>
      </c>
      <c r="F2405" s="2" t="s">
        <v>88</v>
      </c>
      <c r="G2405" s="2" t="s">
        <v>80</v>
      </c>
      <c r="H2405" s="2" t="s">
        <v>81</v>
      </c>
      <c r="I2405" s="2" t="s">
        <v>82</v>
      </c>
      <c r="J2405" s="2" t="s">
        <v>24</v>
      </c>
      <c r="K2405">
        <v>0.98</v>
      </c>
      <c r="L2405">
        <v>1326724.49</v>
      </c>
      <c r="M2405">
        <v>135380050</v>
      </c>
      <c r="N2405" s="2" t="s">
        <v>89</v>
      </c>
      <c r="O2405" s="2" t="s">
        <v>90</v>
      </c>
      <c r="P2405" s="2" t="s">
        <v>2326</v>
      </c>
      <c r="Q2405" s="2" t="s">
        <v>4393</v>
      </c>
      <c r="R2405" s="2" t="s">
        <v>29</v>
      </c>
      <c r="S2405" s="2" t="s">
        <v>30</v>
      </c>
    </row>
    <row r="2406" spans="1:19">
      <c r="A2406" s="1">
        <v>45047</v>
      </c>
      <c r="B2406" s="1">
        <v>45047</v>
      </c>
      <c r="C2406">
        <v>2023</v>
      </c>
      <c r="D2406">
        <v>5</v>
      </c>
      <c r="E2406" s="2" t="s">
        <v>93</v>
      </c>
      <c r="F2406" s="2" t="s">
        <v>94</v>
      </c>
      <c r="G2406" s="2" t="s">
        <v>80</v>
      </c>
      <c r="H2406" s="2" t="s">
        <v>81</v>
      </c>
      <c r="I2406" s="2" t="s">
        <v>82</v>
      </c>
      <c r="J2406" s="2" t="s">
        <v>24</v>
      </c>
      <c r="K2406">
        <v>0.45</v>
      </c>
      <c r="L2406">
        <v>7732270.29</v>
      </c>
      <c r="M2406">
        <v>1718282286.6700001</v>
      </c>
      <c r="N2406" s="2" t="s">
        <v>95</v>
      </c>
      <c r="O2406" s="2" t="s">
        <v>96</v>
      </c>
      <c r="P2406" s="2" t="s">
        <v>4394</v>
      </c>
      <c r="Q2406" s="2" t="s">
        <v>4395</v>
      </c>
      <c r="R2406" s="2" t="s">
        <v>29</v>
      </c>
      <c r="S2406" s="2" t="s">
        <v>30</v>
      </c>
    </row>
    <row r="2407" spans="1:19">
      <c r="A2407" s="1">
        <v>45047</v>
      </c>
      <c r="B2407" s="1">
        <v>45047</v>
      </c>
      <c r="C2407">
        <v>2023</v>
      </c>
      <c r="D2407">
        <v>5</v>
      </c>
      <c r="E2407" s="2" t="s">
        <v>99</v>
      </c>
      <c r="F2407" s="2" t="s">
        <v>100</v>
      </c>
      <c r="G2407" s="2" t="s">
        <v>80</v>
      </c>
      <c r="H2407" s="2" t="s">
        <v>81</v>
      </c>
      <c r="I2407" s="2" t="s">
        <v>82</v>
      </c>
      <c r="J2407" s="2" t="s">
        <v>101</v>
      </c>
      <c r="K2407">
        <v>1.63</v>
      </c>
      <c r="L2407">
        <v>15227195.58</v>
      </c>
      <c r="M2407">
        <v>934183777.90999997</v>
      </c>
      <c r="N2407" s="2" t="s">
        <v>102</v>
      </c>
      <c r="O2407" s="2" t="s">
        <v>103</v>
      </c>
      <c r="P2407" s="2" t="s">
        <v>3637</v>
      </c>
      <c r="Q2407" s="2" t="s">
        <v>4396</v>
      </c>
      <c r="R2407" s="2" t="s">
        <v>29</v>
      </c>
      <c r="S2407" s="2" t="s">
        <v>30</v>
      </c>
    </row>
    <row r="2408" spans="1:19">
      <c r="A2408" s="1">
        <v>45047</v>
      </c>
      <c r="B2408" s="1">
        <v>45047</v>
      </c>
      <c r="C2408">
        <v>2023</v>
      </c>
      <c r="D2408">
        <v>5</v>
      </c>
      <c r="E2408" s="2" t="s">
        <v>106</v>
      </c>
      <c r="F2408" s="2" t="s">
        <v>107</v>
      </c>
      <c r="G2408" s="2" t="s">
        <v>80</v>
      </c>
      <c r="H2408" s="2" t="s">
        <v>81</v>
      </c>
      <c r="I2408" s="2" t="s">
        <v>82</v>
      </c>
      <c r="J2408" s="2" t="s">
        <v>24</v>
      </c>
      <c r="K2408">
        <v>0.2</v>
      </c>
      <c r="L2408">
        <v>6168200.7999999998</v>
      </c>
      <c r="M2408">
        <v>3084100400</v>
      </c>
      <c r="N2408" s="2" t="s">
        <v>108</v>
      </c>
      <c r="O2408" s="2" t="s">
        <v>109</v>
      </c>
      <c r="P2408" s="2" t="s">
        <v>1142</v>
      </c>
      <c r="Q2408" s="2" t="s">
        <v>4397</v>
      </c>
      <c r="R2408" s="2" t="s">
        <v>29</v>
      </c>
      <c r="S2408" s="2" t="s">
        <v>30</v>
      </c>
    </row>
    <row r="2409" spans="1:19">
      <c r="A2409" s="1">
        <v>45047</v>
      </c>
      <c r="B2409" s="1">
        <v>45047</v>
      </c>
      <c r="C2409">
        <v>2023</v>
      </c>
      <c r="D2409">
        <v>5</v>
      </c>
      <c r="E2409" s="2" t="s">
        <v>111</v>
      </c>
      <c r="F2409" s="2" t="s">
        <v>112</v>
      </c>
      <c r="G2409" s="2" t="s">
        <v>80</v>
      </c>
      <c r="H2409" s="2" t="s">
        <v>81</v>
      </c>
      <c r="I2409" s="2" t="s">
        <v>82</v>
      </c>
      <c r="J2409" s="2" t="s">
        <v>24</v>
      </c>
      <c r="K2409">
        <v>0.17</v>
      </c>
      <c r="L2409">
        <v>1121082.1499999999</v>
      </c>
      <c r="M2409">
        <v>659460088.24000001</v>
      </c>
      <c r="N2409" s="2" t="s">
        <v>113</v>
      </c>
      <c r="O2409" s="2" t="s">
        <v>114</v>
      </c>
      <c r="P2409" s="2" t="s">
        <v>169</v>
      </c>
      <c r="Q2409" s="2" t="s">
        <v>4398</v>
      </c>
      <c r="R2409" s="2" t="s">
        <v>29</v>
      </c>
      <c r="S2409" s="2" t="s">
        <v>30</v>
      </c>
    </row>
    <row r="2410" spans="1:19">
      <c r="A2410" s="1">
        <v>45047</v>
      </c>
      <c r="B2410" s="1">
        <v>45047</v>
      </c>
      <c r="C2410">
        <v>2023</v>
      </c>
      <c r="D2410">
        <v>5</v>
      </c>
      <c r="E2410" s="2" t="s">
        <v>117</v>
      </c>
      <c r="F2410" s="2" t="s">
        <v>118</v>
      </c>
      <c r="G2410" s="2" t="s">
        <v>80</v>
      </c>
      <c r="H2410" s="2" t="s">
        <v>81</v>
      </c>
      <c r="I2410" s="2" t="s">
        <v>82</v>
      </c>
      <c r="J2410" s="2" t="s">
        <v>59</v>
      </c>
      <c r="K2410">
        <v>4.03</v>
      </c>
      <c r="L2410">
        <v>22537633.59</v>
      </c>
      <c r="M2410">
        <v>559246491.07000005</v>
      </c>
      <c r="N2410" s="2" t="s">
        <v>119</v>
      </c>
      <c r="O2410" s="2" t="s">
        <v>120</v>
      </c>
      <c r="P2410" s="2" t="s">
        <v>4399</v>
      </c>
      <c r="Q2410" s="2" t="s">
        <v>4400</v>
      </c>
      <c r="R2410" s="2" t="s">
        <v>29</v>
      </c>
      <c r="S2410" s="2" t="s">
        <v>30</v>
      </c>
    </row>
    <row r="2411" spans="1:19">
      <c r="A2411" s="1">
        <v>45047</v>
      </c>
      <c r="B2411" s="1">
        <v>45047</v>
      </c>
      <c r="C2411">
        <v>2023</v>
      </c>
      <c r="D2411">
        <v>5</v>
      </c>
      <c r="E2411" s="2" t="s">
        <v>123</v>
      </c>
      <c r="F2411" s="2" t="s">
        <v>124</v>
      </c>
      <c r="G2411" s="2" t="s">
        <v>21</v>
      </c>
      <c r="H2411" s="2" t="s">
        <v>22</v>
      </c>
      <c r="I2411" s="2" t="s">
        <v>73</v>
      </c>
      <c r="J2411" s="2" t="s">
        <v>24</v>
      </c>
      <c r="K2411">
        <v>1314.76</v>
      </c>
      <c r="L2411">
        <v>89848.61</v>
      </c>
      <c r="M2411">
        <v>6833.84</v>
      </c>
      <c r="N2411" s="2" t="s">
        <v>125</v>
      </c>
      <c r="O2411" s="2" t="s">
        <v>126</v>
      </c>
      <c r="P2411" s="2" t="s">
        <v>4401</v>
      </c>
      <c r="Q2411" s="2" t="s">
        <v>4402</v>
      </c>
      <c r="R2411" s="2" t="s">
        <v>29</v>
      </c>
      <c r="S2411" s="2" t="s">
        <v>30</v>
      </c>
    </row>
    <row r="2412" spans="1:19">
      <c r="A2412" s="1">
        <v>45047</v>
      </c>
      <c r="B2412" s="1">
        <v>45047</v>
      </c>
      <c r="C2412">
        <v>2023</v>
      </c>
      <c r="D2412">
        <v>5</v>
      </c>
      <c r="E2412" s="2" t="s">
        <v>129</v>
      </c>
      <c r="F2412" s="2" t="s">
        <v>130</v>
      </c>
      <c r="G2412" s="2" t="s">
        <v>21</v>
      </c>
      <c r="H2412" s="2" t="s">
        <v>22</v>
      </c>
      <c r="I2412" s="2" t="s">
        <v>73</v>
      </c>
      <c r="J2412" s="2" t="s">
        <v>24</v>
      </c>
      <c r="K2412">
        <v>1419.98</v>
      </c>
      <c r="L2412">
        <v>50810.99</v>
      </c>
      <c r="M2412">
        <v>3578.29</v>
      </c>
      <c r="N2412" s="2" t="s">
        <v>131</v>
      </c>
      <c r="O2412" s="2" t="s">
        <v>132</v>
      </c>
      <c r="P2412" s="2" t="s">
        <v>4403</v>
      </c>
      <c r="Q2412" s="2" t="s">
        <v>4404</v>
      </c>
      <c r="R2412" s="2" t="s">
        <v>29</v>
      </c>
      <c r="S2412" s="2" t="s">
        <v>30</v>
      </c>
    </row>
    <row r="2413" spans="1:19">
      <c r="A2413" s="1">
        <v>45047</v>
      </c>
      <c r="B2413" s="1">
        <v>45047</v>
      </c>
      <c r="C2413">
        <v>2023</v>
      </c>
      <c r="D2413">
        <v>5</v>
      </c>
      <c r="E2413" s="2" t="s">
        <v>135</v>
      </c>
      <c r="F2413" s="2" t="s">
        <v>136</v>
      </c>
      <c r="G2413" s="2" t="s">
        <v>21</v>
      </c>
      <c r="H2413" s="2" t="s">
        <v>22</v>
      </c>
      <c r="I2413" s="2" t="s">
        <v>73</v>
      </c>
      <c r="J2413" s="2" t="s">
        <v>101</v>
      </c>
      <c r="K2413">
        <v>2734.74</v>
      </c>
      <c r="L2413">
        <v>140659.6</v>
      </c>
      <c r="M2413">
        <v>5143.4399999999996</v>
      </c>
      <c r="N2413" s="2" t="s">
        <v>137</v>
      </c>
      <c r="O2413" s="2" t="s">
        <v>138</v>
      </c>
      <c r="P2413" s="2" t="s">
        <v>4405</v>
      </c>
      <c r="Q2413" s="2" t="s">
        <v>4406</v>
      </c>
      <c r="R2413" s="2" t="s">
        <v>29</v>
      </c>
      <c r="S2413" s="2" t="s">
        <v>30</v>
      </c>
    </row>
    <row r="2414" spans="1:19">
      <c r="A2414" s="1">
        <v>45047</v>
      </c>
      <c r="B2414" s="1">
        <v>45047</v>
      </c>
      <c r="C2414">
        <v>2023</v>
      </c>
      <c r="D2414">
        <v>5</v>
      </c>
      <c r="E2414" s="2" t="s">
        <v>141</v>
      </c>
      <c r="F2414" s="2" t="s">
        <v>142</v>
      </c>
      <c r="G2414" s="2" t="s">
        <v>21</v>
      </c>
      <c r="H2414" s="2" t="s">
        <v>22</v>
      </c>
      <c r="I2414" s="2" t="s">
        <v>73</v>
      </c>
      <c r="J2414" s="2" t="s">
        <v>24</v>
      </c>
      <c r="K2414">
        <v>646.89</v>
      </c>
      <c r="L2414">
        <v>17187.12</v>
      </c>
      <c r="M2414">
        <v>2656.88</v>
      </c>
      <c r="N2414" s="2" t="s">
        <v>143</v>
      </c>
      <c r="O2414" s="2" t="s">
        <v>144</v>
      </c>
      <c r="P2414" s="2" t="s">
        <v>4407</v>
      </c>
      <c r="Q2414" s="2" t="s">
        <v>4408</v>
      </c>
      <c r="R2414" s="2" t="s">
        <v>29</v>
      </c>
      <c r="S2414" s="2" t="s">
        <v>30</v>
      </c>
    </row>
    <row r="2415" spans="1:19">
      <c r="A2415" s="1">
        <v>45047</v>
      </c>
      <c r="B2415" s="1">
        <v>45047</v>
      </c>
      <c r="C2415">
        <v>2023</v>
      </c>
      <c r="D2415">
        <v>5</v>
      </c>
      <c r="E2415" s="2" t="s">
        <v>147</v>
      </c>
      <c r="F2415" s="2" t="s">
        <v>148</v>
      </c>
      <c r="G2415" s="2" t="s">
        <v>21</v>
      </c>
      <c r="H2415" s="2" t="s">
        <v>22</v>
      </c>
      <c r="I2415" s="2" t="s">
        <v>73</v>
      </c>
      <c r="J2415" s="2" t="s">
        <v>24</v>
      </c>
      <c r="K2415">
        <v>1592.87</v>
      </c>
      <c r="L2415">
        <v>35588.78</v>
      </c>
      <c r="M2415">
        <v>2234.2600000000002</v>
      </c>
      <c r="N2415" s="2" t="s">
        <v>149</v>
      </c>
      <c r="O2415" s="2" t="s">
        <v>150</v>
      </c>
      <c r="P2415" s="2" t="s">
        <v>4409</v>
      </c>
      <c r="Q2415" s="2" t="s">
        <v>4410</v>
      </c>
      <c r="R2415" s="2" t="s">
        <v>29</v>
      </c>
      <c r="S2415" s="2" t="s">
        <v>30</v>
      </c>
    </row>
    <row r="2416" spans="1:19">
      <c r="A2416" s="1">
        <v>45047</v>
      </c>
      <c r="B2416" s="1">
        <v>45047</v>
      </c>
      <c r="C2416">
        <v>2023</v>
      </c>
      <c r="D2416">
        <v>5</v>
      </c>
      <c r="E2416" s="2" t="s">
        <v>153</v>
      </c>
      <c r="F2416" s="2" t="s">
        <v>154</v>
      </c>
      <c r="G2416" s="2" t="s">
        <v>21</v>
      </c>
      <c r="H2416" s="2" t="s">
        <v>22</v>
      </c>
      <c r="I2416" s="2" t="s">
        <v>73</v>
      </c>
      <c r="J2416" s="2" t="s">
        <v>101</v>
      </c>
      <c r="K2416">
        <v>2239.77</v>
      </c>
      <c r="L2416">
        <v>52775.91</v>
      </c>
      <c r="M2416">
        <v>2356.31</v>
      </c>
      <c r="N2416" s="2" t="s">
        <v>155</v>
      </c>
      <c r="O2416" s="2" t="s">
        <v>156</v>
      </c>
      <c r="P2416" s="2" t="s">
        <v>4411</v>
      </c>
      <c r="Q2416" s="2" t="s">
        <v>4412</v>
      </c>
      <c r="R2416" s="2" t="s">
        <v>29</v>
      </c>
      <c r="S2416" s="2" t="s">
        <v>30</v>
      </c>
    </row>
    <row r="2417" spans="1:19">
      <c r="A2417" s="1">
        <v>45047</v>
      </c>
      <c r="B2417" s="1">
        <v>45047</v>
      </c>
      <c r="C2417">
        <v>2023</v>
      </c>
      <c r="D2417">
        <v>5</v>
      </c>
      <c r="E2417" s="2" t="s">
        <v>159</v>
      </c>
      <c r="F2417" s="2" t="s">
        <v>160</v>
      </c>
      <c r="G2417" s="2" t="s">
        <v>21</v>
      </c>
      <c r="H2417" s="2" t="s">
        <v>22</v>
      </c>
      <c r="I2417" s="2" t="s">
        <v>66</v>
      </c>
      <c r="J2417" s="2" t="s">
        <v>59</v>
      </c>
      <c r="K2417">
        <v>1457.43</v>
      </c>
      <c r="L2417">
        <v>125654.49</v>
      </c>
      <c r="M2417">
        <v>8621.65</v>
      </c>
      <c r="N2417" s="2" t="s">
        <v>161</v>
      </c>
      <c r="O2417" s="2" t="s">
        <v>162</v>
      </c>
      <c r="P2417" s="2" t="s">
        <v>4413</v>
      </c>
      <c r="Q2417" s="2" t="s">
        <v>4414</v>
      </c>
      <c r="R2417" s="2" t="s">
        <v>29</v>
      </c>
      <c r="S2417" s="2" t="s">
        <v>30</v>
      </c>
    </row>
    <row r="2418" spans="1:19">
      <c r="A2418" s="1">
        <v>45047</v>
      </c>
      <c r="B2418" s="1">
        <v>45047</v>
      </c>
      <c r="C2418">
        <v>2023</v>
      </c>
      <c r="D2418">
        <v>5</v>
      </c>
      <c r="E2418" s="2" t="s">
        <v>165</v>
      </c>
      <c r="F2418" s="2" t="s">
        <v>166</v>
      </c>
      <c r="G2418" s="2" t="s">
        <v>21</v>
      </c>
      <c r="H2418" s="2" t="s">
        <v>22</v>
      </c>
      <c r="I2418" s="2" t="s">
        <v>23</v>
      </c>
      <c r="J2418" s="2" t="s">
        <v>24</v>
      </c>
      <c r="N2418" s="2" t="s">
        <v>167</v>
      </c>
      <c r="O2418" s="2" t="s">
        <v>168</v>
      </c>
      <c r="P2418" s="2" t="s">
        <v>175</v>
      </c>
      <c r="Q2418" s="2" t="s">
        <v>175</v>
      </c>
      <c r="R2418" s="2" t="s">
        <v>640</v>
      </c>
      <c r="S2418" s="2" t="s">
        <v>641</v>
      </c>
    </row>
    <row r="2419" spans="1:19">
      <c r="A2419" s="1">
        <v>45047</v>
      </c>
      <c r="B2419" s="1">
        <v>45047</v>
      </c>
      <c r="C2419">
        <v>2023</v>
      </c>
      <c r="D2419">
        <v>5</v>
      </c>
      <c r="E2419" s="2" t="s">
        <v>171</v>
      </c>
      <c r="F2419" s="2" t="s">
        <v>172</v>
      </c>
      <c r="G2419" s="2" t="s">
        <v>21</v>
      </c>
      <c r="H2419" s="2" t="s">
        <v>22</v>
      </c>
      <c r="I2419" s="2" t="s">
        <v>66</v>
      </c>
      <c r="J2419" s="2" t="s">
        <v>24</v>
      </c>
      <c r="N2419" s="2" t="s">
        <v>173</v>
      </c>
      <c r="O2419" s="2" t="s">
        <v>174</v>
      </c>
      <c r="P2419" s="2" t="s">
        <v>175</v>
      </c>
      <c r="Q2419" s="2" t="s">
        <v>175</v>
      </c>
      <c r="R2419" s="2" t="s">
        <v>640</v>
      </c>
      <c r="S2419" s="2" t="s">
        <v>641</v>
      </c>
    </row>
    <row r="2420" spans="1:19">
      <c r="A2420" s="1">
        <v>45047</v>
      </c>
      <c r="B2420" s="1">
        <v>45047</v>
      </c>
      <c r="C2420">
        <v>2023</v>
      </c>
      <c r="D2420">
        <v>5</v>
      </c>
      <c r="E2420" s="2" t="s">
        <v>177</v>
      </c>
      <c r="F2420" s="2" t="s">
        <v>178</v>
      </c>
      <c r="G2420" s="2" t="s">
        <v>21</v>
      </c>
      <c r="H2420" s="2" t="s">
        <v>22</v>
      </c>
      <c r="I2420" s="2" t="s">
        <v>23</v>
      </c>
      <c r="J2420" s="2" t="s">
        <v>24</v>
      </c>
      <c r="K2420">
        <v>5015.49</v>
      </c>
      <c r="L2420">
        <v>527557.73</v>
      </c>
      <c r="M2420">
        <v>10518.57</v>
      </c>
      <c r="N2420" s="2" t="s">
        <v>179</v>
      </c>
      <c r="O2420" s="2" t="s">
        <v>180</v>
      </c>
      <c r="P2420" s="2" t="s">
        <v>4415</v>
      </c>
      <c r="Q2420" s="2" t="s">
        <v>4416</v>
      </c>
      <c r="R2420" s="2" t="s">
        <v>29</v>
      </c>
      <c r="S2420" s="2" t="s">
        <v>30</v>
      </c>
    </row>
    <row r="2421" spans="1:19">
      <c r="A2421" s="1">
        <v>45047</v>
      </c>
      <c r="B2421" s="1">
        <v>45047</v>
      </c>
      <c r="C2421">
        <v>2023</v>
      </c>
      <c r="D2421">
        <v>5</v>
      </c>
      <c r="E2421" s="2" t="s">
        <v>183</v>
      </c>
      <c r="F2421" s="2" t="s">
        <v>184</v>
      </c>
      <c r="G2421" s="2" t="s">
        <v>185</v>
      </c>
      <c r="H2421" s="2" t="s">
        <v>22</v>
      </c>
      <c r="I2421" s="2" t="s">
        <v>186</v>
      </c>
      <c r="J2421" s="2" t="s">
        <v>24</v>
      </c>
      <c r="K2421">
        <v>2682.09</v>
      </c>
      <c r="L2421">
        <v>3684304.02</v>
      </c>
      <c r="M2421">
        <v>137366.9</v>
      </c>
      <c r="N2421" s="2" t="s">
        <v>187</v>
      </c>
      <c r="O2421" s="2" t="s">
        <v>188</v>
      </c>
      <c r="P2421" s="2" t="s">
        <v>4417</v>
      </c>
      <c r="Q2421" s="2" t="s">
        <v>4418</v>
      </c>
      <c r="R2421" s="2" t="s">
        <v>29</v>
      </c>
      <c r="S2421" s="2" t="s">
        <v>30</v>
      </c>
    </row>
    <row r="2422" spans="1:19">
      <c r="A2422" s="1">
        <v>45047</v>
      </c>
      <c r="B2422" s="1">
        <v>45047</v>
      </c>
      <c r="C2422">
        <v>2023</v>
      </c>
      <c r="D2422">
        <v>5</v>
      </c>
      <c r="E2422" s="2" t="s">
        <v>191</v>
      </c>
      <c r="F2422" s="2" t="s">
        <v>192</v>
      </c>
      <c r="G2422" s="2" t="s">
        <v>185</v>
      </c>
      <c r="H2422" s="2" t="s">
        <v>22</v>
      </c>
      <c r="I2422" s="2" t="s">
        <v>186</v>
      </c>
      <c r="J2422" s="2" t="s">
        <v>24</v>
      </c>
      <c r="K2422">
        <v>916.9</v>
      </c>
      <c r="L2422">
        <v>4116658.34</v>
      </c>
      <c r="M2422">
        <v>448975.72</v>
      </c>
      <c r="N2422" s="2" t="s">
        <v>193</v>
      </c>
      <c r="O2422" s="2" t="s">
        <v>194</v>
      </c>
      <c r="P2422" s="2" t="s">
        <v>4419</v>
      </c>
      <c r="Q2422" s="2" t="s">
        <v>4420</v>
      </c>
      <c r="R2422" s="2" t="s">
        <v>29</v>
      </c>
      <c r="S2422" s="2" t="s">
        <v>30</v>
      </c>
    </row>
    <row r="2423" spans="1:19">
      <c r="A2423" s="1">
        <v>45047</v>
      </c>
      <c r="B2423" s="1">
        <v>45047</v>
      </c>
      <c r="C2423">
        <v>2023</v>
      </c>
      <c r="D2423">
        <v>5</v>
      </c>
      <c r="E2423" s="2" t="s">
        <v>197</v>
      </c>
      <c r="F2423" s="2" t="s">
        <v>198</v>
      </c>
      <c r="G2423" s="2" t="s">
        <v>185</v>
      </c>
      <c r="H2423" s="2" t="s">
        <v>22</v>
      </c>
      <c r="I2423" s="2" t="s">
        <v>186</v>
      </c>
      <c r="J2423" s="2" t="s">
        <v>59</v>
      </c>
      <c r="K2423">
        <v>3598.99</v>
      </c>
      <c r="L2423">
        <v>7800962.3499999996</v>
      </c>
      <c r="M2423">
        <v>216754.21</v>
      </c>
      <c r="N2423" s="2" t="s">
        <v>199</v>
      </c>
      <c r="O2423" s="2" t="s">
        <v>200</v>
      </c>
      <c r="P2423" s="2" t="s">
        <v>4421</v>
      </c>
      <c r="Q2423" s="2" t="s">
        <v>4422</v>
      </c>
      <c r="R2423" s="2" t="s">
        <v>29</v>
      </c>
      <c r="S2423" s="2" t="s">
        <v>30</v>
      </c>
    </row>
    <row r="2424" spans="1:19">
      <c r="A2424" s="1">
        <v>45047</v>
      </c>
      <c r="B2424" s="1">
        <v>45047</v>
      </c>
      <c r="C2424">
        <v>2023</v>
      </c>
      <c r="D2424">
        <v>5</v>
      </c>
      <c r="E2424" s="2" t="s">
        <v>203</v>
      </c>
      <c r="F2424" s="2" t="s">
        <v>204</v>
      </c>
      <c r="G2424" s="2" t="s">
        <v>39</v>
      </c>
      <c r="H2424" s="2" t="s">
        <v>22</v>
      </c>
      <c r="I2424" s="2" t="s">
        <v>40</v>
      </c>
      <c r="J2424" s="2" t="s">
        <v>24</v>
      </c>
      <c r="K2424">
        <v>979.64</v>
      </c>
      <c r="L2424">
        <v>27468.73</v>
      </c>
      <c r="M2424">
        <v>2803.96</v>
      </c>
      <c r="N2424" s="2" t="s">
        <v>205</v>
      </c>
      <c r="O2424" s="2" t="s">
        <v>206</v>
      </c>
      <c r="P2424" s="2" t="s">
        <v>4423</v>
      </c>
      <c r="Q2424" s="2" t="s">
        <v>4424</v>
      </c>
      <c r="R2424" s="2" t="s">
        <v>29</v>
      </c>
      <c r="S2424" s="2" t="s">
        <v>30</v>
      </c>
    </row>
    <row r="2425" spans="1:19">
      <c r="A2425" s="1">
        <v>45047</v>
      </c>
      <c r="B2425" s="1">
        <v>45047</v>
      </c>
      <c r="C2425">
        <v>2023</v>
      </c>
      <c r="D2425">
        <v>5</v>
      </c>
      <c r="E2425" s="2" t="s">
        <v>209</v>
      </c>
      <c r="F2425" s="2" t="s">
        <v>210</v>
      </c>
      <c r="G2425" s="2" t="s">
        <v>39</v>
      </c>
      <c r="H2425" s="2" t="s">
        <v>22</v>
      </c>
      <c r="I2425" s="2" t="s">
        <v>40</v>
      </c>
      <c r="J2425" s="2" t="s">
        <v>59</v>
      </c>
      <c r="K2425">
        <v>979.64</v>
      </c>
      <c r="L2425">
        <v>27468.73</v>
      </c>
      <c r="M2425">
        <v>2803.96</v>
      </c>
      <c r="N2425" s="2" t="s">
        <v>211</v>
      </c>
      <c r="O2425" s="2" t="s">
        <v>212</v>
      </c>
      <c r="P2425" s="2" t="s">
        <v>4423</v>
      </c>
      <c r="Q2425" s="2" t="s">
        <v>4424</v>
      </c>
      <c r="R2425" s="2" t="s">
        <v>29</v>
      </c>
      <c r="S2425" s="2" t="s">
        <v>30</v>
      </c>
    </row>
    <row r="2426" spans="1:19">
      <c r="A2426" s="1">
        <v>45047</v>
      </c>
      <c r="B2426" s="1">
        <v>45047</v>
      </c>
      <c r="C2426">
        <v>2023</v>
      </c>
      <c r="D2426">
        <v>5</v>
      </c>
      <c r="E2426" s="2" t="s">
        <v>213</v>
      </c>
      <c r="F2426" s="2" t="s">
        <v>214</v>
      </c>
      <c r="G2426" s="2" t="s">
        <v>185</v>
      </c>
      <c r="H2426" s="2" t="s">
        <v>22</v>
      </c>
      <c r="I2426" s="2" t="s">
        <v>215</v>
      </c>
      <c r="J2426" s="2" t="s">
        <v>24</v>
      </c>
      <c r="K2426">
        <v>80972.97</v>
      </c>
      <c r="L2426">
        <v>1844165.15</v>
      </c>
      <c r="M2426">
        <v>2277.5100000000002</v>
      </c>
      <c r="N2426" s="2" t="s">
        <v>216</v>
      </c>
      <c r="O2426" s="2" t="s">
        <v>217</v>
      </c>
      <c r="P2426" s="2" t="s">
        <v>4425</v>
      </c>
      <c r="Q2426" s="2" t="s">
        <v>4426</v>
      </c>
      <c r="R2426" s="2" t="s">
        <v>29</v>
      </c>
      <c r="S2426" s="2" t="s">
        <v>30</v>
      </c>
    </row>
    <row r="2427" spans="1:19">
      <c r="A2427" s="1">
        <v>45047</v>
      </c>
      <c r="B2427" s="1">
        <v>45047</v>
      </c>
      <c r="C2427">
        <v>2023</v>
      </c>
      <c r="D2427">
        <v>5</v>
      </c>
      <c r="E2427" s="2" t="s">
        <v>220</v>
      </c>
      <c r="F2427" s="2" t="s">
        <v>221</v>
      </c>
      <c r="G2427" s="2" t="s">
        <v>185</v>
      </c>
      <c r="H2427" s="2" t="s">
        <v>22</v>
      </c>
      <c r="I2427" s="2" t="s">
        <v>215</v>
      </c>
      <c r="J2427" s="2" t="s">
        <v>24</v>
      </c>
      <c r="K2427">
        <v>6127.73</v>
      </c>
      <c r="L2427">
        <v>424313.72</v>
      </c>
      <c r="M2427">
        <v>6924.48</v>
      </c>
      <c r="N2427" s="2" t="s">
        <v>222</v>
      </c>
      <c r="O2427" s="2" t="s">
        <v>223</v>
      </c>
      <c r="P2427" s="2" t="s">
        <v>4427</v>
      </c>
      <c r="Q2427" s="2" t="s">
        <v>4428</v>
      </c>
      <c r="R2427" s="2" t="s">
        <v>29</v>
      </c>
      <c r="S2427" s="2" t="s">
        <v>30</v>
      </c>
    </row>
    <row r="2428" spans="1:19">
      <c r="A2428" s="1">
        <v>45047</v>
      </c>
      <c r="B2428" s="1">
        <v>45047</v>
      </c>
      <c r="C2428">
        <v>2023</v>
      </c>
      <c r="D2428">
        <v>5</v>
      </c>
      <c r="E2428" s="2" t="s">
        <v>226</v>
      </c>
      <c r="F2428" s="2" t="s">
        <v>227</v>
      </c>
      <c r="G2428" s="2" t="s">
        <v>185</v>
      </c>
      <c r="H2428" s="2" t="s">
        <v>22</v>
      </c>
      <c r="I2428" s="2" t="s">
        <v>215</v>
      </c>
      <c r="J2428" s="2" t="s">
        <v>59</v>
      </c>
      <c r="K2428">
        <v>87100.7</v>
      </c>
      <c r="L2428">
        <v>2268478.87</v>
      </c>
      <c r="M2428">
        <v>2604.4299999999998</v>
      </c>
      <c r="N2428" s="2" t="s">
        <v>228</v>
      </c>
      <c r="O2428" s="2" t="s">
        <v>229</v>
      </c>
      <c r="P2428" s="2" t="s">
        <v>4429</v>
      </c>
      <c r="Q2428" s="2" t="s">
        <v>4430</v>
      </c>
      <c r="R2428" s="2" t="s">
        <v>29</v>
      </c>
      <c r="S2428" s="2" t="s">
        <v>30</v>
      </c>
    </row>
    <row r="2429" spans="1:19">
      <c r="A2429" s="1">
        <v>45047</v>
      </c>
      <c r="B2429" s="1">
        <v>45047</v>
      </c>
      <c r="C2429">
        <v>2023</v>
      </c>
      <c r="D2429">
        <v>5</v>
      </c>
      <c r="E2429" s="2" t="s">
        <v>232</v>
      </c>
      <c r="F2429" s="2" t="s">
        <v>233</v>
      </c>
      <c r="G2429" s="2" t="s">
        <v>21</v>
      </c>
      <c r="H2429" s="2" t="s">
        <v>22</v>
      </c>
      <c r="I2429" s="2" t="s">
        <v>23</v>
      </c>
      <c r="J2429" s="2" t="s">
        <v>24</v>
      </c>
      <c r="K2429">
        <v>1227.6600000000001</v>
      </c>
      <c r="L2429">
        <v>122238.81</v>
      </c>
      <c r="M2429">
        <v>9957.06</v>
      </c>
      <c r="N2429" s="2" t="s">
        <v>234</v>
      </c>
      <c r="O2429" s="2" t="s">
        <v>235</v>
      </c>
      <c r="P2429" s="2" t="s">
        <v>4431</v>
      </c>
      <c r="Q2429" s="2" t="s">
        <v>4432</v>
      </c>
      <c r="R2429" s="2" t="s">
        <v>29</v>
      </c>
      <c r="S2429" s="2" t="s">
        <v>30</v>
      </c>
    </row>
    <row r="2430" spans="1:19">
      <c r="A2430" s="1">
        <v>45047</v>
      </c>
      <c r="B2430" s="1">
        <v>45047</v>
      </c>
      <c r="C2430">
        <v>2023</v>
      </c>
      <c r="D2430">
        <v>5</v>
      </c>
      <c r="E2430" s="2" t="s">
        <v>238</v>
      </c>
      <c r="F2430" s="2" t="s">
        <v>239</v>
      </c>
      <c r="G2430" s="2" t="s">
        <v>21</v>
      </c>
      <c r="H2430" s="2" t="s">
        <v>22</v>
      </c>
      <c r="I2430" s="2" t="s">
        <v>66</v>
      </c>
      <c r="J2430" s="2" t="s">
        <v>24</v>
      </c>
      <c r="K2430">
        <v>1288.8800000000001</v>
      </c>
      <c r="L2430">
        <v>124863.57</v>
      </c>
      <c r="M2430">
        <v>9687.76</v>
      </c>
      <c r="N2430" s="2" t="s">
        <v>240</v>
      </c>
      <c r="O2430" s="2" t="s">
        <v>241</v>
      </c>
      <c r="P2430" s="2" t="s">
        <v>4355</v>
      </c>
      <c r="Q2430" s="2" t="s">
        <v>4433</v>
      </c>
      <c r="R2430" s="2" t="s">
        <v>29</v>
      </c>
      <c r="S2430" s="2" t="s">
        <v>30</v>
      </c>
    </row>
    <row r="2431" spans="1:19">
      <c r="A2431" s="1">
        <v>45047</v>
      </c>
      <c r="B2431" s="1">
        <v>45047</v>
      </c>
      <c r="C2431">
        <v>2023</v>
      </c>
      <c r="D2431">
        <v>5</v>
      </c>
      <c r="E2431" s="2" t="s">
        <v>244</v>
      </c>
      <c r="F2431" s="2" t="s">
        <v>245</v>
      </c>
      <c r="G2431" s="2" t="s">
        <v>21</v>
      </c>
      <c r="H2431" s="2" t="s">
        <v>22</v>
      </c>
      <c r="I2431" s="2" t="s">
        <v>23</v>
      </c>
      <c r="J2431" s="2" t="s">
        <v>24</v>
      </c>
      <c r="K2431">
        <v>4896.66</v>
      </c>
      <c r="L2431">
        <v>3026330.56</v>
      </c>
      <c r="M2431">
        <v>61803.98</v>
      </c>
      <c r="N2431" s="2" t="s">
        <v>246</v>
      </c>
      <c r="O2431" s="2" t="s">
        <v>247</v>
      </c>
      <c r="P2431" s="2" t="s">
        <v>4434</v>
      </c>
      <c r="Q2431" s="2" t="s">
        <v>4435</v>
      </c>
      <c r="R2431" s="2" t="s">
        <v>29</v>
      </c>
      <c r="S2431" s="2" t="s">
        <v>30</v>
      </c>
    </row>
    <row r="2432" spans="1:19">
      <c r="A2432" s="1">
        <v>45047</v>
      </c>
      <c r="B2432" s="1">
        <v>45047</v>
      </c>
      <c r="C2432">
        <v>2023</v>
      </c>
      <c r="D2432">
        <v>5</v>
      </c>
      <c r="E2432" s="2" t="s">
        <v>250</v>
      </c>
      <c r="F2432" s="2" t="s">
        <v>251</v>
      </c>
      <c r="G2432" s="2" t="s">
        <v>21</v>
      </c>
      <c r="H2432" s="2" t="s">
        <v>22</v>
      </c>
      <c r="I2432" s="2" t="s">
        <v>66</v>
      </c>
      <c r="J2432" s="2" t="s">
        <v>24</v>
      </c>
      <c r="K2432">
        <v>153.1</v>
      </c>
      <c r="L2432">
        <v>255.6</v>
      </c>
      <c r="M2432">
        <v>166.95</v>
      </c>
      <c r="N2432" s="2" t="s">
        <v>252</v>
      </c>
      <c r="O2432" s="2" t="s">
        <v>253</v>
      </c>
      <c r="P2432" s="2" t="s">
        <v>4436</v>
      </c>
      <c r="Q2432" s="2" t="s">
        <v>4437</v>
      </c>
      <c r="R2432" s="2" t="s">
        <v>29</v>
      </c>
      <c r="S2432" s="2" t="s">
        <v>30</v>
      </c>
    </row>
    <row r="2433" spans="1:19">
      <c r="A2433" s="1">
        <v>45047</v>
      </c>
      <c r="B2433" s="1">
        <v>45047</v>
      </c>
      <c r="C2433">
        <v>2023</v>
      </c>
      <c r="D2433">
        <v>5</v>
      </c>
      <c r="E2433" s="2" t="s">
        <v>256</v>
      </c>
      <c r="F2433" s="2" t="s">
        <v>257</v>
      </c>
      <c r="G2433" s="2" t="s">
        <v>21</v>
      </c>
      <c r="H2433" s="2" t="s">
        <v>22</v>
      </c>
      <c r="I2433" s="2" t="s">
        <v>258</v>
      </c>
      <c r="J2433" s="2" t="s">
        <v>24</v>
      </c>
      <c r="K2433">
        <v>572.39</v>
      </c>
      <c r="L2433">
        <v>627771.97</v>
      </c>
      <c r="M2433">
        <v>109675.57</v>
      </c>
      <c r="N2433" s="2" t="s">
        <v>259</v>
      </c>
      <c r="O2433" s="2" t="s">
        <v>260</v>
      </c>
      <c r="P2433" s="2" t="s">
        <v>4438</v>
      </c>
      <c r="Q2433" s="2" t="s">
        <v>4439</v>
      </c>
      <c r="R2433" s="2" t="s">
        <v>29</v>
      </c>
      <c r="S2433" s="2" t="s">
        <v>30</v>
      </c>
    </row>
    <row r="2434" spans="1:19">
      <c r="A2434" s="1">
        <v>45047</v>
      </c>
      <c r="B2434" s="1">
        <v>45047</v>
      </c>
      <c r="C2434">
        <v>2023</v>
      </c>
      <c r="D2434">
        <v>5</v>
      </c>
      <c r="E2434" s="2" t="s">
        <v>263</v>
      </c>
      <c r="F2434" s="2" t="s">
        <v>264</v>
      </c>
      <c r="G2434" s="2" t="s">
        <v>21</v>
      </c>
      <c r="H2434" s="2" t="s">
        <v>22</v>
      </c>
      <c r="I2434" s="2" t="s">
        <v>258</v>
      </c>
      <c r="J2434" s="2" t="s">
        <v>24</v>
      </c>
      <c r="K2434">
        <v>0</v>
      </c>
      <c r="L2434">
        <v>0</v>
      </c>
      <c r="N2434" s="2" t="s">
        <v>265</v>
      </c>
      <c r="O2434" s="2" t="s">
        <v>266</v>
      </c>
      <c r="P2434" s="2" t="s">
        <v>639</v>
      </c>
      <c r="Q2434" s="2" t="s">
        <v>639</v>
      </c>
      <c r="R2434" s="2" t="s">
        <v>29</v>
      </c>
      <c r="S2434" s="2" t="s">
        <v>30</v>
      </c>
    </row>
    <row r="2435" spans="1:19">
      <c r="A2435" s="1">
        <v>45047</v>
      </c>
      <c r="B2435" s="1">
        <v>45047</v>
      </c>
      <c r="C2435">
        <v>2023</v>
      </c>
      <c r="D2435">
        <v>5</v>
      </c>
      <c r="E2435" s="2" t="s">
        <v>269</v>
      </c>
      <c r="F2435" s="2" t="s">
        <v>270</v>
      </c>
      <c r="G2435" s="2" t="s">
        <v>21</v>
      </c>
      <c r="H2435" s="2" t="s">
        <v>22</v>
      </c>
      <c r="I2435" s="2" t="s">
        <v>258</v>
      </c>
      <c r="J2435" s="2" t="s">
        <v>59</v>
      </c>
      <c r="K2435">
        <v>572.39</v>
      </c>
      <c r="L2435">
        <v>627771.97</v>
      </c>
      <c r="M2435">
        <v>109675.57</v>
      </c>
      <c r="N2435" s="2" t="s">
        <v>271</v>
      </c>
      <c r="O2435" s="2" t="s">
        <v>272</v>
      </c>
      <c r="P2435" s="2" t="s">
        <v>4438</v>
      </c>
      <c r="Q2435" s="2" t="s">
        <v>4439</v>
      </c>
      <c r="R2435" s="2" t="s">
        <v>29</v>
      </c>
      <c r="S2435" s="2" t="s">
        <v>30</v>
      </c>
    </row>
    <row r="2436" spans="1:19">
      <c r="A2436" s="1">
        <v>45047</v>
      </c>
      <c r="B2436" s="1">
        <v>45047</v>
      </c>
      <c r="C2436">
        <v>2023</v>
      </c>
      <c r="D2436">
        <v>5</v>
      </c>
      <c r="E2436" s="2" t="s">
        <v>275</v>
      </c>
      <c r="F2436" s="2" t="s">
        <v>276</v>
      </c>
      <c r="G2436" s="2" t="s">
        <v>39</v>
      </c>
      <c r="H2436" s="2" t="s">
        <v>22</v>
      </c>
      <c r="I2436" s="2" t="s">
        <v>40</v>
      </c>
      <c r="J2436" s="2" t="s">
        <v>24</v>
      </c>
      <c r="K2436">
        <v>2.31</v>
      </c>
      <c r="L2436">
        <v>22.73</v>
      </c>
      <c r="M2436">
        <v>983.98</v>
      </c>
      <c r="N2436" s="2" t="s">
        <v>277</v>
      </c>
      <c r="O2436" s="2" t="s">
        <v>278</v>
      </c>
      <c r="P2436" s="2" t="s">
        <v>4257</v>
      </c>
      <c r="Q2436" s="2" t="s">
        <v>4012</v>
      </c>
      <c r="R2436" s="2" t="s">
        <v>29</v>
      </c>
      <c r="S2436" s="2" t="s">
        <v>30</v>
      </c>
    </row>
    <row r="2437" spans="1:19">
      <c r="A2437" s="1">
        <v>45047</v>
      </c>
      <c r="B2437" s="1">
        <v>45047</v>
      </c>
      <c r="C2437">
        <v>2023</v>
      </c>
      <c r="D2437">
        <v>5</v>
      </c>
      <c r="E2437" s="2" t="s">
        <v>281</v>
      </c>
      <c r="F2437" s="2" t="s">
        <v>282</v>
      </c>
      <c r="G2437" s="2" t="s">
        <v>39</v>
      </c>
      <c r="H2437" s="2" t="s">
        <v>22</v>
      </c>
      <c r="I2437" s="2" t="s">
        <v>40</v>
      </c>
      <c r="J2437" s="2" t="s">
        <v>24</v>
      </c>
      <c r="K2437">
        <v>0.02</v>
      </c>
      <c r="L2437">
        <v>0.05</v>
      </c>
      <c r="M2437">
        <v>250</v>
      </c>
      <c r="N2437" s="2" t="s">
        <v>283</v>
      </c>
      <c r="O2437" s="2" t="s">
        <v>284</v>
      </c>
      <c r="P2437" s="2" t="s">
        <v>1039</v>
      </c>
      <c r="Q2437" s="2" t="s">
        <v>516</v>
      </c>
      <c r="R2437" s="2" t="s">
        <v>29</v>
      </c>
      <c r="S2437" s="2" t="s">
        <v>30</v>
      </c>
    </row>
    <row r="2438" spans="1:19">
      <c r="A2438" s="1">
        <v>45047</v>
      </c>
      <c r="B2438" s="1">
        <v>45047</v>
      </c>
      <c r="C2438">
        <v>2023</v>
      </c>
      <c r="D2438">
        <v>5</v>
      </c>
      <c r="E2438" s="2" t="s">
        <v>287</v>
      </c>
      <c r="F2438" s="2" t="s">
        <v>288</v>
      </c>
      <c r="G2438" s="2" t="s">
        <v>39</v>
      </c>
      <c r="H2438" s="2" t="s">
        <v>22</v>
      </c>
      <c r="I2438" s="2" t="s">
        <v>40</v>
      </c>
      <c r="J2438" s="2" t="s">
        <v>59</v>
      </c>
      <c r="K2438">
        <v>2.33</v>
      </c>
      <c r="L2438">
        <v>22.79</v>
      </c>
      <c r="M2438">
        <v>978.11</v>
      </c>
      <c r="N2438" s="2" t="s">
        <v>289</v>
      </c>
      <c r="O2438" s="2" t="s">
        <v>290</v>
      </c>
      <c r="P2438" s="2" t="s">
        <v>3842</v>
      </c>
      <c r="Q2438" s="2" t="s">
        <v>4440</v>
      </c>
      <c r="R2438" s="2" t="s">
        <v>29</v>
      </c>
      <c r="S2438" s="2" t="s">
        <v>30</v>
      </c>
    </row>
    <row r="2439" spans="1:19">
      <c r="A2439" s="1">
        <v>45047</v>
      </c>
      <c r="B2439" s="1">
        <v>45047</v>
      </c>
      <c r="C2439">
        <v>2023</v>
      </c>
      <c r="D2439">
        <v>5</v>
      </c>
      <c r="E2439" s="2" t="s">
        <v>293</v>
      </c>
      <c r="F2439" s="2" t="s">
        <v>294</v>
      </c>
      <c r="G2439" s="2" t="s">
        <v>21</v>
      </c>
      <c r="H2439" s="2" t="s">
        <v>22</v>
      </c>
      <c r="I2439" s="2" t="s">
        <v>295</v>
      </c>
      <c r="J2439" s="2" t="s">
        <v>24</v>
      </c>
      <c r="K2439">
        <v>672.82</v>
      </c>
      <c r="L2439">
        <v>2710.6</v>
      </c>
      <c r="M2439">
        <v>402.87</v>
      </c>
      <c r="N2439" s="2" t="s">
        <v>296</v>
      </c>
      <c r="O2439" s="2" t="s">
        <v>297</v>
      </c>
      <c r="P2439" s="2" t="s">
        <v>4441</v>
      </c>
      <c r="Q2439" s="2" t="s">
        <v>4442</v>
      </c>
      <c r="R2439" s="2" t="s">
        <v>29</v>
      </c>
      <c r="S2439" s="2" t="s">
        <v>30</v>
      </c>
    </row>
    <row r="2440" spans="1:19">
      <c r="A2440" s="1">
        <v>45047</v>
      </c>
      <c r="B2440" s="1">
        <v>45047</v>
      </c>
      <c r="C2440">
        <v>2023</v>
      </c>
      <c r="D2440">
        <v>5</v>
      </c>
      <c r="E2440" s="2" t="s">
        <v>300</v>
      </c>
      <c r="F2440" s="2" t="s">
        <v>301</v>
      </c>
      <c r="G2440" s="2" t="s">
        <v>21</v>
      </c>
      <c r="H2440" s="2" t="s">
        <v>22</v>
      </c>
      <c r="I2440" s="2" t="s">
        <v>295</v>
      </c>
      <c r="J2440" s="2" t="s">
        <v>24</v>
      </c>
      <c r="K2440">
        <v>721.63</v>
      </c>
      <c r="L2440">
        <v>1189.9100000000001</v>
      </c>
      <c r="M2440">
        <v>164.89</v>
      </c>
      <c r="N2440" s="2" t="s">
        <v>302</v>
      </c>
      <c r="O2440" s="2" t="s">
        <v>303</v>
      </c>
      <c r="P2440" s="2" t="s">
        <v>4443</v>
      </c>
      <c r="Q2440" s="2" t="s">
        <v>4444</v>
      </c>
      <c r="R2440" s="2" t="s">
        <v>29</v>
      </c>
      <c r="S2440" s="2" t="s">
        <v>30</v>
      </c>
    </row>
    <row r="2441" spans="1:19">
      <c r="A2441" s="1">
        <v>45047</v>
      </c>
      <c r="B2441" s="1">
        <v>45047</v>
      </c>
      <c r="C2441">
        <v>2023</v>
      </c>
      <c r="D2441">
        <v>5</v>
      </c>
      <c r="E2441" s="2" t="s">
        <v>306</v>
      </c>
      <c r="F2441" s="2" t="s">
        <v>307</v>
      </c>
      <c r="G2441" s="2" t="s">
        <v>21</v>
      </c>
      <c r="H2441" s="2" t="s">
        <v>22</v>
      </c>
      <c r="I2441" s="2" t="s">
        <v>295</v>
      </c>
      <c r="J2441" s="2" t="s">
        <v>101</v>
      </c>
      <c r="K2441">
        <v>1394.45</v>
      </c>
      <c r="L2441">
        <v>3900.51</v>
      </c>
      <c r="M2441">
        <v>279.72000000000003</v>
      </c>
      <c r="N2441" s="2" t="s">
        <v>308</v>
      </c>
      <c r="O2441" s="2" t="s">
        <v>309</v>
      </c>
      <c r="P2441" s="2" t="s">
        <v>4445</v>
      </c>
      <c r="Q2441" s="2" t="s">
        <v>4446</v>
      </c>
      <c r="R2441" s="2" t="s">
        <v>29</v>
      </c>
      <c r="S2441" s="2" t="s">
        <v>30</v>
      </c>
    </row>
    <row r="2442" spans="1:19">
      <c r="A2442" s="1">
        <v>45047</v>
      </c>
      <c r="B2442" s="1">
        <v>45047</v>
      </c>
      <c r="C2442">
        <v>2023</v>
      </c>
      <c r="D2442">
        <v>5</v>
      </c>
      <c r="E2442" s="2" t="s">
        <v>312</v>
      </c>
      <c r="F2442" s="2" t="s">
        <v>313</v>
      </c>
      <c r="G2442" s="2" t="s">
        <v>21</v>
      </c>
      <c r="H2442" s="2" t="s">
        <v>22</v>
      </c>
      <c r="I2442" s="2" t="s">
        <v>295</v>
      </c>
      <c r="J2442" s="2" t="s">
        <v>59</v>
      </c>
      <c r="K2442">
        <v>7064.3</v>
      </c>
      <c r="L2442">
        <v>24239.61</v>
      </c>
      <c r="M2442">
        <v>343.13</v>
      </c>
      <c r="N2442" s="2" t="s">
        <v>314</v>
      </c>
      <c r="O2442" s="2" t="s">
        <v>315</v>
      </c>
      <c r="P2442" s="2" t="s">
        <v>4447</v>
      </c>
      <c r="Q2442" s="2" t="s">
        <v>4448</v>
      </c>
      <c r="R2442" s="2" t="s">
        <v>29</v>
      </c>
      <c r="S2442" s="2" t="s">
        <v>30</v>
      </c>
    </row>
    <row r="2443" spans="1:19">
      <c r="A2443" s="1">
        <v>45047</v>
      </c>
      <c r="B2443" s="1">
        <v>45047</v>
      </c>
      <c r="C2443">
        <v>2023</v>
      </c>
      <c r="D2443">
        <v>5</v>
      </c>
      <c r="E2443" s="2" t="s">
        <v>318</v>
      </c>
      <c r="F2443" s="2" t="s">
        <v>319</v>
      </c>
      <c r="G2443" s="2" t="s">
        <v>21</v>
      </c>
      <c r="H2443" s="2" t="s">
        <v>22</v>
      </c>
      <c r="I2443" s="2" t="s">
        <v>295</v>
      </c>
      <c r="J2443" s="2" t="s">
        <v>24</v>
      </c>
      <c r="K2443">
        <v>5669.85</v>
      </c>
      <c r="L2443">
        <v>20339.099999999999</v>
      </c>
      <c r="M2443">
        <v>358.72</v>
      </c>
      <c r="N2443" s="2" t="s">
        <v>320</v>
      </c>
      <c r="O2443" s="2" t="s">
        <v>321</v>
      </c>
      <c r="P2443" s="2" t="s">
        <v>4449</v>
      </c>
      <c r="Q2443" s="2" t="s">
        <v>4450</v>
      </c>
      <c r="R2443" s="2" t="s">
        <v>29</v>
      </c>
      <c r="S2443" s="2" t="s">
        <v>30</v>
      </c>
    </row>
    <row r="2444" spans="1:19">
      <c r="A2444" s="1">
        <v>45047</v>
      </c>
      <c r="B2444" s="1">
        <v>45047</v>
      </c>
      <c r="C2444">
        <v>2023</v>
      </c>
      <c r="D2444">
        <v>5</v>
      </c>
      <c r="E2444" s="2" t="s">
        <v>324</v>
      </c>
      <c r="F2444" s="2" t="s">
        <v>325</v>
      </c>
      <c r="G2444" s="2" t="s">
        <v>21</v>
      </c>
      <c r="H2444" s="2" t="s">
        <v>22</v>
      </c>
      <c r="I2444" s="2" t="s">
        <v>23</v>
      </c>
      <c r="J2444" s="2" t="s">
        <v>59</v>
      </c>
      <c r="K2444">
        <v>107130.93</v>
      </c>
      <c r="L2444">
        <v>5196720</v>
      </c>
      <c r="M2444">
        <v>4850.8100000000004</v>
      </c>
      <c r="N2444" s="2" t="s">
        <v>326</v>
      </c>
      <c r="O2444" s="2" t="s">
        <v>327</v>
      </c>
      <c r="P2444" s="2" t="s">
        <v>4451</v>
      </c>
      <c r="Q2444" s="2" t="s">
        <v>4452</v>
      </c>
      <c r="R2444" s="2" t="s">
        <v>29</v>
      </c>
      <c r="S2444" s="2" t="s">
        <v>30</v>
      </c>
    </row>
    <row r="2445" spans="1:19">
      <c r="A2445" s="1">
        <v>45047</v>
      </c>
      <c r="B2445" s="1">
        <v>45047</v>
      </c>
      <c r="C2445">
        <v>2023</v>
      </c>
      <c r="D2445">
        <v>5</v>
      </c>
      <c r="E2445" s="2" t="s">
        <v>330</v>
      </c>
      <c r="F2445" s="2" t="s">
        <v>331</v>
      </c>
      <c r="G2445" s="2" t="s">
        <v>21</v>
      </c>
      <c r="H2445" s="2" t="s">
        <v>332</v>
      </c>
      <c r="I2445" s="2" t="s">
        <v>333</v>
      </c>
      <c r="J2445" s="2" t="s">
        <v>24</v>
      </c>
      <c r="K2445">
        <v>219.21</v>
      </c>
      <c r="L2445">
        <v>11413320.960000001</v>
      </c>
      <c r="M2445">
        <v>5206569.4800000004</v>
      </c>
      <c r="N2445" s="2" t="s">
        <v>334</v>
      </c>
      <c r="O2445" s="2" t="s">
        <v>335</v>
      </c>
      <c r="P2445" s="2" t="s">
        <v>4453</v>
      </c>
      <c r="Q2445" s="2" t="s">
        <v>4454</v>
      </c>
      <c r="R2445" s="2" t="s">
        <v>29</v>
      </c>
      <c r="S2445" s="2" t="s">
        <v>30</v>
      </c>
    </row>
    <row r="2446" spans="1:19">
      <c r="A2446" s="1">
        <v>45047</v>
      </c>
      <c r="B2446" s="1">
        <v>45047</v>
      </c>
      <c r="C2446">
        <v>2023</v>
      </c>
      <c r="D2446">
        <v>5</v>
      </c>
      <c r="E2446" s="2" t="s">
        <v>338</v>
      </c>
      <c r="F2446" s="2" t="s">
        <v>339</v>
      </c>
      <c r="G2446" s="2" t="s">
        <v>21</v>
      </c>
      <c r="H2446" s="2" t="s">
        <v>332</v>
      </c>
      <c r="I2446" s="2" t="s">
        <v>333</v>
      </c>
      <c r="J2446" s="2" t="s">
        <v>24</v>
      </c>
      <c r="K2446">
        <v>1.25</v>
      </c>
      <c r="L2446">
        <v>1469266.16</v>
      </c>
      <c r="M2446">
        <v>117541292.8</v>
      </c>
      <c r="N2446" s="2" t="s">
        <v>340</v>
      </c>
      <c r="O2446" s="2" t="s">
        <v>341</v>
      </c>
      <c r="P2446" s="2" t="s">
        <v>4212</v>
      </c>
      <c r="Q2446" s="2" t="s">
        <v>4455</v>
      </c>
      <c r="R2446" s="2" t="s">
        <v>29</v>
      </c>
      <c r="S2446" s="2" t="s">
        <v>30</v>
      </c>
    </row>
    <row r="2447" spans="1:19">
      <c r="A2447" s="1">
        <v>45047</v>
      </c>
      <c r="B2447" s="1">
        <v>45047</v>
      </c>
      <c r="C2447">
        <v>2023</v>
      </c>
      <c r="D2447">
        <v>5</v>
      </c>
      <c r="E2447" s="2" t="s">
        <v>344</v>
      </c>
      <c r="F2447" s="2" t="s">
        <v>345</v>
      </c>
      <c r="G2447" s="2" t="s">
        <v>21</v>
      </c>
      <c r="H2447" s="2" t="s">
        <v>332</v>
      </c>
      <c r="I2447" s="2" t="s">
        <v>333</v>
      </c>
      <c r="J2447" s="2" t="s">
        <v>59</v>
      </c>
      <c r="K2447">
        <v>220.46</v>
      </c>
      <c r="L2447">
        <v>12882587.119999999</v>
      </c>
      <c r="M2447">
        <v>5843503.1799999997</v>
      </c>
      <c r="N2447" s="2" t="s">
        <v>346</v>
      </c>
      <c r="O2447" s="2" t="s">
        <v>347</v>
      </c>
      <c r="P2447" s="2" t="s">
        <v>4456</v>
      </c>
      <c r="Q2447" s="2" t="s">
        <v>4457</v>
      </c>
      <c r="R2447" s="2" t="s">
        <v>29</v>
      </c>
      <c r="S2447" s="2" t="s">
        <v>30</v>
      </c>
    </row>
    <row r="2448" spans="1:19">
      <c r="A2448" s="1">
        <v>45047</v>
      </c>
      <c r="B2448" s="1">
        <v>45047</v>
      </c>
      <c r="C2448">
        <v>2023</v>
      </c>
      <c r="D2448">
        <v>5</v>
      </c>
      <c r="E2448" s="2" t="s">
        <v>350</v>
      </c>
      <c r="F2448" s="2" t="s">
        <v>351</v>
      </c>
      <c r="G2448" s="2" t="s">
        <v>21</v>
      </c>
      <c r="H2448" s="2" t="s">
        <v>22</v>
      </c>
      <c r="I2448" s="2" t="s">
        <v>352</v>
      </c>
      <c r="J2448" s="2" t="s">
        <v>353</v>
      </c>
      <c r="K2448">
        <v>120847.63</v>
      </c>
      <c r="L2448">
        <v>18422636.73</v>
      </c>
      <c r="M2448">
        <v>15244.52</v>
      </c>
      <c r="N2448" s="2" t="s">
        <v>354</v>
      </c>
      <c r="O2448" s="2" t="s">
        <v>355</v>
      </c>
      <c r="P2448" s="2" t="s">
        <v>4458</v>
      </c>
      <c r="Q2448" s="2" t="s">
        <v>4459</v>
      </c>
      <c r="R2448" s="2" t="s">
        <v>29</v>
      </c>
      <c r="S2448" s="2" t="s">
        <v>30</v>
      </c>
    </row>
    <row r="2449" spans="1:19">
      <c r="A2449" s="1">
        <v>45047</v>
      </c>
      <c r="B2449" s="1">
        <v>45047</v>
      </c>
      <c r="C2449">
        <v>2023</v>
      </c>
      <c r="D2449">
        <v>5</v>
      </c>
      <c r="E2449" s="2" t="s">
        <v>358</v>
      </c>
      <c r="F2449" s="2" t="s">
        <v>359</v>
      </c>
      <c r="G2449" s="2" t="s">
        <v>21</v>
      </c>
      <c r="H2449" s="2" t="s">
        <v>22</v>
      </c>
      <c r="I2449" s="2" t="s">
        <v>352</v>
      </c>
      <c r="J2449" s="2" t="s">
        <v>353</v>
      </c>
      <c r="K2449">
        <v>121420.02</v>
      </c>
      <c r="L2449">
        <v>19050408.699999999</v>
      </c>
      <c r="M2449">
        <v>15689.68</v>
      </c>
      <c r="N2449" s="2" t="s">
        <v>360</v>
      </c>
      <c r="O2449" s="2" t="s">
        <v>361</v>
      </c>
      <c r="P2449" s="2" t="s">
        <v>4460</v>
      </c>
      <c r="Q2449" s="2" t="s">
        <v>4461</v>
      </c>
      <c r="R2449" s="2" t="s">
        <v>29</v>
      </c>
      <c r="S2449" s="2" t="s">
        <v>30</v>
      </c>
    </row>
    <row r="2450" spans="1:19">
      <c r="A2450" s="1">
        <v>45047</v>
      </c>
      <c r="B2450" s="1">
        <v>45047</v>
      </c>
      <c r="C2450">
        <v>2023</v>
      </c>
      <c r="D2450">
        <v>5</v>
      </c>
      <c r="E2450" s="2" t="s">
        <v>364</v>
      </c>
      <c r="F2450" s="2" t="s">
        <v>365</v>
      </c>
      <c r="G2450" s="2" t="s">
        <v>21</v>
      </c>
      <c r="H2450" s="2" t="s">
        <v>22</v>
      </c>
      <c r="I2450" s="2" t="s">
        <v>352</v>
      </c>
      <c r="J2450" s="2" t="s">
        <v>353</v>
      </c>
      <c r="K2450">
        <v>121199.56</v>
      </c>
      <c r="L2450">
        <v>6167821.5700000003</v>
      </c>
      <c r="M2450">
        <v>5088.9799999999996</v>
      </c>
      <c r="N2450" s="2" t="s">
        <v>366</v>
      </c>
      <c r="O2450" s="2" t="s">
        <v>367</v>
      </c>
      <c r="P2450" s="2" t="s">
        <v>4462</v>
      </c>
      <c r="Q2450" s="2" t="s">
        <v>4463</v>
      </c>
      <c r="R2450" s="2" t="s">
        <v>29</v>
      </c>
      <c r="S2450" s="2" t="s">
        <v>30</v>
      </c>
    </row>
    <row r="2451" spans="1:19">
      <c r="A2451" s="1">
        <v>45047</v>
      </c>
      <c r="B2451" s="1">
        <v>45047</v>
      </c>
      <c r="C2451">
        <v>2023</v>
      </c>
      <c r="D2451">
        <v>5</v>
      </c>
      <c r="E2451" s="2" t="s">
        <v>370</v>
      </c>
      <c r="F2451" s="2" t="s">
        <v>371</v>
      </c>
      <c r="G2451" s="2" t="s">
        <v>21</v>
      </c>
      <c r="H2451" s="2" t="s">
        <v>22</v>
      </c>
      <c r="I2451" s="2" t="s">
        <v>23</v>
      </c>
      <c r="J2451" s="2" t="s">
        <v>24</v>
      </c>
      <c r="K2451">
        <v>94151.85</v>
      </c>
      <c r="L2451">
        <v>1489145.44</v>
      </c>
      <c r="M2451">
        <v>1581.64</v>
      </c>
      <c r="N2451" s="2" t="s">
        <v>372</v>
      </c>
      <c r="O2451" s="2" t="s">
        <v>373</v>
      </c>
      <c r="P2451" s="2" t="s">
        <v>4464</v>
      </c>
      <c r="Q2451" s="2" t="s">
        <v>4465</v>
      </c>
      <c r="R2451" s="2" t="s">
        <v>29</v>
      </c>
      <c r="S2451" s="2" t="s">
        <v>30</v>
      </c>
    </row>
    <row r="2452" spans="1:19">
      <c r="A2452" s="1">
        <v>45047</v>
      </c>
      <c r="B2452" s="1">
        <v>45047</v>
      </c>
      <c r="C2452">
        <v>2023</v>
      </c>
      <c r="D2452">
        <v>5</v>
      </c>
      <c r="E2452" s="2" t="s">
        <v>376</v>
      </c>
      <c r="F2452" s="2" t="s">
        <v>377</v>
      </c>
      <c r="G2452" s="2" t="s">
        <v>21</v>
      </c>
      <c r="H2452" s="2" t="s">
        <v>22</v>
      </c>
      <c r="I2452" s="2" t="s">
        <v>23</v>
      </c>
      <c r="J2452" s="2" t="s">
        <v>378</v>
      </c>
      <c r="K2452">
        <v>1.75</v>
      </c>
      <c r="L2452">
        <v>20.71</v>
      </c>
      <c r="M2452">
        <v>1183.43</v>
      </c>
      <c r="N2452" s="2" t="s">
        <v>379</v>
      </c>
      <c r="O2452" s="2" t="s">
        <v>380</v>
      </c>
      <c r="P2452" s="2" t="s">
        <v>399</v>
      </c>
      <c r="Q2452" s="2" t="s">
        <v>3610</v>
      </c>
      <c r="R2452" s="2" t="s">
        <v>29</v>
      </c>
      <c r="S2452" s="2" t="s">
        <v>30</v>
      </c>
    </row>
    <row r="2453" spans="1:19">
      <c r="A2453" s="1">
        <v>45078</v>
      </c>
      <c r="B2453" s="1">
        <v>45078</v>
      </c>
      <c r="C2453">
        <v>2023</v>
      </c>
      <c r="D2453">
        <v>6</v>
      </c>
      <c r="E2453" s="2" t="s">
        <v>19</v>
      </c>
      <c r="F2453" s="2" t="s">
        <v>20</v>
      </c>
      <c r="G2453" s="2" t="s">
        <v>21</v>
      </c>
      <c r="H2453" s="2" t="s">
        <v>22</v>
      </c>
      <c r="I2453" s="2" t="s">
        <v>23</v>
      </c>
      <c r="J2453" s="2" t="s">
        <v>24</v>
      </c>
      <c r="K2453">
        <v>0.3</v>
      </c>
      <c r="L2453">
        <v>20.399999999999999</v>
      </c>
      <c r="M2453">
        <v>6800</v>
      </c>
      <c r="N2453" s="2" t="s">
        <v>25</v>
      </c>
      <c r="O2453" s="2" t="s">
        <v>26</v>
      </c>
      <c r="P2453" s="2" t="s">
        <v>2807</v>
      </c>
      <c r="Q2453" s="2" t="s">
        <v>4466</v>
      </c>
      <c r="R2453" s="2" t="s">
        <v>29</v>
      </c>
      <c r="S2453" s="2" t="s">
        <v>30</v>
      </c>
    </row>
    <row r="2454" spans="1:19">
      <c r="A2454" s="1">
        <v>45078</v>
      </c>
      <c r="B2454" s="1">
        <v>45078</v>
      </c>
      <c r="C2454">
        <v>2023</v>
      </c>
      <c r="D2454">
        <v>6</v>
      </c>
      <c r="E2454" s="2" t="s">
        <v>31</v>
      </c>
      <c r="F2454" s="2" t="s">
        <v>32</v>
      </c>
      <c r="G2454" s="2" t="s">
        <v>21</v>
      </c>
      <c r="H2454" s="2" t="s">
        <v>22</v>
      </c>
      <c r="I2454" s="2" t="s">
        <v>23</v>
      </c>
      <c r="J2454" s="2" t="s">
        <v>24</v>
      </c>
      <c r="K2454">
        <v>1875.41</v>
      </c>
      <c r="L2454">
        <v>25772.04</v>
      </c>
      <c r="M2454">
        <v>1374.21</v>
      </c>
      <c r="N2454" s="2" t="s">
        <v>33</v>
      </c>
      <c r="O2454" s="2" t="s">
        <v>34</v>
      </c>
      <c r="P2454" s="2" t="s">
        <v>4467</v>
      </c>
      <c r="Q2454" s="2" t="s">
        <v>4468</v>
      </c>
      <c r="R2454" s="2" t="s">
        <v>29</v>
      </c>
      <c r="S2454" s="2" t="s">
        <v>30</v>
      </c>
    </row>
    <row r="2455" spans="1:19">
      <c r="A2455" s="1">
        <v>45078</v>
      </c>
      <c r="B2455" s="1">
        <v>45078</v>
      </c>
      <c r="C2455">
        <v>2023</v>
      </c>
      <c r="D2455">
        <v>6</v>
      </c>
      <c r="E2455" s="2" t="s">
        <v>37</v>
      </c>
      <c r="F2455" s="2" t="s">
        <v>38</v>
      </c>
      <c r="G2455" s="2" t="s">
        <v>39</v>
      </c>
      <c r="H2455" s="2" t="s">
        <v>22</v>
      </c>
      <c r="I2455" s="2" t="s">
        <v>40</v>
      </c>
      <c r="J2455" s="2" t="s">
        <v>24</v>
      </c>
      <c r="K2455">
        <v>7.43</v>
      </c>
      <c r="L2455">
        <v>352.09</v>
      </c>
      <c r="M2455">
        <v>4738.76</v>
      </c>
      <c r="N2455" s="2" t="s">
        <v>41</v>
      </c>
      <c r="O2455" s="2" t="s">
        <v>42</v>
      </c>
      <c r="P2455" s="2" t="s">
        <v>4469</v>
      </c>
      <c r="Q2455" s="2" t="s">
        <v>4470</v>
      </c>
      <c r="R2455" s="2" t="s">
        <v>29</v>
      </c>
      <c r="S2455" s="2" t="s">
        <v>30</v>
      </c>
    </row>
    <row r="2456" spans="1:19">
      <c r="A2456" s="1">
        <v>45078</v>
      </c>
      <c r="B2456" s="1">
        <v>45078</v>
      </c>
      <c r="C2456">
        <v>2023</v>
      </c>
      <c r="D2456">
        <v>6</v>
      </c>
      <c r="E2456" s="2" t="s">
        <v>45</v>
      </c>
      <c r="F2456" s="2" t="s">
        <v>46</v>
      </c>
      <c r="G2456" s="2" t="s">
        <v>39</v>
      </c>
      <c r="H2456" s="2" t="s">
        <v>22</v>
      </c>
      <c r="I2456" s="2" t="s">
        <v>40</v>
      </c>
      <c r="J2456" s="2" t="s">
        <v>24</v>
      </c>
      <c r="K2456">
        <v>5540.43</v>
      </c>
      <c r="L2456">
        <v>272642.96000000002</v>
      </c>
      <c r="M2456">
        <v>4920.97</v>
      </c>
      <c r="N2456" s="2" t="s">
        <v>47</v>
      </c>
      <c r="O2456" s="2" t="s">
        <v>48</v>
      </c>
      <c r="P2456" s="2" t="s">
        <v>4471</v>
      </c>
      <c r="Q2456" s="2" t="s">
        <v>4472</v>
      </c>
      <c r="R2456" s="2" t="s">
        <v>29</v>
      </c>
      <c r="S2456" s="2" t="s">
        <v>30</v>
      </c>
    </row>
    <row r="2457" spans="1:19">
      <c r="A2457" s="1">
        <v>45078</v>
      </c>
      <c r="B2457" s="1">
        <v>45078</v>
      </c>
      <c r="C2457">
        <v>2023</v>
      </c>
      <c r="D2457">
        <v>6</v>
      </c>
      <c r="E2457" s="2" t="s">
        <v>51</v>
      </c>
      <c r="F2457" s="2" t="s">
        <v>52</v>
      </c>
      <c r="G2457" s="2" t="s">
        <v>39</v>
      </c>
      <c r="H2457" s="2" t="s">
        <v>22</v>
      </c>
      <c r="I2457" s="2" t="s">
        <v>40</v>
      </c>
      <c r="J2457" s="2" t="s">
        <v>24</v>
      </c>
      <c r="K2457">
        <v>29.58</v>
      </c>
      <c r="L2457">
        <v>1074.48</v>
      </c>
      <c r="M2457">
        <v>3632.45</v>
      </c>
      <c r="N2457" s="2" t="s">
        <v>53</v>
      </c>
      <c r="O2457" s="2" t="s">
        <v>54</v>
      </c>
      <c r="P2457" s="2" t="s">
        <v>4473</v>
      </c>
      <c r="Q2457" s="2" t="s">
        <v>4474</v>
      </c>
      <c r="R2457" s="2" t="s">
        <v>29</v>
      </c>
      <c r="S2457" s="2" t="s">
        <v>30</v>
      </c>
    </row>
    <row r="2458" spans="1:19">
      <c r="A2458" s="1">
        <v>45078</v>
      </c>
      <c r="B2458" s="1">
        <v>45078</v>
      </c>
      <c r="C2458">
        <v>2023</v>
      </c>
      <c r="D2458">
        <v>6</v>
      </c>
      <c r="E2458" s="2" t="s">
        <v>57</v>
      </c>
      <c r="F2458" s="2" t="s">
        <v>58</v>
      </c>
      <c r="G2458" s="2" t="s">
        <v>39</v>
      </c>
      <c r="H2458" s="2" t="s">
        <v>22</v>
      </c>
      <c r="I2458" s="2" t="s">
        <v>40</v>
      </c>
      <c r="J2458" s="2" t="s">
        <v>59</v>
      </c>
      <c r="K2458">
        <v>5577.45</v>
      </c>
      <c r="L2458">
        <v>274069.53000000003</v>
      </c>
      <c r="M2458">
        <v>4913.8900000000003</v>
      </c>
      <c r="N2458" s="2" t="s">
        <v>60</v>
      </c>
      <c r="O2458" s="2" t="s">
        <v>61</v>
      </c>
      <c r="P2458" s="2" t="s">
        <v>4475</v>
      </c>
      <c r="Q2458" s="2" t="s">
        <v>4476</v>
      </c>
      <c r="R2458" s="2" t="s">
        <v>29</v>
      </c>
      <c r="S2458" s="2" t="s">
        <v>30</v>
      </c>
    </row>
    <row r="2459" spans="1:19">
      <c r="A2459" s="1">
        <v>45078</v>
      </c>
      <c r="B2459" s="1">
        <v>45078</v>
      </c>
      <c r="C2459">
        <v>2023</v>
      </c>
      <c r="D2459">
        <v>6</v>
      </c>
      <c r="E2459" s="2" t="s">
        <v>64</v>
      </c>
      <c r="F2459" s="2" t="s">
        <v>65</v>
      </c>
      <c r="G2459" s="2" t="s">
        <v>21</v>
      </c>
      <c r="H2459" s="2" t="s">
        <v>22</v>
      </c>
      <c r="I2459" s="2" t="s">
        <v>66</v>
      </c>
      <c r="J2459" s="2" t="s">
        <v>24</v>
      </c>
      <c r="K2459">
        <v>14.83</v>
      </c>
      <c r="L2459">
        <v>487.23</v>
      </c>
      <c r="M2459">
        <v>3285.43</v>
      </c>
      <c r="N2459" s="2" t="s">
        <v>67</v>
      </c>
      <c r="O2459" s="2" t="s">
        <v>68</v>
      </c>
      <c r="P2459" s="2" t="s">
        <v>4477</v>
      </c>
      <c r="Q2459" s="2" t="s">
        <v>4478</v>
      </c>
      <c r="R2459" s="2" t="s">
        <v>29</v>
      </c>
      <c r="S2459" s="2" t="s">
        <v>30</v>
      </c>
    </row>
    <row r="2460" spans="1:19">
      <c r="A2460" s="1">
        <v>45078</v>
      </c>
      <c r="B2460" s="1">
        <v>45078</v>
      </c>
      <c r="C2460">
        <v>2023</v>
      </c>
      <c r="D2460">
        <v>6</v>
      </c>
      <c r="E2460" s="2" t="s">
        <v>71</v>
      </c>
      <c r="F2460" s="2" t="s">
        <v>72</v>
      </c>
      <c r="G2460" s="2" t="s">
        <v>21</v>
      </c>
      <c r="H2460" s="2" t="s">
        <v>22</v>
      </c>
      <c r="I2460" s="2" t="s">
        <v>73</v>
      </c>
      <c r="J2460" s="2" t="s">
        <v>59</v>
      </c>
      <c r="K2460">
        <v>4731.29</v>
      </c>
      <c r="L2460">
        <v>188283.69</v>
      </c>
      <c r="M2460">
        <v>3979.54</v>
      </c>
      <c r="N2460" s="2" t="s">
        <v>74</v>
      </c>
      <c r="O2460" s="2" t="s">
        <v>75</v>
      </c>
      <c r="P2460" s="2" t="s">
        <v>4479</v>
      </c>
      <c r="Q2460" s="2" t="s">
        <v>4480</v>
      </c>
      <c r="R2460" s="2" t="s">
        <v>29</v>
      </c>
      <c r="S2460" s="2" t="s">
        <v>30</v>
      </c>
    </row>
    <row r="2461" spans="1:19">
      <c r="A2461" s="1">
        <v>45078</v>
      </c>
      <c r="B2461" s="1">
        <v>45078</v>
      </c>
      <c r="C2461">
        <v>2023</v>
      </c>
      <c r="D2461">
        <v>6</v>
      </c>
      <c r="E2461" s="2" t="s">
        <v>78</v>
      </c>
      <c r="F2461" s="2" t="s">
        <v>79</v>
      </c>
      <c r="G2461" s="2" t="s">
        <v>80</v>
      </c>
      <c r="H2461" s="2" t="s">
        <v>81</v>
      </c>
      <c r="I2461" s="2" t="s">
        <v>82</v>
      </c>
      <c r="J2461" s="2" t="s">
        <v>24</v>
      </c>
      <c r="K2461">
        <v>2.17</v>
      </c>
      <c r="L2461">
        <v>6854522.1900000004</v>
      </c>
      <c r="M2461">
        <v>315876598.62</v>
      </c>
      <c r="N2461" s="2" t="s">
        <v>83</v>
      </c>
      <c r="O2461" s="2" t="s">
        <v>84</v>
      </c>
      <c r="P2461" s="2" t="s">
        <v>4167</v>
      </c>
      <c r="Q2461" s="2" t="s">
        <v>4481</v>
      </c>
      <c r="R2461" s="2" t="s">
        <v>29</v>
      </c>
      <c r="S2461" s="2" t="s">
        <v>30</v>
      </c>
    </row>
    <row r="2462" spans="1:19">
      <c r="A2462" s="1">
        <v>45078</v>
      </c>
      <c r="B2462" s="1">
        <v>45078</v>
      </c>
      <c r="C2462">
        <v>2023</v>
      </c>
      <c r="D2462">
        <v>6</v>
      </c>
      <c r="E2462" s="2" t="s">
        <v>87</v>
      </c>
      <c r="F2462" s="2" t="s">
        <v>88</v>
      </c>
      <c r="G2462" s="2" t="s">
        <v>80</v>
      </c>
      <c r="H2462" s="2" t="s">
        <v>81</v>
      </c>
      <c r="I2462" s="2" t="s">
        <v>82</v>
      </c>
      <c r="J2462" s="2" t="s">
        <v>24</v>
      </c>
      <c r="K2462">
        <v>0.88</v>
      </c>
      <c r="L2462">
        <v>1299038.83</v>
      </c>
      <c r="M2462">
        <v>147618048.86000001</v>
      </c>
      <c r="N2462" s="2" t="s">
        <v>89</v>
      </c>
      <c r="O2462" s="2" t="s">
        <v>90</v>
      </c>
      <c r="P2462" s="2" t="s">
        <v>1726</v>
      </c>
      <c r="Q2462" s="2" t="s">
        <v>4482</v>
      </c>
      <c r="R2462" s="2" t="s">
        <v>29</v>
      </c>
      <c r="S2462" s="2" t="s">
        <v>30</v>
      </c>
    </row>
    <row r="2463" spans="1:19">
      <c r="A2463" s="1">
        <v>45078</v>
      </c>
      <c r="B2463" s="1">
        <v>45078</v>
      </c>
      <c r="C2463">
        <v>2023</v>
      </c>
      <c r="D2463">
        <v>6</v>
      </c>
      <c r="E2463" s="2" t="s">
        <v>93</v>
      </c>
      <c r="F2463" s="2" t="s">
        <v>94</v>
      </c>
      <c r="G2463" s="2" t="s">
        <v>80</v>
      </c>
      <c r="H2463" s="2" t="s">
        <v>81</v>
      </c>
      <c r="I2463" s="2" t="s">
        <v>82</v>
      </c>
      <c r="J2463" s="2" t="s">
        <v>24</v>
      </c>
      <c r="K2463">
        <v>0.45</v>
      </c>
      <c r="L2463">
        <v>7312076.2199999997</v>
      </c>
      <c r="M2463">
        <v>1624905826.6700001</v>
      </c>
      <c r="N2463" s="2" t="s">
        <v>95</v>
      </c>
      <c r="O2463" s="2" t="s">
        <v>96</v>
      </c>
      <c r="P2463" s="2" t="s">
        <v>4394</v>
      </c>
      <c r="Q2463" s="2" t="s">
        <v>4483</v>
      </c>
      <c r="R2463" s="2" t="s">
        <v>29</v>
      </c>
      <c r="S2463" s="2" t="s">
        <v>30</v>
      </c>
    </row>
    <row r="2464" spans="1:19">
      <c r="A2464" s="1">
        <v>45078</v>
      </c>
      <c r="B2464" s="1">
        <v>45078</v>
      </c>
      <c r="C2464">
        <v>2023</v>
      </c>
      <c r="D2464">
        <v>6</v>
      </c>
      <c r="E2464" s="2" t="s">
        <v>99</v>
      </c>
      <c r="F2464" s="2" t="s">
        <v>100</v>
      </c>
      <c r="G2464" s="2" t="s">
        <v>80</v>
      </c>
      <c r="H2464" s="2" t="s">
        <v>81</v>
      </c>
      <c r="I2464" s="2" t="s">
        <v>82</v>
      </c>
      <c r="J2464" s="2" t="s">
        <v>101</v>
      </c>
      <c r="K2464">
        <v>1.54</v>
      </c>
      <c r="L2464">
        <v>15259735.550000001</v>
      </c>
      <c r="M2464">
        <v>990891918.83000004</v>
      </c>
      <c r="N2464" s="2" t="s">
        <v>102</v>
      </c>
      <c r="O2464" s="2" t="s">
        <v>103</v>
      </c>
      <c r="P2464" s="2" t="s">
        <v>4484</v>
      </c>
      <c r="Q2464" s="2" t="s">
        <v>4485</v>
      </c>
      <c r="R2464" s="2" t="s">
        <v>29</v>
      </c>
      <c r="S2464" s="2" t="s">
        <v>30</v>
      </c>
    </row>
    <row r="2465" spans="1:19">
      <c r="A2465" s="1">
        <v>45078</v>
      </c>
      <c r="B2465" s="1">
        <v>45078</v>
      </c>
      <c r="C2465">
        <v>2023</v>
      </c>
      <c r="D2465">
        <v>6</v>
      </c>
      <c r="E2465" s="2" t="s">
        <v>106</v>
      </c>
      <c r="F2465" s="2" t="s">
        <v>107</v>
      </c>
      <c r="G2465" s="2" t="s">
        <v>80</v>
      </c>
      <c r="H2465" s="2" t="s">
        <v>81</v>
      </c>
      <c r="I2465" s="2" t="s">
        <v>82</v>
      </c>
      <c r="J2465" s="2" t="s">
        <v>24</v>
      </c>
      <c r="K2465">
        <v>0.21</v>
      </c>
      <c r="L2465">
        <v>6648620.5</v>
      </c>
      <c r="M2465">
        <v>3166009761.9000001</v>
      </c>
      <c r="N2465" s="2" t="s">
        <v>108</v>
      </c>
      <c r="O2465" s="2" t="s">
        <v>109</v>
      </c>
      <c r="P2465" s="2" t="s">
        <v>403</v>
      </c>
      <c r="Q2465" s="2" t="s">
        <v>4486</v>
      </c>
      <c r="R2465" s="2" t="s">
        <v>29</v>
      </c>
      <c r="S2465" s="2" t="s">
        <v>30</v>
      </c>
    </row>
    <row r="2466" spans="1:19">
      <c r="A2466" s="1">
        <v>45078</v>
      </c>
      <c r="B2466" s="1">
        <v>45078</v>
      </c>
      <c r="C2466">
        <v>2023</v>
      </c>
      <c r="D2466">
        <v>6</v>
      </c>
      <c r="E2466" s="2" t="s">
        <v>111</v>
      </c>
      <c r="F2466" s="2" t="s">
        <v>112</v>
      </c>
      <c r="G2466" s="2" t="s">
        <v>80</v>
      </c>
      <c r="H2466" s="2" t="s">
        <v>81</v>
      </c>
      <c r="I2466" s="2" t="s">
        <v>82</v>
      </c>
      <c r="J2466" s="2" t="s">
        <v>24</v>
      </c>
      <c r="K2466">
        <v>0.1</v>
      </c>
      <c r="L2466">
        <v>523830</v>
      </c>
      <c r="M2466">
        <v>523830000</v>
      </c>
      <c r="N2466" s="2" t="s">
        <v>113</v>
      </c>
      <c r="O2466" s="2" t="s">
        <v>114</v>
      </c>
      <c r="P2466" s="2" t="s">
        <v>425</v>
      </c>
      <c r="Q2466" s="2" t="s">
        <v>4487</v>
      </c>
      <c r="R2466" s="2" t="s">
        <v>29</v>
      </c>
      <c r="S2466" s="2" t="s">
        <v>30</v>
      </c>
    </row>
    <row r="2467" spans="1:19">
      <c r="A2467" s="1">
        <v>45078</v>
      </c>
      <c r="B2467" s="1">
        <v>45078</v>
      </c>
      <c r="C2467">
        <v>2023</v>
      </c>
      <c r="D2467">
        <v>6</v>
      </c>
      <c r="E2467" s="2" t="s">
        <v>117</v>
      </c>
      <c r="F2467" s="2" t="s">
        <v>118</v>
      </c>
      <c r="G2467" s="2" t="s">
        <v>80</v>
      </c>
      <c r="H2467" s="2" t="s">
        <v>81</v>
      </c>
      <c r="I2467" s="2" t="s">
        <v>82</v>
      </c>
      <c r="J2467" s="2" t="s">
        <v>59</v>
      </c>
      <c r="K2467">
        <v>3.81</v>
      </c>
      <c r="L2467">
        <v>22638087.739999998</v>
      </c>
      <c r="M2467">
        <v>594175531.23000002</v>
      </c>
      <c r="N2467" s="2" t="s">
        <v>119</v>
      </c>
      <c r="O2467" s="2" t="s">
        <v>120</v>
      </c>
      <c r="P2467" s="2" t="s">
        <v>4488</v>
      </c>
      <c r="Q2467" s="2" t="s">
        <v>4489</v>
      </c>
      <c r="R2467" s="2" t="s">
        <v>29</v>
      </c>
      <c r="S2467" s="2" t="s">
        <v>30</v>
      </c>
    </row>
    <row r="2468" spans="1:19">
      <c r="A2468" s="1">
        <v>45078</v>
      </c>
      <c r="B2468" s="1">
        <v>45078</v>
      </c>
      <c r="C2468">
        <v>2023</v>
      </c>
      <c r="D2468">
        <v>6</v>
      </c>
      <c r="E2468" s="2" t="s">
        <v>123</v>
      </c>
      <c r="F2468" s="2" t="s">
        <v>124</v>
      </c>
      <c r="G2468" s="2" t="s">
        <v>21</v>
      </c>
      <c r="H2468" s="2" t="s">
        <v>22</v>
      </c>
      <c r="I2468" s="2" t="s">
        <v>73</v>
      </c>
      <c r="J2468" s="2" t="s">
        <v>24</v>
      </c>
      <c r="K2468">
        <v>1250.3399999999999</v>
      </c>
      <c r="L2468">
        <v>88380.28</v>
      </c>
      <c r="M2468">
        <v>7068.5</v>
      </c>
      <c r="N2468" s="2" t="s">
        <v>125</v>
      </c>
      <c r="O2468" s="2" t="s">
        <v>126</v>
      </c>
      <c r="P2468" s="2" t="s">
        <v>1704</v>
      </c>
      <c r="Q2468" s="2" t="s">
        <v>4490</v>
      </c>
      <c r="R2468" s="2" t="s">
        <v>29</v>
      </c>
      <c r="S2468" s="2" t="s">
        <v>30</v>
      </c>
    </row>
    <row r="2469" spans="1:19">
      <c r="A2469" s="1">
        <v>45078</v>
      </c>
      <c r="B2469" s="1">
        <v>45078</v>
      </c>
      <c r="C2469">
        <v>2023</v>
      </c>
      <c r="D2469">
        <v>6</v>
      </c>
      <c r="E2469" s="2" t="s">
        <v>129</v>
      </c>
      <c r="F2469" s="2" t="s">
        <v>130</v>
      </c>
      <c r="G2469" s="2" t="s">
        <v>21</v>
      </c>
      <c r="H2469" s="2" t="s">
        <v>22</v>
      </c>
      <c r="I2469" s="2" t="s">
        <v>73</v>
      </c>
      <c r="J2469" s="2" t="s">
        <v>24</v>
      </c>
      <c r="K2469">
        <v>1378.71</v>
      </c>
      <c r="L2469">
        <v>48854.06</v>
      </c>
      <c r="M2469">
        <v>3543.46</v>
      </c>
      <c r="N2469" s="2" t="s">
        <v>131</v>
      </c>
      <c r="O2469" s="2" t="s">
        <v>132</v>
      </c>
      <c r="P2469" s="2" t="s">
        <v>4491</v>
      </c>
      <c r="Q2469" s="2" t="s">
        <v>4492</v>
      </c>
      <c r="R2469" s="2" t="s">
        <v>29</v>
      </c>
      <c r="S2469" s="2" t="s">
        <v>30</v>
      </c>
    </row>
    <row r="2470" spans="1:19">
      <c r="A2470" s="1">
        <v>45078</v>
      </c>
      <c r="B2470" s="1">
        <v>45078</v>
      </c>
      <c r="C2470">
        <v>2023</v>
      </c>
      <c r="D2470">
        <v>6</v>
      </c>
      <c r="E2470" s="2" t="s">
        <v>135</v>
      </c>
      <c r="F2470" s="2" t="s">
        <v>136</v>
      </c>
      <c r="G2470" s="2" t="s">
        <v>21</v>
      </c>
      <c r="H2470" s="2" t="s">
        <v>22</v>
      </c>
      <c r="I2470" s="2" t="s">
        <v>73</v>
      </c>
      <c r="J2470" s="2" t="s">
        <v>101</v>
      </c>
      <c r="K2470">
        <v>2629.05</v>
      </c>
      <c r="L2470">
        <v>137234.34</v>
      </c>
      <c r="M2470">
        <v>5219.92</v>
      </c>
      <c r="N2470" s="2" t="s">
        <v>137</v>
      </c>
      <c r="O2470" s="2" t="s">
        <v>138</v>
      </c>
      <c r="P2470" s="2" t="s">
        <v>4493</v>
      </c>
      <c r="Q2470" s="2" t="s">
        <v>4494</v>
      </c>
      <c r="R2470" s="2" t="s">
        <v>29</v>
      </c>
      <c r="S2470" s="2" t="s">
        <v>30</v>
      </c>
    </row>
    <row r="2471" spans="1:19">
      <c r="A2471" s="1">
        <v>45078</v>
      </c>
      <c r="B2471" s="1">
        <v>45078</v>
      </c>
      <c r="C2471">
        <v>2023</v>
      </c>
      <c r="D2471">
        <v>6</v>
      </c>
      <c r="E2471" s="2" t="s">
        <v>141</v>
      </c>
      <c r="F2471" s="2" t="s">
        <v>142</v>
      </c>
      <c r="G2471" s="2" t="s">
        <v>21</v>
      </c>
      <c r="H2471" s="2" t="s">
        <v>22</v>
      </c>
      <c r="I2471" s="2" t="s">
        <v>73</v>
      </c>
      <c r="J2471" s="2" t="s">
        <v>24</v>
      </c>
      <c r="K2471">
        <v>602.58000000000004</v>
      </c>
      <c r="L2471">
        <v>17270.87</v>
      </c>
      <c r="M2471">
        <v>2866.15</v>
      </c>
      <c r="N2471" s="2" t="s">
        <v>143</v>
      </c>
      <c r="O2471" s="2" t="s">
        <v>144</v>
      </c>
      <c r="P2471" s="2" t="s">
        <v>4495</v>
      </c>
      <c r="Q2471" s="2" t="s">
        <v>4496</v>
      </c>
      <c r="R2471" s="2" t="s">
        <v>29</v>
      </c>
      <c r="S2471" s="2" t="s">
        <v>30</v>
      </c>
    </row>
    <row r="2472" spans="1:19">
      <c r="A2472" s="1">
        <v>45078</v>
      </c>
      <c r="B2472" s="1">
        <v>45078</v>
      </c>
      <c r="C2472">
        <v>2023</v>
      </c>
      <c r="D2472">
        <v>6</v>
      </c>
      <c r="E2472" s="2" t="s">
        <v>147</v>
      </c>
      <c r="F2472" s="2" t="s">
        <v>148</v>
      </c>
      <c r="G2472" s="2" t="s">
        <v>21</v>
      </c>
      <c r="H2472" s="2" t="s">
        <v>22</v>
      </c>
      <c r="I2472" s="2" t="s">
        <v>73</v>
      </c>
      <c r="J2472" s="2" t="s">
        <v>24</v>
      </c>
      <c r="K2472">
        <v>1499.66</v>
      </c>
      <c r="L2472">
        <v>33778.47</v>
      </c>
      <c r="M2472">
        <v>2252.41</v>
      </c>
      <c r="N2472" s="2" t="s">
        <v>149</v>
      </c>
      <c r="O2472" s="2" t="s">
        <v>150</v>
      </c>
      <c r="P2472" s="2" t="s">
        <v>4497</v>
      </c>
      <c r="Q2472" s="2" t="s">
        <v>4498</v>
      </c>
      <c r="R2472" s="2" t="s">
        <v>29</v>
      </c>
      <c r="S2472" s="2" t="s">
        <v>30</v>
      </c>
    </row>
    <row r="2473" spans="1:19">
      <c r="A2473" s="1">
        <v>45078</v>
      </c>
      <c r="B2473" s="1">
        <v>45078</v>
      </c>
      <c r="C2473">
        <v>2023</v>
      </c>
      <c r="D2473">
        <v>6</v>
      </c>
      <c r="E2473" s="2" t="s">
        <v>153</v>
      </c>
      <c r="F2473" s="2" t="s">
        <v>154</v>
      </c>
      <c r="G2473" s="2" t="s">
        <v>21</v>
      </c>
      <c r="H2473" s="2" t="s">
        <v>22</v>
      </c>
      <c r="I2473" s="2" t="s">
        <v>73</v>
      </c>
      <c r="J2473" s="2" t="s">
        <v>101</v>
      </c>
      <c r="K2473">
        <v>2102.2399999999998</v>
      </c>
      <c r="L2473">
        <v>51049.35</v>
      </c>
      <c r="M2473">
        <v>2428.33</v>
      </c>
      <c r="N2473" s="2" t="s">
        <v>155</v>
      </c>
      <c r="O2473" s="2" t="s">
        <v>156</v>
      </c>
      <c r="P2473" s="2" t="s">
        <v>4499</v>
      </c>
      <c r="Q2473" s="2" t="s">
        <v>4500</v>
      </c>
      <c r="R2473" s="2" t="s">
        <v>29</v>
      </c>
      <c r="S2473" s="2" t="s">
        <v>30</v>
      </c>
    </row>
    <row r="2474" spans="1:19">
      <c r="A2474" s="1">
        <v>45078</v>
      </c>
      <c r="B2474" s="1">
        <v>45078</v>
      </c>
      <c r="C2474">
        <v>2023</v>
      </c>
      <c r="D2474">
        <v>6</v>
      </c>
      <c r="E2474" s="2" t="s">
        <v>159</v>
      </c>
      <c r="F2474" s="2" t="s">
        <v>160</v>
      </c>
      <c r="G2474" s="2" t="s">
        <v>21</v>
      </c>
      <c r="H2474" s="2" t="s">
        <v>22</v>
      </c>
      <c r="I2474" s="2" t="s">
        <v>66</v>
      </c>
      <c r="J2474" s="2" t="s">
        <v>59</v>
      </c>
      <c r="K2474">
        <v>1453.92</v>
      </c>
      <c r="L2474">
        <v>129549.31</v>
      </c>
      <c r="M2474">
        <v>8910.35</v>
      </c>
      <c r="N2474" s="2" t="s">
        <v>161</v>
      </c>
      <c r="O2474" s="2" t="s">
        <v>162</v>
      </c>
      <c r="P2474" s="2" t="s">
        <v>4501</v>
      </c>
      <c r="Q2474" s="2" t="s">
        <v>4502</v>
      </c>
      <c r="R2474" s="2" t="s">
        <v>29</v>
      </c>
      <c r="S2474" s="2" t="s">
        <v>30</v>
      </c>
    </row>
    <row r="2475" spans="1:19">
      <c r="A2475" s="1">
        <v>45078</v>
      </c>
      <c r="B2475" s="1">
        <v>45078</v>
      </c>
      <c r="C2475">
        <v>2023</v>
      </c>
      <c r="D2475">
        <v>6</v>
      </c>
      <c r="E2475" s="2" t="s">
        <v>165</v>
      </c>
      <c r="F2475" s="2" t="s">
        <v>166</v>
      </c>
      <c r="G2475" s="2" t="s">
        <v>21</v>
      </c>
      <c r="H2475" s="2" t="s">
        <v>22</v>
      </c>
      <c r="I2475" s="2" t="s">
        <v>23</v>
      </c>
      <c r="J2475" s="2" t="s">
        <v>24</v>
      </c>
      <c r="N2475" s="2" t="s">
        <v>167</v>
      </c>
      <c r="O2475" s="2" t="s">
        <v>168</v>
      </c>
      <c r="P2475" s="2" t="s">
        <v>175</v>
      </c>
      <c r="Q2475" s="2" t="s">
        <v>175</v>
      </c>
      <c r="R2475" s="2" t="s">
        <v>640</v>
      </c>
      <c r="S2475" s="2" t="s">
        <v>641</v>
      </c>
    </row>
    <row r="2476" spans="1:19">
      <c r="A2476" s="1">
        <v>45078</v>
      </c>
      <c r="B2476" s="1">
        <v>45078</v>
      </c>
      <c r="C2476">
        <v>2023</v>
      </c>
      <c r="D2476">
        <v>6</v>
      </c>
      <c r="E2476" s="2" t="s">
        <v>171</v>
      </c>
      <c r="F2476" s="2" t="s">
        <v>172</v>
      </c>
      <c r="G2476" s="2" t="s">
        <v>21</v>
      </c>
      <c r="H2476" s="2" t="s">
        <v>22</v>
      </c>
      <c r="I2476" s="2" t="s">
        <v>66</v>
      </c>
      <c r="J2476" s="2" t="s">
        <v>24</v>
      </c>
      <c r="N2476" s="2" t="s">
        <v>173</v>
      </c>
      <c r="O2476" s="2" t="s">
        <v>174</v>
      </c>
      <c r="P2476" s="2" t="s">
        <v>175</v>
      </c>
      <c r="Q2476" s="2" t="s">
        <v>175</v>
      </c>
      <c r="R2476" s="2" t="s">
        <v>640</v>
      </c>
      <c r="S2476" s="2" t="s">
        <v>641</v>
      </c>
    </row>
    <row r="2477" spans="1:19">
      <c r="A2477" s="1">
        <v>45078</v>
      </c>
      <c r="B2477" s="1">
        <v>45078</v>
      </c>
      <c r="C2477">
        <v>2023</v>
      </c>
      <c r="D2477">
        <v>6</v>
      </c>
      <c r="E2477" s="2" t="s">
        <v>177</v>
      </c>
      <c r="F2477" s="2" t="s">
        <v>178</v>
      </c>
      <c r="G2477" s="2" t="s">
        <v>21</v>
      </c>
      <c r="H2477" s="2" t="s">
        <v>22</v>
      </c>
      <c r="I2477" s="2" t="s">
        <v>23</v>
      </c>
      <c r="J2477" s="2" t="s">
        <v>24</v>
      </c>
      <c r="K2477">
        <v>4681.0200000000004</v>
      </c>
      <c r="L2477">
        <v>500481.96</v>
      </c>
      <c r="M2477">
        <v>10691.73</v>
      </c>
      <c r="N2477" s="2" t="s">
        <v>179</v>
      </c>
      <c r="O2477" s="2" t="s">
        <v>180</v>
      </c>
      <c r="P2477" s="2" t="s">
        <v>4503</v>
      </c>
      <c r="Q2477" s="2" t="s">
        <v>4504</v>
      </c>
      <c r="R2477" s="2" t="s">
        <v>29</v>
      </c>
      <c r="S2477" s="2" t="s">
        <v>30</v>
      </c>
    </row>
    <row r="2478" spans="1:19">
      <c r="A2478" s="1">
        <v>45078</v>
      </c>
      <c r="B2478" s="1">
        <v>45078</v>
      </c>
      <c r="C2478">
        <v>2023</v>
      </c>
      <c r="D2478">
        <v>6</v>
      </c>
      <c r="E2478" s="2" t="s">
        <v>183</v>
      </c>
      <c r="F2478" s="2" t="s">
        <v>184</v>
      </c>
      <c r="G2478" s="2" t="s">
        <v>185</v>
      </c>
      <c r="H2478" s="2" t="s">
        <v>22</v>
      </c>
      <c r="I2478" s="2" t="s">
        <v>186</v>
      </c>
      <c r="J2478" s="2" t="s">
        <v>24</v>
      </c>
      <c r="K2478">
        <v>2636.66</v>
      </c>
      <c r="L2478">
        <v>3898538.63</v>
      </c>
      <c r="M2478">
        <v>147858.98000000001</v>
      </c>
      <c r="N2478" s="2" t="s">
        <v>187</v>
      </c>
      <c r="O2478" s="2" t="s">
        <v>188</v>
      </c>
      <c r="P2478" s="2" t="s">
        <v>4505</v>
      </c>
      <c r="Q2478" s="2" t="s">
        <v>4506</v>
      </c>
      <c r="R2478" s="2" t="s">
        <v>29</v>
      </c>
      <c r="S2478" s="2" t="s">
        <v>30</v>
      </c>
    </row>
    <row r="2479" spans="1:19">
      <c r="A2479" s="1">
        <v>45078</v>
      </c>
      <c r="B2479" s="1">
        <v>45078</v>
      </c>
      <c r="C2479">
        <v>2023</v>
      </c>
      <c r="D2479">
        <v>6</v>
      </c>
      <c r="E2479" s="2" t="s">
        <v>191</v>
      </c>
      <c r="F2479" s="2" t="s">
        <v>192</v>
      </c>
      <c r="G2479" s="2" t="s">
        <v>185</v>
      </c>
      <c r="H2479" s="2" t="s">
        <v>22</v>
      </c>
      <c r="I2479" s="2" t="s">
        <v>186</v>
      </c>
      <c r="J2479" s="2" t="s">
        <v>24</v>
      </c>
      <c r="K2479">
        <v>929.63</v>
      </c>
      <c r="L2479">
        <v>4456178.54</v>
      </c>
      <c r="M2479">
        <v>479349.69</v>
      </c>
      <c r="N2479" s="2" t="s">
        <v>193</v>
      </c>
      <c r="O2479" s="2" t="s">
        <v>194</v>
      </c>
      <c r="P2479" s="2" t="s">
        <v>4507</v>
      </c>
      <c r="Q2479" s="2" t="s">
        <v>4508</v>
      </c>
      <c r="R2479" s="2" t="s">
        <v>29</v>
      </c>
      <c r="S2479" s="2" t="s">
        <v>30</v>
      </c>
    </row>
    <row r="2480" spans="1:19">
      <c r="A2480" s="1">
        <v>45078</v>
      </c>
      <c r="B2480" s="1">
        <v>45078</v>
      </c>
      <c r="C2480">
        <v>2023</v>
      </c>
      <c r="D2480">
        <v>6</v>
      </c>
      <c r="E2480" s="2" t="s">
        <v>197</v>
      </c>
      <c r="F2480" s="2" t="s">
        <v>198</v>
      </c>
      <c r="G2480" s="2" t="s">
        <v>185</v>
      </c>
      <c r="H2480" s="2" t="s">
        <v>22</v>
      </c>
      <c r="I2480" s="2" t="s">
        <v>186</v>
      </c>
      <c r="J2480" s="2" t="s">
        <v>59</v>
      </c>
      <c r="K2480">
        <v>3566.29</v>
      </c>
      <c r="L2480">
        <v>8354717.1699999999</v>
      </c>
      <c r="M2480">
        <v>234269.15</v>
      </c>
      <c r="N2480" s="2" t="s">
        <v>199</v>
      </c>
      <c r="O2480" s="2" t="s">
        <v>200</v>
      </c>
      <c r="P2480" s="2" t="s">
        <v>4509</v>
      </c>
      <c r="Q2480" s="2" t="s">
        <v>4510</v>
      </c>
      <c r="R2480" s="2" t="s">
        <v>29</v>
      </c>
      <c r="S2480" s="2" t="s">
        <v>30</v>
      </c>
    </row>
    <row r="2481" spans="1:19">
      <c r="A2481" s="1">
        <v>45078</v>
      </c>
      <c r="B2481" s="1">
        <v>45078</v>
      </c>
      <c r="C2481">
        <v>2023</v>
      </c>
      <c r="D2481">
        <v>6</v>
      </c>
      <c r="E2481" s="2" t="s">
        <v>203</v>
      </c>
      <c r="F2481" s="2" t="s">
        <v>204</v>
      </c>
      <c r="G2481" s="2" t="s">
        <v>39</v>
      </c>
      <c r="H2481" s="2" t="s">
        <v>22</v>
      </c>
      <c r="I2481" s="2" t="s">
        <v>40</v>
      </c>
      <c r="J2481" s="2" t="s">
        <v>24</v>
      </c>
      <c r="K2481">
        <v>943.77</v>
      </c>
      <c r="L2481">
        <v>25990.62</v>
      </c>
      <c r="M2481">
        <v>2753.91</v>
      </c>
      <c r="N2481" s="2" t="s">
        <v>205</v>
      </c>
      <c r="O2481" s="2" t="s">
        <v>206</v>
      </c>
      <c r="P2481" s="2" t="s">
        <v>4511</v>
      </c>
      <c r="Q2481" s="2" t="s">
        <v>4512</v>
      </c>
      <c r="R2481" s="2" t="s">
        <v>29</v>
      </c>
      <c r="S2481" s="2" t="s">
        <v>30</v>
      </c>
    </row>
    <row r="2482" spans="1:19">
      <c r="A2482" s="1">
        <v>45078</v>
      </c>
      <c r="B2482" s="1">
        <v>45078</v>
      </c>
      <c r="C2482">
        <v>2023</v>
      </c>
      <c r="D2482">
        <v>6</v>
      </c>
      <c r="E2482" s="2" t="s">
        <v>209</v>
      </c>
      <c r="F2482" s="2" t="s">
        <v>210</v>
      </c>
      <c r="G2482" s="2" t="s">
        <v>39</v>
      </c>
      <c r="H2482" s="2" t="s">
        <v>22</v>
      </c>
      <c r="I2482" s="2" t="s">
        <v>40</v>
      </c>
      <c r="J2482" s="2" t="s">
        <v>59</v>
      </c>
      <c r="K2482">
        <v>943.77</v>
      </c>
      <c r="L2482">
        <v>25990.62</v>
      </c>
      <c r="M2482">
        <v>2753.91</v>
      </c>
      <c r="N2482" s="2" t="s">
        <v>211</v>
      </c>
      <c r="O2482" s="2" t="s">
        <v>212</v>
      </c>
      <c r="P2482" s="2" t="s">
        <v>4511</v>
      </c>
      <c r="Q2482" s="2" t="s">
        <v>4512</v>
      </c>
      <c r="R2482" s="2" t="s">
        <v>29</v>
      </c>
      <c r="S2482" s="2" t="s">
        <v>30</v>
      </c>
    </row>
    <row r="2483" spans="1:19">
      <c r="A2483" s="1">
        <v>45078</v>
      </c>
      <c r="B2483" s="1">
        <v>45078</v>
      </c>
      <c r="C2483">
        <v>2023</v>
      </c>
      <c r="D2483">
        <v>6</v>
      </c>
      <c r="E2483" s="2" t="s">
        <v>213</v>
      </c>
      <c r="F2483" s="2" t="s">
        <v>214</v>
      </c>
      <c r="G2483" s="2" t="s">
        <v>185</v>
      </c>
      <c r="H2483" s="2" t="s">
        <v>22</v>
      </c>
      <c r="I2483" s="2" t="s">
        <v>215</v>
      </c>
      <c r="J2483" s="2" t="s">
        <v>24</v>
      </c>
      <c r="K2483">
        <v>81951.89</v>
      </c>
      <c r="L2483">
        <v>1826881.13</v>
      </c>
      <c r="M2483">
        <v>2229.21</v>
      </c>
      <c r="N2483" s="2" t="s">
        <v>216</v>
      </c>
      <c r="O2483" s="2" t="s">
        <v>217</v>
      </c>
      <c r="P2483" s="2" t="s">
        <v>4513</v>
      </c>
      <c r="Q2483" s="2" t="s">
        <v>4514</v>
      </c>
      <c r="R2483" s="2" t="s">
        <v>29</v>
      </c>
      <c r="S2483" s="2" t="s">
        <v>30</v>
      </c>
    </row>
    <row r="2484" spans="1:19">
      <c r="A2484" s="1">
        <v>45078</v>
      </c>
      <c r="B2484" s="1">
        <v>45078</v>
      </c>
      <c r="C2484">
        <v>2023</v>
      </c>
      <c r="D2484">
        <v>6</v>
      </c>
      <c r="E2484" s="2" t="s">
        <v>220</v>
      </c>
      <c r="F2484" s="2" t="s">
        <v>221</v>
      </c>
      <c r="G2484" s="2" t="s">
        <v>185</v>
      </c>
      <c r="H2484" s="2" t="s">
        <v>22</v>
      </c>
      <c r="I2484" s="2" t="s">
        <v>215</v>
      </c>
      <c r="J2484" s="2" t="s">
        <v>24</v>
      </c>
      <c r="K2484">
        <v>6145.85</v>
      </c>
      <c r="L2484">
        <v>416271.16</v>
      </c>
      <c r="M2484">
        <v>6773.21</v>
      </c>
      <c r="N2484" s="2" t="s">
        <v>222</v>
      </c>
      <c r="O2484" s="2" t="s">
        <v>223</v>
      </c>
      <c r="P2484" s="2" t="s">
        <v>4515</v>
      </c>
      <c r="Q2484" s="2" t="s">
        <v>4516</v>
      </c>
      <c r="R2484" s="2" t="s">
        <v>29</v>
      </c>
      <c r="S2484" s="2" t="s">
        <v>30</v>
      </c>
    </row>
    <row r="2485" spans="1:19">
      <c r="A2485" s="1">
        <v>45078</v>
      </c>
      <c r="B2485" s="1">
        <v>45078</v>
      </c>
      <c r="C2485">
        <v>2023</v>
      </c>
      <c r="D2485">
        <v>6</v>
      </c>
      <c r="E2485" s="2" t="s">
        <v>226</v>
      </c>
      <c r="F2485" s="2" t="s">
        <v>227</v>
      </c>
      <c r="G2485" s="2" t="s">
        <v>185</v>
      </c>
      <c r="H2485" s="2" t="s">
        <v>22</v>
      </c>
      <c r="I2485" s="2" t="s">
        <v>215</v>
      </c>
      <c r="J2485" s="2" t="s">
        <v>59</v>
      </c>
      <c r="K2485">
        <v>88097.74</v>
      </c>
      <c r="L2485">
        <v>2243152.2999999998</v>
      </c>
      <c r="M2485">
        <v>2546.21</v>
      </c>
      <c r="N2485" s="2" t="s">
        <v>228</v>
      </c>
      <c r="O2485" s="2" t="s">
        <v>229</v>
      </c>
      <c r="P2485" s="2" t="s">
        <v>4517</v>
      </c>
      <c r="Q2485" s="2" t="s">
        <v>4518</v>
      </c>
      <c r="R2485" s="2" t="s">
        <v>29</v>
      </c>
      <c r="S2485" s="2" t="s">
        <v>30</v>
      </c>
    </row>
    <row r="2486" spans="1:19">
      <c r="A2486" s="1">
        <v>45078</v>
      </c>
      <c r="B2486" s="1">
        <v>45078</v>
      </c>
      <c r="C2486">
        <v>2023</v>
      </c>
      <c r="D2486">
        <v>6</v>
      </c>
      <c r="E2486" s="2" t="s">
        <v>232</v>
      </c>
      <c r="F2486" s="2" t="s">
        <v>233</v>
      </c>
      <c r="G2486" s="2" t="s">
        <v>21</v>
      </c>
      <c r="H2486" s="2" t="s">
        <v>22</v>
      </c>
      <c r="I2486" s="2" t="s">
        <v>23</v>
      </c>
      <c r="J2486" s="2" t="s">
        <v>24</v>
      </c>
      <c r="K2486">
        <v>1294.9100000000001</v>
      </c>
      <c r="L2486">
        <v>109983.48</v>
      </c>
      <c r="M2486">
        <v>8493.52</v>
      </c>
      <c r="N2486" s="2" t="s">
        <v>234</v>
      </c>
      <c r="O2486" s="2" t="s">
        <v>235</v>
      </c>
      <c r="P2486" s="2" t="s">
        <v>4519</v>
      </c>
      <c r="Q2486" s="2" t="s">
        <v>4520</v>
      </c>
      <c r="R2486" s="2" t="s">
        <v>29</v>
      </c>
      <c r="S2486" s="2" t="s">
        <v>30</v>
      </c>
    </row>
    <row r="2487" spans="1:19">
      <c r="A2487" s="1">
        <v>45078</v>
      </c>
      <c r="B2487" s="1">
        <v>45078</v>
      </c>
      <c r="C2487">
        <v>2023</v>
      </c>
      <c r="D2487">
        <v>6</v>
      </c>
      <c r="E2487" s="2" t="s">
        <v>238</v>
      </c>
      <c r="F2487" s="2" t="s">
        <v>239</v>
      </c>
      <c r="G2487" s="2" t="s">
        <v>21</v>
      </c>
      <c r="H2487" s="2" t="s">
        <v>22</v>
      </c>
      <c r="I2487" s="2" t="s">
        <v>66</v>
      </c>
      <c r="J2487" s="2" t="s">
        <v>24</v>
      </c>
      <c r="K2487">
        <v>1296.3800000000001</v>
      </c>
      <c r="L2487">
        <v>128819</v>
      </c>
      <c r="M2487">
        <v>9936.82</v>
      </c>
      <c r="N2487" s="2" t="s">
        <v>240</v>
      </c>
      <c r="O2487" s="2" t="s">
        <v>241</v>
      </c>
      <c r="P2487" s="2" t="s">
        <v>4521</v>
      </c>
      <c r="Q2487" s="2" t="s">
        <v>4522</v>
      </c>
      <c r="R2487" s="2" t="s">
        <v>29</v>
      </c>
      <c r="S2487" s="2" t="s">
        <v>30</v>
      </c>
    </row>
    <row r="2488" spans="1:19">
      <c r="A2488" s="1">
        <v>45078</v>
      </c>
      <c r="B2488" s="1">
        <v>45078</v>
      </c>
      <c r="C2488">
        <v>2023</v>
      </c>
      <c r="D2488">
        <v>6</v>
      </c>
      <c r="E2488" s="2" t="s">
        <v>244</v>
      </c>
      <c r="F2488" s="2" t="s">
        <v>245</v>
      </c>
      <c r="G2488" s="2" t="s">
        <v>21</v>
      </c>
      <c r="H2488" s="2" t="s">
        <v>22</v>
      </c>
      <c r="I2488" s="2" t="s">
        <v>23</v>
      </c>
      <c r="J2488" s="2" t="s">
        <v>24</v>
      </c>
      <c r="K2488">
        <v>5097.12</v>
      </c>
      <c r="L2488">
        <v>3039490.65</v>
      </c>
      <c r="M2488">
        <v>59631.53</v>
      </c>
      <c r="N2488" s="2" t="s">
        <v>246</v>
      </c>
      <c r="O2488" s="2" t="s">
        <v>247</v>
      </c>
      <c r="P2488" s="2" t="s">
        <v>4523</v>
      </c>
      <c r="Q2488" s="2" t="s">
        <v>4524</v>
      </c>
      <c r="R2488" s="2" t="s">
        <v>29</v>
      </c>
      <c r="S2488" s="2" t="s">
        <v>30</v>
      </c>
    </row>
    <row r="2489" spans="1:19">
      <c r="A2489" s="1">
        <v>45078</v>
      </c>
      <c r="B2489" s="1">
        <v>45078</v>
      </c>
      <c r="C2489">
        <v>2023</v>
      </c>
      <c r="D2489">
        <v>6</v>
      </c>
      <c r="E2489" s="2" t="s">
        <v>250</v>
      </c>
      <c r="F2489" s="2" t="s">
        <v>251</v>
      </c>
      <c r="G2489" s="2" t="s">
        <v>21</v>
      </c>
      <c r="H2489" s="2" t="s">
        <v>22</v>
      </c>
      <c r="I2489" s="2" t="s">
        <v>66</v>
      </c>
      <c r="J2489" s="2" t="s">
        <v>24</v>
      </c>
      <c r="K2489">
        <v>142.71</v>
      </c>
      <c r="L2489">
        <v>243.07</v>
      </c>
      <c r="M2489">
        <v>170.32</v>
      </c>
      <c r="N2489" s="2" t="s">
        <v>252</v>
      </c>
      <c r="O2489" s="2" t="s">
        <v>253</v>
      </c>
      <c r="P2489" s="2" t="s">
        <v>4525</v>
      </c>
      <c r="Q2489" s="2" t="s">
        <v>4526</v>
      </c>
      <c r="R2489" s="2" t="s">
        <v>29</v>
      </c>
      <c r="S2489" s="2" t="s">
        <v>30</v>
      </c>
    </row>
    <row r="2490" spans="1:19">
      <c r="A2490" s="1">
        <v>45078</v>
      </c>
      <c r="B2490" s="1">
        <v>45078</v>
      </c>
      <c r="C2490">
        <v>2023</v>
      </c>
      <c r="D2490">
        <v>6</v>
      </c>
      <c r="E2490" s="2" t="s">
        <v>256</v>
      </c>
      <c r="F2490" s="2" t="s">
        <v>257</v>
      </c>
      <c r="G2490" s="2" t="s">
        <v>21</v>
      </c>
      <c r="H2490" s="2" t="s">
        <v>22</v>
      </c>
      <c r="I2490" s="2" t="s">
        <v>258</v>
      </c>
      <c r="J2490" s="2" t="s">
        <v>24</v>
      </c>
      <c r="K2490">
        <v>539.36</v>
      </c>
      <c r="L2490">
        <v>578306.15</v>
      </c>
      <c r="M2490">
        <v>107220.81</v>
      </c>
      <c r="N2490" s="2" t="s">
        <v>259</v>
      </c>
      <c r="O2490" s="2" t="s">
        <v>260</v>
      </c>
      <c r="P2490" s="2" t="s">
        <v>4527</v>
      </c>
      <c r="Q2490" s="2" t="s">
        <v>4528</v>
      </c>
      <c r="R2490" s="2" t="s">
        <v>29</v>
      </c>
      <c r="S2490" s="2" t="s">
        <v>30</v>
      </c>
    </row>
    <row r="2491" spans="1:19">
      <c r="A2491" s="1">
        <v>45078</v>
      </c>
      <c r="B2491" s="1">
        <v>45078</v>
      </c>
      <c r="C2491">
        <v>2023</v>
      </c>
      <c r="D2491">
        <v>6</v>
      </c>
      <c r="E2491" s="2" t="s">
        <v>263</v>
      </c>
      <c r="F2491" s="2" t="s">
        <v>264</v>
      </c>
      <c r="G2491" s="2" t="s">
        <v>21</v>
      </c>
      <c r="H2491" s="2" t="s">
        <v>22</v>
      </c>
      <c r="I2491" s="2" t="s">
        <v>258</v>
      </c>
      <c r="J2491" s="2" t="s">
        <v>24</v>
      </c>
      <c r="K2491">
        <v>0</v>
      </c>
      <c r="L2491">
        <v>0</v>
      </c>
      <c r="N2491" s="2" t="s">
        <v>265</v>
      </c>
      <c r="O2491" s="2" t="s">
        <v>266</v>
      </c>
      <c r="P2491" s="2" t="s">
        <v>639</v>
      </c>
      <c r="Q2491" s="2" t="s">
        <v>639</v>
      </c>
      <c r="R2491" s="2" t="s">
        <v>29</v>
      </c>
      <c r="S2491" s="2" t="s">
        <v>30</v>
      </c>
    </row>
    <row r="2492" spans="1:19">
      <c r="A2492" s="1">
        <v>45078</v>
      </c>
      <c r="B2492" s="1">
        <v>45078</v>
      </c>
      <c r="C2492">
        <v>2023</v>
      </c>
      <c r="D2492">
        <v>6</v>
      </c>
      <c r="E2492" s="2" t="s">
        <v>269</v>
      </c>
      <c r="F2492" s="2" t="s">
        <v>270</v>
      </c>
      <c r="G2492" s="2" t="s">
        <v>21</v>
      </c>
      <c r="H2492" s="2" t="s">
        <v>22</v>
      </c>
      <c r="I2492" s="2" t="s">
        <v>258</v>
      </c>
      <c r="J2492" s="2" t="s">
        <v>59</v>
      </c>
      <c r="K2492">
        <v>539.36</v>
      </c>
      <c r="L2492">
        <v>578306.15</v>
      </c>
      <c r="M2492">
        <v>107220.81</v>
      </c>
      <c r="N2492" s="2" t="s">
        <v>271</v>
      </c>
      <c r="O2492" s="2" t="s">
        <v>272</v>
      </c>
      <c r="P2492" s="2" t="s">
        <v>4527</v>
      </c>
      <c r="Q2492" s="2" t="s">
        <v>4528</v>
      </c>
      <c r="R2492" s="2" t="s">
        <v>29</v>
      </c>
      <c r="S2492" s="2" t="s">
        <v>30</v>
      </c>
    </row>
    <row r="2493" spans="1:19">
      <c r="A2493" s="1">
        <v>45078</v>
      </c>
      <c r="B2493" s="1">
        <v>45078</v>
      </c>
      <c r="C2493">
        <v>2023</v>
      </c>
      <c r="D2493">
        <v>6</v>
      </c>
      <c r="E2493" s="2" t="s">
        <v>275</v>
      </c>
      <c r="F2493" s="2" t="s">
        <v>276</v>
      </c>
      <c r="G2493" s="2" t="s">
        <v>39</v>
      </c>
      <c r="H2493" s="2" t="s">
        <v>22</v>
      </c>
      <c r="I2493" s="2" t="s">
        <v>40</v>
      </c>
      <c r="J2493" s="2" t="s">
        <v>24</v>
      </c>
      <c r="K2493">
        <v>2.29</v>
      </c>
      <c r="L2493">
        <v>22.67</v>
      </c>
      <c r="M2493">
        <v>989.96</v>
      </c>
      <c r="N2493" s="2" t="s">
        <v>277</v>
      </c>
      <c r="O2493" s="2" t="s">
        <v>278</v>
      </c>
      <c r="P2493" s="2" t="s">
        <v>3892</v>
      </c>
      <c r="Q2493" s="2" t="s">
        <v>4529</v>
      </c>
      <c r="R2493" s="2" t="s">
        <v>29</v>
      </c>
      <c r="S2493" s="2" t="s">
        <v>30</v>
      </c>
    </row>
    <row r="2494" spans="1:19">
      <c r="A2494" s="1">
        <v>45078</v>
      </c>
      <c r="B2494" s="1">
        <v>45078</v>
      </c>
      <c r="C2494">
        <v>2023</v>
      </c>
      <c r="D2494">
        <v>6</v>
      </c>
      <c r="E2494" s="2" t="s">
        <v>281</v>
      </c>
      <c r="F2494" s="2" t="s">
        <v>282</v>
      </c>
      <c r="G2494" s="2" t="s">
        <v>39</v>
      </c>
      <c r="H2494" s="2" t="s">
        <v>22</v>
      </c>
      <c r="I2494" s="2" t="s">
        <v>40</v>
      </c>
      <c r="J2494" s="2" t="s">
        <v>24</v>
      </c>
      <c r="K2494">
        <v>0.01</v>
      </c>
      <c r="L2494">
        <v>0.04</v>
      </c>
      <c r="M2494">
        <v>400</v>
      </c>
      <c r="N2494" s="2" t="s">
        <v>283</v>
      </c>
      <c r="O2494" s="2" t="s">
        <v>284</v>
      </c>
      <c r="P2494" s="2" t="s">
        <v>832</v>
      </c>
      <c r="Q2494" s="2" t="s">
        <v>115</v>
      </c>
      <c r="R2494" s="2" t="s">
        <v>29</v>
      </c>
      <c r="S2494" s="2" t="s">
        <v>30</v>
      </c>
    </row>
    <row r="2495" spans="1:19">
      <c r="A2495" s="1">
        <v>45078</v>
      </c>
      <c r="B2495" s="1">
        <v>45078</v>
      </c>
      <c r="C2495">
        <v>2023</v>
      </c>
      <c r="D2495">
        <v>6</v>
      </c>
      <c r="E2495" s="2" t="s">
        <v>287</v>
      </c>
      <c r="F2495" s="2" t="s">
        <v>288</v>
      </c>
      <c r="G2495" s="2" t="s">
        <v>39</v>
      </c>
      <c r="H2495" s="2" t="s">
        <v>22</v>
      </c>
      <c r="I2495" s="2" t="s">
        <v>40</v>
      </c>
      <c r="J2495" s="2" t="s">
        <v>59</v>
      </c>
      <c r="K2495">
        <v>2.29</v>
      </c>
      <c r="L2495">
        <v>22.72</v>
      </c>
      <c r="M2495">
        <v>992.14</v>
      </c>
      <c r="N2495" s="2" t="s">
        <v>289</v>
      </c>
      <c r="O2495" s="2" t="s">
        <v>290</v>
      </c>
      <c r="P2495" s="2" t="s">
        <v>3892</v>
      </c>
      <c r="Q2495" s="2" t="s">
        <v>4530</v>
      </c>
      <c r="R2495" s="2" t="s">
        <v>29</v>
      </c>
      <c r="S2495" s="2" t="s">
        <v>30</v>
      </c>
    </row>
    <row r="2496" spans="1:19">
      <c r="A2496" s="1">
        <v>45078</v>
      </c>
      <c r="B2496" s="1">
        <v>45078</v>
      </c>
      <c r="C2496">
        <v>2023</v>
      </c>
      <c r="D2496">
        <v>6</v>
      </c>
      <c r="E2496" s="2" t="s">
        <v>293</v>
      </c>
      <c r="F2496" s="2" t="s">
        <v>294</v>
      </c>
      <c r="G2496" s="2" t="s">
        <v>21</v>
      </c>
      <c r="H2496" s="2" t="s">
        <v>22</v>
      </c>
      <c r="I2496" s="2" t="s">
        <v>295</v>
      </c>
      <c r="J2496" s="2" t="s">
        <v>24</v>
      </c>
      <c r="K2496">
        <v>585.05999999999995</v>
      </c>
      <c r="L2496">
        <v>2729.67</v>
      </c>
      <c r="M2496">
        <v>466.56</v>
      </c>
      <c r="N2496" s="2" t="s">
        <v>296</v>
      </c>
      <c r="O2496" s="2" t="s">
        <v>297</v>
      </c>
      <c r="P2496" s="2" t="s">
        <v>4531</v>
      </c>
      <c r="Q2496" s="2" t="s">
        <v>4532</v>
      </c>
      <c r="R2496" s="2" t="s">
        <v>29</v>
      </c>
      <c r="S2496" s="2" t="s">
        <v>30</v>
      </c>
    </row>
    <row r="2497" spans="1:19">
      <c r="A2497" s="1">
        <v>45078</v>
      </c>
      <c r="B2497" s="1">
        <v>45078</v>
      </c>
      <c r="C2497">
        <v>2023</v>
      </c>
      <c r="D2497">
        <v>6</v>
      </c>
      <c r="E2497" s="2" t="s">
        <v>300</v>
      </c>
      <c r="F2497" s="2" t="s">
        <v>301</v>
      </c>
      <c r="G2497" s="2" t="s">
        <v>21</v>
      </c>
      <c r="H2497" s="2" t="s">
        <v>22</v>
      </c>
      <c r="I2497" s="2" t="s">
        <v>295</v>
      </c>
      <c r="J2497" s="2" t="s">
        <v>24</v>
      </c>
      <c r="K2497">
        <v>681.07</v>
      </c>
      <c r="L2497">
        <v>1016.96</v>
      </c>
      <c r="M2497">
        <v>149.32</v>
      </c>
      <c r="N2497" s="2" t="s">
        <v>302</v>
      </c>
      <c r="O2497" s="2" t="s">
        <v>303</v>
      </c>
      <c r="P2497" s="2" t="s">
        <v>4533</v>
      </c>
      <c r="Q2497" s="2" t="s">
        <v>4534</v>
      </c>
      <c r="R2497" s="2" t="s">
        <v>29</v>
      </c>
      <c r="S2497" s="2" t="s">
        <v>30</v>
      </c>
    </row>
    <row r="2498" spans="1:19">
      <c r="A2498" s="1">
        <v>45078</v>
      </c>
      <c r="B2498" s="1">
        <v>45078</v>
      </c>
      <c r="C2498">
        <v>2023</v>
      </c>
      <c r="D2498">
        <v>6</v>
      </c>
      <c r="E2498" s="2" t="s">
        <v>306</v>
      </c>
      <c r="F2498" s="2" t="s">
        <v>307</v>
      </c>
      <c r="G2498" s="2" t="s">
        <v>21</v>
      </c>
      <c r="H2498" s="2" t="s">
        <v>22</v>
      </c>
      <c r="I2498" s="2" t="s">
        <v>295</v>
      </c>
      <c r="J2498" s="2" t="s">
        <v>101</v>
      </c>
      <c r="K2498">
        <v>1266.1300000000001</v>
      </c>
      <c r="L2498">
        <v>3746.63</v>
      </c>
      <c r="M2498">
        <v>295.91000000000003</v>
      </c>
      <c r="N2498" s="2" t="s">
        <v>308</v>
      </c>
      <c r="O2498" s="2" t="s">
        <v>309</v>
      </c>
      <c r="P2498" s="2" t="s">
        <v>4535</v>
      </c>
      <c r="Q2498" s="2" t="s">
        <v>4536</v>
      </c>
      <c r="R2498" s="2" t="s">
        <v>29</v>
      </c>
      <c r="S2498" s="2" t="s">
        <v>30</v>
      </c>
    </row>
    <row r="2499" spans="1:19">
      <c r="A2499" s="1">
        <v>45078</v>
      </c>
      <c r="B2499" s="1">
        <v>45078</v>
      </c>
      <c r="C2499">
        <v>2023</v>
      </c>
      <c r="D2499">
        <v>6</v>
      </c>
      <c r="E2499" s="2" t="s">
        <v>312</v>
      </c>
      <c r="F2499" s="2" t="s">
        <v>313</v>
      </c>
      <c r="G2499" s="2" t="s">
        <v>21</v>
      </c>
      <c r="H2499" s="2" t="s">
        <v>22</v>
      </c>
      <c r="I2499" s="2" t="s">
        <v>295</v>
      </c>
      <c r="J2499" s="2" t="s">
        <v>59</v>
      </c>
      <c r="K2499">
        <v>6569.82</v>
      </c>
      <c r="L2499">
        <v>23509.01</v>
      </c>
      <c r="M2499">
        <v>357.83</v>
      </c>
      <c r="N2499" s="2" t="s">
        <v>314</v>
      </c>
      <c r="O2499" s="2" t="s">
        <v>315</v>
      </c>
      <c r="P2499" s="2" t="s">
        <v>4537</v>
      </c>
      <c r="Q2499" s="2" t="s">
        <v>4538</v>
      </c>
      <c r="R2499" s="2" t="s">
        <v>29</v>
      </c>
      <c r="S2499" s="2" t="s">
        <v>30</v>
      </c>
    </row>
    <row r="2500" spans="1:19">
      <c r="A2500" s="1">
        <v>45078</v>
      </c>
      <c r="B2500" s="1">
        <v>45078</v>
      </c>
      <c r="C2500">
        <v>2023</v>
      </c>
      <c r="D2500">
        <v>6</v>
      </c>
      <c r="E2500" s="2" t="s">
        <v>318</v>
      </c>
      <c r="F2500" s="2" t="s">
        <v>319</v>
      </c>
      <c r="G2500" s="2" t="s">
        <v>21</v>
      </c>
      <c r="H2500" s="2" t="s">
        <v>22</v>
      </c>
      <c r="I2500" s="2" t="s">
        <v>295</v>
      </c>
      <c r="J2500" s="2" t="s">
        <v>24</v>
      </c>
      <c r="K2500">
        <v>5303.68</v>
      </c>
      <c r="L2500">
        <v>19762.38</v>
      </c>
      <c r="M2500">
        <v>372.62</v>
      </c>
      <c r="N2500" s="2" t="s">
        <v>320</v>
      </c>
      <c r="O2500" s="2" t="s">
        <v>321</v>
      </c>
      <c r="P2500" s="2" t="s">
        <v>4539</v>
      </c>
      <c r="Q2500" s="2" t="s">
        <v>4540</v>
      </c>
      <c r="R2500" s="2" t="s">
        <v>29</v>
      </c>
      <c r="S2500" s="2" t="s">
        <v>30</v>
      </c>
    </row>
    <row r="2501" spans="1:19">
      <c r="A2501" s="1">
        <v>45078</v>
      </c>
      <c r="B2501" s="1">
        <v>45078</v>
      </c>
      <c r="C2501">
        <v>2023</v>
      </c>
      <c r="D2501">
        <v>6</v>
      </c>
      <c r="E2501" s="2" t="s">
        <v>324</v>
      </c>
      <c r="F2501" s="2" t="s">
        <v>325</v>
      </c>
      <c r="G2501" s="2" t="s">
        <v>21</v>
      </c>
      <c r="H2501" s="2" t="s">
        <v>22</v>
      </c>
      <c r="I2501" s="2" t="s">
        <v>23</v>
      </c>
      <c r="J2501" s="2" t="s">
        <v>59</v>
      </c>
      <c r="K2501">
        <v>106299.38</v>
      </c>
      <c r="L2501">
        <v>5151212.8</v>
      </c>
      <c r="M2501">
        <v>4845.95</v>
      </c>
      <c r="N2501" s="2" t="s">
        <v>326</v>
      </c>
      <c r="O2501" s="2" t="s">
        <v>327</v>
      </c>
      <c r="P2501" s="2" t="s">
        <v>4541</v>
      </c>
      <c r="Q2501" s="2" t="s">
        <v>4542</v>
      </c>
      <c r="R2501" s="2" t="s">
        <v>29</v>
      </c>
      <c r="S2501" s="2" t="s">
        <v>30</v>
      </c>
    </row>
    <row r="2502" spans="1:19">
      <c r="A2502" s="1">
        <v>45078</v>
      </c>
      <c r="B2502" s="1">
        <v>45078</v>
      </c>
      <c r="C2502">
        <v>2023</v>
      </c>
      <c r="D2502">
        <v>6</v>
      </c>
      <c r="E2502" s="2" t="s">
        <v>330</v>
      </c>
      <c r="F2502" s="2" t="s">
        <v>331</v>
      </c>
      <c r="G2502" s="2" t="s">
        <v>21</v>
      </c>
      <c r="H2502" s="2" t="s">
        <v>332</v>
      </c>
      <c r="I2502" s="2" t="s">
        <v>333</v>
      </c>
      <c r="J2502" s="2" t="s">
        <v>24</v>
      </c>
      <c r="K2502">
        <v>211.1</v>
      </c>
      <c r="L2502">
        <v>12739932.130000001</v>
      </c>
      <c r="M2502">
        <v>6035022.3300000001</v>
      </c>
      <c r="N2502" s="2" t="s">
        <v>334</v>
      </c>
      <c r="O2502" s="2" t="s">
        <v>335</v>
      </c>
      <c r="P2502" s="2" t="s">
        <v>4543</v>
      </c>
      <c r="Q2502" s="2" t="s">
        <v>4544</v>
      </c>
      <c r="R2502" s="2" t="s">
        <v>29</v>
      </c>
      <c r="S2502" s="2" t="s">
        <v>30</v>
      </c>
    </row>
    <row r="2503" spans="1:19">
      <c r="A2503" s="1">
        <v>45078</v>
      </c>
      <c r="B2503" s="1">
        <v>45078</v>
      </c>
      <c r="C2503">
        <v>2023</v>
      </c>
      <c r="D2503">
        <v>6</v>
      </c>
      <c r="E2503" s="2" t="s">
        <v>338</v>
      </c>
      <c r="F2503" s="2" t="s">
        <v>339</v>
      </c>
      <c r="G2503" s="2" t="s">
        <v>21</v>
      </c>
      <c r="H2503" s="2" t="s">
        <v>332</v>
      </c>
      <c r="I2503" s="2" t="s">
        <v>333</v>
      </c>
      <c r="J2503" s="2" t="s">
        <v>24</v>
      </c>
      <c r="K2503">
        <v>1.2</v>
      </c>
      <c r="L2503">
        <v>1596685.01</v>
      </c>
      <c r="M2503">
        <v>133057084.17</v>
      </c>
      <c r="N2503" s="2" t="s">
        <v>340</v>
      </c>
      <c r="O2503" s="2" t="s">
        <v>341</v>
      </c>
      <c r="P2503" s="2" t="s">
        <v>3533</v>
      </c>
      <c r="Q2503" s="2" t="s">
        <v>4545</v>
      </c>
      <c r="R2503" s="2" t="s">
        <v>29</v>
      </c>
      <c r="S2503" s="2" t="s">
        <v>30</v>
      </c>
    </row>
    <row r="2504" spans="1:19">
      <c r="A2504" s="1">
        <v>45078</v>
      </c>
      <c r="B2504" s="1">
        <v>45078</v>
      </c>
      <c r="C2504">
        <v>2023</v>
      </c>
      <c r="D2504">
        <v>6</v>
      </c>
      <c r="E2504" s="2" t="s">
        <v>344</v>
      </c>
      <c r="F2504" s="2" t="s">
        <v>345</v>
      </c>
      <c r="G2504" s="2" t="s">
        <v>21</v>
      </c>
      <c r="H2504" s="2" t="s">
        <v>332</v>
      </c>
      <c r="I2504" s="2" t="s">
        <v>333</v>
      </c>
      <c r="J2504" s="2" t="s">
        <v>59</v>
      </c>
      <c r="K2504">
        <v>212.3</v>
      </c>
      <c r="L2504">
        <v>14336617.140000001</v>
      </c>
      <c r="M2504">
        <v>6752999.1200000001</v>
      </c>
      <c r="N2504" s="2" t="s">
        <v>346</v>
      </c>
      <c r="O2504" s="2" t="s">
        <v>347</v>
      </c>
      <c r="P2504" s="2" t="s">
        <v>4546</v>
      </c>
      <c r="Q2504" s="2" t="s">
        <v>4547</v>
      </c>
      <c r="R2504" s="2" t="s">
        <v>29</v>
      </c>
      <c r="S2504" s="2" t="s">
        <v>30</v>
      </c>
    </row>
    <row r="2505" spans="1:19">
      <c r="A2505" s="1">
        <v>45078</v>
      </c>
      <c r="B2505" s="1">
        <v>45078</v>
      </c>
      <c r="C2505">
        <v>2023</v>
      </c>
      <c r="D2505">
        <v>6</v>
      </c>
      <c r="E2505" s="2" t="s">
        <v>350</v>
      </c>
      <c r="F2505" s="2" t="s">
        <v>351</v>
      </c>
      <c r="G2505" s="2" t="s">
        <v>21</v>
      </c>
      <c r="H2505" s="2" t="s">
        <v>22</v>
      </c>
      <c r="I2505" s="2" t="s">
        <v>352</v>
      </c>
      <c r="J2505" s="2" t="s">
        <v>353</v>
      </c>
      <c r="K2505">
        <v>119266.7</v>
      </c>
      <c r="L2505">
        <v>19829171.940000001</v>
      </c>
      <c r="M2505">
        <v>16625.91</v>
      </c>
      <c r="N2505" s="2" t="s">
        <v>354</v>
      </c>
      <c r="O2505" s="2" t="s">
        <v>355</v>
      </c>
      <c r="P2505" s="2" t="s">
        <v>4548</v>
      </c>
      <c r="Q2505" s="2" t="s">
        <v>4549</v>
      </c>
      <c r="R2505" s="2" t="s">
        <v>29</v>
      </c>
      <c r="S2505" s="2" t="s">
        <v>30</v>
      </c>
    </row>
    <row r="2506" spans="1:19">
      <c r="A2506" s="1">
        <v>45078</v>
      </c>
      <c r="B2506" s="1">
        <v>45078</v>
      </c>
      <c r="C2506">
        <v>2023</v>
      </c>
      <c r="D2506">
        <v>6</v>
      </c>
      <c r="E2506" s="2" t="s">
        <v>358</v>
      </c>
      <c r="F2506" s="2" t="s">
        <v>359</v>
      </c>
      <c r="G2506" s="2" t="s">
        <v>21</v>
      </c>
      <c r="H2506" s="2" t="s">
        <v>22</v>
      </c>
      <c r="I2506" s="2" t="s">
        <v>352</v>
      </c>
      <c r="J2506" s="2" t="s">
        <v>353</v>
      </c>
      <c r="K2506">
        <v>119806.06</v>
      </c>
      <c r="L2506">
        <v>20407478.09</v>
      </c>
      <c r="M2506">
        <v>17033.759999999998</v>
      </c>
      <c r="N2506" s="2" t="s">
        <v>360</v>
      </c>
      <c r="O2506" s="2" t="s">
        <v>361</v>
      </c>
      <c r="P2506" s="2" t="s">
        <v>4550</v>
      </c>
      <c r="Q2506" s="2" t="s">
        <v>4551</v>
      </c>
      <c r="R2506" s="2" t="s">
        <v>29</v>
      </c>
      <c r="S2506" s="2" t="s">
        <v>30</v>
      </c>
    </row>
    <row r="2507" spans="1:19">
      <c r="A2507" s="1">
        <v>45078</v>
      </c>
      <c r="B2507" s="1">
        <v>45078</v>
      </c>
      <c r="C2507">
        <v>2023</v>
      </c>
      <c r="D2507">
        <v>6</v>
      </c>
      <c r="E2507" s="2" t="s">
        <v>364</v>
      </c>
      <c r="F2507" s="2" t="s">
        <v>365</v>
      </c>
      <c r="G2507" s="2" t="s">
        <v>21</v>
      </c>
      <c r="H2507" s="2" t="s">
        <v>22</v>
      </c>
      <c r="I2507" s="2" t="s">
        <v>352</v>
      </c>
      <c r="J2507" s="2" t="s">
        <v>353</v>
      </c>
      <c r="K2507">
        <v>119593.76</v>
      </c>
      <c r="L2507">
        <v>6070860.9500000002</v>
      </c>
      <c r="M2507">
        <v>5076.24</v>
      </c>
      <c r="N2507" s="2" t="s">
        <v>366</v>
      </c>
      <c r="O2507" s="2" t="s">
        <v>367</v>
      </c>
      <c r="P2507" s="2" t="s">
        <v>4552</v>
      </c>
      <c r="Q2507" s="2" t="s">
        <v>4553</v>
      </c>
      <c r="R2507" s="2" t="s">
        <v>29</v>
      </c>
      <c r="S2507" s="2" t="s">
        <v>30</v>
      </c>
    </row>
    <row r="2508" spans="1:19">
      <c r="A2508" s="1">
        <v>45078</v>
      </c>
      <c r="B2508" s="1">
        <v>45078</v>
      </c>
      <c r="C2508">
        <v>2023</v>
      </c>
      <c r="D2508">
        <v>6</v>
      </c>
      <c r="E2508" s="2" t="s">
        <v>370</v>
      </c>
      <c r="F2508" s="2" t="s">
        <v>371</v>
      </c>
      <c r="G2508" s="2" t="s">
        <v>21</v>
      </c>
      <c r="H2508" s="2" t="s">
        <v>22</v>
      </c>
      <c r="I2508" s="2" t="s">
        <v>23</v>
      </c>
      <c r="J2508" s="2" t="s">
        <v>24</v>
      </c>
      <c r="K2508">
        <v>93350.61</v>
      </c>
      <c r="L2508">
        <v>1475464.26</v>
      </c>
      <c r="M2508">
        <v>1580.56</v>
      </c>
      <c r="N2508" s="2" t="s">
        <v>372</v>
      </c>
      <c r="O2508" s="2" t="s">
        <v>373</v>
      </c>
      <c r="P2508" s="2" t="s">
        <v>4554</v>
      </c>
      <c r="Q2508" s="2" t="s">
        <v>4555</v>
      </c>
      <c r="R2508" s="2" t="s">
        <v>29</v>
      </c>
      <c r="S2508" s="2" t="s">
        <v>30</v>
      </c>
    </row>
    <row r="2509" spans="1:19">
      <c r="A2509" s="1">
        <v>45078</v>
      </c>
      <c r="B2509" s="1">
        <v>45078</v>
      </c>
      <c r="C2509">
        <v>2023</v>
      </c>
      <c r="D2509">
        <v>6</v>
      </c>
      <c r="E2509" s="2" t="s">
        <v>376</v>
      </c>
      <c r="F2509" s="2" t="s">
        <v>377</v>
      </c>
      <c r="G2509" s="2" t="s">
        <v>21</v>
      </c>
      <c r="H2509" s="2" t="s">
        <v>22</v>
      </c>
      <c r="I2509" s="2" t="s">
        <v>23</v>
      </c>
      <c r="J2509" s="2" t="s">
        <v>378</v>
      </c>
      <c r="K2509">
        <v>2.1800000000000002</v>
      </c>
      <c r="L2509">
        <v>30.38</v>
      </c>
      <c r="M2509">
        <v>1393.58</v>
      </c>
      <c r="N2509" s="2" t="s">
        <v>379</v>
      </c>
      <c r="O2509" s="2" t="s">
        <v>380</v>
      </c>
      <c r="P2509" s="2" t="s">
        <v>4556</v>
      </c>
      <c r="Q2509" s="2" t="s">
        <v>4557</v>
      </c>
      <c r="R2509" s="2" t="s">
        <v>29</v>
      </c>
      <c r="S2509" s="2" t="s">
        <v>30</v>
      </c>
    </row>
    <row r="2510" spans="1:19">
      <c r="A2510" s="1">
        <v>45108</v>
      </c>
      <c r="B2510" s="1">
        <v>45108</v>
      </c>
      <c r="C2510">
        <v>2023</v>
      </c>
      <c r="D2510">
        <v>7</v>
      </c>
      <c r="E2510" s="2" t="s">
        <v>19</v>
      </c>
      <c r="F2510" s="2" t="s">
        <v>20</v>
      </c>
      <c r="G2510" s="2" t="s">
        <v>21</v>
      </c>
      <c r="H2510" s="2" t="s">
        <v>22</v>
      </c>
      <c r="I2510" s="2" t="s">
        <v>23</v>
      </c>
      <c r="J2510" s="2" t="s">
        <v>24</v>
      </c>
      <c r="K2510">
        <v>0.32</v>
      </c>
      <c r="L2510">
        <v>21.63</v>
      </c>
      <c r="M2510">
        <v>6759.38</v>
      </c>
      <c r="N2510" s="2" t="s">
        <v>25</v>
      </c>
      <c r="O2510" s="2" t="s">
        <v>26</v>
      </c>
      <c r="P2510" s="2" t="s">
        <v>1083</v>
      </c>
      <c r="Q2510" s="2" t="s">
        <v>4558</v>
      </c>
      <c r="R2510" s="2" t="s">
        <v>29</v>
      </c>
      <c r="S2510" s="2" t="s">
        <v>30</v>
      </c>
    </row>
    <row r="2511" spans="1:19">
      <c r="A2511" s="1">
        <v>45108</v>
      </c>
      <c r="B2511" s="1">
        <v>45108</v>
      </c>
      <c r="C2511">
        <v>2023</v>
      </c>
      <c r="D2511">
        <v>7</v>
      </c>
      <c r="E2511" s="2" t="s">
        <v>31</v>
      </c>
      <c r="F2511" s="2" t="s">
        <v>32</v>
      </c>
      <c r="G2511" s="2" t="s">
        <v>21</v>
      </c>
      <c r="H2511" s="2" t="s">
        <v>22</v>
      </c>
      <c r="I2511" s="2" t="s">
        <v>23</v>
      </c>
      <c r="J2511" s="2" t="s">
        <v>24</v>
      </c>
      <c r="K2511">
        <v>2850.05</v>
      </c>
      <c r="L2511">
        <v>45524.13</v>
      </c>
      <c r="M2511">
        <v>1597.31</v>
      </c>
      <c r="N2511" s="2" t="s">
        <v>33</v>
      </c>
      <c r="O2511" s="2" t="s">
        <v>34</v>
      </c>
      <c r="P2511" s="2" t="s">
        <v>4559</v>
      </c>
      <c r="Q2511" s="2" t="s">
        <v>4560</v>
      </c>
      <c r="R2511" s="2" t="s">
        <v>29</v>
      </c>
      <c r="S2511" s="2" t="s">
        <v>30</v>
      </c>
    </row>
    <row r="2512" spans="1:19">
      <c r="A2512" s="1">
        <v>45108</v>
      </c>
      <c r="B2512" s="1">
        <v>45108</v>
      </c>
      <c r="C2512">
        <v>2023</v>
      </c>
      <c r="D2512">
        <v>7</v>
      </c>
      <c r="E2512" s="2" t="s">
        <v>37</v>
      </c>
      <c r="F2512" s="2" t="s">
        <v>38</v>
      </c>
      <c r="G2512" s="2" t="s">
        <v>39</v>
      </c>
      <c r="H2512" s="2" t="s">
        <v>22</v>
      </c>
      <c r="I2512" s="2" t="s">
        <v>40</v>
      </c>
      <c r="J2512" s="2" t="s">
        <v>24</v>
      </c>
      <c r="K2512">
        <v>7.58</v>
      </c>
      <c r="L2512">
        <v>356.93</v>
      </c>
      <c r="M2512">
        <v>4708.84</v>
      </c>
      <c r="N2512" s="2" t="s">
        <v>41</v>
      </c>
      <c r="O2512" s="2" t="s">
        <v>42</v>
      </c>
      <c r="P2512" s="2" t="s">
        <v>4561</v>
      </c>
      <c r="Q2512" s="2" t="s">
        <v>4562</v>
      </c>
      <c r="R2512" s="2" t="s">
        <v>29</v>
      </c>
      <c r="S2512" s="2" t="s">
        <v>30</v>
      </c>
    </row>
    <row r="2513" spans="1:19">
      <c r="A2513" s="1">
        <v>45108</v>
      </c>
      <c r="B2513" s="1">
        <v>45108</v>
      </c>
      <c r="C2513">
        <v>2023</v>
      </c>
      <c r="D2513">
        <v>7</v>
      </c>
      <c r="E2513" s="2" t="s">
        <v>45</v>
      </c>
      <c r="F2513" s="2" t="s">
        <v>46</v>
      </c>
      <c r="G2513" s="2" t="s">
        <v>39</v>
      </c>
      <c r="H2513" s="2" t="s">
        <v>22</v>
      </c>
      <c r="I2513" s="2" t="s">
        <v>40</v>
      </c>
      <c r="J2513" s="2" t="s">
        <v>24</v>
      </c>
      <c r="K2513">
        <v>5553.98</v>
      </c>
      <c r="L2513">
        <v>267869.88</v>
      </c>
      <c r="M2513">
        <v>4823.03</v>
      </c>
      <c r="N2513" s="2" t="s">
        <v>47</v>
      </c>
      <c r="O2513" s="2" t="s">
        <v>48</v>
      </c>
      <c r="P2513" s="2" t="s">
        <v>4563</v>
      </c>
      <c r="Q2513" s="2" t="s">
        <v>4564</v>
      </c>
      <c r="R2513" s="2" t="s">
        <v>29</v>
      </c>
      <c r="S2513" s="2" t="s">
        <v>30</v>
      </c>
    </row>
    <row r="2514" spans="1:19">
      <c r="A2514" s="1">
        <v>45108</v>
      </c>
      <c r="B2514" s="1">
        <v>45108</v>
      </c>
      <c r="C2514">
        <v>2023</v>
      </c>
      <c r="D2514">
        <v>7</v>
      </c>
      <c r="E2514" s="2" t="s">
        <v>51</v>
      </c>
      <c r="F2514" s="2" t="s">
        <v>52</v>
      </c>
      <c r="G2514" s="2" t="s">
        <v>39</v>
      </c>
      <c r="H2514" s="2" t="s">
        <v>22</v>
      </c>
      <c r="I2514" s="2" t="s">
        <v>40</v>
      </c>
      <c r="J2514" s="2" t="s">
        <v>24</v>
      </c>
      <c r="K2514">
        <v>29.39</v>
      </c>
      <c r="L2514">
        <v>1071.32</v>
      </c>
      <c r="M2514">
        <v>3645.19</v>
      </c>
      <c r="N2514" s="2" t="s">
        <v>53</v>
      </c>
      <c r="O2514" s="2" t="s">
        <v>54</v>
      </c>
      <c r="P2514" s="2" t="s">
        <v>1397</v>
      </c>
      <c r="Q2514" s="2" t="s">
        <v>4565</v>
      </c>
      <c r="R2514" s="2" t="s">
        <v>29</v>
      </c>
      <c r="S2514" s="2" t="s">
        <v>30</v>
      </c>
    </row>
    <row r="2515" spans="1:19">
      <c r="A2515" s="1">
        <v>45108</v>
      </c>
      <c r="B2515" s="1">
        <v>45108</v>
      </c>
      <c r="C2515">
        <v>2023</v>
      </c>
      <c r="D2515">
        <v>7</v>
      </c>
      <c r="E2515" s="2" t="s">
        <v>57</v>
      </c>
      <c r="F2515" s="2" t="s">
        <v>58</v>
      </c>
      <c r="G2515" s="2" t="s">
        <v>39</v>
      </c>
      <c r="H2515" s="2" t="s">
        <v>22</v>
      </c>
      <c r="I2515" s="2" t="s">
        <v>40</v>
      </c>
      <c r="J2515" s="2" t="s">
        <v>59</v>
      </c>
      <c r="K2515">
        <v>5590.96</v>
      </c>
      <c r="L2515">
        <v>269298.13</v>
      </c>
      <c r="M2515">
        <v>4816.67</v>
      </c>
      <c r="N2515" s="2" t="s">
        <v>60</v>
      </c>
      <c r="O2515" s="2" t="s">
        <v>61</v>
      </c>
      <c r="P2515" s="2" t="s">
        <v>4566</v>
      </c>
      <c r="Q2515" s="2" t="s">
        <v>4567</v>
      </c>
      <c r="R2515" s="2" t="s">
        <v>29</v>
      </c>
      <c r="S2515" s="2" t="s">
        <v>30</v>
      </c>
    </row>
    <row r="2516" spans="1:19">
      <c r="A2516" s="1">
        <v>45108</v>
      </c>
      <c r="B2516" s="1">
        <v>45108</v>
      </c>
      <c r="C2516">
        <v>2023</v>
      </c>
      <c r="D2516">
        <v>7</v>
      </c>
      <c r="E2516" s="2" t="s">
        <v>64</v>
      </c>
      <c r="F2516" s="2" t="s">
        <v>65</v>
      </c>
      <c r="G2516" s="2" t="s">
        <v>21</v>
      </c>
      <c r="H2516" s="2" t="s">
        <v>22</v>
      </c>
      <c r="I2516" s="2" t="s">
        <v>66</v>
      </c>
      <c r="J2516" s="2" t="s">
        <v>24</v>
      </c>
      <c r="K2516">
        <v>14.42</v>
      </c>
      <c r="L2516">
        <v>457</v>
      </c>
      <c r="M2516">
        <v>3169.21</v>
      </c>
      <c r="N2516" s="2" t="s">
        <v>67</v>
      </c>
      <c r="O2516" s="2" t="s">
        <v>68</v>
      </c>
      <c r="P2516" s="2" t="s">
        <v>4568</v>
      </c>
      <c r="Q2516" s="2" t="s">
        <v>4569</v>
      </c>
      <c r="R2516" s="2" t="s">
        <v>29</v>
      </c>
      <c r="S2516" s="2" t="s">
        <v>30</v>
      </c>
    </row>
    <row r="2517" spans="1:19">
      <c r="A2517" s="1">
        <v>45108</v>
      </c>
      <c r="B2517" s="1">
        <v>45108</v>
      </c>
      <c r="C2517">
        <v>2023</v>
      </c>
      <c r="D2517">
        <v>7</v>
      </c>
      <c r="E2517" s="2" t="s">
        <v>71</v>
      </c>
      <c r="F2517" s="2" t="s">
        <v>72</v>
      </c>
      <c r="G2517" s="2" t="s">
        <v>21</v>
      </c>
      <c r="H2517" s="2" t="s">
        <v>22</v>
      </c>
      <c r="I2517" s="2" t="s">
        <v>73</v>
      </c>
      <c r="J2517" s="2" t="s">
        <v>59</v>
      </c>
      <c r="K2517">
        <v>4882.21</v>
      </c>
      <c r="L2517">
        <v>198421.45</v>
      </c>
      <c r="M2517">
        <v>4064.17</v>
      </c>
      <c r="N2517" s="2" t="s">
        <v>74</v>
      </c>
      <c r="O2517" s="2" t="s">
        <v>75</v>
      </c>
      <c r="P2517" s="2" t="s">
        <v>4570</v>
      </c>
      <c r="Q2517" s="2" t="s">
        <v>4571</v>
      </c>
      <c r="R2517" s="2" t="s">
        <v>29</v>
      </c>
      <c r="S2517" s="2" t="s">
        <v>30</v>
      </c>
    </row>
    <row r="2518" spans="1:19">
      <c r="A2518" s="1">
        <v>45108</v>
      </c>
      <c r="B2518" s="1">
        <v>45108</v>
      </c>
      <c r="C2518">
        <v>2023</v>
      </c>
      <c r="D2518">
        <v>7</v>
      </c>
      <c r="E2518" s="2" t="s">
        <v>78</v>
      </c>
      <c r="F2518" s="2" t="s">
        <v>79</v>
      </c>
      <c r="G2518" s="2" t="s">
        <v>80</v>
      </c>
      <c r="H2518" s="2" t="s">
        <v>81</v>
      </c>
      <c r="I2518" s="2" t="s">
        <v>82</v>
      </c>
      <c r="J2518" s="2" t="s">
        <v>24</v>
      </c>
      <c r="K2518">
        <v>2.17</v>
      </c>
      <c r="L2518">
        <v>5937049.6600000001</v>
      </c>
      <c r="M2518">
        <v>273596758.52999997</v>
      </c>
      <c r="N2518" s="2" t="s">
        <v>83</v>
      </c>
      <c r="O2518" s="2" t="s">
        <v>84</v>
      </c>
      <c r="P2518" s="2" t="s">
        <v>4167</v>
      </c>
      <c r="Q2518" s="2" t="s">
        <v>4572</v>
      </c>
      <c r="R2518" s="2" t="s">
        <v>29</v>
      </c>
      <c r="S2518" s="2" t="s">
        <v>30</v>
      </c>
    </row>
    <row r="2519" spans="1:19">
      <c r="A2519" s="1">
        <v>45108</v>
      </c>
      <c r="B2519" s="1">
        <v>45108</v>
      </c>
      <c r="C2519">
        <v>2023</v>
      </c>
      <c r="D2519">
        <v>7</v>
      </c>
      <c r="E2519" s="2" t="s">
        <v>87</v>
      </c>
      <c r="F2519" s="2" t="s">
        <v>88</v>
      </c>
      <c r="G2519" s="2" t="s">
        <v>80</v>
      </c>
      <c r="H2519" s="2" t="s">
        <v>81</v>
      </c>
      <c r="I2519" s="2" t="s">
        <v>82</v>
      </c>
      <c r="J2519" s="2" t="s">
        <v>24</v>
      </c>
      <c r="K2519">
        <v>0.87</v>
      </c>
      <c r="L2519">
        <v>1200245.29</v>
      </c>
      <c r="M2519">
        <v>137959228.74000001</v>
      </c>
      <c r="N2519" s="2" t="s">
        <v>89</v>
      </c>
      <c r="O2519" s="2" t="s">
        <v>90</v>
      </c>
      <c r="P2519" s="2" t="s">
        <v>912</v>
      </c>
      <c r="Q2519" s="2" t="s">
        <v>4573</v>
      </c>
      <c r="R2519" s="2" t="s">
        <v>29</v>
      </c>
      <c r="S2519" s="2" t="s">
        <v>30</v>
      </c>
    </row>
    <row r="2520" spans="1:19">
      <c r="A2520" s="1">
        <v>45108</v>
      </c>
      <c r="B2520" s="1">
        <v>45108</v>
      </c>
      <c r="C2520">
        <v>2023</v>
      </c>
      <c r="D2520">
        <v>7</v>
      </c>
      <c r="E2520" s="2" t="s">
        <v>93</v>
      </c>
      <c r="F2520" s="2" t="s">
        <v>94</v>
      </c>
      <c r="G2520" s="2" t="s">
        <v>80</v>
      </c>
      <c r="H2520" s="2" t="s">
        <v>81</v>
      </c>
      <c r="I2520" s="2" t="s">
        <v>82</v>
      </c>
      <c r="J2520" s="2" t="s">
        <v>24</v>
      </c>
      <c r="K2520">
        <v>0.46</v>
      </c>
      <c r="L2520">
        <v>6722021.8099999996</v>
      </c>
      <c r="M2520">
        <v>1461309089.1300001</v>
      </c>
      <c r="N2520" s="2" t="s">
        <v>95</v>
      </c>
      <c r="O2520" s="2" t="s">
        <v>96</v>
      </c>
      <c r="P2520" s="2" t="s">
        <v>2711</v>
      </c>
      <c r="Q2520" s="2" t="s">
        <v>4574</v>
      </c>
      <c r="R2520" s="2" t="s">
        <v>29</v>
      </c>
      <c r="S2520" s="2" t="s">
        <v>30</v>
      </c>
    </row>
    <row r="2521" spans="1:19">
      <c r="A2521" s="1">
        <v>45108</v>
      </c>
      <c r="B2521" s="1">
        <v>45108</v>
      </c>
      <c r="C2521">
        <v>2023</v>
      </c>
      <c r="D2521">
        <v>7</v>
      </c>
      <c r="E2521" s="2" t="s">
        <v>99</v>
      </c>
      <c r="F2521" s="2" t="s">
        <v>100</v>
      </c>
      <c r="G2521" s="2" t="s">
        <v>80</v>
      </c>
      <c r="H2521" s="2" t="s">
        <v>81</v>
      </c>
      <c r="I2521" s="2" t="s">
        <v>82</v>
      </c>
      <c r="J2521" s="2" t="s">
        <v>101</v>
      </c>
      <c r="K2521">
        <v>1.53</v>
      </c>
      <c r="L2521">
        <v>14338395.35</v>
      </c>
      <c r="M2521">
        <v>937150022.88</v>
      </c>
      <c r="N2521" s="2" t="s">
        <v>102</v>
      </c>
      <c r="O2521" s="2" t="s">
        <v>103</v>
      </c>
      <c r="P2521" s="2" t="s">
        <v>2709</v>
      </c>
      <c r="Q2521" s="2" t="s">
        <v>4575</v>
      </c>
      <c r="R2521" s="2" t="s">
        <v>29</v>
      </c>
      <c r="S2521" s="2" t="s">
        <v>30</v>
      </c>
    </row>
    <row r="2522" spans="1:19">
      <c r="A2522" s="1">
        <v>45108</v>
      </c>
      <c r="B2522" s="1">
        <v>45108</v>
      </c>
      <c r="C2522">
        <v>2023</v>
      </c>
      <c r="D2522">
        <v>7</v>
      </c>
      <c r="E2522" s="2" t="s">
        <v>106</v>
      </c>
      <c r="F2522" s="2" t="s">
        <v>107</v>
      </c>
      <c r="G2522" s="2" t="s">
        <v>80</v>
      </c>
      <c r="H2522" s="2" t="s">
        <v>81</v>
      </c>
      <c r="I2522" s="2" t="s">
        <v>82</v>
      </c>
      <c r="J2522" s="2" t="s">
        <v>24</v>
      </c>
      <c r="K2522">
        <v>0.2</v>
      </c>
      <c r="L2522">
        <v>6416128.25</v>
      </c>
      <c r="M2522">
        <v>3208064125</v>
      </c>
      <c r="N2522" s="2" t="s">
        <v>108</v>
      </c>
      <c r="O2522" s="2" t="s">
        <v>109</v>
      </c>
      <c r="P2522" s="2" t="s">
        <v>1142</v>
      </c>
      <c r="Q2522" s="2" t="s">
        <v>4576</v>
      </c>
      <c r="R2522" s="2" t="s">
        <v>29</v>
      </c>
      <c r="S2522" s="2" t="s">
        <v>30</v>
      </c>
    </row>
    <row r="2523" spans="1:19">
      <c r="A2523" s="1">
        <v>45108</v>
      </c>
      <c r="B2523" s="1">
        <v>45108</v>
      </c>
      <c r="C2523">
        <v>2023</v>
      </c>
      <c r="D2523">
        <v>7</v>
      </c>
      <c r="E2523" s="2" t="s">
        <v>111</v>
      </c>
      <c r="F2523" s="2" t="s">
        <v>112</v>
      </c>
      <c r="G2523" s="2" t="s">
        <v>80</v>
      </c>
      <c r="H2523" s="2" t="s">
        <v>81</v>
      </c>
      <c r="I2523" s="2" t="s">
        <v>82</v>
      </c>
      <c r="J2523" s="2" t="s">
        <v>24</v>
      </c>
      <c r="K2523">
        <v>0.13</v>
      </c>
      <c r="L2523">
        <v>837588</v>
      </c>
      <c r="M2523">
        <v>644298461.53999996</v>
      </c>
      <c r="N2523" s="2" t="s">
        <v>113</v>
      </c>
      <c r="O2523" s="2" t="s">
        <v>114</v>
      </c>
      <c r="P2523" s="2" t="s">
        <v>3378</v>
      </c>
      <c r="Q2523" s="2" t="s">
        <v>4577</v>
      </c>
      <c r="R2523" s="2" t="s">
        <v>29</v>
      </c>
      <c r="S2523" s="2" t="s">
        <v>30</v>
      </c>
    </row>
    <row r="2524" spans="1:19">
      <c r="A2524" s="1">
        <v>45108</v>
      </c>
      <c r="B2524" s="1">
        <v>45108</v>
      </c>
      <c r="C2524">
        <v>2023</v>
      </c>
      <c r="D2524">
        <v>7</v>
      </c>
      <c r="E2524" s="2" t="s">
        <v>117</v>
      </c>
      <c r="F2524" s="2" t="s">
        <v>118</v>
      </c>
      <c r="G2524" s="2" t="s">
        <v>80</v>
      </c>
      <c r="H2524" s="2" t="s">
        <v>81</v>
      </c>
      <c r="I2524" s="2" t="s">
        <v>82</v>
      </c>
      <c r="J2524" s="2" t="s">
        <v>59</v>
      </c>
      <c r="K2524">
        <v>3.83</v>
      </c>
      <c r="L2524">
        <v>21113033.010000002</v>
      </c>
      <c r="M2524">
        <v>551254125.59000003</v>
      </c>
      <c r="N2524" s="2" t="s">
        <v>119</v>
      </c>
      <c r="O2524" s="2" t="s">
        <v>120</v>
      </c>
      <c r="P2524" s="2" t="s">
        <v>4578</v>
      </c>
      <c r="Q2524" s="2" t="s">
        <v>4579</v>
      </c>
      <c r="R2524" s="2" t="s">
        <v>29</v>
      </c>
      <c r="S2524" s="2" t="s">
        <v>30</v>
      </c>
    </row>
    <row r="2525" spans="1:19">
      <c r="A2525" s="1">
        <v>45108</v>
      </c>
      <c r="B2525" s="1">
        <v>45108</v>
      </c>
      <c r="C2525">
        <v>2023</v>
      </c>
      <c r="D2525">
        <v>7</v>
      </c>
      <c r="E2525" s="2" t="s">
        <v>123</v>
      </c>
      <c r="F2525" s="2" t="s">
        <v>124</v>
      </c>
      <c r="G2525" s="2" t="s">
        <v>21</v>
      </c>
      <c r="H2525" s="2" t="s">
        <v>22</v>
      </c>
      <c r="I2525" s="2" t="s">
        <v>73</v>
      </c>
      <c r="J2525" s="2" t="s">
        <v>24</v>
      </c>
      <c r="K2525">
        <v>1346.69</v>
      </c>
      <c r="L2525">
        <v>95318.89</v>
      </c>
      <c r="M2525">
        <v>7078.01</v>
      </c>
      <c r="N2525" s="2" t="s">
        <v>125</v>
      </c>
      <c r="O2525" s="2" t="s">
        <v>126</v>
      </c>
      <c r="P2525" s="2" t="s">
        <v>4580</v>
      </c>
      <c r="Q2525" s="2" t="s">
        <v>4581</v>
      </c>
      <c r="R2525" s="2" t="s">
        <v>29</v>
      </c>
      <c r="S2525" s="2" t="s">
        <v>30</v>
      </c>
    </row>
    <row r="2526" spans="1:19">
      <c r="A2526" s="1">
        <v>45108</v>
      </c>
      <c r="B2526" s="1">
        <v>45108</v>
      </c>
      <c r="C2526">
        <v>2023</v>
      </c>
      <c r="D2526">
        <v>7</v>
      </c>
      <c r="E2526" s="2" t="s">
        <v>129</v>
      </c>
      <c r="F2526" s="2" t="s">
        <v>130</v>
      </c>
      <c r="G2526" s="2" t="s">
        <v>21</v>
      </c>
      <c r="H2526" s="2" t="s">
        <v>22</v>
      </c>
      <c r="I2526" s="2" t="s">
        <v>73</v>
      </c>
      <c r="J2526" s="2" t="s">
        <v>24</v>
      </c>
      <c r="K2526">
        <v>1434.21</v>
      </c>
      <c r="L2526">
        <v>49789.43</v>
      </c>
      <c r="M2526">
        <v>3471.56</v>
      </c>
      <c r="N2526" s="2" t="s">
        <v>131</v>
      </c>
      <c r="O2526" s="2" t="s">
        <v>132</v>
      </c>
      <c r="P2526" s="2" t="s">
        <v>4582</v>
      </c>
      <c r="Q2526" s="2" t="s">
        <v>4583</v>
      </c>
      <c r="R2526" s="2" t="s">
        <v>29</v>
      </c>
      <c r="S2526" s="2" t="s">
        <v>30</v>
      </c>
    </row>
    <row r="2527" spans="1:19">
      <c r="A2527" s="1">
        <v>45108</v>
      </c>
      <c r="B2527" s="1">
        <v>45108</v>
      </c>
      <c r="C2527">
        <v>2023</v>
      </c>
      <c r="D2527">
        <v>7</v>
      </c>
      <c r="E2527" s="2" t="s">
        <v>135</v>
      </c>
      <c r="F2527" s="2" t="s">
        <v>136</v>
      </c>
      <c r="G2527" s="2" t="s">
        <v>21</v>
      </c>
      <c r="H2527" s="2" t="s">
        <v>22</v>
      </c>
      <c r="I2527" s="2" t="s">
        <v>73</v>
      </c>
      <c r="J2527" s="2" t="s">
        <v>101</v>
      </c>
      <c r="K2527">
        <v>2780.9</v>
      </c>
      <c r="L2527">
        <v>145108.32</v>
      </c>
      <c r="M2527">
        <v>5218.03</v>
      </c>
      <c r="N2527" s="2" t="s">
        <v>137</v>
      </c>
      <c r="O2527" s="2" t="s">
        <v>138</v>
      </c>
      <c r="P2527" s="2" t="s">
        <v>4584</v>
      </c>
      <c r="Q2527" s="2" t="s">
        <v>4585</v>
      </c>
      <c r="R2527" s="2" t="s">
        <v>29</v>
      </c>
      <c r="S2527" s="2" t="s">
        <v>30</v>
      </c>
    </row>
    <row r="2528" spans="1:19">
      <c r="A2528" s="1">
        <v>45108</v>
      </c>
      <c r="B2528" s="1">
        <v>45108</v>
      </c>
      <c r="C2528">
        <v>2023</v>
      </c>
      <c r="D2528">
        <v>7</v>
      </c>
      <c r="E2528" s="2" t="s">
        <v>141</v>
      </c>
      <c r="F2528" s="2" t="s">
        <v>142</v>
      </c>
      <c r="G2528" s="2" t="s">
        <v>21</v>
      </c>
      <c r="H2528" s="2" t="s">
        <v>22</v>
      </c>
      <c r="I2528" s="2" t="s">
        <v>73</v>
      </c>
      <c r="J2528" s="2" t="s">
        <v>24</v>
      </c>
      <c r="K2528">
        <v>616.1</v>
      </c>
      <c r="L2528">
        <v>19800.63</v>
      </c>
      <c r="M2528">
        <v>3213.87</v>
      </c>
      <c r="N2528" s="2" t="s">
        <v>143</v>
      </c>
      <c r="O2528" s="2" t="s">
        <v>144</v>
      </c>
      <c r="P2528" s="2" t="s">
        <v>4586</v>
      </c>
      <c r="Q2528" s="2" t="s">
        <v>4587</v>
      </c>
      <c r="R2528" s="2" t="s">
        <v>29</v>
      </c>
      <c r="S2528" s="2" t="s">
        <v>30</v>
      </c>
    </row>
    <row r="2529" spans="1:19">
      <c r="A2529" s="1">
        <v>45108</v>
      </c>
      <c r="B2529" s="1">
        <v>45108</v>
      </c>
      <c r="C2529">
        <v>2023</v>
      </c>
      <c r="D2529">
        <v>7</v>
      </c>
      <c r="E2529" s="2" t="s">
        <v>147</v>
      </c>
      <c r="F2529" s="2" t="s">
        <v>148</v>
      </c>
      <c r="G2529" s="2" t="s">
        <v>21</v>
      </c>
      <c r="H2529" s="2" t="s">
        <v>22</v>
      </c>
      <c r="I2529" s="2" t="s">
        <v>73</v>
      </c>
      <c r="J2529" s="2" t="s">
        <v>24</v>
      </c>
      <c r="K2529">
        <v>1485.21</v>
      </c>
      <c r="L2529">
        <v>33512.5</v>
      </c>
      <c r="M2529">
        <v>2256.41</v>
      </c>
      <c r="N2529" s="2" t="s">
        <v>149</v>
      </c>
      <c r="O2529" s="2" t="s">
        <v>150</v>
      </c>
      <c r="P2529" s="2" t="s">
        <v>4588</v>
      </c>
      <c r="Q2529" s="2" t="s">
        <v>4589</v>
      </c>
      <c r="R2529" s="2" t="s">
        <v>29</v>
      </c>
      <c r="S2529" s="2" t="s">
        <v>30</v>
      </c>
    </row>
    <row r="2530" spans="1:19">
      <c r="A2530" s="1">
        <v>45108</v>
      </c>
      <c r="B2530" s="1">
        <v>45108</v>
      </c>
      <c r="C2530">
        <v>2023</v>
      </c>
      <c r="D2530">
        <v>7</v>
      </c>
      <c r="E2530" s="2" t="s">
        <v>153</v>
      </c>
      <c r="F2530" s="2" t="s">
        <v>154</v>
      </c>
      <c r="G2530" s="2" t="s">
        <v>21</v>
      </c>
      <c r="H2530" s="2" t="s">
        <v>22</v>
      </c>
      <c r="I2530" s="2" t="s">
        <v>73</v>
      </c>
      <c r="J2530" s="2" t="s">
        <v>101</v>
      </c>
      <c r="K2530">
        <v>2101.31</v>
      </c>
      <c r="L2530">
        <v>53313.13</v>
      </c>
      <c r="M2530">
        <v>2537.14</v>
      </c>
      <c r="N2530" s="2" t="s">
        <v>155</v>
      </c>
      <c r="O2530" s="2" t="s">
        <v>156</v>
      </c>
      <c r="P2530" s="2" t="s">
        <v>4590</v>
      </c>
      <c r="Q2530" s="2" t="s">
        <v>4591</v>
      </c>
      <c r="R2530" s="2" t="s">
        <v>29</v>
      </c>
      <c r="S2530" s="2" t="s">
        <v>30</v>
      </c>
    </row>
    <row r="2531" spans="1:19">
      <c r="A2531" s="1">
        <v>45108</v>
      </c>
      <c r="B2531" s="1">
        <v>45108</v>
      </c>
      <c r="C2531">
        <v>2023</v>
      </c>
      <c r="D2531">
        <v>7</v>
      </c>
      <c r="E2531" s="2" t="s">
        <v>159</v>
      </c>
      <c r="F2531" s="2" t="s">
        <v>160</v>
      </c>
      <c r="G2531" s="2" t="s">
        <v>21</v>
      </c>
      <c r="H2531" s="2" t="s">
        <v>22</v>
      </c>
      <c r="I2531" s="2" t="s">
        <v>66</v>
      </c>
      <c r="J2531" s="2" t="s">
        <v>59</v>
      </c>
      <c r="K2531">
        <v>1473.1</v>
      </c>
      <c r="L2531">
        <v>130930.69</v>
      </c>
      <c r="M2531">
        <v>8888.11</v>
      </c>
      <c r="N2531" s="2" t="s">
        <v>161</v>
      </c>
      <c r="O2531" s="2" t="s">
        <v>162</v>
      </c>
      <c r="P2531" s="2" t="s">
        <v>4592</v>
      </c>
      <c r="Q2531" s="2" t="s">
        <v>4593</v>
      </c>
      <c r="R2531" s="2" t="s">
        <v>29</v>
      </c>
      <c r="S2531" s="2" t="s">
        <v>30</v>
      </c>
    </row>
    <row r="2532" spans="1:19">
      <c r="A2532" s="1">
        <v>45108</v>
      </c>
      <c r="B2532" s="1">
        <v>45108</v>
      </c>
      <c r="C2532">
        <v>2023</v>
      </c>
      <c r="D2532">
        <v>7</v>
      </c>
      <c r="E2532" s="2" t="s">
        <v>165</v>
      </c>
      <c r="F2532" s="2" t="s">
        <v>166</v>
      </c>
      <c r="G2532" s="2" t="s">
        <v>21</v>
      </c>
      <c r="H2532" s="2" t="s">
        <v>22</v>
      </c>
      <c r="I2532" s="2" t="s">
        <v>23</v>
      </c>
      <c r="J2532" s="2" t="s">
        <v>24</v>
      </c>
      <c r="N2532" s="2" t="s">
        <v>167</v>
      </c>
      <c r="O2532" s="2" t="s">
        <v>168</v>
      </c>
      <c r="P2532" s="2" t="s">
        <v>175</v>
      </c>
      <c r="Q2532" s="2" t="s">
        <v>175</v>
      </c>
      <c r="R2532" s="2" t="s">
        <v>640</v>
      </c>
      <c r="S2532" s="2" t="s">
        <v>641</v>
      </c>
    </row>
    <row r="2533" spans="1:19">
      <c r="A2533" s="1">
        <v>45108</v>
      </c>
      <c r="B2533" s="1">
        <v>45108</v>
      </c>
      <c r="C2533">
        <v>2023</v>
      </c>
      <c r="D2533">
        <v>7</v>
      </c>
      <c r="E2533" s="2" t="s">
        <v>171</v>
      </c>
      <c r="F2533" s="2" t="s">
        <v>172</v>
      </c>
      <c r="G2533" s="2" t="s">
        <v>21</v>
      </c>
      <c r="H2533" s="2" t="s">
        <v>22</v>
      </c>
      <c r="I2533" s="2" t="s">
        <v>66</v>
      </c>
      <c r="J2533" s="2" t="s">
        <v>24</v>
      </c>
      <c r="N2533" s="2" t="s">
        <v>173</v>
      </c>
      <c r="O2533" s="2" t="s">
        <v>174</v>
      </c>
      <c r="P2533" s="2" t="s">
        <v>175</v>
      </c>
      <c r="Q2533" s="2" t="s">
        <v>175</v>
      </c>
      <c r="R2533" s="2" t="s">
        <v>640</v>
      </c>
      <c r="S2533" s="2" t="s">
        <v>641</v>
      </c>
    </row>
    <row r="2534" spans="1:19">
      <c r="A2534" s="1">
        <v>45108</v>
      </c>
      <c r="B2534" s="1">
        <v>45108</v>
      </c>
      <c r="C2534">
        <v>2023</v>
      </c>
      <c r="D2534">
        <v>7</v>
      </c>
      <c r="E2534" s="2" t="s">
        <v>177</v>
      </c>
      <c r="F2534" s="2" t="s">
        <v>178</v>
      </c>
      <c r="G2534" s="2" t="s">
        <v>21</v>
      </c>
      <c r="H2534" s="2" t="s">
        <v>22</v>
      </c>
      <c r="I2534" s="2" t="s">
        <v>23</v>
      </c>
      <c r="J2534" s="2" t="s">
        <v>24</v>
      </c>
      <c r="K2534">
        <v>4897.1000000000004</v>
      </c>
      <c r="L2534">
        <v>512311.87</v>
      </c>
      <c r="M2534">
        <v>10461.540000000001</v>
      </c>
      <c r="N2534" s="2" t="s">
        <v>179</v>
      </c>
      <c r="O2534" s="2" t="s">
        <v>180</v>
      </c>
      <c r="P2534" s="2" t="s">
        <v>4594</v>
      </c>
      <c r="Q2534" s="2" t="s">
        <v>4595</v>
      </c>
      <c r="R2534" s="2" t="s">
        <v>29</v>
      </c>
      <c r="S2534" s="2" t="s">
        <v>30</v>
      </c>
    </row>
    <row r="2535" spans="1:19">
      <c r="A2535" s="1">
        <v>45108</v>
      </c>
      <c r="B2535" s="1">
        <v>45108</v>
      </c>
      <c r="C2535">
        <v>2023</v>
      </c>
      <c r="D2535">
        <v>7</v>
      </c>
      <c r="E2535" s="2" t="s">
        <v>183</v>
      </c>
      <c r="F2535" s="2" t="s">
        <v>184</v>
      </c>
      <c r="G2535" s="2" t="s">
        <v>185</v>
      </c>
      <c r="H2535" s="2" t="s">
        <v>22</v>
      </c>
      <c r="I2535" s="2" t="s">
        <v>186</v>
      </c>
      <c r="J2535" s="2" t="s">
        <v>24</v>
      </c>
      <c r="K2535">
        <v>2831.21</v>
      </c>
      <c r="L2535">
        <v>3804044.63</v>
      </c>
      <c r="M2535">
        <v>134361.09</v>
      </c>
      <c r="N2535" s="2" t="s">
        <v>187</v>
      </c>
      <c r="O2535" s="2" t="s">
        <v>188</v>
      </c>
      <c r="P2535" s="2" t="s">
        <v>4596</v>
      </c>
      <c r="Q2535" s="2" t="s">
        <v>4597</v>
      </c>
      <c r="R2535" s="2" t="s">
        <v>29</v>
      </c>
      <c r="S2535" s="2" t="s">
        <v>30</v>
      </c>
    </row>
    <row r="2536" spans="1:19">
      <c r="A2536" s="1">
        <v>45108</v>
      </c>
      <c r="B2536" s="1">
        <v>45108</v>
      </c>
      <c r="C2536">
        <v>2023</v>
      </c>
      <c r="D2536">
        <v>7</v>
      </c>
      <c r="E2536" s="2" t="s">
        <v>191</v>
      </c>
      <c r="F2536" s="2" t="s">
        <v>192</v>
      </c>
      <c r="G2536" s="2" t="s">
        <v>185</v>
      </c>
      <c r="H2536" s="2" t="s">
        <v>22</v>
      </c>
      <c r="I2536" s="2" t="s">
        <v>186</v>
      </c>
      <c r="J2536" s="2" t="s">
        <v>24</v>
      </c>
      <c r="K2536">
        <v>1107.74</v>
      </c>
      <c r="L2536">
        <v>4353819.66</v>
      </c>
      <c r="M2536">
        <v>393036.24</v>
      </c>
      <c r="N2536" s="2" t="s">
        <v>193</v>
      </c>
      <c r="O2536" s="2" t="s">
        <v>194</v>
      </c>
      <c r="P2536" s="2" t="s">
        <v>4598</v>
      </c>
      <c r="Q2536" s="2" t="s">
        <v>4599</v>
      </c>
      <c r="R2536" s="2" t="s">
        <v>29</v>
      </c>
      <c r="S2536" s="2" t="s">
        <v>30</v>
      </c>
    </row>
    <row r="2537" spans="1:19">
      <c r="A2537" s="1">
        <v>45108</v>
      </c>
      <c r="B2537" s="1">
        <v>45108</v>
      </c>
      <c r="C2537">
        <v>2023</v>
      </c>
      <c r="D2537">
        <v>7</v>
      </c>
      <c r="E2537" s="2" t="s">
        <v>197</v>
      </c>
      <c r="F2537" s="2" t="s">
        <v>198</v>
      </c>
      <c r="G2537" s="2" t="s">
        <v>185</v>
      </c>
      <c r="H2537" s="2" t="s">
        <v>22</v>
      </c>
      <c r="I2537" s="2" t="s">
        <v>186</v>
      </c>
      <c r="J2537" s="2" t="s">
        <v>59</v>
      </c>
      <c r="K2537">
        <v>3938.95</v>
      </c>
      <c r="L2537">
        <v>8157864.2800000003</v>
      </c>
      <c r="M2537">
        <v>207107.59</v>
      </c>
      <c r="N2537" s="2" t="s">
        <v>199</v>
      </c>
      <c r="O2537" s="2" t="s">
        <v>200</v>
      </c>
      <c r="P2537" s="2" t="s">
        <v>4600</v>
      </c>
      <c r="Q2537" s="2" t="s">
        <v>4601</v>
      </c>
      <c r="R2537" s="2" t="s">
        <v>29</v>
      </c>
      <c r="S2537" s="2" t="s">
        <v>30</v>
      </c>
    </row>
    <row r="2538" spans="1:19">
      <c r="A2538" s="1">
        <v>45108</v>
      </c>
      <c r="B2538" s="1">
        <v>45108</v>
      </c>
      <c r="C2538">
        <v>2023</v>
      </c>
      <c r="D2538">
        <v>7</v>
      </c>
      <c r="E2538" s="2" t="s">
        <v>203</v>
      </c>
      <c r="F2538" s="2" t="s">
        <v>204</v>
      </c>
      <c r="G2538" s="2" t="s">
        <v>39</v>
      </c>
      <c r="H2538" s="2" t="s">
        <v>22</v>
      </c>
      <c r="I2538" s="2" t="s">
        <v>40</v>
      </c>
      <c r="J2538" s="2" t="s">
        <v>24</v>
      </c>
      <c r="K2538">
        <v>1078.92</v>
      </c>
      <c r="L2538">
        <v>28949.97</v>
      </c>
      <c r="M2538">
        <v>2683.24</v>
      </c>
      <c r="N2538" s="2" t="s">
        <v>205</v>
      </c>
      <c r="O2538" s="2" t="s">
        <v>206</v>
      </c>
      <c r="P2538" s="2" t="s">
        <v>4602</v>
      </c>
      <c r="Q2538" s="2" t="s">
        <v>4603</v>
      </c>
      <c r="R2538" s="2" t="s">
        <v>29</v>
      </c>
      <c r="S2538" s="2" t="s">
        <v>30</v>
      </c>
    </row>
    <row r="2539" spans="1:19">
      <c r="A2539" s="1">
        <v>45108</v>
      </c>
      <c r="B2539" s="1">
        <v>45108</v>
      </c>
      <c r="C2539">
        <v>2023</v>
      </c>
      <c r="D2539">
        <v>7</v>
      </c>
      <c r="E2539" s="2" t="s">
        <v>209</v>
      </c>
      <c r="F2539" s="2" t="s">
        <v>210</v>
      </c>
      <c r="G2539" s="2" t="s">
        <v>39</v>
      </c>
      <c r="H2539" s="2" t="s">
        <v>22</v>
      </c>
      <c r="I2539" s="2" t="s">
        <v>40</v>
      </c>
      <c r="J2539" s="2" t="s">
        <v>59</v>
      </c>
      <c r="K2539">
        <v>1078.92</v>
      </c>
      <c r="L2539">
        <v>28949.97</v>
      </c>
      <c r="M2539">
        <v>2683.24</v>
      </c>
      <c r="N2539" s="2" t="s">
        <v>211</v>
      </c>
      <c r="O2539" s="2" t="s">
        <v>212</v>
      </c>
      <c r="P2539" s="2" t="s">
        <v>4602</v>
      </c>
      <c r="Q2539" s="2" t="s">
        <v>4603</v>
      </c>
      <c r="R2539" s="2" t="s">
        <v>29</v>
      </c>
      <c r="S2539" s="2" t="s">
        <v>30</v>
      </c>
    </row>
    <row r="2540" spans="1:19">
      <c r="A2540" s="1">
        <v>45108</v>
      </c>
      <c r="B2540" s="1">
        <v>45108</v>
      </c>
      <c r="C2540">
        <v>2023</v>
      </c>
      <c r="D2540">
        <v>7</v>
      </c>
      <c r="E2540" s="2" t="s">
        <v>213</v>
      </c>
      <c r="F2540" s="2" t="s">
        <v>214</v>
      </c>
      <c r="G2540" s="2" t="s">
        <v>185</v>
      </c>
      <c r="H2540" s="2" t="s">
        <v>22</v>
      </c>
      <c r="I2540" s="2" t="s">
        <v>215</v>
      </c>
      <c r="J2540" s="2" t="s">
        <v>24</v>
      </c>
      <c r="K2540">
        <v>86940.28</v>
      </c>
      <c r="L2540">
        <v>1888674.34</v>
      </c>
      <c r="M2540">
        <v>2172.38</v>
      </c>
      <c r="N2540" s="2" t="s">
        <v>216</v>
      </c>
      <c r="O2540" s="2" t="s">
        <v>217</v>
      </c>
      <c r="P2540" s="2" t="s">
        <v>4604</v>
      </c>
      <c r="Q2540" s="2" t="s">
        <v>4605</v>
      </c>
      <c r="R2540" s="2" t="s">
        <v>29</v>
      </c>
      <c r="S2540" s="2" t="s">
        <v>30</v>
      </c>
    </row>
    <row r="2541" spans="1:19">
      <c r="A2541" s="1">
        <v>45108</v>
      </c>
      <c r="B2541" s="1">
        <v>45108</v>
      </c>
      <c r="C2541">
        <v>2023</v>
      </c>
      <c r="D2541">
        <v>7</v>
      </c>
      <c r="E2541" s="2" t="s">
        <v>220</v>
      </c>
      <c r="F2541" s="2" t="s">
        <v>221</v>
      </c>
      <c r="G2541" s="2" t="s">
        <v>185</v>
      </c>
      <c r="H2541" s="2" t="s">
        <v>22</v>
      </c>
      <c r="I2541" s="2" t="s">
        <v>215</v>
      </c>
      <c r="J2541" s="2" t="s">
        <v>24</v>
      </c>
      <c r="K2541">
        <v>6400.03</v>
      </c>
      <c r="L2541">
        <v>428279.17</v>
      </c>
      <c r="M2541">
        <v>6691.83</v>
      </c>
      <c r="N2541" s="2" t="s">
        <v>222</v>
      </c>
      <c r="O2541" s="2" t="s">
        <v>223</v>
      </c>
      <c r="P2541" s="2" t="s">
        <v>4606</v>
      </c>
      <c r="Q2541" s="2" t="s">
        <v>4607</v>
      </c>
      <c r="R2541" s="2" t="s">
        <v>29</v>
      </c>
      <c r="S2541" s="2" t="s">
        <v>30</v>
      </c>
    </row>
    <row r="2542" spans="1:19">
      <c r="A2542" s="1">
        <v>45108</v>
      </c>
      <c r="B2542" s="1">
        <v>45108</v>
      </c>
      <c r="C2542">
        <v>2023</v>
      </c>
      <c r="D2542">
        <v>7</v>
      </c>
      <c r="E2542" s="2" t="s">
        <v>226</v>
      </c>
      <c r="F2542" s="2" t="s">
        <v>227</v>
      </c>
      <c r="G2542" s="2" t="s">
        <v>185</v>
      </c>
      <c r="H2542" s="2" t="s">
        <v>22</v>
      </c>
      <c r="I2542" s="2" t="s">
        <v>215</v>
      </c>
      <c r="J2542" s="2" t="s">
        <v>59</v>
      </c>
      <c r="K2542">
        <v>93340.31</v>
      </c>
      <c r="L2542">
        <v>2316953.5099999998</v>
      </c>
      <c r="M2542">
        <v>2482.2600000000002</v>
      </c>
      <c r="N2542" s="2" t="s">
        <v>228</v>
      </c>
      <c r="O2542" s="2" t="s">
        <v>229</v>
      </c>
      <c r="P2542" s="2" t="s">
        <v>4608</v>
      </c>
      <c r="Q2542" s="2" t="s">
        <v>4609</v>
      </c>
      <c r="R2542" s="2" t="s">
        <v>29</v>
      </c>
      <c r="S2542" s="2" t="s">
        <v>30</v>
      </c>
    </row>
    <row r="2543" spans="1:19">
      <c r="A2543" s="1">
        <v>45108</v>
      </c>
      <c r="B2543" s="1">
        <v>45108</v>
      </c>
      <c r="C2543">
        <v>2023</v>
      </c>
      <c r="D2543">
        <v>7</v>
      </c>
      <c r="E2543" s="2" t="s">
        <v>232</v>
      </c>
      <c r="F2543" s="2" t="s">
        <v>233</v>
      </c>
      <c r="G2543" s="2" t="s">
        <v>21</v>
      </c>
      <c r="H2543" s="2" t="s">
        <v>22</v>
      </c>
      <c r="I2543" s="2" t="s">
        <v>23</v>
      </c>
      <c r="J2543" s="2" t="s">
        <v>24</v>
      </c>
      <c r="K2543">
        <v>1322.8</v>
      </c>
      <c r="L2543">
        <v>110184.01</v>
      </c>
      <c r="M2543">
        <v>8329.6</v>
      </c>
      <c r="N2543" s="2" t="s">
        <v>234</v>
      </c>
      <c r="O2543" s="2" t="s">
        <v>235</v>
      </c>
      <c r="P2543" s="2" t="s">
        <v>4610</v>
      </c>
      <c r="Q2543" s="2" t="s">
        <v>4611</v>
      </c>
      <c r="R2543" s="2" t="s">
        <v>29</v>
      </c>
      <c r="S2543" s="2" t="s">
        <v>30</v>
      </c>
    </row>
    <row r="2544" spans="1:19">
      <c r="A2544" s="1">
        <v>45108</v>
      </c>
      <c r="B2544" s="1">
        <v>45108</v>
      </c>
      <c r="C2544">
        <v>2023</v>
      </c>
      <c r="D2544">
        <v>7</v>
      </c>
      <c r="E2544" s="2" t="s">
        <v>238</v>
      </c>
      <c r="F2544" s="2" t="s">
        <v>239</v>
      </c>
      <c r="G2544" s="2" t="s">
        <v>21</v>
      </c>
      <c r="H2544" s="2" t="s">
        <v>22</v>
      </c>
      <c r="I2544" s="2" t="s">
        <v>66</v>
      </c>
      <c r="J2544" s="2" t="s">
        <v>24</v>
      </c>
      <c r="K2544">
        <v>1327.06</v>
      </c>
      <c r="L2544">
        <v>130240.45</v>
      </c>
      <c r="M2544">
        <v>9814.2099999999991</v>
      </c>
      <c r="N2544" s="2" t="s">
        <v>240</v>
      </c>
      <c r="O2544" s="2" t="s">
        <v>241</v>
      </c>
      <c r="P2544" s="2" t="s">
        <v>4612</v>
      </c>
      <c r="Q2544" s="2" t="s">
        <v>4613</v>
      </c>
      <c r="R2544" s="2" t="s">
        <v>29</v>
      </c>
      <c r="S2544" s="2" t="s">
        <v>30</v>
      </c>
    </row>
    <row r="2545" spans="1:19">
      <c r="A2545" s="1">
        <v>45108</v>
      </c>
      <c r="B2545" s="1">
        <v>45108</v>
      </c>
      <c r="C2545">
        <v>2023</v>
      </c>
      <c r="D2545">
        <v>7</v>
      </c>
      <c r="E2545" s="2" t="s">
        <v>244</v>
      </c>
      <c r="F2545" s="2" t="s">
        <v>245</v>
      </c>
      <c r="G2545" s="2" t="s">
        <v>21</v>
      </c>
      <c r="H2545" s="2" t="s">
        <v>22</v>
      </c>
      <c r="I2545" s="2" t="s">
        <v>23</v>
      </c>
      <c r="J2545" s="2" t="s">
        <v>24</v>
      </c>
      <c r="K2545">
        <v>5476.79</v>
      </c>
      <c r="L2545">
        <v>3049364.43</v>
      </c>
      <c r="M2545">
        <v>55677.95</v>
      </c>
      <c r="N2545" s="2" t="s">
        <v>246</v>
      </c>
      <c r="O2545" s="2" t="s">
        <v>247</v>
      </c>
      <c r="P2545" s="2" t="s">
        <v>4614</v>
      </c>
      <c r="Q2545" s="2" t="s">
        <v>4615</v>
      </c>
      <c r="R2545" s="2" t="s">
        <v>29</v>
      </c>
      <c r="S2545" s="2" t="s">
        <v>30</v>
      </c>
    </row>
    <row r="2546" spans="1:19">
      <c r="A2546" s="1">
        <v>45108</v>
      </c>
      <c r="B2546" s="1">
        <v>45108</v>
      </c>
      <c r="C2546">
        <v>2023</v>
      </c>
      <c r="D2546">
        <v>7</v>
      </c>
      <c r="E2546" s="2" t="s">
        <v>250</v>
      </c>
      <c r="F2546" s="2" t="s">
        <v>251</v>
      </c>
      <c r="G2546" s="2" t="s">
        <v>21</v>
      </c>
      <c r="H2546" s="2" t="s">
        <v>22</v>
      </c>
      <c r="I2546" s="2" t="s">
        <v>66</v>
      </c>
      <c r="J2546" s="2" t="s">
        <v>24</v>
      </c>
      <c r="K2546">
        <v>131.62</v>
      </c>
      <c r="L2546">
        <v>233.24</v>
      </c>
      <c r="M2546">
        <v>177.21</v>
      </c>
      <c r="N2546" s="2" t="s">
        <v>252</v>
      </c>
      <c r="O2546" s="2" t="s">
        <v>253</v>
      </c>
      <c r="P2546" s="2" t="s">
        <v>4616</v>
      </c>
      <c r="Q2546" s="2" t="s">
        <v>4617</v>
      </c>
      <c r="R2546" s="2" t="s">
        <v>29</v>
      </c>
      <c r="S2546" s="2" t="s">
        <v>30</v>
      </c>
    </row>
    <row r="2547" spans="1:19">
      <c r="A2547" s="1">
        <v>45108</v>
      </c>
      <c r="B2547" s="1">
        <v>45108</v>
      </c>
      <c r="C2547">
        <v>2023</v>
      </c>
      <c r="D2547">
        <v>7</v>
      </c>
      <c r="E2547" s="2" t="s">
        <v>256</v>
      </c>
      <c r="F2547" s="2" t="s">
        <v>257</v>
      </c>
      <c r="G2547" s="2" t="s">
        <v>21</v>
      </c>
      <c r="H2547" s="2" t="s">
        <v>22</v>
      </c>
      <c r="I2547" s="2" t="s">
        <v>258</v>
      </c>
      <c r="J2547" s="2" t="s">
        <v>24</v>
      </c>
      <c r="K2547">
        <v>555.48</v>
      </c>
      <c r="L2547">
        <v>587309.72</v>
      </c>
      <c r="M2547">
        <v>105730.13</v>
      </c>
      <c r="N2547" s="2" t="s">
        <v>259</v>
      </c>
      <c r="O2547" s="2" t="s">
        <v>260</v>
      </c>
      <c r="P2547" s="2" t="s">
        <v>4618</v>
      </c>
      <c r="Q2547" s="2" t="s">
        <v>4619</v>
      </c>
      <c r="R2547" s="2" t="s">
        <v>29</v>
      </c>
      <c r="S2547" s="2" t="s">
        <v>30</v>
      </c>
    </row>
    <row r="2548" spans="1:19">
      <c r="A2548" s="1">
        <v>45108</v>
      </c>
      <c r="B2548" s="1">
        <v>45108</v>
      </c>
      <c r="C2548">
        <v>2023</v>
      </c>
      <c r="D2548">
        <v>7</v>
      </c>
      <c r="E2548" s="2" t="s">
        <v>263</v>
      </c>
      <c r="F2548" s="2" t="s">
        <v>264</v>
      </c>
      <c r="G2548" s="2" t="s">
        <v>21</v>
      </c>
      <c r="H2548" s="2" t="s">
        <v>22</v>
      </c>
      <c r="I2548" s="2" t="s">
        <v>258</v>
      </c>
      <c r="J2548" s="2" t="s">
        <v>24</v>
      </c>
      <c r="K2548">
        <v>0</v>
      </c>
      <c r="L2548">
        <v>0</v>
      </c>
      <c r="N2548" s="2" t="s">
        <v>265</v>
      </c>
      <c r="O2548" s="2" t="s">
        <v>266</v>
      </c>
      <c r="P2548" s="2" t="s">
        <v>639</v>
      </c>
      <c r="Q2548" s="2" t="s">
        <v>639</v>
      </c>
      <c r="R2548" s="2" t="s">
        <v>29</v>
      </c>
      <c r="S2548" s="2" t="s">
        <v>30</v>
      </c>
    </row>
    <row r="2549" spans="1:19">
      <c r="A2549" s="1">
        <v>45108</v>
      </c>
      <c r="B2549" s="1">
        <v>45108</v>
      </c>
      <c r="C2549">
        <v>2023</v>
      </c>
      <c r="D2549">
        <v>7</v>
      </c>
      <c r="E2549" s="2" t="s">
        <v>269</v>
      </c>
      <c r="F2549" s="2" t="s">
        <v>270</v>
      </c>
      <c r="G2549" s="2" t="s">
        <v>21</v>
      </c>
      <c r="H2549" s="2" t="s">
        <v>22</v>
      </c>
      <c r="I2549" s="2" t="s">
        <v>258</v>
      </c>
      <c r="J2549" s="2" t="s">
        <v>59</v>
      </c>
      <c r="K2549">
        <v>555.48</v>
      </c>
      <c r="L2549">
        <v>587309.72</v>
      </c>
      <c r="M2549">
        <v>105730.13</v>
      </c>
      <c r="N2549" s="2" t="s">
        <v>271</v>
      </c>
      <c r="O2549" s="2" t="s">
        <v>272</v>
      </c>
      <c r="P2549" s="2" t="s">
        <v>4618</v>
      </c>
      <c r="Q2549" s="2" t="s">
        <v>4619</v>
      </c>
      <c r="R2549" s="2" t="s">
        <v>29</v>
      </c>
      <c r="S2549" s="2" t="s">
        <v>30</v>
      </c>
    </row>
    <row r="2550" spans="1:19">
      <c r="A2550" s="1">
        <v>45108</v>
      </c>
      <c r="B2550" s="1">
        <v>45108</v>
      </c>
      <c r="C2550">
        <v>2023</v>
      </c>
      <c r="D2550">
        <v>7</v>
      </c>
      <c r="E2550" s="2" t="s">
        <v>275</v>
      </c>
      <c r="F2550" s="2" t="s">
        <v>276</v>
      </c>
      <c r="G2550" s="2" t="s">
        <v>39</v>
      </c>
      <c r="H2550" s="2" t="s">
        <v>22</v>
      </c>
      <c r="I2550" s="2" t="s">
        <v>40</v>
      </c>
      <c r="J2550" s="2" t="s">
        <v>24</v>
      </c>
      <c r="K2550">
        <v>2.23</v>
      </c>
      <c r="L2550">
        <v>21.82</v>
      </c>
      <c r="M2550">
        <v>978.48</v>
      </c>
      <c r="N2550" s="2" t="s">
        <v>277</v>
      </c>
      <c r="O2550" s="2" t="s">
        <v>278</v>
      </c>
      <c r="P2550" s="2" t="s">
        <v>1041</v>
      </c>
      <c r="Q2550" s="2" t="s">
        <v>4620</v>
      </c>
      <c r="R2550" s="2" t="s">
        <v>29</v>
      </c>
      <c r="S2550" s="2" t="s">
        <v>30</v>
      </c>
    </row>
    <row r="2551" spans="1:19">
      <c r="A2551" s="1">
        <v>45108</v>
      </c>
      <c r="B2551" s="1">
        <v>45108</v>
      </c>
      <c r="C2551">
        <v>2023</v>
      </c>
      <c r="D2551">
        <v>7</v>
      </c>
      <c r="E2551" s="2" t="s">
        <v>281</v>
      </c>
      <c r="F2551" s="2" t="s">
        <v>282</v>
      </c>
      <c r="G2551" s="2" t="s">
        <v>39</v>
      </c>
      <c r="H2551" s="2" t="s">
        <v>22</v>
      </c>
      <c r="I2551" s="2" t="s">
        <v>40</v>
      </c>
      <c r="J2551" s="2" t="s">
        <v>24</v>
      </c>
      <c r="K2551">
        <v>0.01</v>
      </c>
      <c r="L2551">
        <v>0.03</v>
      </c>
      <c r="M2551">
        <v>300</v>
      </c>
      <c r="N2551" s="2" t="s">
        <v>283</v>
      </c>
      <c r="O2551" s="2" t="s">
        <v>284</v>
      </c>
      <c r="P2551" s="2" t="s">
        <v>832</v>
      </c>
      <c r="Q2551" s="2" t="s">
        <v>1247</v>
      </c>
      <c r="R2551" s="2" t="s">
        <v>29</v>
      </c>
      <c r="S2551" s="2" t="s">
        <v>30</v>
      </c>
    </row>
    <row r="2552" spans="1:19">
      <c r="A2552" s="1">
        <v>45108</v>
      </c>
      <c r="B2552" s="1">
        <v>45108</v>
      </c>
      <c r="C2552">
        <v>2023</v>
      </c>
      <c r="D2552">
        <v>7</v>
      </c>
      <c r="E2552" s="2" t="s">
        <v>287</v>
      </c>
      <c r="F2552" s="2" t="s">
        <v>288</v>
      </c>
      <c r="G2552" s="2" t="s">
        <v>39</v>
      </c>
      <c r="H2552" s="2" t="s">
        <v>22</v>
      </c>
      <c r="I2552" s="2" t="s">
        <v>40</v>
      </c>
      <c r="J2552" s="2" t="s">
        <v>59</v>
      </c>
      <c r="K2552">
        <v>2.23</v>
      </c>
      <c r="L2552">
        <v>21.85</v>
      </c>
      <c r="M2552">
        <v>979.82</v>
      </c>
      <c r="N2552" s="2" t="s">
        <v>289</v>
      </c>
      <c r="O2552" s="2" t="s">
        <v>290</v>
      </c>
      <c r="P2552" s="2" t="s">
        <v>1041</v>
      </c>
      <c r="Q2552" s="2" t="s">
        <v>4621</v>
      </c>
      <c r="R2552" s="2" t="s">
        <v>29</v>
      </c>
      <c r="S2552" s="2" t="s">
        <v>30</v>
      </c>
    </row>
    <row r="2553" spans="1:19">
      <c r="A2553" s="1">
        <v>45108</v>
      </c>
      <c r="B2553" s="1">
        <v>45108</v>
      </c>
      <c r="C2553">
        <v>2023</v>
      </c>
      <c r="D2553">
        <v>7</v>
      </c>
      <c r="E2553" s="2" t="s">
        <v>293</v>
      </c>
      <c r="F2553" s="2" t="s">
        <v>294</v>
      </c>
      <c r="G2553" s="2" t="s">
        <v>21</v>
      </c>
      <c r="H2553" s="2" t="s">
        <v>22</v>
      </c>
      <c r="I2553" s="2" t="s">
        <v>295</v>
      </c>
      <c r="J2553" s="2" t="s">
        <v>24</v>
      </c>
      <c r="K2553">
        <v>610.4</v>
      </c>
      <c r="L2553">
        <v>2726.65</v>
      </c>
      <c r="M2553">
        <v>446.7</v>
      </c>
      <c r="N2553" s="2" t="s">
        <v>296</v>
      </c>
      <c r="O2553" s="2" t="s">
        <v>297</v>
      </c>
      <c r="P2553" s="2" t="s">
        <v>4622</v>
      </c>
      <c r="Q2553" s="2" t="s">
        <v>4623</v>
      </c>
      <c r="R2553" s="2" t="s">
        <v>29</v>
      </c>
      <c r="S2553" s="2" t="s">
        <v>30</v>
      </c>
    </row>
    <row r="2554" spans="1:19">
      <c r="A2554" s="1">
        <v>45108</v>
      </c>
      <c r="B2554" s="1">
        <v>45108</v>
      </c>
      <c r="C2554">
        <v>2023</v>
      </c>
      <c r="D2554">
        <v>7</v>
      </c>
      <c r="E2554" s="2" t="s">
        <v>300</v>
      </c>
      <c r="F2554" s="2" t="s">
        <v>301</v>
      </c>
      <c r="G2554" s="2" t="s">
        <v>21</v>
      </c>
      <c r="H2554" s="2" t="s">
        <v>22</v>
      </c>
      <c r="I2554" s="2" t="s">
        <v>295</v>
      </c>
      <c r="J2554" s="2" t="s">
        <v>24</v>
      </c>
      <c r="K2554">
        <v>714.15</v>
      </c>
      <c r="L2554">
        <v>775.4</v>
      </c>
      <c r="M2554">
        <v>108.58</v>
      </c>
      <c r="N2554" s="2" t="s">
        <v>302</v>
      </c>
      <c r="O2554" s="2" t="s">
        <v>303</v>
      </c>
      <c r="P2554" s="2" t="s">
        <v>4624</v>
      </c>
      <c r="Q2554" s="2" t="s">
        <v>4625</v>
      </c>
      <c r="R2554" s="2" t="s">
        <v>29</v>
      </c>
      <c r="S2554" s="2" t="s">
        <v>30</v>
      </c>
    </row>
    <row r="2555" spans="1:19">
      <c r="A2555" s="1">
        <v>45108</v>
      </c>
      <c r="B2555" s="1">
        <v>45108</v>
      </c>
      <c r="C2555">
        <v>2023</v>
      </c>
      <c r="D2555">
        <v>7</v>
      </c>
      <c r="E2555" s="2" t="s">
        <v>306</v>
      </c>
      <c r="F2555" s="2" t="s">
        <v>307</v>
      </c>
      <c r="G2555" s="2" t="s">
        <v>21</v>
      </c>
      <c r="H2555" s="2" t="s">
        <v>22</v>
      </c>
      <c r="I2555" s="2" t="s">
        <v>295</v>
      </c>
      <c r="J2555" s="2" t="s">
        <v>101</v>
      </c>
      <c r="K2555">
        <v>1324.55</v>
      </c>
      <c r="L2555">
        <v>3502.05</v>
      </c>
      <c r="M2555">
        <v>264.39999999999998</v>
      </c>
      <c r="N2555" s="2" t="s">
        <v>308</v>
      </c>
      <c r="O2555" s="2" t="s">
        <v>309</v>
      </c>
      <c r="P2555" s="2" t="s">
        <v>4626</v>
      </c>
      <c r="Q2555" s="2" t="s">
        <v>4627</v>
      </c>
      <c r="R2555" s="2" t="s">
        <v>29</v>
      </c>
      <c r="S2555" s="2" t="s">
        <v>30</v>
      </c>
    </row>
    <row r="2556" spans="1:19">
      <c r="A2556" s="1">
        <v>45108</v>
      </c>
      <c r="B2556" s="1">
        <v>45108</v>
      </c>
      <c r="C2556">
        <v>2023</v>
      </c>
      <c r="D2556">
        <v>7</v>
      </c>
      <c r="E2556" s="2" t="s">
        <v>312</v>
      </c>
      <c r="F2556" s="2" t="s">
        <v>313</v>
      </c>
      <c r="G2556" s="2" t="s">
        <v>21</v>
      </c>
      <c r="H2556" s="2" t="s">
        <v>22</v>
      </c>
      <c r="I2556" s="2" t="s">
        <v>295</v>
      </c>
      <c r="J2556" s="2" t="s">
        <v>59</v>
      </c>
      <c r="K2556">
        <v>6393.08</v>
      </c>
      <c r="L2556">
        <v>23237.86</v>
      </c>
      <c r="M2556">
        <v>363.48</v>
      </c>
      <c r="N2556" s="2" t="s">
        <v>314</v>
      </c>
      <c r="O2556" s="2" t="s">
        <v>315</v>
      </c>
      <c r="P2556" s="2" t="s">
        <v>4628</v>
      </c>
      <c r="Q2556" s="2" t="s">
        <v>4629</v>
      </c>
      <c r="R2556" s="2" t="s">
        <v>29</v>
      </c>
      <c r="S2556" s="2" t="s">
        <v>30</v>
      </c>
    </row>
    <row r="2557" spans="1:19">
      <c r="A2557" s="1">
        <v>45108</v>
      </c>
      <c r="B2557" s="1">
        <v>45108</v>
      </c>
      <c r="C2557">
        <v>2023</v>
      </c>
      <c r="D2557">
        <v>7</v>
      </c>
      <c r="E2557" s="2" t="s">
        <v>318</v>
      </c>
      <c r="F2557" s="2" t="s">
        <v>319</v>
      </c>
      <c r="G2557" s="2" t="s">
        <v>21</v>
      </c>
      <c r="H2557" s="2" t="s">
        <v>22</v>
      </c>
      <c r="I2557" s="2" t="s">
        <v>295</v>
      </c>
      <c r="J2557" s="2" t="s">
        <v>24</v>
      </c>
      <c r="K2557">
        <v>5068.53</v>
      </c>
      <c r="L2557">
        <v>19735.810000000001</v>
      </c>
      <c r="M2557">
        <v>389.38</v>
      </c>
      <c r="N2557" s="2" t="s">
        <v>320</v>
      </c>
      <c r="O2557" s="2" t="s">
        <v>321</v>
      </c>
      <c r="P2557" s="2" t="s">
        <v>4630</v>
      </c>
      <c r="Q2557" s="2" t="s">
        <v>4631</v>
      </c>
      <c r="R2557" s="2" t="s">
        <v>29</v>
      </c>
      <c r="S2557" s="2" t="s">
        <v>30</v>
      </c>
    </row>
    <row r="2558" spans="1:19">
      <c r="A2558" s="1">
        <v>45108</v>
      </c>
      <c r="B2558" s="1">
        <v>45108</v>
      </c>
      <c r="C2558">
        <v>2023</v>
      </c>
      <c r="D2558">
        <v>7</v>
      </c>
      <c r="E2558" s="2" t="s">
        <v>324</v>
      </c>
      <c r="F2558" s="2" t="s">
        <v>325</v>
      </c>
      <c r="G2558" s="2" t="s">
        <v>21</v>
      </c>
      <c r="H2558" s="2" t="s">
        <v>22</v>
      </c>
      <c r="I2558" s="2" t="s">
        <v>23</v>
      </c>
      <c r="J2558" s="2" t="s">
        <v>59</v>
      </c>
      <c r="K2558">
        <v>114189.63</v>
      </c>
      <c r="L2558">
        <v>5250942.51</v>
      </c>
      <c r="M2558">
        <v>4598.4399999999996</v>
      </c>
      <c r="N2558" s="2" t="s">
        <v>326</v>
      </c>
      <c r="O2558" s="2" t="s">
        <v>327</v>
      </c>
      <c r="P2558" s="2" t="s">
        <v>4632</v>
      </c>
      <c r="Q2558" s="2" t="s">
        <v>4633</v>
      </c>
      <c r="R2558" s="2" t="s">
        <v>29</v>
      </c>
      <c r="S2558" s="2" t="s">
        <v>30</v>
      </c>
    </row>
    <row r="2559" spans="1:19">
      <c r="A2559" s="1">
        <v>45108</v>
      </c>
      <c r="B2559" s="1">
        <v>45108</v>
      </c>
      <c r="C2559">
        <v>2023</v>
      </c>
      <c r="D2559">
        <v>7</v>
      </c>
      <c r="E2559" s="2" t="s">
        <v>330</v>
      </c>
      <c r="F2559" s="2" t="s">
        <v>331</v>
      </c>
      <c r="G2559" s="2" t="s">
        <v>21</v>
      </c>
      <c r="H2559" s="2" t="s">
        <v>332</v>
      </c>
      <c r="I2559" s="2" t="s">
        <v>333</v>
      </c>
      <c r="J2559" s="2" t="s">
        <v>24</v>
      </c>
      <c r="K2559">
        <v>210.72</v>
      </c>
      <c r="L2559">
        <v>11615417.32</v>
      </c>
      <c r="M2559">
        <v>5512251.96</v>
      </c>
      <c r="N2559" s="2" t="s">
        <v>334</v>
      </c>
      <c r="O2559" s="2" t="s">
        <v>335</v>
      </c>
      <c r="P2559" s="2" t="s">
        <v>4634</v>
      </c>
      <c r="Q2559" s="2" t="s">
        <v>4635</v>
      </c>
      <c r="R2559" s="2" t="s">
        <v>29</v>
      </c>
      <c r="S2559" s="2" t="s">
        <v>30</v>
      </c>
    </row>
    <row r="2560" spans="1:19">
      <c r="A2560" s="1">
        <v>45108</v>
      </c>
      <c r="B2560" s="1">
        <v>45108</v>
      </c>
      <c r="C2560">
        <v>2023</v>
      </c>
      <c r="D2560">
        <v>7</v>
      </c>
      <c r="E2560" s="2" t="s">
        <v>338</v>
      </c>
      <c r="F2560" s="2" t="s">
        <v>339</v>
      </c>
      <c r="G2560" s="2" t="s">
        <v>21</v>
      </c>
      <c r="H2560" s="2" t="s">
        <v>332</v>
      </c>
      <c r="I2560" s="2" t="s">
        <v>333</v>
      </c>
      <c r="J2560" s="2" t="s">
        <v>24</v>
      </c>
      <c r="K2560">
        <v>1.17</v>
      </c>
      <c r="L2560">
        <v>1509143.96</v>
      </c>
      <c r="M2560">
        <v>128986663.25</v>
      </c>
      <c r="N2560" s="2" t="s">
        <v>340</v>
      </c>
      <c r="O2560" s="2" t="s">
        <v>341</v>
      </c>
      <c r="P2560" s="2" t="s">
        <v>618</v>
      </c>
      <c r="Q2560" s="2" t="s">
        <v>4636</v>
      </c>
      <c r="R2560" s="2" t="s">
        <v>29</v>
      </c>
      <c r="S2560" s="2" t="s">
        <v>30</v>
      </c>
    </row>
    <row r="2561" spans="1:19">
      <c r="A2561" s="1">
        <v>45108</v>
      </c>
      <c r="B2561" s="1">
        <v>45108</v>
      </c>
      <c r="C2561">
        <v>2023</v>
      </c>
      <c r="D2561">
        <v>7</v>
      </c>
      <c r="E2561" s="2" t="s">
        <v>344</v>
      </c>
      <c r="F2561" s="2" t="s">
        <v>345</v>
      </c>
      <c r="G2561" s="2" t="s">
        <v>21</v>
      </c>
      <c r="H2561" s="2" t="s">
        <v>332</v>
      </c>
      <c r="I2561" s="2" t="s">
        <v>333</v>
      </c>
      <c r="J2561" s="2" t="s">
        <v>59</v>
      </c>
      <c r="K2561">
        <v>211.89</v>
      </c>
      <c r="L2561">
        <v>13124561.27</v>
      </c>
      <c r="M2561">
        <v>6194044.6799999997</v>
      </c>
      <c r="N2561" s="2" t="s">
        <v>346</v>
      </c>
      <c r="O2561" s="2" t="s">
        <v>347</v>
      </c>
      <c r="P2561" s="2" t="s">
        <v>4637</v>
      </c>
      <c r="Q2561" s="2" t="s">
        <v>4638</v>
      </c>
      <c r="R2561" s="2" t="s">
        <v>29</v>
      </c>
      <c r="S2561" s="2" t="s">
        <v>30</v>
      </c>
    </row>
    <row r="2562" spans="1:19">
      <c r="A2562" s="1">
        <v>45108</v>
      </c>
      <c r="B2562" s="1">
        <v>45108</v>
      </c>
      <c r="C2562">
        <v>2023</v>
      </c>
      <c r="D2562">
        <v>7</v>
      </c>
      <c r="E2562" s="2" t="s">
        <v>350</v>
      </c>
      <c r="F2562" s="2" t="s">
        <v>351</v>
      </c>
      <c r="G2562" s="2" t="s">
        <v>21</v>
      </c>
      <c r="H2562" s="2" t="s">
        <v>22</v>
      </c>
      <c r="I2562" s="2" t="s">
        <v>352</v>
      </c>
      <c r="J2562" s="2" t="s">
        <v>353</v>
      </c>
      <c r="K2562">
        <v>127149.92</v>
      </c>
      <c r="L2562">
        <v>18728093.789999999</v>
      </c>
      <c r="M2562">
        <v>14729.14</v>
      </c>
      <c r="N2562" s="2" t="s">
        <v>354</v>
      </c>
      <c r="O2562" s="2" t="s">
        <v>355</v>
      </c>
      <c r="P2562" s="2" t="s">
        <v>4639</v>
      </c>
      <c r="Q2562" s="2" t="s">
        <v>4640</v>
      </c>
      <c r="R2562" s="2" t="s">
        <v>29</v>
      </c>
      <c r="S2562" s="2" t="s">
        <v>30</v>
      </c>
    </row>
    <row r="2563" spans="1:19">
      <c r="A2563" s="1">
        <v>45108</v>
      </c>
      <c r="B2563" s="1">
        <v>45108</v>
      </c>
      <c r="C2563">
        <v>2023</v>
      </c>
      <c r="D2563">
        <v>7</v>
      </c>
      <c r="E2563" s="2" t="s">
        <v>358</v>
      </c>
      <c r="F2563" s="2" t="s">
        <v>359</v>
      </c>
      <c r="G2563" s="2" t="s">
        <v>21</v>
      </c>
      <c r="H2563" s="2" t="s">
        <v>22</v>
      </c>
      <c r="I2563" s="2" t="s">
        <v>352</v>
      </c>
      <c r="J2563" s="2" t="s">
        <v>353</v>
      </c>
      <c r="K2563">
        <v>127705.4</v>
      </c>
      <c r="L2563">
        <v>19315403.510000002</v>
      </c>
      <c r="M2563">
        <v>15124.97</v>
      </c>
      <c r="N2563" s="2" t="s">
        <v>360</v>
      </c>
      <c r="O2563" s="2" t="s">
        <v>361</v>
      </c>
      <c r="P2563" s="2" t="s">
        <v>4641</v>
      </c>
      <c r="Q2563" s="2" t="s">
        <v>4642</v>
      </c>
      <c r="R2563" s="2" t="s">
        <v>29</v>
      </c>
      <c r="S2563" s="2" t="s">
        <v>30</v>
      </c>
    </row>
    <row r="2564" spans="1:19">
      <c r="A2564" s="1">
        <v>45108</v>
      </c>
      <c r="B2564" s="1">
        <v>45108</v>
      </c>
      <c r="C2564">
        <v>2023</v>
      </c>
      <c r="D2564">
        <v>7</v>
      </c>
      <c r="E2564" s="2" t="s">
        <v>364</v>
      </c>
      <c r="F2564" s="2" t="s">
        <v>365</v>
      </c>
      <c r="G2564" s="2" t="s">
        <v>21</v>
      </c>
      <c r="H2564" s="2" t="s">
        <v>22</v>
      </c>
      <c r="I2564" s="2" t="s">
        <v>352</v>
      </c>
      <c r="J2564" s="2" t="s">
        <v>353</v>
      </c>
      <c r="K2564">
        <v>127493.51</v>
      </c>
      <c r="L2564">
        <v>6190842.2400000002</v>
      </c>
      <c r="M2564">
        <v>4855.8100000000004</v>
      </c>
      <c r="N2564" s="2" t="s">
        <v>366</v>
      </c>
      <c r="O2564" s="2" t="s">
        <v>367</v>
      </c>
      <c r="P2564" s="2" t="s">
        <v>4643</v>
      </c>
      <c r="Q2564" s="2" t="s">
        <v>4644</v>
      </c>
      <c r="R2564" s="2" t="s">
        <v>29</v>
      </c>
      <c r="S2564" s="2" t="s">
        <v>30</v>
      </c>
    </row>
    <row r="2565" spans="1:19">
      <c r="A2565" s="1">
        <v>45108</v>
      </c>
      <c r="B2565" s="1">
        <v>45108</v>
      </c>
      <c r="C2565">
        <v>2023</v>
      </c>
      <c r="D2565">
        <v>7</v>
      </c>
      <c r="E2565" s="2" t="s">
        <v>370</v>
      </c>
      <c r="F2565" s="2" t="s">
        <v>371</v>
      </c>
      <c r="G2565" s="2" t="s">
        <v>21</v>
      </c>
      <c r="H2565" s="2" t="s">
        <v>22</v>
      </c>
      <c r="I2565" s="2" t="s">
        <v>23</v>
      </c>
      <c r="J2565" s="2" t="s">
        <v>24</v>
      </c>
      <c r="K2565">
        <v>99642.559999999998</v>
      </c>
      <c r="L2565">
        <v>1533536.44</v>
      </c>
      <c r="M2565">
        <v>1539.04</v>
      </c>
      <c r="N2565" s="2" t="s">
        <v>372</v>
      </c>
      <c r="O2565" s="2" t="s">
        <v>373</v>
      </c>
      <c r="P2565" s="2" t="s">
        <v>4645</v>
      </c>
      <c r="Q2565" s="2" t="s">
        <v>4646</v>
      </c>
      <c r="R2565" s="2" t="s">
        <v>29</v>
      </c>
      <c r="S2565" s="2" t="s">
        <v>30</v>
      </c>
    </row>
    <row r="2566" spans="1:19">
      <c r="A2566" s="1">
        <v>45108</v>
      </c>
      <c r="B2566" s="1">
        <v>45108</v>
      </c>
      <c r="C2566">
        <v>2023</v>
      </c>
      <c r="D2566">
        <v>7</v>
      </c>
      <c r="E2566" s="2" t="s">
        <v>376</v>
      </c>
      <c r="F2566" s="2" t="s">
        <v>377</v>
      </c>
      <c r="G2566" s="2" t="s">
        <v>21</v>
      </c>
      <c r="H2566" s="2" t="s">
        <v>22</v>
      </c>
      <c r="I2566" s="2" t="s">
        <v>23</v>
      </c>
      <c r="J2566" s="2" t="s">
        <v>378</v>
      </c>
      <c r="K2566">
        <v>2.77</v>
      </c>
      <c r="L2566">
        <v>43.05</v>
      </c>
      <c r="M2566">
        <v>1554.15</v>
      </c>
      <c r="N2566" s="2" t="s">
        <v>379</v>
      </c>
      <c r="O2566" s="2" t="s">
        <v>380</v>
      </c>
      <c r="P2566" s="2" t="s">
        <v>4647</v>
      </c>
      <c r="Q2566" s="2" t="s">
        <v>4648</v>
      </c>
      <c r="R2566" s="2" t="s">
        <v>29</v>
      </c>
      <c r="S2566" s="2" t="s">
        <v>30</v>
      </c>
    </row>
    <row r="2567" spans="1:19">
      <c r="A2567" s="1">
        <v>45139</v>
      </c>
      <c r="B2567" s="1">
        <v>45139</v>
      </c>
      <c r="C2567">
        <v>2023</v>
      </c>
      <c r="D2567">
        <v>8</v>
      </c>
      <c r="E2567" s="2" t="s">
        <v>19</v>
      </c>
      <c r="F2567" s="2" t="s">
        <v>20</v>
      </c>
      <c r="G2567" s="2" t="s">
        <v>21</v>
      </c>
      <c r="H2567" s="2" t="s">
        <v>22</v>
      </c>
      <c r="I2567" s="2" t="s">
        <v>23</v>
      </c>
      <c r="J2567" s="2" t="s">
        <v>24</v>
      </c>
      <c r="K2567">
        <v>0.34</v>
      </c>
      <c r="L2567">
        <v>21.79</v>
      </c>
      <c r="M2567">
        <v>6408.82</v>
      </c>
      <c r="N2567" s="2" t="s">
        <v>25</v>
      </c>
      <c r="O2567" s="2" t="s">
        <v>26</v>
      </c>
      <c r="P2567" s="2" t="s">
        <v>3373</v>
      </c>
      <c r="Q2567" s="2" t="s">
        <v>1892</v>
      </c>
      <c r="R2567" s="2" t="s">
        <v>29</v>
      </c>
      <c r="S2567" s="2" t="s">
        <v>30</v>
      </c>
    </row>
    <row r="2568" spans="1:19">
      <c r="A2568" s="1">
        <v>45139</v>
      </c>
      <c r="B2568" s="1">
        <v>45139</v>
      </c>
      <c r="C2568">
        <v>2023</v>
      </c>
      <c r="D2568">
        <v>8</v>
      </c>
      <c r="E2568" s="2" t="s">
        <v>31</v>
      </c>
      <c r="F2568" s="2" t="s">
        <v>32</v>
      </c>
      <c r="G2568" s="2" t="s">
        <v>21</v>
      </c>
      <c r="H2568" s="2" t="s">
        <v>22</v>
      </c>
      <c r="I2568" s="2" t="s">
        <v>23</v>
      </c>
      <c r="J2568" s="2" t="s">
        <v>24</v>
      </c>
      <c r="K2568">
        <v>1791.92</v>
      </c>
      <c r="L2568">
        <v>20129.45</v>
      </c>
      <c r="M2568">
        <v>1123.3499999999999</v>
      </c>
      <c r="N2568" s="2" t="s">
        <v>33</v>
      </c>
      <c r="O2568" s="2" t="s">
        <v>34</v>
      </c>
      <c r="P2568" s="2" t="s">
        <v>4649</v>
      </c>
      <c r="Q2568" s="2" t="s">
        <v>4650</v>
      </c>
      <c r="R2568" s="2" t="s">
        <v>29</v>
      </c>
      <c r="S2568" s="2" t="s">
        <v>30</v>
      </c>
    </row>
    <row r="2569" spans="1:19">
      <c r="A2569" s="1">
        <v>45139</v>
      </c>
      <c r="B2569" s="1">
        <v>45139</v>
      </c>
      <c r="C2569">
        <v>2023</v>
      </c>
      <c r="D2569">
        <v>8</v>
      </c>
      <c r="E2569" s="2" t="s">
        <v>37</v>
      </c>
      <c r="F2569" s="2" t="s">
        <v>38</v>
      </c>
      <c r="G2569" s="2" t="s">
        <v>39</v>
      </c>
      <c r="H2569" s="2" t="s">
        <v>22</v>
      </c>
      <c r="I2569" s="2" t="s">
        <v>40</v>
      </c>
      <c r="J2569" s="2" t="s">
        <v>24</v>
      </c>
      <c r="K2569">
        <v>8.09</v>
      </c>
      <c r="L2569">
        <v>382.78</v>
      </c>
      <c r="M2569">
        <v>4731.5200000000004</v>
      </c>
      <c r="N2569" s="2" t="s">
        <v>41</v>
      </c>
      <c r="O2569" s="2" t="s">
        <v>42</v>
      </c>
      <c r="P2569" s="2" t="s">
        <v>4651</v>
      </c>
      <c r="Q2569" s="2" t="s">
        <v>4652</v>
      </c>
      <c r="R2569" s="2" t="s">
        <v>29</v>
      </c>
      <c r="S2569" s="2" t="s">
        <v>30</v>
      </c>
    </row>
    <row r="2570" spans="1:19">
      <c r="A2570" s="1">
        <v>45139</v>
      </c>
      <c r="B2570" s="1">
        <v>45139</v>
      </c>
      <c r="C2570">
        <v>2023</v>
      </c>
      <c r="D2570">
        <v>8</v>
      </c>
      <c r="E2570" s="2" t="s">
        <v>45</v>
      </c>
      <c r="F2570" s="2" t="s">
        <v>46</v>
      </c>
      <c r="G2570" s="2" t="s">
        <v>39</v>
      </c>
      <c r="H2570" s="2" t="s">
        <v>22</v>
      </c>
      <c r="I2570" s="2" t="s">
        <v>40</v>
      </c>
      <c r="J2570" s="2" t="s">
        <v>24</v>
      </c>
      <c r="K2570">
        <v>5685.1</v>
      </c>
      <c r="L2570">
        <v>271611.68</v>
      </c>
      <c r="M2570">
        <v>4777.6099999999997</v>
      </c>
      <c r="N2570" s="2" t="s">
        <v>47</v>
      </c>
      <c r="O2570" s="2" t="s">
        <v>48</v>
      </c>
      <c r="P2570" s="2" t="s">
        <v>4653</v>
      </c>
      <c r="Q2570" s="2" t="s">
        <v>4654</v>
      </c>
      <c r="R2570" s="2" t="s">
        <v>29</v>
      </c>
      <c r="S2570" s="2" t="s">
        <v>30</v>
      </c>
    </row>
    <row r="2571" spans="1:19">
      <c r="A2571" s="1">
        <v>45139</v>
      </c>
      <c r="B2571" s="1">
        <v>45139</v>
      </c>
      <c r="C2571">
        <v>2023</v>
      </c>
      <c r="D2571">
        <v>8</v>
      </c>
      <c r="E2571" s="2" t="s">
        <v>51</v>
      </c>
      <c r="F2571" s="2" t="s">
        <v>52</v>
      </c>
      <c r="G2571" s="2" t="s">
        <v>39</v>
      </c>
      <c r="H2571" s="2" t="s">
        <v>22</v>
      </c>
      <c r="I2571" s="2" t="s">
        <v>40</v>
      </c>
      <c r="J2571" s="2" t="s">
        <v>24</v>
      </c>
      <c r="K2571">
        <v>30.12</v>
      </c>
      <c r="L2571">
        <v>1112.31</v>
      </c>
      <c r="M2571">
        <v>3692.93</v>
      </c>
      <c r="N2571" s="2" t="s">
        <v>53</v>
      </c>
      <c r="O2571" s="2" t="s">
        <v>54</v>
      </c>
      <c r="P2571" s="2" t="s">
        <v>4655</v>
      </c>
      <c r="Q2571" s="2" t="s">
        <v>4656</v>
      </c>
      <c r="R2571" s="2" t="s">
        <v>29</v>
      </c>
      <c r="S2571" s="2" t="s">
        <v>30</v>
      </c>
    </row>
    <row r="2572" spans="1:19">
      <c r="A2572" s="1">
        <v>45139</v>
      </c>
      <c r="B2572" s="1">
        <v>45139</v>
      </c>
      <c r="C2572">
        <v>2023</v>
      </c>
      <c r="D2572">
        <v>8</v>
      </c>
      <c r="E2572" s="2" t="s">
        <v>57</v>
      </c>
      <c r="F2572" s="2" t="s">
        <v>58</v>
      </c>
      <c r="G2572" s="2" t="s">
        <v>39</v>
      </c>
      <c r="H2572" s="2" t="s">
        <v>22</v>
      </c>
      <c r="I2572" s="2" t="s">
        <v>40</v>
      </c>
      <c r="J2572" s="2" t="s">
        <v>59</v>
      </c>
      <c r="K2572">
        <v>5723.31</v>
      </c>
      <c r="L2572">
        <v>273106.77</v>
      </c>
      <c r="M2572">
        <v>4771.83</v>
      </c>
      <c r="N2572" s="2" t="s">
        <v>60</v>
      </c>
      <c r="O2572" s="2" t="s">
        <v>61</v>
      </c>
      <c r="P2572" s="2" t="s">
        <v>4657</v>
      </c>
      <c r="Q2572" s="2" t="s">
        <v>4658</v>
      </c>
      <c r="R2572" s="2" t="s">
        <v>29</v>
      </c>
      <c r="S2572" s="2" t="s">
        <v>30</v>
      </c>
    </row>
    <row r="2573" spans="1:19">
      <c r="A2573" s="1">
        <v>45139</v>
      </c>
      <c r="B2573" s="1">
        <v>45139</v>
      </c>
      <c r="C2573">
        <v>2023</v>
      </c>
      <c r="D2573">
        <v>8</v>
      </c>
      <c r="E2573" s="2" t="s">
        <v>64</v>
      </c>
      <c r="F2573" s="2" t="s">
        <v>65</v>
      </c>
      <c r="G2573" s="2" t="s">
        <v>21</v>
      </c>
      <c r="H2573" s="2" t="s">
        <v>22</v>
      </c>
      <c r="I2573" s="2" t="s">
        <v>66</v>
      </c>
      <c r="J2573" s="2" t="s">
        <v>24</v>
      </c>
      <c r="K2573">
        <v>13.96</v>
      </c>
      <c r="L2573">
        <v>415.77</v>
      </c>
      <c r="M2573">
        <v>2978.3</v>
      </c>
      <c r="N2573" s="2" t="s">
        <v>67</v>
      </c>
      <c r="O2573" s="2" t="s">
        <v>68</v>
      </c>
      <c r="P2573" s="2" t="s">
        <v>4659</v>
      </c>
      <c r="Q2573" s="2" t="s">
        <v>4660</v>
      </c>
      <c r="R2573" s="2" t="s">
        <v>29</v>
      </c>
      <c r="S2573" s="2" t="s">
        <v>30</v>
      </c>
    </row>
    <row r="2574" spans="1:19">
      <c r="A2574" s="1">
        <v>45139</v>
      </c>
      <c r="B2574" s="1">
        <v>45139</v>
      </c>
      <c r="C2574">
        <v>2023</v>
      </c>
      <c r="D2574">
        <v>8</v>
      </c>
      <c r="E2574" s="2" t="s">
        <v>71</v>
      </c>
      <c r="F2574" s="2" t="s">
        <v>72</v>
      </c>
      <c r="G2574" s="2" t="s">
        <v>21</v>
      </c>
      <c r="H2574" s="2" t="s">
        <v>22</v>
      </c>
      <c r="I2574" s="2" t="s">
        <v>73</v>
      </c>
      <c r="J2574" s="2" t="s">
        <v>59</v>
      </c>
      <c r="K2574">
        <v>4981.72</v>
      </c>
      <c r="L2574">
        <v>201281.68</v>
      </c>
      <c r="M2574">
        <v>4040.41</v>
      </c>
      <c r="N2574" s="2" t="s">
        <v>74</v>
      </c>
      <c r="O2574" s="2" t="s">
        <v>75</v>
      </c>
      <c r="P2574" s="2" t="s">
        <v>4661</v>
      </c>
      <c r="Q2574" s="2" t="s">
        <v>4662</v>
      </c>
      <c r="R2574" s="2" t="s">
        <v>29</v>
      </c>
      <c r="S2574" s="2" t="s">
        <v>30</v>
      </c>
    </row>
    <row r="2575" spans="1:19">
      <c r="A2575" s="1">
        <v>45139</v>
      </c>
      <c r="B2575" s="1">
        <v>45139</v>
      </c>
      <c r="C2575">
        <v>2023</v>
      </c>
      <c r="D2575">
        <v>8</v>
      </c>
      <c r="E2575" s="2" t="s">
        <v>78</v>
      </c>
      <c r="F2575" s="2" t="s">
        <v>79</v>
      </c>
      <c r="G2575" s="2" t="s">
        <v>80</v>
      </c>
      <c r="H2575" s="2" t="s">
        <v>81</v>
      </c>
      <c r="I2575" s="2" t="s">
        <v>82</v>
      </c>
      <c r="J2575" s="2" t="s">
        <v>24</v>
      </c>
      <c r="K2575">
        <v>2.23</v>
      </c>
      <c r="L2575">
        <v>6636448.04</v>
      </c>
      <c r="M2575">
        <v>297598566.81999999</v>
      </c>
      <c r="N2575" s="2" t="s">
        <v>83</v>
      </c>
      <c r="O2575" s="2" t="s">
        <v>84</v>
      </c>
      <c r="P2575" s="2" t="s">
        <v>1041</v>
      </c>
      <c r="Q2575" s="2" t="s">
        <v>4663</v>
      </c>
      <c r="R2575" s="2" t="s">
        <v>29</v>
      </c>
      <c r="S2575" s="2" t="s">
        <v>30</v>
      </c>
    </row>
    <row r="2576" spans="1:19">
      <c r="A2576" s="1">
        <v>45139</v>
      </c>
      <c r="B2576" s="1">
        <v>45139</v>
      </c>
      <c r="C2576">
        <v>2023</v>
      </c>
      <c r="D2576">
        <v>8</v>
      </c>
      <c r="E2576" s="2" t="s">
        <v>87</v>
      </c>
      <c r="F2576" s="2" t="s">
        <v>88</v>
      </c>
      <c r="G2576" s="2" t="s">
        <v>80</v>
      </c>
      <c r="H2576" s="2" t="s">
        <v>81</v>
      </c>
      <c r="I2576" s="2" t="s">
        <v>82</v>
      </c>
      <c r="J2576" s="2" t="s">
        <v>24</v>
      </c>
      <c r="K2576">
        <v>0.82</v>
      </c>
      <c r="L2576">
        <v>1075273.42</v>
      </c>
      <c r="M2576">
        <v>131130904.88</v>
      </c>
      <c r="N2576" s="2" t="s">
        <v>89</v>
      </c>
      <c r="O2576" s="2" t="s">
        <v>90</v>
      </c>
      <c r="P2576" s="2" t="s">
        <v>615</v>
      </c>
      <c r="Q2576" s="2" t="s">
        <v>4664</v>
      </c>
      <c r="R2576" s="2" t="s">
        <v>29</v>
      </c>
      <c r="S2576" s="2" t="s">
        <v>30</v>
      </c>
    </row>
    <row r="2577" spans="1:19">
      <c r="A2577" s="1">
        <v>45139</v>
      </c>
      <c r="B2577" s="1">
        <v>45139</v>
      </c>
      <c r="C2577">
        <v>2023</v>
      </c>
      <c r="D2577">
        <v>8</v>
      </c>
      <c r="E2577" s="2" t="s">
        <v>93</v>
      </c>
      <c r="F2577" s="2" t="s">
        <v>94</v>
      </c>
      <c r="G2577" s="2" t="s">
        <v>80</v>
      </c>
      <c r="H2577" s="2" t="s">
        <v>81</v>
      </c>
      <c r="I2577" s="2" t="s">
        <v>82</v>
      </c>
      <c r="J2577" s="2" t="s">
        <v>24</v>
      </c>
      <c r="K2577">
        <v>0.44</v>
      </c>
      <c r="L2577">
        <v>6265270.5300000003</v>
      </c>
      <c r="M2577">
        <v>1423925120.45</v>
      </c>
      <c r="N2577" s="2" t="s">
        <v>95</v>
      </c>
      <c r="O2577" s="2" t="s">
        <v>96</v>
      </c>
      <c r="P2577" s="2" t="s">
        <v>4665</v>
      </c>
      <c r="Q2577" s="2" t="s">
        <v>4666</v>
      </c>
      <c r="R2577" s="2" t="s">
        <v>29</v>
      </c>
      <c r="S2577" s="2" t="s">
        <v>30</v>
      </c>
    </row>
    <row r="2578" spans="1:19">
      <c r="A2578" s="1">
        <v>45139</v>
      </c>
      <c r="B2578" s="1">
        <v>45139</v>
      </c>
      <c r="C2578">
        <v>2023</v>
      </c>
      <c r="D2578">
        <v>8</v>
      </c>
      <c r="E2578" s="2" t="s">
        <v>99</v>
      </c>
      <c r="F2578" s="2" t="s">
        <v>100</v>
      </c>
      <c r="G2578" s="2" t="s">
        <v>80</v>
      </c>
      <c r="H2578" s="2" t="s">
        <v>81</v>
      </c>
      <c r="I2578" s="2" t="s">
        <v>82</v>
      </c>
      <c r="J2578" s="2" t="s">
        <v>101</v>
      </c>
      <c r="K2578">
        <v>1.46</v>
      </c>
      <c r="L2578">
        <v>14374901.5</v>
      </c>
      <c r="M2578">
        <v>984582294.51999998</v>
      </c>
      <c r="N2578" s="2" t="s">
        <v>102</v>
      </c>
      <c r="O2578" s="2" t="s">
        <v>103</v>
      </c>
      <c r="P2578" s="2" t="s">
        <v>4667</v>
      </c>
      <c r="Q2578" s="2" t="s">
        <v>4668</v>
      </c>
      <c r="R2578" s="2" t="s">
        <v>29</v>
      </c>
      <c r="S2578" s="2" t="s">
        <v>30</v>
      </c>
    </row>
    <row r="2579" spans="1:19">
      <c r="A2579" s="1">
        <v>45139</v>
      </c>
      <c r="B2579" s="1">
        <v>45139</v>
      </c>
      <c r="C2579">
        <v>2023</v>
      </c>
      <c r="D2579">
        <v>8</v>
      </c>
      <c r="E2579" s="2" t="s">
        <v>106</v>
      </c>
      <c r="F2579" s="2" t="s">
        <v>107</v>
      </c>
      <c r="G2579" s="2" t="s">
        <v>80</v>
      </c>
      <c r="H2579" s="2" t="s">
        <v>81</v>
      </c>
      <c r="I2579" s="2" t="s">
        <v>82</v>
      </c>
      <c r="J2579" s="2" t="s">
        <v>24</v>
      </c>
      <c r="K2579">
        <v>0.2</v>
      </c>
      <c r="L2579">
        <v>7034357.5499999998</v>
      </c>
      <c r="M2579">
        <v>3517178775</v>
      </c>
      <c r="N2579" s="2" t="s">
        <v>108</v>
      </c>
      <c r="O2579" s="2" t="s">
        <v>109</v>
      </c>
      <c r="P2579" s="2" t="s">
        <v>1142</v>
      </c>
      <c r="Q2579" s="2" t="s">
        <v>4669</v>
      </c>
      <c r="R2579" s="2" t="s">
        <v>29</v>
      </c>
      <c r="S2579" s="2" t="s">
        <v>30</v>
      </c>
    </row>
    <row r="2580" spans="1:19">
      <c r="A2580" s="1">
        <v>45139</v>
      </c>
      <c r="B2580" s="1">
        <v>45139</v>
      </c>
      <c r="C2580">
        <v>2023</v>
      </c>
      <c r="D2580">
        <v>8</v>
      </c>
      <c r="E2580" s="2" t="s">
        <v>111</v>
      </c>
      <c r="F2580" s="2" t="s">
        <v>112</v>
      </c>
      <c r="G2580" s="2" t="s">
        <v>80</v>
      </c>
      <c r="H2580" s="2" t="s">
        <v>81</v>
      </c>
      <c r="I2580" s="2" t="s">
        <v>82</v>
      </c>
      <c r="J2580" s="2" t="s">
        <v>24</v>
      </c>
      <c r="K2580">
        <v>0.14000000000000001</v>
      </c>
      <c r="L2580">
        <v>784735</v>
      </c>
      <c r="M2580">
        <v>560525000</v>
      </c>
      <c r="N2580" s="2" t="s">
        <v>113</v>
      </c>
      <c r="O2580" s="2" t="s">
        <v>114</v>
      </c>
      <c r="P2580" s="2" t="s">
        <v>1187</v>
      </c>
      <c r="Q2580" s="2" t="s">
        <v>4670</v>
      </c>
      <c r="R2580" s="2" t="s">
        <v>29</v>
      </c>
      <c r="S2580" s="2" t="s">
        <v>30</v>
      </c>
    </row>
    <row r="2581" spans="1:19">
      <c r="A2581" s="1">
        <v>45139</v>
      </c>
      <c r="B2581" s="1">
        <v>45139</v>
      </c>
      <c r="C2581">
        <v>2023</v>
      </c>
      <c r="D2581">
        <v>8</v>
      </c>
      <c r="E2581" s="2" t="s">
        <v>117</v>
      </c>
      <c r="F2581" s="2" t="s">
        <v>118</v>
      </c>
      <c r="G2581" s="2" t="s">
        <v>80</v>
      </c>
      <c r="H2581" s="2" t="s">
        <v>81</v>
      </c>
      <c r="I2581" s="2" t="s">
        <v>82</v>
      </c>
      <c r="J2581" s="2" t="s">
        <v>59</v>
      </c>
      <c r="K2581">
        <v>3.83</v>
      </c>
      <c r="L2581">
        <v>21796084.539999999</v>
      </c>
      <c r="M2581">
        <v>569088369.19000006</v>
      </c>
      <c r="N2581" s="2" t="s">
        <v>119</v>
      </c>
      <c r="O2581" s="2" t="s">
        <v>120</v>
      </c>
      <c r="P2581" s="2" t="s">
        <v>4578</v>
      </c>
      <c r="Q2581" s="2" t="s">
        <v>4671</v>
      </c>
      <c r="R2581" s="2" t="s">
        <v>29</v>
      </c>
      <c r="S2581" s="2" t="s">
        <v>30</v>
      </c>
    </row>
    <row r="2582" spans="1:19">
      <c r="A2582" s="1">
        <v>45139</v>
      </c>
      <c r="B2582" s="1">
        <v>45139</v>
      </c>
      <c r="C2582">
        <v>2023</v>
      </c>
      <c r="D2582">
        <v>8</v>
      </c>
      <c r="E2582" s="2" t="s">
        <v>123</v>
      </c>
      <c r="F2582" s="2" t="s">
        <v>124</v>
      </c>
      <c r="G2582" s="2" t="s">
        <v>21</v>
      </c>
      <c r="H2582" s="2" t="s">
        <v>22</v>
      </c>
      <c r="I2582" s="2" t="s">
        <v>73</v>
      </c>
      <c r="J2582" s="2" t="s">
        <v>24</v>
      </c>
      <c r="K2582">
        <v>1384.99</v>
      </c>
      <c r="L2582">
        <v>95641.3</v>
      </c>
      <c r="M2582">
        <v>6905.56</v>
      </c>
      <c r="N2582" s="2" t="s">
        <v>125</v>
      </c>
      <c r="O2582" s="2" t="s">
        <v>126</v>
      </c>
      <c r="P2582" s="2" t="s">
        <v>4672</v>
      </c>
      <c r="Q2582" s="2" t="s">
        <v>4673</v>
      </c>
      <c r="R2582" s="2" t="s">
        <v>29</v>
      </c>
      <c r="S2582" s="2" t="s">
        <v>30</v>
      </c>
    </row>
    <row r="2583" spans="1:19">
      <c r="A2583" s="1">
        <v>45139</v>
      </c>
      <c r="B2583" s="1">
        <v>45139</v>
      </c>
      <c r="C2583">
        <v>2023</v>
      </c>
      <c r="D2583">
        <v>8</v>
      </c>
      <c r="E2583" s="2" t="s">
        <v>129</v>
      </c>
      <c r="F2583" s="2" t="s">
        <v>130</v>
      </c>
      <c r="G2583" s="2" t="s">
        <v>21</v>
      </c>
      <c r="H2583" s="2" t="s">
        <v>22</v>
      </c>
      <c r="I2583" s="2" t="s">
        <v>73</v>
      </c>
      <c r="J2583" s="2" t="s">
        <v>24</v>
      </c>
      <c r="K2583">
        <v>1520.79</v>
      </c>
      <c r="L2583">
        <v>52960.7</v>
      </c>
      <c r="M2583">
        <v>3482.45</v>
      </c>
      <c r="N2583" s="2" t="s">
        <v>131</v>
      </c>
      <c r="O2583" s="2" t="s">
        <v>132</v>
      </c>
      <c r="P2583" s="2" t="s">
        <v>4674</v>
      </c>
      <c r="Q2583" s="2" t="s">
        <v>4675</v>
      </c>
      <c r="R2583" s="2" t="s">
        <v>29</v>
      </c>
      <c r="S2583" s="2" t="s">
        <v>30</v>
      </c>
    </row>
    <row r="2584" spans="1:19">
      <c r="A2584" s="1">
        <v>45139</v>
      </c>
      <c r="B2584" s="1">
        <v>45139</v>
      </c>
      <c r="C2584">
        <v>2023</v>
      </c>
      <c r="D2584">
        <v>8</v>
      </c>
      <c r="E2584" s="2" t="s">
        <v>135</v>
      </c>
      <c r="F2584" s="2" t="s">
        <v>136</v>
      </c>
      <c r="G2584" s="2" t="s">
        <v>21</v>
      </c>
      <c r="H2584" s="2" t="s">
        <v>22</v>
      </c>
      <c r="I2584" s="2" t="s">
        <v>73</v>
      </c>
      <c r="J2584" s="2" t="s">
        <v>101</v>
      </c>
      <c r="K2584">
        <v>2905.78</v>
      </c>
      <c r="L2584">
        <v>148602.01</v>
      </c>
      <c r="M2584">
        <v>5114.01</v>
      </c>
      <c r="N2584" s="2" t="s">
        <v>137</v>
      </c>
      <c r="O2584" s="2" t="s">
        <v>138</v>
      </c>
      <c r="P2584" s="2" t="s">
        <v>4676</v>
      </c>
      <c r="Q2584" s="2" t="s">
        <v>4677</v>
      </c>
      <c r="R2584" s="2" t="s">
        <v>29</v>
      </c>
      <c r="S2584" s="2" t="s">
        <v>30</v>
      </c>
    </row>
    <row r="2585" spans="1:19">
      <c r="A2585" s="1">
        <v>45139</v>
      </c>
      <c r="B2585" s="1">
        <v>45139</v>
      </c>
      <c r="C2585">
        <v>2023</v>
      </c>
      <c r="D2585">
        <v>8</v>
      </c>
      <c r="E2585" s="2" t="s">
        <v>141</v>
      </c>
      <c r="F2585" s="2" t="s">
        <v>142</v>
      </c>
      <c r="G2585" s="2" t="s">
        <v>21</v>
      </c>
      <c r="H2585" s="2" t="s">
        <v>22</v>
      </c>
      <c r="I2585" s="2" t="s">
        <v>73</v>
      </c>
      <c r="J2585" s="2" t="s">
        <v>24</v>
      </c>
      <c r="K2585">
        <v>580.22</v>
      </c>
      <c r="L2585">
        <v>18075.060000000001</v>
      </c>
      <c r="M2585">
        <v>3115.21</v>
      </c>
      <c r="N2585" s="2" t="s">
        <v>143</v>
      </c>
      <c r="O2585" s="2" t="s">
        <v>144</v>
      </c>
      <c r="P2585" s="2" t="s">
        <v>4678</v>
      </c>
      <c r="Q2585" s="2" t="s">
        <v>4679</v>
      </c>
      <c r="R2585" s="2" t="s">
        <v>29</v>
      </c>
      <c r="S2585" s="2" t="s">
        <v>30</v>
      </c>
    </row>
    <row r="2586" spans="1:19">
      <c r="A2586" s="1">
        <v>45139</v>
      </c>
      <c r="B2586" s="1">
        <v>45139</v>
      </c>
      <c r="C2586">
        <v>2023</v>
      </c>
      <c r="D2586">
        <v>8</v>
      </c>
      <c r="E2586" s="2" t="s">
        <v>147</v>
      </c>
      <c r="F2586" s="2" t="s">
        <v>148</v>
      </c>
      <c r="G2586" s="2" t="s">
        <v>21</v>
      </c>
      <c r="H2586" s="2" t="s">
        <v>22</v>
      </c>
      <c r="I2586" s="2" t="s">
        <v>73</v>
      </c>
      <c r="J2586" s="2" t="s">
        <v>24</v>
      </c>
      <c r="K2586">
        <v>1495.72</v>
      </c>
      <c r="L2586">
        <v>34604.61</v>
      </c>
      <c r="M2586">
        <v>2313.58</v>
      </c>
      <c r="N2586" s="2" t="s">
        <v>149</v>
      </c>
      <c r="O2586" s="2" t="s">
        <v>150</v>
      </c>
      <c r="P2586" s="2" t="s">
        <v>4680</v>
      </c>
      <c r="Q2586" s="2" t="s">
        <v>4681</v>
      </c>
      <c r="R2586" s="2" t="s">
        <v>29</v>
      </c>
      <c r="S2586" s="2" t="s">
        <v>30</v>
      </c>
    </row>
    <row r="2587" spans="1:19">
      <c r="A2587" s="1">
        <v>45139</v>
      </c>
      <c r="B2587" s="1">
        <v>45139</v>
      </c>
      <c r="C2587">
        <v>2023</v>
      </c>
      <c r="D2587">
        <v>8</v>
      </c>
      <c r="E2587" s="2" t="s">
        <v>153</v>
      </c>
      <c r="F2587" s="2" t="s">
        <v>154</v>
      </c>
      <c r="G2587" s="2" t="s">
        <v>21</v>
      </c>
      <c r="H2587" s="2" t="s">
        <v>22</v>
      </c>
      <c r="I2587" s="2" t="s">
        <v>73</v>
      </c>
      <c r="J2587" s="2" t="s">
        <v>101</v>
      </c>
      <c r="K2587">
        <v>2075.94</v>
      </c>
      <c r="L2587">
        <v>52679.67</v>
      </c>
      <c r="M2587">
        <v>2537.63</v>
      </c>
      <c r="N2587" s="2" t="s">
        <v>155</v>
      </c>
      <c r="O2587" s="2" t="s">
        <v>156</v>
      </c>
      <c r="P2587" s="2" t="s">
        <v>4682</v>
      </c>
      <c r="Q2587" s="2" t="s">
        <v>4683</v>
      </c>
      <c r="R2587" s="2" t="s">
        <v>29</v>
      </c>
      <c r="S2587" s="2" t="s">
        <v>30</v>
      </c>
    </row>
    <row r="2588" spans="1:19">
      <c r="A2588" s="1">
        <v>45139</v>
      </c>
      <c r="B2588" s="1">
        <v>45139</v>
      </c>
      <c r="C2588">
        <v>2023</v>
      </c>
      <c r="D2588">
        <v>8</v>
      </c>
      <c r="E2588" s="2" t="s">
        <v>159</v>
      </c>
      <c r="F2588" s="2" t="s">
        <v>160</v>
      </c>
      <c r="G2588" s="2" t="s">
        <v>21</v>
      </c>
      <c r="H2588" s="2" t="s">
        <v>22</v>
      </c>
      <c r="I2588" s="2" t="s">
        <v>66</v>
      </c>
      <c r="J2588" s="2" t="s">
        <v>59</v>
      </c>
      <c r="K2588">
        <v>1522.83</v>
      </c>
      <c r="L2588">
        <v>135193.15</v>
      </c>
      <c r="M2588">
        <v>8877.76</v>
      </c>
      <c r="N2588" s="2" t="s">
        <v>161</v>
      </c>
      <c r="O2588" s="2" t="s">
        <v>162</v>
      </c>
      <c r="P2588" s="2" t="s">
        <v>4684</v>
      </c>
      <c r="Q2588" s="2" t="s">
        <v>4685</v>
      </c>
      <c r="R2588" s="2" t="s">
        <v>29</v>
      </c>
      <c r="S2588" s="2" t="s">
        <v>30</v>
      </c>
    </row>
    <row r="2589" spans="1:19">
      <c r="A2589" s="1">
        <v>45139</v>
      </c>
      <c r="B2589" s="1">
        <v>45139</v>
      </c>
      <c r="C2589">
        <v>2023</v>
      </c>
      <c r="D2589">
        <v>8</v>
      </c>
      <c r="E2589" s="2" t="s">
        <v>165</v>
      </c>
      <c r="F2589" s="2" t="s">
        <v>166</v>
      </c>
      <c r="G2589" s="2" t="s">
        <v>21</v>
      </c>
      <c r="H2589" s="2" t="s">
        <v>22</v>
      </c>
      <c r="I2589" s="2" t="s">
        <v>23</v>
      </c>
      <c r="J2589" s="2" t="s">
        <v>24</v>
      </c>
      <c r="N2589" s="2" t="s">
        <v>167</v>
      </c>
      <c r="O2589" s="2" t="s">
        <v>168</v>
      </c>
      <c r="P2589" s="2" t="s">
        <v>175</v>
      </c>
      <c r="Q2589" s="2" t="s">
        <v>175</v>
      </c>
      <c r="R2589" s="2" t="s">
        <v>640</v>
      </c>
      <c r="S2589" s="2" t="s">
        <v>641</v>
      </c>
    </row>
    <row r="2590" spans="1:19">
      <c r="A2590" s="1">
        <v>45139</v>
      </c>
      <c r="B2590" s="1">
        <v>45139</v>
      </c>
      <c r="C2590">
        <v>2023</v>
      </c>
      <c r="D2590">
        <v>8</v>
      </c>
      <c r="E2590" s="2" t="s">
        <v>171</v>
      </c>
      <c r="F2590" s="2" t="s">
        <v>172</v>
      </c>
      <c r="G2590" s="2" t="s">
        <v>21</v>
      </c>
      <c r="H2590" s="2" t="s">
        <v>22</v>
      </c>
      <c r="I2590" s="2" t="s">
        <v>66</v>
      </c>
      <c r="J2590" s="2" t="s">
        <v>24</v>
      </c>
      <c r="N2590" s="2" t="s">
        <v>173</v>
      </c>
      <c r="O2590" s="2" t="s">
        <v>174</v>
      </c>
      <c r="P2590" s="2" t="s">
        <v>175</v>
      </c>
      <c r="Q2590" s="2" t="s">
        <v>175</v>
      </c>
      <c r="R2590" s="2" t="s">
        <v>640</v>
      </c>
      <c r="S2590" s="2" t="s">
        <v>641</v>
      </c>
    </row>
    <row r="2591" spans="1:19">
      <c r="A2591" s="1">
        <v>45139</v>
      </c>
      <c r="B2591" s="1">
        <v>45139</v>
      </c>
      <c r="C2591">
        <v>2023</v>
      </c>
      <c r="D2591">
        <v>8</v>
      </c>
      <c r="E2591" s="2" t="s">
        <v>177</v>
      </c>
      <c r="F2591" s="2" t="s">
        <v>178</v>
      </c>
      <c r="G2591" s="2" t="s">
        <v>21</v>
      </c>
      <c r="H2591" s="2" t="s">
        <v>22</v>
      </c>
      <c r="I2591" s="2" t="s">
        <v>23</v>
      </c>
      <c r="J2591" s="2" t="s">
        <v>24</v>
      </c>
      <c r="K2591">
        <v>4891.6499999999996</v>
      </c>
      <c r="L2591">
        <v>514279.53</v>
      </c>
      <c r="M2591">
        <v>10513.42</v>
      </c>
      <c r="N2591" s="2" t="s">
        <v>179</v>
      </c>
      <c r="O2591" s="2" t="s">
        <v>180</v>
      </c>
      <c r="P2591" s="2" t="s">
        <v>4686</v>
      </c>
      <c r="Q2591" s="2" t="s">
        <v>4687</v>
      </c>
      <c r="R2591" s="2" t="s">
        <v>29</v>
      </c>
      <c r="S2591" s="2" t="s">
        <v>30</v>
      </c>
    </row>
    <row r="2592" spans="1:19">
      <c r="A2592" s="1">
        <v>45139</v>
      </c>
      <c r="B2592" s="1">
        <v>45139</v>
      </c>
      <c r="C2592">
        <v>2023</v>
      </c>
      <c r="D2592">
        <v>8</v>
      </c>
      <c r="E2592" s="2" t="s">
        <v>183</v>
      </c>
      <c r="F2592" s="2" t="s">
        <v>184</v>
      </c>
      <c r="G2592" s="2" t="s">
        <v>185</v>
      </c>
      <c r="H2592" s="2" t="s">
        <v>22</v>
      </c>
      <c r="I2592" s="2" t="s">
        <v>186</v>
      </c>
      <c r="J2592" s="2" t="s">
        <v>24</v>
      </c>
      <c r="K2592">
        <v>2757.3</v>
      </c>
      <c r="L2592">
        <v>3804596.38</v>
      </c>
      <c r="M2592">
        <v>137982.68</v>
      </c>
      <c r="N2592" s="2" t="s">
        <v>187</v>
      </c>
      <c r="O2592" s="2" t="s">
        <v>188</v>
      </c>
      <c r="P2592" s="2" t="s">
        <v>4688</v>
      </c>
      <c r="Q2592" s="2" t="s">
        <v>4689</v>
      </c>
      <c r="R2592" s="2" t="s">
        <v>29</v>
      </c>
      <c r="S2592" s="2" t="s">
        <v>30</v>
      </c>
    </row>
    <row r="2593" spans="1:19">
      <c r="A2593" s="1">
        <v>45139</v>
      </c>
      <c r="B2593" s="1">
        <v>45139</v>
      </c>
      <c r="C2593">
        <v>2023</v>
      </c>
      <c r="D2593">
        <v>8</v>
      </c>
      <c r="E2593" s="2" t="s">
        <v>191</v>
      </c>
      <c r="F2593" s="2" t="s">
        <v>192</v>
      </c>
      <c r="G2593" s="2" t="s">
        <v>185</v>
      </c>
      <c r="H2593" s="2" t="s">
        <v>22</v>
      </c>
      <c r="I2593" s="2" t="s">
        <v>186</v>
      </c>
      <c r="J2593" s="2" t="s">
        <v>24</v>
      </c>
      <c r="K2593">
        <v>1033.68</v>
      </c>
      <c r="L2593">
        <v>4490488.17</v>
      </c>
      <c r="M2593">
        <v>434417.63</v>
      </c>
      <c r="N2593" s="2" t="s">
        <v>193</v>
      </c>
      <c r="O2593" s="2" t="s">
        <v>194</v>
      </c>
      <c r="P2593" s="2" t="s">
        <v>4690</v>
      </c>
      <c r="Q2593" s="2" t="s">
        <v>4691</v>
      </c>
      <c r="R2593" s="2" t="s">
        <v>29</v>
      </c>
      <c r="S2593" s="2" t="s">
        <v>30</v>
      </c>
    </row>
    <row r="2594" spans="1:19">
      <c r="A2594" s="1">
        <v>45139</v>
      </c>
      <c r="B2594" s="1">
        <v>45139</v>
      </c>
      <c r="C2594">
        <v>2023</v>
      </c>
      <c r="D2594">
        <v>8</v>
      </c>
      <c r="E2594" s="2" t="s">
        <v>197</v>
      </c>
      <c r="F2594" s="2" t="s">
        <v>198</v>
      </c>
      <c r="G2594" s="2" t="s">
        <v>185</v>
      </c>
      <c r="H2594" s="2" t="s">
        <v>22</v>
      </c>
      <c r="I2594" s="2" t="s">
        <v>186</v>
      </c>
      <c r="J2594" s="2" t="s">
        <v>59</v>
      </c>
      <c r="K2594">
        <v>3790.98</v>
      </c>
      <c r="L2594">
        <v>8295084.5599999996</v>
      </c>
      <c r="M2594">
        <v>218811.09</v>
      </c>
      <c r="N2594" s="2" t="s">
        <v>199</v>
      </c>
      <c r="O2594" s="2" t="s">
        <v>200</v>
      </c>
      <c r="P2594" s="2" t="s">
        <v>4692</v>
      </c>
      <c r="Q2594" s="2" t="s">
        <v>4693</v>
      </c>
      <c r="R2594" s="2" t="s">
        <v>29</v>
      </c>
      <c r="S2594" s="2" t="s">
        <v>30</v>
      </c>
    </row>
    <row r="2595" spans="1:19">
      <c r="A2595" s="1">
        <v>45139</v>
      </c>
      <c r="B2595" s="1">
        <v>45139</v>
      </c>
      <c r="C2595">
        <v>2023</v>
      </c>
      <c r="D2595">
        <v>8</v>
      </c>
      <c r="E2595" s="2" t="s">
        <v>203</v>
      </c>
      <c r="F2595" s="2" t="s">
        <v>204</v>
      </c>
      <c r="G2595" s="2" t="s">
        <v>39</v>
      </c>
      <c r="H2595" s="2" t="s">
        <v>22</v>
      </c>
      <c r="I2595" s="2" t="s">
        <v>40</v>
      </c>
      <c r="J2595" s="2" t="s">
        <v>24</v>
      </c>
      <c r="K2595">
        <v>1055.42</v>
      </c>
      <c r="L2595">
        <v>27022.7</v>
      </c>
      <c r="M2595">
        <v>2560.37</v>
      </c>
      <c r="N2595" s="2" t="s">
        <v>205</v>
      </c>
      <c r="O2595" s="2" t="s">
        <v>206</v>
      </c>
      <c r="P2595" s="2" t="s">
        <v>4694</v>
      </c>
      <c r="Q2595" s="2" t="s">
        <v>4695</v>
      </c>
      <c r="R2595" s="2" t="s">
        <v>29</v>
      </c>
      <c r="S2595" s="2" t="s">
        <v>30</v>
      </c>
    </row>
    <row r="2596" spans="1:19">
      <c r="A2596" s="1">
        <v>45139</v>
      </c>
      <c r="B2596" s="1">
        <v>45139</v>
      </c>
      <c r="C2596">
        <v>2023</v>
      </c>
      <c r="D2596">
        <v>8</v>
      </c>
      <c r="E2596" s="2" t="s">
        <v>209</v>
      </c>
      <c r="F2596" s="2" t="s">
        <v>210</v>
      </c>
      <c r="G2596" s="2" t="s">
        <v>39</v>
      </c>
      <c r="H2596" s="2" t="s">
        <v>22</v>
      </c>
      <c r="I2596" s="2" t="s">
        <v>40</v>
      </c>
      <c r="J2596" s="2" t="s">
        <v>59</v>
      </c>
      <c r="K2596">
        <v>1055.42</v>
      </c>
      <c r="L2596">
        <v>27022.7</v>
      </c>
      <c r="M2596">
        <v>2560.37</v>
      </c>
      <c r="N2596" s="2" t="s">
        <v>211</v>
      </c>
      <c r="O2596" s="2" t="s">
        <v>212</v>
      </c>
      <c r="P2596" s="2" t="s">
        <v>4694</v>
      </c>
      <c r="Q2596" s="2" t="s">
        <v>4695</v>
      </c>
      <c r="R2596" s="2" t="s">
        <v>29</v>
      </c>
      <c r="S2596" s="2" t="s">
        <v>30</v>
      </c>
    </row>
    <row r="2597" spans="1:19">
      <c r="A2597" s="1">
        <v>45139</v>
      </c>
      <c r="B2597" s="1">
        <v>45139</v>
      </c>
      <c r="C2597">
        <v>2023</v>
      </c>
      <c r="D2597">
        <v>8</v>
      </c>
      <c r="E2597" s="2" t="s">
        <v>213</v>
      </c>
      <c r="F2597" s="2" t="s">
        <v>214</v>
      </c>
      <c r="G2597" s="2" t="s">
        <v>185</v>
      </c>
      <c r="H2597" s="2" t="s">
        <v>22</v>
      </c>
      <c r="I2597" s="2" t="s">
        <v>215</v>
      </c>
      <c r="J2597" s="2" t="s">
        <v>24</v>
      </c>
      <c r="K2597">
        <v>94870.2</v>
      </c>
      <c r="L2597">
        <v>1983340.39</v>
      </c>
      <c r="M2597">
        <v>2090.58</v>
      </c>
      <c r="N2597" s="2" t="s">
        <v>216</v>
      </c>
      <c r="O2597" s="2" t="s">
        <v>217</v>
      </c>
      <c r="P2597" s="2" t="s">
        <v>4696</v>
      </c>
      <c r="Q2597" s="2" t="s">
        <v>4697</v>
      </c>
      <c r="R2597" s="2" t="s">
        <v>29</v>
      </c>
      <c r="S2597" s="2" t="s">
        <v>30</v>
      </c>
    </row>
    <row r="2598" spans="1:19">
      <c r="A2598" s="1">
        <v>45139</v>
      </c>
      <c r="B2598" s="1">
        <v>45139</v>
      </c>
      <c r="C2598">
        <v>2023</v>
      </c>
      <c r="D2598">
        <v>8</v>
      </c>
      <c r="E2598" s="2" t="s">
        <v>220</v>
      </c>
      <c r="F2598" s="2" t="s">
        <v>221</v>
      </c>
      <c r="G2598" s="2" t="s">
        <v>185</v>
      </c>
      <c r="H2598" s="2" t="s">
        <v>22</v>
      </c>
      <c r="I2598" s="2" t="s">
        <v>215</v>
      </c>
      <c r="J2598" s="2" t="s">
        <v>24</v>
      </c>
      <c r="K2598">
        <v>6553.02</v>
      </c>
      <c r="L2598">
        <v>439916.21</v>
      </c>
      <c r="M2598">
        <v>6713.18</v>
      </c>
      <c r="N2598" s="2" t="s">
        <v>222</v>
      </c>
      <c r="O2598" s="2" t="s">
        <v>223</v>
      </c>
      <c r="P2598" s="2" t="s">
        <v>4698</v>
      </c>
      <c r="Q2598" s="2" t="s">
        <v>4699</v>
      </c>
      <c r="R2598" s="2" t="s">
        <v>29</v>
      </c>
      <c r="S2598" s="2" t="s">
        <v>30</v>
      </c>
    </row>
    <row r="2599" spans="1:19">
      <c r="A2599" s="1">
        <v>45139</v>
      </c>
      <c r="B2599" s="1">
        <v>45139</v>
      </c>
      <c r="C2599">
        <v>2023</v>
      </c>
      <c r="D2599">
        <v>8</v>
      </c>
      <c r="E2599" s="2" t="s">
        <v>226</v>
      </c>
      <c r="F2599" s="2" t="s">
        <v>227</v>
      </c>
      <c r="G2599" s="2" t="s">
        <v>185</v>
      </c>
      <c r="H2599" s="2" t="s">
        <v>22</v>
      </c>
      <c r="I2599" s="2" t="s">
        <v>215</v>
      </c>
      <c r="J2599" s="2" t="s">
        <v>59</v>
      </c>
      <c r="K2599">
        <v>101423.21</v>
      </c>
      <c r="L2599">
        <v>2423256.6</v>
      </c>
      <c r="M2599">
        <v>2389.25</v>
      </c>
      <c r="N2599" s="2" t="s">
        <v>228</v>
      </c>
      <c r="O2599" s="2" t="s">
        <v>229</v>
      </c>
      <c r="P2599" s="2" t="s">
        <v>4700</v>
      </c>
      <c r="Q2599" s="2" t="s">
        <v>4701</v>
      </c>
      <c r="R2599" s="2" t="s">
        <v>29</v>
      </c>
      <c r="S2599" s="2" t="s">
        <v>30</v>
      </c>
    </row>
    <row r="2600" spans="1:19">
      <c r="A2600" s="1">
        <v>45139</v>
      </c>
      <c r="B2600" s="1">
        <v>45139</v>
      </c>
      <c r="C2600">
        <v>2023</v>
      </c>
      <c r="D2600">
        <v>8</v>
      </c>
      <c r="E2600" s="2" t="s">
        <v>232</v>
      </c>
      <c r="F2600" s="2" t="s">
        <v>233</v>
      </c>
      <c r="G2600" s="2" t="s">
        <v>21</v>
      </c>
      <c r="H2600" s="2" t="s">
        <v>22</v>
      </c>
      <c r="I2600" s="2" t="s">
        <v>23</v>
      </c>
      <c r="J2600" s="2" t="s">
        <v>24</v>
      </c>
      <c r="K2600">
        <v>1627.49</v>
      </c>
      <c r="L2600">
        <v>128612.45</v>
      </c>
      <c r="M2600">
        <v>7902.5</v>
      </c>
      <c r="N2600" s="2" t="s">
        <v>234</v>
      </c>
      <c r="O2600" s="2" t="s">
        <v>235</v>
      </c>
      <c r="P2600" s="2" t="s">
        <v>4702</v>
      </c>
      <c r="Q2600" s="2" t="s">
        <v>4703</v>
      </c>
      <c r="R2600" s="2" t="s">
        <v>29</v>
      </c>
      <c r="S2600" s="2" t="s">
        <v>30</v>
      </c>
    </row>
    <row r="2601" spans="1:19">
      <c r="A2601" s="1">
        <v>45139</v>
      </c>
      <c r="B2601" s="1">
        <v>45139</v>
      </c>
      <c r="C2601">
        <v>2023</v>
      </c>
      <c r="D2601">
        <v>8</v>
      </c>
      <c r="E2601" s="2" t="s">
        <v>238</v>
      </c>
      <c r="F2601" s="2" t="s">
        <v>239</v>
      </c>
      <c r="G2601" s="2" t="s">
        <v>21</v>
      </c>
      <c r="H2601" s="2" t="s">
        <v>22</v>
      </c>
      <c r="I2601" s="2" t="s">
        <v>66</v>
      </c>
      <c r="J2601" s="2" t="s">
        <v>24</v>
      </c>
      <c r="K2601">
        <v>1374.16</v>
      </c>
      <c r="L2601">
        <v>134542.99</v>
      </c>
      <c r="M2601">
        <v>9790.93</v>
      </c>
      <c r="N2601" s="2" t="s">
        <v>240</v>
      </c>
      <c r="O2601" s="2" t="s">
        <v>241</v>
      </c>
      <c r="P2601" s="2" t="s">
        <v>4704</v>
      </c>
      <c r="Q2601" s="2" t="s">
        <v>4705</v>
      </c>
      <c r="R2601" s="2" t="s">
        <v>29</v>
      </c>
      <c r="S2601" s="2" t="s">
        <v>30</v>
      </c>
    </row>
    <row r="2602" spans="1:19">
      <c r="A2602" s="1">
        <v>45139</v>
      </c>
      <c r="B2602" s="1">
        <v>45139</v>
      </c>
      <c r="C2602">
        <v>2023</v>
      </c>
      <c r="D2602">
        <v>8</v>
      </c>
      <c r="E2602" s="2" t="s">
        <v>244</v>
      </c>
      <c r="F2602" s="2" t="s">
        <v>245</v>
      </c>
      <c r="G2602" s="2" t="s">
        <v>21</v>
      </c>
      <c r="H2602" s="2" t="s">
        <v>22</v>
      </c>
      <c r="I2602" s="2" t="s">
        <v>23</v>
      </c>
      <c r="J2602" s="2" t="s">
        <v>24</v>
      </c>
      <c r="K2602">
        <v>5651.92</v>
      </c>
      <c r="L2602">
        <v>3134601.65</v>
      </c>
      <c r="M2602">
        <v>55460.83</v>
      </c>
      <c r="N2602" s="2" t="s">
        <v>246</v>
      </c>
      <c r="O2602" s="2" t="s">
        <v>247</v>
      </c>
      <c r="P2602" s="2" t="s">
        <v>4706</v>
      </c>
      <c r="Q2602" s="2" t="s">
        <v>4707</v>
      </c>
      <c r="R2602" s="2" t="s">
        <v>29</v>
      </c>
      <c r="S2602" s="2" t="s">
        <v>30</v>
      </c>
    </row>
    <row r="2603" spans="1:19">
      <c r="A2603" s="1">
        <v>45139</v>
      </c>
      <c r="B2603" s="1">
        <v>45139</v>
      </c>
      <c r="C2603">
        <v>2023</v>
      </c>
      <c r="D2603">
        <v>8</v>
      </c>
      <c r="E2603" s="2" t="s">
        <v>250</v>
      </c>
      <c r="F2603" s="2" t="s">
        <v>251</v>
      </c>
      <c r="G2603" s="2" t="s">
        <v>21</v>
      </c>
      <c r="H2603" s="2" t="s">
        <v>22</v>
      </c>
      <c r="I2603" s="2" t="s">
        <v>66</v>
      </c>
      <c r="J2603" s="2" t="s">
        <v>24</v>
      </c>
      <c r="K2603">
        <v>134.72</v>
      </c>
      <c r="L2603">
        <v>234.39</v>
      </c>
      <c r="M2603">
        <v>173.98</v>
      </c>
      <c r="N2603" s="2" t="s">
        <v>252</v>
      </c>
      <c r="O2603" s="2" t="s">
        <v>253</v>
      </c>
      <c r="P2603" s="2" t="s">
        <v>4708</v>
      </c>
      <c r="Q2603" s="2" t="s">
        <v>4709</v>
      </c>
      <c r="R2603" s="2" t="s">
        <v>29</v>
      </c>
      <c r="S2603" s="2" t="s">
        <v>30</v>
      </c>
    </row>
    <row r="2604" spans="1:19">
      <c r="A2604" s="1">
        <v>45139</v>
      </c>
      <c r="B2604" s="1">
        <v>45139</v>
      </c>
      <c r="C2604">
        <v>2023</v>
      </c>
      <c r="D2604">
        <v>8</v>
      </c>
      <c r="E2604" s="2" t="s">
        <v>256</v>
      </c>
      <c r="F2604" s="2" t="s">
        <v>257</v>
      </c>
      <c r="G2604" s="2" t="s">
        <v>21</v>
      </c>
      <c r="H2604" s="2" t="s">
        <v>22</v>
      </c>
      <c r="I2604" s="2" t="s">
        <v>258</v>
      </c>
      <c r="J2604" s="2" t="s">
        <v>24</v>
      </c>
      <c r="K2604">
        <v>565.41999999999996</v>
      </c>
      <c r="L2604">
        <v>593323.04</v>
      </c>
      <c r="M2604">
        <v>104934.92</v>
      </c>
      <c r="N2604" s="2" t="s">
        <v>259</v>
      </c>
      <c r="O2604" s="2" t="s">
        <v>260</v>
      </c>
      <c r="P2604" s="2" t="s">
        <v>4710</v>
      </c>
      <c r="Q2604" s="2" t="s">
        <v>4711</v>
      </c>
      <c r="R2604" s="2" t="s">
        <v>29</v>
      </c>
      <c r="S2604" s="2" t="s">
        <v>30</v>
      </c>
    </row>
    <row r="2605" spans="1:19">
      <c r="A2605" s="1">
        <v>45139</v>
      </c>
      <c r="B2605" s="1">
        <v>45139</v>
      </c>
      <c r="C2605">
        <v>2023</v>
      </c>
      <c r="D2605">
        <v>8</v>
      </c>
      <c r="E2605" s="2" t="s">
        <v>263</v>
      </c>
      <c r="F2605" s="2" t="s">
        <v>264</v>
      </c>
      <c r="G2605" s="2" t="s">
        <v>21</v>
      </c>
      <c r="H2605" s="2" t="s">
        <v>22</v>
      </c>
      <c r="I2605" s="2" t="s">
        <v>258</v>
      </c>
      <c r="J2605" s="2" t="s">
        <v>24</v>
      </c>
      <c r="K2605">
        <v>0</v>
      </c>
      <c r="L2605">
        <v>0</v>
      </c>
      <c r="N2605" s="2" t="s">
        <v>265</v>
      </c>
      <c r="O2605" s="2" t="s">
        <v>266</v>
      </c>
      <c r="P2605" s="2" t="s">
        <v>639</v>
      </c>
      <c r="Q2605" s="2" t="s">
        <v>639</v>
      </c>
      <c r="R2605" s="2" t="s">
        <v>29</v>
      </c>
      <c r="S2605" s="2" t="s">
        <v>30</v>
      </c>
    </row>
    <row r="2606" spans="1:19">
      <c r="A2606" s="1">
        <v>45139</v>
      </c>
      <c r="B2606" s="1">
        <v>45139</v>
      </c>
      <c r="C2606">
        <v>2023</v>
      </c>
      <c r="D2606">
        <v>8</v>
      </c>
      <c r="E2606" s="2" t="s">
        <v>269</v>
      </c>
      <c r="F2606" s="2" t="s">
        <v>270</v>
      </c>
      <c r="G2606" s="2" t="s">
        <v>21</v>
      </c>
      <c r="H2606" s="2" t="s">
        <v>22</v>
      </c>
      <c r="I2606" s="2" t="s">
        <v>258</v>
      </c>
      <c r="J2606" s="2" t="s">
        <v>59</v>
      </c>
      <c r="K2606">
        <v>565.41999999999996</v>
      </c>
      <c r="L2606">
        <v>593323.04</v>
      </c>
      <c r="M2606">
        <v>104934.92</v>
      </c>
      <c r="N2606" s="2" t="s">
        <v>271</v>
      </c>
      <c r="O2606" s="2" t="s">
        <v>272</v>
      </c>
      <c r="P2606" s="2" t="s">
        <v>4710</v>
      </c>
      <c r="Q2606" s="2" t="s">
        <v>4711</v>
      </c>
      <c r="R2606" s="2" t="s">
        <v>29</v>
      </c>
      <c r="S2606" s="2" t="s">
        <v>30</v>
      </c>
    </row>
    <row r="2607" spans="1:19">
      <c r="A2607" s="1">
        <v>45139</v>
      </c>
      <c r="B2607" s="1">
        <v>45139</v>
      </c>
      <c r="C2607">
        <v>2023</v>
      </c>
      <c r="D2607">
        <v>8</v>
      </c>
      <c r="E2607" s="2" t="s">
        <v>275</v>
      </c>
      <c r="F2607" s="2" t="s">
        <v>276</v>
      </c>
      <c r="G2607" s="2" t="s">
        <v>39</v>
      </c>
      <c r="H2607" s="2" t="s">
        <v>22</v>
      </c>
      <c r="I2607" s="2" t="s">
        <v>40</v>
      </c>
      <c r="J2607" s="2" t="s">
        <v>24</v>
      </c>
      <c r="K2607">
        <v>1.25</v>
      </c>
      <c r="L2607">
        <v>12.17</v>
      </c>
      <c r="M2607">
        <v>973.6</v>
      </c>
      <c r="N2607" s="2" t="s">
        <v>277</v>
      </c>
      <c r="O2607" s="2" t="s">
        <v>278</v>
      </c>
      <c r="P2607" s="2" t="s">
        <v>4212</v>
      </c>
      <c r="Q2607" s="2" t="s">
        <v>4712</v>
      </c>
      <c r="R2607" s="2" t="s">
        <v>29</v>
      </c>
      <c r="S2607" s="2" t="s">
        <v>30</v>
      </c>
    </row>
    <row r="2608" spans="1:19">
      <c r="A2608" s="1">
        <v>45139</v>
      </c>
      <c r="B2608" s="1">
        <v>45139</v>
      </c>
      <c r="C2608">
        <v>2023</v>
      </c>
      <c r="D2608">
        <v>8</v>
      </c>
      <c r="E2608" s="2" t="s">
        <v>281</v>
      </c>
      <c r="F2608" s="2" t="s">
        <v>282</v>
      </c>
      <c r="G2608" s="2" t="s">
        <v>39</v>
      </c>
      <c r="H2608" s="2" t="s">
        <v>22</v>
      </c>
      <c r="I2608" s="2" t="s">
        <v>40</v>
      </c>
      <c r="J2608" s="2" t="s">
        <v>24</v>
      </c>
      <c r="K2608">
        <v>0.01</v>
      </c>
      <c r="L2608">
        <v>0.03</v>
      </c>
      <c r="M2608">
        <v>300</v>
      </c>
      <c r="N2608" s="2" t="s">
        <v>283</v>
      </c>
      <c r="O2608" s="2" t="s">
        <v>284</v>
      </c>
      <c r="P2608" s="2" t="s">
        <v>832</v>
      </c>
      <c r="Q2608" s="2" t="s">
        <v>1247</v>
      </c>
      <c r="R2608" s="2" t="s">
        <v>29</v>
      </c>
      <c r="S2608" s="2" t="s">
        <v>30</v>
      </c>
    </row>
    <row r="2609" spans="1:19">
      <c r="A2609" s="1">
        <v>45139</v>
      </c>
      <c r="B2609" s="1">
        <v>45139</v>
      </c>
      <c r="C2609">
        <v>2023</v>
      </c>
      <c r="D2609">
        <v>8</v>
      </c>
      <c r="E2609" s="2" t="s">
        <v>287</v>
      </c>
      <c r="F2609" s="2" t="s">
        <v>288</v>
      </c>
      <c r="G2609" s="2" t="s">
        <v>39</v>
      </c>
      <c r="H2609" s="2" t="s">
        <v>22</v>
      </c>
      <c r="I2609" s="2" t="s">
        <v>40</v>
      </c>
      <c r="J2609" s="2" t="s">
        <v>59</v>
      </c>
      <c r="K2609">
        <v>1.26</v>
      </c>
      <c r="L2609">
        <v>12.2</v>
      </c>
      <c r="M2609">
        <v>968.25</v>
      </c>
      <c r="N2609" s="2" t="s">
        <v>289</v>
      </c>
      <c r="O2609" s="2" t="s">
        <v>290</v>
      </c>
      <c r="P2609" s="2" t="s">
        <v>267</v>
      </c>
      <c r="Q2609" s="2" t="s">
        <v>4713</v>
      </c>
      <c r="R2609" s="2" t="s">
        <v>29</v>
      </c>
      <c r="S2609" s="2" t="s">
        <v>30</v>
      </c>
    </row>
    <row r="2610" spans="1:19">
      <c r="A2610" s="1">
        <v>45139</v>
      </c>
      <c r="B2610" s="1">
        <v>45139</v>
      </c>
      <c r="C2610">
        <v>2023</v>
      </c>
      <c r="D2610">
        <v>8</v>
      </c>
      <c r="E2610" s="2" t="s">
        <v>293</v>
      </c>
      <c r="F2610" s="2" t="s">
        <v>294</v>
      </c>
      <c r="G2610" s="2" t="s">
        <v>21</v>
      </c>
      <c r="H2610" s="2" t="s">
        <v>22</v>
      </c>
      <c r="I2610" s="2" t="s">
        <v>295</v>
      </c>
      <c r="J2610" s="2" t="s">
        <v>24</v>
      </c>
      <c r="K2610">
        <v>570.08000000000004</v>
      </c>
      <c r="L2610">
        <v>2812.29</v>
      </c>
      <c r="M2610">
        <v>493.31</v>
      </c>
      <c r="N2610" s="2" t="s">
        <v>296</v>
      </c>
      <c r="O2610" s="2" t="s">
        <v>297</v>
      </c>
      <c r="P2610" s="2" t="s">
        <v>4714</v>
      </c>
      <c r="Q2610" s="2" t="s">
        <v>4715</v>
      </c>
      <c r="R2610" s="2" t="s">
        <v>29</v>
      </c>
      <c r="S2610" s="2" t="s">
        <v>30</v>
      </c>
    </row>
    <row r="2611" spans="1:19">
      <c r="A2611" s="1">
        <v>45139</v>
      </c>
      <c r="B2611" s="1">
        <v>45139</v>
      </c>
      <c r="C2611">
        <v>2023</v>
      </c>
      <c r="D2611">
        <v>8</v>
      </c>
      <c r="E2611" s="2" t="s">
        <v>300</v>
      </c>
      <c r="F2611" s="2" t="s">
        <v>301</v>
      </c>
      <c r="G2611" s="2" t="s">
        <v>21</v>
      </c>
      <c r="H2611" s="2" t="s">
        <v>22</v>
      </c>
      <c r="I2611" s="2" t="s">
        <v>295</v>
      </c>
      <c r="J2611" s="2" t="s">
        <v>24</v>
      </c>
      <c r="K2611">
        <v>729.39</v>
      </c>
      <c r="L2611">
        <v>854.94</v>
      </c>
      <c r="M2611">
        <v>117.21</v>
      </c>
      <c r="N2611" s="2" t="s">
        <v>302</v>
      </c>
      <c r="O2611" s="2" t="s">
        <v>303</v>
      </c>
      <c r="P2611" s="2" t="s">
        <v>4716</v>
      </c>
      <c r="Q2611" s="2" t="s">
        <v>4717</v>
      </c>
      <c r="R2611" s="2" t="s">
        <v>29</v>
      </c>
      <c r="S2611" s="2" t="s">
        <v>30</v>
      </c>
    </row>
    <row r="2612" spans="1:19">
      <c r="A2612" s="1">
        <v>45139</v>
      </c>
      <c r="B2612" s="1">
        <v>45139</v>
      </c>
      <c r="C2612">
        <v>2023</v>
      </c>
      <c r="D2612">
        <v>8</v>
      </c>
      <c r="E2612" s="2" t="s">
        <v>306</v>
      </c>
      <c r="F2612" s="2" t="s">
        <v>307</v>
      </c>
      <c r="G2612" s="2" t="s">
        <v>21</v>
      </c>
      <c r="H2612" s="2" t="s">
        <v>22</v>
      </c>
      <c r="I2612" s="2" t="s">
        <v>295</v>
      </c>
      <c r="J2612" s="2" t="s">
        <v>101</v>
      </c>
      <c r="K2612">
        <v>1299.47</v>
      </c>
      <c r="L2612">
        <v>3667.23</v>
      </c>
      <c r="M2612">
        <v>282.20999999999998</v>
      </c>
      <c r="N2612" s="2" t="s">
        <v>308</v>
      </c>
      <c r="O2612" s="2" t="s">
        <v>309</v>
      </c>
      <c r="P2612" s="2" t="s">
        <v>4718</v>
      </c>
      <c r="Q2612" s="2" t="s">
        <v>4719</v>
      </c>
      <c r="R2612" s="2" t="s">
        <v>29</v>
      </c>
      <c r="S2612" s="2" t="s">
        <v>30</v>
      </c>
    </row>
    <row r="2613" spans="1:19">
      <c r="A2613" s="1">
        <v>45139</v>
      </c>
      <c r="B2613" s="1">
        <v>45139</v>
      </c>
      <c r="C2613">
        <v>2023</v>
      </c>
      <c r="D2613">
        <v>8</v>
      </c>
      <c r="E2613" s="2" t="s">
        <v>312</v>
      </c>
      <c r="F2613" s="2" t="s">
        <v>313</v>
      </c>
      <c r="G2613" s="2" t="s">
        <v>21</v>
      </c>
      <c r="H2613" s="2" t="s">
        <v>22</v>
      </c>
      <c r="I2613" s="2" t="s">
        <v>295</v>
      </c>
      <c r="J2613" s="2" t="s">
        <v>59</v>
      </c>
      <c r="K2613">
        <v>6366.8</v>
      </c>
      <c r="L2613">
        <v>23669.25</v>
      </c>
      <c r="M2613">
        <v>371.76</v>
      </c>
      <c r="N2613" s="2" t="s">
        <v>314</v>
      </c>
      <c r="O2613" s="2" t="s">
        <v>315</v>
      </c>
      <c r="P2613" s="2" t="s">
        <v>4720</v>
      </c>
      <c r="Q2613" s="2" t="s">
        <v>4721</v>
      </c>
      <c r="R2613" s="2" t="s">
        <v>29</v>
      </c>
      <c r="S2613" s="2" t="s">
        <v>30</v>
      </c>
    </row>
    <row r="2614" spans="1:19">
      <c r="A2614" s="1">
        <v>45139</v>
      </c>
      <c r="B2614" s="1">
        <v>45139</v>
      </c>
      <c r="C2614">
        <v>2023</v>
      </c>
      <c r="D2614">
        <v>8</v>
      </c>
      <c r="E2614" s="2" t="s">
        <v>318</v>
      </c>
      <c r="F2614" s="2" t="s">
        <v>319</v>
      </c>
      <c r="G2614" s="2" t="s">
        <v>21</v>
      </c>
      <c r="H2614" s="2" t="s">
        <v>22</v>
      </c>
      <c r="I2614" s="2" t="s">
        <v>295</v>
      </c>
      <c r="J2614" s="2" t="s">
        <v>24</v>
      </c>
      <c r="K2614">
        <v>5067.34</v>
      </c>
      <c r="L2614">
        <v>20002.02</v>
      </c>
      <c r="M2614">
        <v>394.72</v>
      </c>
      <c r="N2614" s="2" t="s">
        <v>320</v>
      </c>
      <c r="O2614" s="2" t="s">
        <v>321</v>
      </c>
      <c r="P2614" s="2" t="s">
        <v>4722</v>
      </c>
      <c r="Q2614" s="2" t="s">
        <v>4723</v>
      </c>
      <c r="R2614" s="2" t="s">
        <v>29</v>
      </c>
      <c r="S2614" s="2" t="s">
        <v>30</v>
      </c>
    </row>
    <row r="2615" spans="1:19">
      <c r="A2615" s="1">
        <v>45139</v>
      </c>
      <c r="B2615" s="1">
        <v>45139</v>
      </c>
      <c r="C2615">
        <v>2023</v>
      </c>
      <c r="D2615">
        <v>8</v>
      </c>
      <c r="E2615" s="2" t="s">
        <v>324</v>
      </c>
      <c r="F2615" s="2" t="s">
        <v>325</v>
      </c>
      <c r="G2615" s="2" t="s">
        <v>21</v>
      </c>
      <c r="H2615" s="2" t="s">
        <v>22</v>
      </c>
      <c r="I2615" s="2" t="s">
        <v>23</v>
      </c>
      <c r="J2615" s="2" t="s">
        <v>59</v>
      </c>
      <c r="K2615">
        <v>119823.49</v>
      </c>
      <c r="L2615">
        <v>5374181.4100000001</v>
      </c>
      <c r="M2615">
        <v>4485.08</v>
      </c>
      <c r="N2615" s="2" t="s">
        <v>326</v>
      </c>
      <c r="O2615" s="2" t="s">
        <v>327</v>
      </c>
      <c r="P2615" s="2" t="s">
        <v>4724</v>
      </c>
      <c r="Q2615" s="2" t="s">
        <v>4725</v>
      </c>
      <c r="R2615" s="2" t="s">
        <v>29</v>
      </c>
      <c r="S2615" s="2" t="s">
        <v>30</v>
      </c>
    </row>
    <row r="2616" spans="1:19">
      <c r="A2616" s="1">
        <v>45139</v>
      </c>
      <c r="B2616" s="1">
        <v>45139</v>
      </c>
      <c r="C2616">
        <v>2023</v>
      </c>
      <c r="D2616">
        <v>8</v>
      </c>
      <c r="E2616" s="2" t="s">
        <v>330</v>
      </c>
      <c r="F2616" s="2" t="s">
        <v>331</v>
      </c>
      <c r="G2616" s="2" t="s">
        <v>21</v>
      </c>
      <c r="H2616" s="2" t="s">
        <v>332</v>
      </c>
      <c r="I2616" s="2" t="s">
        <v>333</v>
      </c>
      <c r="J2616" s="2" t="s">
        <v>24</v>
      </c>
      <c r="K2616">
        <v>216.88</v>
      </c>
      <c r="L2616">
        <v>12202746.720000001</v>
      </c>
      <c r="M2616">
        <v>5626497.0099999998</v>
      </c>
      <c r="N2616" s="2" t="s">
        <v>334</v>
      </c>
      <c r="O2616" s="2" t="s">
        <v>335</v>
      </c>
      <c r="P2616" s="2" t="s">
        <v>4726</v>
      </c>
      <c r="Q2616" s="2" t="s">
        <v>4727</v>
      </c>
      <c r="R2616" s="2" t="s">
        <v>29</v>
      </c>
      <c r="S2616" s="2" t="s">
        <v>30</v>
      </c>
    </row>
    <row r="2617" spans="1:19">
      <c r="A2617" s="1">
        <v>45139</v>
      </c>
      <c r="B2617" s="1">
        <v>45139</v>
      </c>
      <c r="C2617">
        <v>2023</v>
      </c>
      <c r="D2617">
        <v>8</v>
      </c>
      <c r="E2617" s="2" t="s">
        <v>338</v>
      </c>
      <c r="F2617" s="2" t="s">
        <v>339</v>
      </c>
      <c r="G2617" s="2" t="s">
        <v>21</v>
      </c>
      <c r="H2617" s="2" t="s">
        <v>332</v>
      </c>
      <c r="I2617" s="2" t="s">
        <v>333</v>
      </c>
      <c r="J2617" s="2" t="s">
        <v>24</v>
      </c>
      <c r="K2617">
        <v>1.2</v>
      </c>
      <c r="L2617">
        <v>1539260.5</v>
      </c>
      <c r="M2617">
        <v>128271708.33</v>
      </c>
      <c r="N2617" s="2" t="s">
        <v>340</v>
      </c>
      <c r="O2617" s="2" t="s">
        <v>341</v>
      </c>
      <c r="P2617" s="2" t="s">
        <v>3533</v>
      </c>
      <c r="Q2617" s="2" t="s">
        <v>4728</v>
      </c>
      <c r="R2617" s="2" t="s">
        <v>29</v>
      </c>
      <c r="S2617" s="2" t="s">
        <v>30</v>
      </c>
    </row>
    <row r="2618" spans="1:19">
      <c r="A2618" s="1">
        <v>45139</v>
      </c>
      <c r="B2618" s="1">
        <v>45139</v>
      </c>
      <c r="C2618">
        <v>2023</v>
      </c>
      <c r="D2618">
        <v>8</v>
      </c>
      <c r="E2618" s="2" t="s">
        <v>344</v>
      </c>
      <c r="F2618" s="2" t="s">
        <v>345</v>
      </c>
      <c r="G2618" s="2" t="s">
        <v>21</v>
      </c>
      <c r="H2618" s="2" t="s">
        <v>332</v>
      </c>
      <c r="I2618" s="2" t="s">
        <v>333</v>
      </c>
      <c r="J2618" s="2" t="s">
        <v>59</v>
      </c>
      <c r="K2618">
        <v>218.08</v>
      </c>
      <c r="L2618">
        <v>13742007.220000001</v>
      </c>
      <c r="M2618">
        <v>6301360.6100000003</v>
      </c>
      <c r="N2618" s="2" t="s">
        <v>346</v>
      </c>
      <c r="O2618" s="2" t="s">
        <v>347</v>
      </c>
      <c r="P2618" s="2" t="s">
        <v>4729</v>
      </c>
      <c r="Q2618" s="2" t="s">
        <v>4730</v>
      </c>
      <c r="R2618" s="2" t="s">
        <v>29</v>
      </c>
      <c r="S2618" s="2" t="s">
        <v>30</v>
      </c>
    </row>
    <row r="2619" spans="1:19">
      <c r="A2619" s="1">
        <v>45139</v>
      </c>
      <c r="B2619" s="1">
        <v>45139</v>
      </c>
      <c r="C2619">
        <v>2023</v>
      </c>
      <c r="D2619">
        <v>8</v>
      </c>
      <c r="E2619" s="2" t="s">
        <v>350</v>
      </c>
      <c r="F2619" s="2" t="s">
        <v>351</v>
      </c>
      <c r="G2619" s="2" t="s">
        <v>21</v>
      </c>
      <c r="H2619" s="2" t="s">
        <v>22</v>
      </c>
      <c r="I2619" s="2" t="s">
        <v>352</v>
      </c>
      <c r="J2619" s="2" t="s">
        <v>353</v>
      </c>
      <c r="K2619">
        <v>132912.92000000001</v>
      </c>
      <c r="L2619">
        <v>19476332.710000001</v>
      </c>
      <c r="M2619">
        <v>14653.45</v>
      </c>
      <c r="N2619" s="2" t="s">
        <v>354</v>
      </c>
      <c r="O2619" s="2" t="s">
        <v>355</v>
      </c>
      <c r="P2619" s="2" t="s">
        <v>4731</v>
      </c>
      <c r="Q2619" s="2" t="s">
        <v>4732</v>
      </c>
      <c r="R2619" s="2" t="s">
        <v>29</v>
      </c>
      <c r="S2619" s="2" t="s">
        <v>30</v>
      </c>
    </row>
    <row r="2620" spans="1:19">
      <c r="A2620" s="1">
        <v>45139</v>
      </c>
      <c r="B2620" s="1">
        <v>45139</v>
      </c>
      <c r="C2620">
        <v>2023</v>
      </c>
      <c r="D2620">
        <v>8</v>
      </c>
      <c r="E2620" s="2" t="s">
        <v>358</v>
      </c>
      <c r="F2620" s="2" t="s">
        <v>359</v>
      </c>
      <c r="G2620" s="2" t="s">
        <v>21</v>
      </c>
      <c r="H2620" s="2" t="s">
        <v>22</v>
      </c>
      <c r="I2620" s="2" t="s">
        <v>352</v>
      </c>
      <c r="J2620" s="2" t="s">
        <v>353</v>
      </c>
      <c r="K2620">
        <v>133478.34</v>
      </c>
      <c r="L2620">
        <v>20069655.739999998</v>
      </c>
      <c r="M2620">
        <v>15035.89</v>
      </c>
      <c r="N2620" s="2" t="s">
        <v>360</v>
      </c>
      <c r="O2620" s="2" t="s">
        <v>361</v>
      </c>
      <c r="P2620" s="2" t="s">
        <v>4733</v>
      </c>
      <c r="Q2620" s="2" t="s">
        <v>4734</v>
      </c>
      <c r="R2620" s="2" t="s">
        <v>29</v>
      </c>
      <c r="S2620" s="2" t="s">
        <v>30</v>
      </c>
    </row>
    <row r="2621" spans="1:19">
      <c r="A2621" s="1">
        <v>45139</v>
      </c>
      <c r="B2621" s="1">
        <v>45139</v>
      </c>
      <c r="C2621">
        <v>2023</v>
      </c>
      <c r="D2621">
        <v>8</v>
      </c>
      <c r="E2621" s="2" t="s">
        <v>364</v>
      </c>
      <c r="F2621" s="2" t="s">
        <v>365</v>
      </c>
      <c r="G2621" s="2" t="s">
        <v>21</v>
      </c>
      <c r="H2621" s="2" t="s">
        <v>22</v>
      </c>
      <c r="I2621" s="2" t="s">
        <v>352</v>
      </c>
      <c r="J2621" s="2" t="s">
        <v>353</v>
      </c>
      <c r="K2621">
        <v>133260.26</v>
      </c>
      <c r="L2621">
        <v>6327648.5300000003</v>
      </c>
      <c r="M2621">
        <v>4748.34</v>
      </c>
      <c r="N2621" s="2" t="s">
        <v>366</v>
      </c>
      <c r="O2621" s="2" t="s">
        <v>367</v>
      </c>
      <c r="P2621" s="2" t="s">
        <v>4735</v>
      </c>
      <c r="Q2621" s="2" t="s">
        <v>4736</v>
      </c>
      <c r="R2621" s="2" t="s">
        <v>29</v>
      </c>
      <c r="S2621" s="2" t="s">
        <v>30</v>
      </c>
    </row>
    <row r="2622" spans="1:19">
      <c r="A2622" s="1">
        <v>45139</v>
      </c>
      <c r="B2622" s="1">
        <v>45139</v>
      </c>
      <c r="C2622">
        <v>2023</v>
      </c>
      <c r="D2622">
        <v>8</v>
      </c>
      <c r="E2622" s="2" t="s">
        <v>370</v>
      </c>
      <c r="F2622" s="2" t="s">
        <v>371</v>
      </c>
      <c r="G2622" s="2" t="s">
        <v>21</v>
      </c>
      <c r="H2622" s="2" t="s">
        <v>22</v>
      </c>
      <c r="I2622" s="2" t="s">
        <v>23</v>
      </c>
      <c r="J2622" s="2" t="s">
        <v>24</v>
      </c>
      <c r="K2622">
        <v>105860.16</v>
      </c>
      <c r="L2622">
        <v>1576536.54</v>
      </c>
      <c r="M2622">
        <v>1489.26</v>
      </c>
      <c r="N2622" s="2" t="s">
        <v>372</v>
      </c>
      <c r="O2622" s="2" t="s">
        <v>373</v>
      </c>
      <c r="P2622" s="2" t="s">
        <v>4737</v>
      </c>
      <c r="Q2622" s="2" t="s">
        <v>4738</v>
      </c>
      <c r="R2622" s="2" t="s">
        <v>29</v>
      </c>
      <c r="S2622" s="2" t="s">
        <v>30</v>
      </c>
    </row>
    <row r="2623" spans="1:19">
      <c r="A2623" s="1">
        <v>45139</v>
      </c>
      <c r="B2623" s="1">
        <v>45139</v>
      </c>
      <c r="C2623">
        <v>2023</v>
      </c>
      <c r="D2623">
        <v>8</v>
      </c>
      <c r="E2623" s="2" t="s">
        <v>376</v>
      </c>
      <c r="F2623" s="2" t="s">
        <v>377</v>
      </c>
      <c r="G2623" s="2" t="s">
        <v>21</v>
      </c>
      <c r="H2623" s="2" t="s">
        <v>22</v>
      </c>
      <c r="I2623" s="2" t="s">
        <v>23</v>
      </c>
      <c r="J2623" s="2" t="s">
        <v>378</v>
      </c>
      <c r="K2623">
        <v>2.6</v>
      </c>
      <c r="L2623">
        <v>40.590000000000003</v>
      </c>
      <c r="M2623">
        <v>1561.15</v>
      </c>
      <c r="N2623" s="2" t="s">
        <v>379</v>
      </c>
      <c r="O2623" s="2" t="s">
        <v>380</v>
      </c>
      <c r="P2623" s="2" t="s">
        <v>4739</v>
      </c>
      <c r="Q2623" s="2" t="s">
        <v>4740</v>
      </c>
      <c r="R2623" s="2" t="s">
        <v>29</v>
      </c>
      <c r="S2623" s="2" t="s">
        <v>30</v>
      </c>
    </row>
    <row r="2624" spans="1:19">
      <c r="A2624" s="1">
        <v>45170</v>
      </c>
      <c r="B2624" s="1">
        <v>45170</v>
      </c>
      <c r="C2624">
        <v>2023</v>
      </c>
      <c r="D2624">
        <v>9</v>
      </c>
      <c r="E2624" s="2" t="s">
        <v>19</v>
      </c>
      <c r="F2624" s="2" t="s">
        <v>20</v>
      </c>
      <c r="G2624" s="2" t="s">
        <v>21</v>
      </c>
      <c r="H2624" s="2" t="s">
        <v>22</v>
      </c>
      <c r="I2624" s="2" t="s">
        <v>23</v>
      </c>
      <c r="J2624" s="2" t="s">
        <v>24</v>
      </c>
      <c r="K2624">
        <v>0.31</v>
      </c>
      <c r="L2624">
        <v>21.09</v>
      </c>
      <c r="M2624">
        <v>6803.23</v>
      </c>
      <c r="N2624" s="2" t="s">
        <v>25</v>
      </c>
      <c r="O2624" s="2" t="s">
        <v>26</v>
      </c>
      <c r="P2624" s="2" t="s">
        <v>2811</v>
      </c>
      <c r="Q2624" s="2" t="s">
        <v>4741</v>
      </c>
      <c r="R2624" s="2" t="s">
        <v>29</v>
      </c>
      <c r="S2624" s="2" t="s">
        <v>30</v>
      </c>
    </row>
    <row r="2625" spans="1:19">
      <c r="A2625" s="1">
        <v>45170</v>
      </c>
      <c r="B2625" s="1">
        <v>45170</v>
      </c>
      <c r="C2625">
        <v>2023</v>
      </c>
      <c r="D2625">
        <v>9</v>
      </c>
      <c r="E2625" s="2" t="s">
        <v>31</v>
      </c>
      <c r="F2625" s="2" t="s">
        <v>32</v>
      </c>
      <c r="G2625" s="2" t="s">
        <v>21</v>
      </c>
      <c r="H2625" s="2" t="s">
        <v>22</v>
      </c>
      <c r="I2625" s="2" t="s">
        <v>23</v>
      </c>
      <c r="J2625" s="2" t="s">
        <v>24</v>
      </c>
      <c r="K2625">
        <v>1818.74</v>
      </c>
      <c r="L2625">
        <v>17942.939999999999</v>
      </c>
      <c r="M2625">
        <v>986.56</v>
      </c>
      <c r="N2625" s="2" t="s">
        <v>33</v>
      </c>
      <c r="O2625" s="2" t="s">
        <v>34</v>
      </c>
      <c r="P2625" s="2" t="s">
        <v>4742</v>
      </c>
      <c r="Q2625" s="2" t="s">
        <v>4743</v>
      </c>
      <c r="R2625" s="2" t="s">
        <v>29</v>
      </c>
      <c r="S2625" s="2" t="s">
        <v>30</v>
      </c>
    </row>
    <row r="2626" spans="1:19">
      <c r="A2626" s="1">
        <v>45170</v>
      </c>
      <c r="B2626" s="1">
        <v>45170</v>
      </c>
      <c r="C2626">
        <v>2023</v>
      </c>
      <c r="D2626">
        <v>9</v>
      </c>
      <c r="E2626" s="2" t="s">
        <v>37</v>
      </c>
      <c r="F2626" s="2" t="s">
        <v>38</v>
      </c>
      <c r="G2626" s="2" t="s">
        <v>39</v>
      </c>
      <c r="H2626" s="2" t="s">
        <v>22</v>
      </c>
      <c r="I2626" s="2" t="s">
        <v>40</v>
      </c>
      <c r="J2626" s="2" t="s">
        <v>24</v>
      </c>
      <c r="K2626">
        <v>7.85</v>
      </c>
      <c r="L2626">
        <v>379.87</v>
      </c>
      <c r="M2626">
        <v>4839.1099999999997</v>
      </c>
      <c r="N2626" s="2" t="s">
        <v>41</v>
      </c>
      <c r="O2626" s="2" t="s">
        <v>42</v>
      </c>
      <c r="P2626" s="2" t="s">
        <v>4744</v>
      </c>
      <c r="Q2626" s="2" t="s">
        <v>4745</v>
      </c>
      <c r="R2626" s="2" t="s">
        <v>29</v>
      </c>
      <c r="S2626" s="2" t="s">
        <v>30</v>
      </c>
    </row>
    <row r="2627" spans="1:19">
      <c r="A2627" s="1">
        <v>45170</v>
      </c>
      <c r="B2627" s="1">
        <v>45170</v>
      </c>
      <c r="C2627">
        <v>2023</v>
      </c>
      <c r="D2627">
        <v>9</v>
      </c>
      <c r="E2627" s="2" t="s">
        <v>45</v>
      </c>
      <c r="F2627" s="2" t="s">
        <v>46</v>
      </c>
      <c r="G2627" s="2" t="s">
        <v>39</v>
      </c>
      <c r="H2627" s="2" t="s">
        <v>22</v>
      </c>
      <c r="I2627" s="2" t="s">
        <v>40</v>
      </c>
      <c r="J2627" s="2" t="s">
        <v>24</v>
      </c>
      <c r="K2627">
        <v>5340.7</v>
      </c>
      <c r="L2627">
        <v>259071.93</v>
      </c>
      <c r="M2627">
        <v>4850.8999999999996</v>
      </c>
      <c r="N2627" s="2" t="s">
        <v>47</v>
      </c>
      <c r="O2627" s="2" t="s">
        <v>48</v>
      </c>
      <c r="P2627" s="2" t="s">
        <v>4746</v>
      </c>
      <c r="Q2627" s="2" t="s">
        <v>4747</v>
      </c>
      <c r="R2627" s="2" t="s">
        <v>29</v>
      </c>
      <c r="S2627" s="2" t="s">
        <v>30</v>
      </c>
    </row>
    <row r="2628" spans="1:19">
      <c r="A2628" s="1">
        <v>45170</v>
      </c>
      <c r="B2628" s="1">
        <v>45170</v>
      </c>
      <c r="C2628">
        <v>2023</v>
      </c>
      <c r="D2628">
        <v>9</v>
      </c>
      <c r="E2628" s="2" t="s">
        <v>51</v>
      </c>
      <c r="F2628" s="2" t="s">
        <v>52</v>
      </c>
      <c r="G2628" s="2" t="s">
        <v>39</v>
      </c>
      <c r="H2628" s="2" t="s">
        <v>22</v>
      </c>
      <c r="I2628" s="2" t="s">
        <v>40</v>
      </c>
      <c r="J2628" s="2" t="s">
        <v>24</v>
      </c>
      <c r="K2628">
        <v>28.67</v>
      </c>
      <c r="L2628">
        <v>1061.94</v>
      </c>
      <c r="M2628">
        <v>3704.01</v>
      </c>
      <c r="N2628" s="2" t="s">
        <v>53</v>
      </c>
      <c r="O2628" s="2" t="s">
        <v>54</v>
      </c>
      <c r="P2628" s="2" t="s">
        <v>4748</v>
      </c>
      <c r="Q2628" s="2" t="s">
        <v>4749</v>
      </c>
      <c r="R2628" s="2" t="s">
        <v>29</v>
      </c>
      <c r="S2628" s="2" t="s">
        <v>30</v>
      </c>
    </row>
    <row r="2629" spans="1:19">
      <c r="A2629" s="1">
        <v>45170</v>
      </c>
      <c r="B2629" s="1">
        <v>45170</v>
      </c>
      <c r="C2629">
        <v>2023</v>
      </c>
      <c r="D2629">
        <v>9</v>
      </c>
      <c r="E2629" s="2" t="s">
        <v>57</v>
      </c>
      <c r="F2629" s="2" t="s">
        <v>58</v>
      </c>
      <c r="G2629" s="2" t="s">
        <v>39</v>
      </c>
      <c r="H2629" s="2" t="s">
        <v>22</v>
      </c>
      <c r="I2629" s="2" t="s">
        <v>40</v>
      </c>
      <c r="J2629" s="2" t="s">
        <v>59</v>
      </c>
      <c r="K2629">
        <v>5377.22</v>
      </c>
      <c r="L2629">
        <v>260513.73</v>
      </c>
      <c r="M2629">
        <v>4844.7700000000004</v>
      </c>
      <c r="N2629" s="2" t="s">
        <v>60</v>
      </c>
      <c r="O2629" s="2" t="s">
        <v>61</v>
      </c>
      <c r="P2629" s="2" t="s">
        <v>4750</v>
      </c>
      <c r="Q2629" s="2" t="s">
        <v>4751</v>
      </c>
      <c r="R2629" s="2" t="s">
        <v>29</v>
      </c>
      <c r="S2629" s="2" t="s">
        <v>30</v>
      </c>
    </row>
    <row r="2630" spans="1:19">
      <c r="A2630" s="1">
        <v>45170</v>
      </c>
      <c r="B2630" s="1">
        <v>45170</v>
      </c>
      <c r="C2630">
        <v>2023</v>
      </c>
      <c r="D2630">
        <v>9</v>
      </c>
      <c r="E2630" s="2" t="s">
        <v>64</v>
      </c>
      <c r="F2630" s="2" t="s">
        <v>65</v>
      </c>
      <c r="G2630" s="2" t="s">
        <v>21</v>
      </c>
      <c r="H2630" s="2" t="s">
        <v>22</v>
      </c>
      <c r="I2630" s="2" t="s">
        <v>66</v>
      </c>
      <c r="J2630" s="2" t="s">
        <v>24</v>
      </c>
      <c r="K2630">
        <v>13.87</v>
      </c>
      <c r="L2630">
        <v>441.11</v>
      </c>
      <c r="M2630">
        <v>3180.32</v>
      </c>
      <c r="N2630" s="2" t="s">
        <v>67</v>
      </c>
      <c r="O2630" s="2" t="s">
        <v>68</v>
      </c>
      <c r="P2630" s="2" t="s">
        <v>4752</v>
      </c>
      <c r="Q2630" s="2" t="s">
        <v>4753</v>
      </c>
      <c r="R2630" s="2" t="s">
        <v>29</v>
      </c>
      <c r="S2630" s="2" t="s">
        <v>30</v>
      </c>
    </row>
    <row r="2631" spans="1:19">
      <c r="A2631" s="1">
        <v>45170</v>
      </c>
      <c r="B2631" s="1">
        <v>45170</v>
      </c>
      <c r="C2631">
        <v>2023</v>
      </c>
      <c r="D2631">
        <v>9</v>
      </c>
      <c r="E2631" s="2" t="s">
        <v>71</v>
      </c>
      <c r="F2631" s="2" t="s">
        <v>72</v>
      </c>
      <c r="G2631" s="2" t="s">
        <v>21</v>
      </c>
      <c r="H2631" s="2" t="s">
        <v>22</v>
      </c>
      <c r="I2631" s="2" t="s">
        <v>73</v>
      </c>
      <c r="J2631" s="2" t="s">
        <v>59</v>
      </c>
      <c r="K2631">
        <v>4578.47</v>
      </c>
      <c r="L2631">
        <v>189185.99</v>
      </c>
      <c r="M2631">
        <v>4132.08</v>
      </c>
      <c r="N2631" s="2" t="s">
        <v>74</v>
      </c>
      <c r="O2631" s="2" t="s">
        <v>75</v>
      </c>
      <c r="P2631" s="2" t="s">
        <v>4754</v>
      </c>
      <c r="Q2631" s="2" t="s">
        <v>4755</v>
      </c>
      <c r="R2631" s="2" t="s">
        <v>29</v>
      </c>
      <c r="S2631" s="2" t="s">
        <v>30</v>
      </c>
    </row>
    <row r="2632" spans="1:19">
      <c r="A2632" s="1">
        <v>45170</v>
      </c>
      <c r="B2632" s="1">
        <v>45170</v>
      </c>
      <c r="C2632">
        <v>2023</v>
      </c>
      <c r="D2632">
        <v>9</v>
      </c>
      <c r="E2632" s="2" t="s">
        <v>78</v>
      </c>
      <c r="F2632" s="2" t="s">
        <v>79</v>
      </c>
      <c r="G2632" s="2" t="s">
        <v>80</v>
      </c>
      <c r="H2632" s="2" t="s">
        <v>81</v>
      </c>
      <c r="I2632" s="2" t="s">
        <v>82</v>
      </c>
      <c r="J2632" s="2" t="s">
        <v>24</v>
      </c>
      <c r="K2632">
        <v>2.1</v>
      </c>
      <c r="L2632">
        <v>6811643.4900000002</v>
      </c>
      <c r="M2632">
        <v>324363975.70999998</v>
      </c>
      <c r="N2632" s="2" t="s">
        <v>83</v>
      </c>
      <c r="O2632" s="2" t="s">
        <v>84</v>
      </c>
      <c r="P2632" s="2" t="s">
        <v>4756</v>
      </c>
      <c r="Q2632" s="2" t="s">
        <v>4757</v>
      </c>
      <c r="R2632" s="2" t="s">
        <v>29</v>
      </c>
      <c r="S2632" s="2" t="s">
        <v>30</v>
      </c>
    </row>
    <row r="2633" spans="1:19">
      <c r="A2633" s="1">
        <v>45170</v>
      </c>
      <c r="B2633" s="1">
        <v>45170</v>
      </c>
      <c r="C2633">
        <v>2023</v>
      </c>
      <c r="D2633">
        <v>9</v>
      </c>
      <c r="E2633" s="2" t="s">
        <v>87</v>
      </c>
      <c r="F2633" s="2" t="s">
        <v>88</v>
      </c>
      <c r="G2633" s="2" t="s">
        <v>80</v>
      </c>
      <c r="H2633" s="2" t="s">
        <v>81</v>
      </c>
      <c r="I2633" s="2" t="s">
        <v>82</v>
      </c>
      <c r="J2633" s="2" t="s">
        <v>24</v>
      </c>
      <c r="K2633">
        <v>0.93</v>
      </c>
      <c r="L2633">
        <v>1211320.22</v>
      </c>
      <c r="M2633">
        <v>130249486.02</v>
      </c>
      <c r="N2633" s="2" t="s">
        <v>89</v>
      </c>
      <c r="O2633" s="2" t="s">
        <v>90</v>
      </c>
      <c r="P2633" s="2" t="s">
        <v>1527</v>
      </c>
      <c r="Q2633" s="2" t="s">
        <v>4758</v>
      </c>
      <c r="R2633" s="2" t="s">
        <v>29</v>
      </c>
      <c r="S2633" s="2" t="s">
        <v>30</v>
      </c>
    </row>
    <row r="2634" spans="1:19">
      <c r="A2634" s="1">
        <v>45170</v>
      </c>
      <c r="B2634" s="1">
        <v>45170</v>
      </c>
      <c r="C2634">
        <v>2023</v>
      </c>
      <c r="D2634">
        <v>9</v>
      </c>
      <c r="E2634" s="2" t="s">
        <v>93</v>
      </c>
      <c r="F2634" s="2" t="s">
        <v>94</v>
      </c>
      <c r="G2634" s="2" t="s">
        <v>80</v>
      </c>
      <c r="H2634" s="2" t="s">
        <v>81</v>
      </c>
      <c r="I2634" s="2" t="s">
        <v>82</v>
      </c>
      <c r="J2634" s="2" t="s">
        <v>24</v>
      </c>
      <c r="K2634">
        <v>0.41</v>
      </c>
      <c r="L2634">
        <v>5629136.3799999999</v>
      </c>
      <c r="M2634">
        <v>1372960092.6800001</v>
      </c>
      <c r="N2634" s="2" t="s">
        <v>95</v>
      </c>
      <c r="O2634" s="2" t="s">
        <v>96</v>
      </c>
      <c r="P2634" s="2" t="s">
        <v>2036</v>
      </c>
      <c r="Q2634" s="2" t="s">
        <v>4759</v>
      </c>
      <c r="R2634" s="2" t="s">
        <v>29</v>
      </c>
      <c r="S2634" s="2" t="s">
        <v>30</v>
      </c>
    </row>
    <row r="2635" spans="1:19">
      <c r="A2635" s="1">
        <v>45170</v>
      </c>
      <c r="B2635" s="1">
        <v>45170</v>
      </c>
      <c r="C2635">
        <v>2023</v>
      </c>
      <c r="D2635">
        <v>9</v>
      </c>
      <c r="E2635" s="2" t="s">
        <v>99</v>
      </c>
      <c r="F2635" s="2" t="s">
        <v>100</v>
      </c>
      <c r="G2635" s="2" t="s">
        <v>80</v>
      </c>
      <c r="H2635" s="2" t="s">
        <v>81</v>
      </c>
      <c r="I2635" s="2" t="s">
        <v>82</v>
      </c>
      <c r="J2635" s="2" t="s">
        <v>101</v>
      </c>
      <c r="K2635">
        <v>1.52</v>
      </c>
      <c r="L2635">
        <v>13723954.25</v>
      </c>
      <c r="M2635">
        <v>902891726.97000003</v>
      </c>
      <c r="N2635" s="2" t="s">
        <v>102</v>
      </c>
      <c r="O2635" s="2" t="s">
        <v>103</v>
      </c>
      <c r="P2635" s="2" t="s">
        <v>2904</v>
      </c>
      <c r="Q2635" s="2" t="s">
        <v>4760</v>
      </c>
      <c r="R2635" s="2" t="s">
        <v>29</v>
      </c>
      <c r="S2635" s="2" t="s">
        <v>30</v>
      </c>
    </row>
    <row r="2636" spans="1:19">
      <c r="A2636" s="1">
        <v>45170</v>
      </c>
      <c r="B2636" s="1">
        <v>45170</v>
      </c>
      <c r="C2636">
        <v>2023</v>
      </c>
      <c r="D2636">
        <v>9</v>
      </c>
      <c r="E2636" s="2" t="s">
        <v>106</v>
      </c>
      <c r="F2636" s="2" t="s">
        <v>107</v>
      </c>
      <c r="G2636" s="2" t="s">
        <v>80</v>
      </c>
      <c r="H2636" s="2" t="s">
        <v>81</v>
      </c>
      <c r="I2636" s="2" t="s">
        <v>82</v>
      </c>
      <c r="J2636" s="2" t="s">
        <v>24</v>
      </c>
      <c r="K2636">
        <v>0.19</v>
      </c>
      <c r="L2636">
        <v>6883497.6500000004</v>
      </c>
      <c r="M2636">
        <v>3622893500</v>
      </c>
      <c r="N2636" s="2" t="s">
        <v>108</v>
      </c>
      <c r="O2636" s="2" t="s">
        <v>109</v>
      </c>
      <c r="P2636" s="2" t="s">
        <v>97</v>
      </c>
      <c r="Q2636" s="2" t="s">
        <v>4761</v>
      </c>
      <c r="R2636" s="2" t="s">
        <v>29</v>
      </c>
      <c r="S2636" s="2" t="s">
        <v>30</v>
      </c>
    </row>
    <row r="2637" spans="1:19">
      <c r="A2637" s="1">
        <v>45170</v>
      </c>
      <c r="B2637" s="1">
        <v>45170</v>
      </c>
      <c r="C2637">
        <v>2023</v>
      </c>
      <c r="D2637">
        <v>9</v>
      </c>
      <c r="E2637" s="2" t="s">
        <v>111</v>
      </c>
      <c r="F2637" s="2" t="s">
        <v>112</v>
      </c>
      <c r="G2637" s="2" t="s">
        <v>80</v>
      </c>
      <c r="H2637" s="2" t="s">
        <v>81</v>
      </c>
      <c r="I2637" s="2" t="s">
        <v>82</v>
      </c>
      <c r="J2637" s="2" t="s">
        <v>24</v>
      </c>
      <c r="K2637">
        <v>0.11</v>
      </c>
      <c r="L2637">
        <v>568441</v>
      </c>
      <c r="M2637">
        <v>516764545.44999999</v>
      </c>
      <c r="N2637" s="2" t="s">
        <v>113</v>
      </c>
      <c r="O2637" s="2" t="s">
        <v>114</v>
      </c>
      <c r="P2637" s="2" t="s">
        <v>1291</v>
      </c>
      <c r="Q2637" s="2" t="s">
        <v>4762</v>
      </c>
      <c r="R2637" s="2" t="s">
        <v>29</v>
      </c>
      <c r="S2637" s="2" t="s">
        <v>30</v>
      </c>
    </row>
    <row r="2638" spans="1:19">
      <c r="A2638" s="1">
        <v>45170</v>
      </c>
      <c r="B2638" s="1">
        <v>45170</v>
      </c>
      <c r="C2638">
        <v>2023</v>
      </c>
      <c r="D2638">
        <v>9</v>
      </c>
      <c r="E2638" s="2" t="s">
        <v>117</v>
      </c>
      <c r="F2638" s="2" t="s">
        <v>118</v>
      </c>
      <c r="G2638" s="2" t="s">
        <v>80</v>
      </c>
      <c r="H2638" s="2" t="s">
        <v>81</v>
      </c>
      <c r="I2638" s="2" t="s">
        <v>82</v>
      </c>
      <c r="J2638" s="2" t="s">
        <v>59</v>
      </c>
      <c r="K2638">
        <v>3.73</v>
      </c>
      <c r="L2638">
        <v>21104038.739999998</v>
      </c>
      <c r="M2638">
        <v>565791923.32000005</v>
      </c>
      <c r="N2638" s="2" t="s">
        <v>119</v>
      </c>
      <c r="O2638" s="2" t="s">
        <v>120</v>
      </c>
      <c r="P2638" s="2" t="s">
        <v>4763</v>
      </c>
      <c r="Q2638" s="2" t="s">
        <v>4764</v>
      </c>
      <c r="R2638" s="2" t="s">
        <v>29</v>
      </c>
      <c r="S2638" s="2" t="s">
        <v>30</v>
      </c>
    </row>
    <row r="2639" spans="1:19">
      <c r="A2639" s="1">
        <v>45170</v>
      </c>
      <c r="B2639" s="1">
        <v>45170</v>
      </c>
      <c r="C2639">
        <v>2023</v>
      </c>
      <c r="D2639">
        <v>9</v>
      </c>
      <c r="E2639" s="2" t="s">
        <v>123</v>
      </c>
      <c r="F2639" s="2" t="s">
        <v>124</v>
      </c>
      <c r="G2639" s="2" t="s">
        <v>21</v>
      </c>
      <c r="H2639" s="2" t="s">
        <v>22</v>
      </c>
      <c r="I2639" s="2" t="s">
        <v>73</v>
      </c>
      <c r="J2639" s="2" t="s">
        <v>24</v>
      </c>
      <c r="K2639">
        <v>1318.47</v>
      </c>
      <c r="L2639">
        <v>92879.19</v>
      </c>
      <c r="M2639">
        <v>7044.47</v>
      </c>
      <c r="N2639" s="2" t="s">
        <v>125</v>
      </c>
      <c r="O2639" s="2" t="s">
        <v>126</v>
      </c>
      <c r="P2639" s="2" t="s">
        <v>4765</v>
      </c>
      <c r="Q2639" s="2" t="s">
        <v>4766</v>
      </c>
      <c r="R2639" s="2" t="s">
        <v>29</v>
      </c>
      <c r="S2639" s="2" t="s">
        <v>30</v>
      </c>
    </row>
    <row r="2640" spans="1:19">
      <c r="A2640" s="1">
        <v>45170</v>
      </c>
      <c r="B2640" s="1">
        <v>45170</v>
      </c>
      <c r="C2640">
        <v>2023</v>
      </c>
      <c r="D2640">
        <v>9</v>
      </c>
      <c r="E2640" s="2" t="s">
        <v>129</v>
      </c>
      <c r="F2640" s="2" t="s">
        <v>130</v>
      </c>
      <c r="G2640" s="2" t="s">
        <v>21</v>
      </c>
      <c r="H2640" s="2" t="s">
        <v>22</v>
      </c>
      <c r="I2640" s="2" t="s">
        <v>73</v>
      </c>
      <c r="J2640" s="2" t="s">
        <v>24</v>
      </c>
      <c r="K2640">
        <v>1420.96</v>
      </c>
      <c r="L2640">
        <v>49440.36</v>
      </c>
      <c r="M2640">
        <v>3479.36</v>
      </c>
      <c r="N2640" s="2" t="s">
        <v>131</v>
      </c>
      <c r="O2640" s="2" t="s">
        <v>132</v>
      </c>
      <c r="P2640" s="2" t="s">
        <v>4767</v>
      </c>
      <c r="Q2640" s="2" t="s">
        <v>4768</v>
      </c>
      <c r="R2640" s="2" t="s">
        <v>29</v>
      </c>
      <c r="S2640" s="2" t="s">
        <v>30</v>
      </c>
    </row>
    <row r="2641" spans="1:19">
      <c r="A2641" s="1">
        <v>45170</v>
      </c>
      <c r="B2641" s="1">
        <v>45170</v>
      </c>
      <c r="C2641">
        <v>2023</v>
      </c>
      <c r="D2641">
        <v>9</v>
      </c>
      <c r="E2641" s="2" t="s">
        <v>135</v>
      </c>
      <c r="F2641" s="2" t="s">
        <v>136</v>
      </c>
      <c r="G2641" s="2" t="s">
        <v>21</v>
      </c>
      <c r="H2641" s="2" t="s">
        <v>22</v>
      </c>
      <c r="I2641" s="2" t="s">
        <v>73</v>
      </c>
      <c r="J2641" s="2" t="s">
        <v>101</v>
      </c>
      <c r="K2641">
        <v>2739.43</v>
      </c>
      <c r="L2641">
        <v>142319.54999999999</v>
      </c>
      <c r="M2641">
        <v>5195.22</v>
      </c>
      <c r="N2641" s="2" t="s">
        <v>137</v>
      </c>
      <c r="O2641" s="2" t="s">
        <v>138</v>
      </c>
      <c r="P2641" s="2" t="s">
        <v>4769</v>
      </c>
      <c r="Q2641" s="2" t="s">
        <v>4770</v>
      </c>
      <c r="R2641" s="2" t="s">
        <v>29</v>
      </c>
      <c r="S2641" s="2" t="s">
        <v>30</v>
      </c>
    </row>
    <row r="2642" spans="1:19">
      <c r="A2642" s="1">
        <v>45170</v>
      </c>
      <c r="B2642" s="1">
        <v>45170</v>
      </c>
      <c r="C2642">
        <v>2023</v>
      </c>
      <c r="D2642">
        <v>9</v>
      </c>
      <c r="E2642" s="2" t="s">
        <v>141</v>
      </c>
      <c r="F2642" s="2" t="s">
        <v>142</v>
      </c>
      <c r="G2642" s="2" t="s">
        <v>21</v>
      </c>
      <c r="H2642" s="2" t="s">
        <v>22</v>
      </c>
      <c r="I2642" s="2" t="s">
        <v>73</v>
      </c>
      <c r="J2642" s="2" t="s">
        <v>24</v>
      </c>
      <c r="K2642">
        <v>513.26</v>
      </c>
      <c r="L2642">
        <v>16354.71</v>
      </c>
      <c r="M2642">
        <v>3186.44</v>
      </c>
      <c r="N2642" s="2" t="s">
        <v>143</v>
      </c>
      <c r="O2642" s="2" t="s">
        <v>144</v>
      </c>
      <c r="P2642" s="2" t="s">
        <v>4771</v>
      </c>
      <c r="Q2642" s="2" t="s">
        <v>4772</v>
      </c>
      <c r="R2642" s="2" t="s">
        <v>29</v>
      </c>
      <c r="S2642" s="2" t="s">
        <v>30</v>
      </c>
    </row>
    <row r="2643" spans="1:19">
      <c r="A2643" s="1">
        <v>45170</v>
      </c>
      <c r="B2643" s="1">
        <v>45170</v>
      </c>
      <c r="C2643">
        <v>2023</v>
      </c>
      <c r="D2643">
        <v>9</v>
      </c>
      <c r="E2643" s="2" t="s">
        <v>147</v>
      </c>
      <c r="F2643" s="2" t="s">
        <v>148</v>
      </c>
      <c r="G2643" s="2" t="s">
        <v>21</v>
      </c>
      <c r="H2643" s="2" t="s">
        <v>22</v>
      </c>
      <c r="I2643" s="2" t="s">
        <v>73</v>
      </c>
      <c r="J2643" s="2" t="s">
        <v>24</v>
      </c>
      <c r="K2643">
        <v>1326.09</v>
      </c>
      <c r="L2643">
        <v>30511.73</v>
      </c>
      <c r="M2643">
        <v>2300.88</v>
      </c>
      <c r="N2643" s="2" t="s">
        <v>149</v>
      </c>
      <c r="O2643" s="2" t="s">
        <v>150</v>
      </c>
      <c r="P2643" s="2" t="s">
        <v>4773</v>
      </c>
      <c r="Q2643" s="2" t="s">
        <v>4774</v>
      </c>
      <c r="R2643" s="2" t="s">
        <v>29</v>
      </c>
      <c r="S2643" s="2" t="s">
        <v>30</v>
      </c>
    </row>
    <row r="2644" spans="1:19">
      <c r="A2644" s="1">
        <v>45170</v>
      </c>
      <c r="B2644" s="1">
        <v>45170</v>
      </c>
      <c r="C2644">
        <v>2023</v>
      </c>
      <c r="D2644">
        <v>9</v>
      </c>
      <c r="E2644" s="2" t="s">
        <v>153</v>
      </c>
      <c r="F2644" s="2" t="s">
        <v>154</v>
      </c>
      <c r="G2644" s="2" t="s">
        <v>21</v>
      </c>
      <c r="H2644" s="2" t="s">
        <v>22</v>
      </c>
      <c r="I2644" s="2" t="s">
        <v>73</v>
      </c>
      <c r="J2644" s="2" t="s">
        <v>101</v>
      </c>
      <c r="K2644">
        <v>1839.04</v>
      </c>
      <c r="L2644">
        <v>46866.44</v>
      </c>
      <c r="M2644">
        <v>2548.42</v>
      </c>
      <c r="N2644" s="2" t="s">
        <v>155</v>
      </c>
      <c r="O2644" s="2" t="s">
        <v>156</v>
      </c>
      <c r="P2644" s="2" t="s">
        <v>4775</v>
      </c>
      <c r="Q2644" s="2" t="s">
        <v>4776</v>
      </c>
      <c r="R2644" s="2" t="s">
        <v>29</v>
      </c>
      <c r="S2644" s="2" t="s">
        <v>30</v>
      </c>
    </row>
    <row r="2645" spans="1:19">
      <c r="A2645" s="1">
        <v>45170</v>
      </c>
      <c r="B2645" s="1">
        <v>45170</v>
      </c>
      <c r="C2645">
        <v>2023</v>
      </c>
      <c r="D2645">
        <v>9</v>
      </c>
      <c r="E2645" s="2" t="s">
        <v>159</v>
      </c>
      <c r="F2645" s="2" t="s">
        <v>160</v>
      </c>
      <c r="G2645" s="2" t="s">
        <v>21</v>
      </c>
      <c r="H2645" s="2" t="s">
        <v>22</v>
      </c>
      <c r="I2645" s="2" t="s">
        <v>66</v>
      </c>
      <c r="J2645" s="2" t="s">
        <v>59</v>
      </c>
      <c r="K2645">
        <v>1514.68</v>
      </c>
      <c r="L2645">
        <v>138748.18</v>
      </c>
      <c r="M2645">
        <v>9160.23</v>
      </c>
      <c r="N2645" s="2" t="s">
        <v>161</v>
      </c>
      <c r="O2645" s="2" t="s">
        <v>162</v>
      </c>
      <c r="P2645" s="2" t="s">
        <v>4777</v>
      </c>
      <c r="Q2645" s="2" t="s">
        <v>4778</v>
      </c>
      <c r="R2645" s="2" t="s">
        <v>29</v>
      </c>
      <c r="S2645" s="2" t="s">
        <v>30</v>
      </c>
    </row>
    <row r="2646" spans="1:19">
      <c r="A2646" s="1">
        <v>45170</v>
      </c>
      <c r="B2646" s="1">
        <v>45170</v>
      </c>
      <c r="C2646">
        <v>2023</v>
      </c>
      <c r="D2646">
        <v>9</v>
      </c>
      <c r="E2646" s="2" t="s">
        <v>165</v>
      </c>
      <c r="F2646" s="2" t="s">
        <v>166</v>
      </c>
      <c r="G2646" s="2" t="s">
        <v>21</v>
      </c>
      <c r="H2646" s="2" t="s">
        <v>22</v>
      </c>
      <c r="I2646" s="2" t="s">
        <v>23</v>
      </c>
      <c r="J2646" s="2" t="s">
        <v>24</v>
      </c>
      <c r="N2646" s="2" t="s">
        <v>167</v>
      </c>
      <c r="O2646" s="2" t="s">
        <v>168</v>
      </c>
      <c r="P2646" s="2" t="s">
        <v>175</v>
      </c>
      <c r="Q2646" s="2" t="s">
        <v>175</v>
      </c>
      <c r="R2646" s="2" t="s">
        <v>640</v>
      </c>
      <c r="S2646" s="2" t="s">
        <v>641</v>
      </c>
    </row>
    <row r="2647" spans="1:19">
      <c r="A2647" s="1">
        <v>45170</v>
      </c>
      <c r="B2647" s="1">
        <v>45170</v>
      </c>
      <c r="C2647">
        <v>2023</v>
      </c>
      <c r="D2647">
        <v>9</v>
      </c>
      <c r="E2647" s="2" t="s">
        <v>171</v>
      </c>
      <c r="F2647" s="2" t="s">
        <v>172</v>
      </c>
      <c r="G2647" s="2" t="s">
        <v>21</v>
      </c>
      <c r="H2647" s="2" t="s">
        <v>22</v>
      </c>
      <c r="I2647" s="2" t="s">
        <v>66</v>
      </c>
      <c r="J2647" s="2" t="s">
        <v>24</v>
      </c>
      <c r="N2647" s="2" t="s">
        <v>173</v>
      </c>
      <c r="O2647" s="2" t="s">
        <v>174</v>
      </c>
      <c r="P2647" s="2" t="s">
        <v>175</v>
      </c>
      <c r="Q2647" s="2" t="s">
        <v>175</v>
      </c>
      <c r="R2647" s="2" t="s">
        <v>640</v>
      </c>
      <c r="S2647" s="2" t="s">
        <v>641</v>
      </c>
    </row>
    <row r="2648" spans="1:19">
      <c r="A2648" s="1">
        <v>45170</v>
      </c>
      <c r="B2648" s="1">
        <v>45170</v>
      </c>
      <c r="C2648">
        <v>2023</v>
      </c>
      <c r="D2648">
        <v>9</v>
      </c>
      <c r="E2648" s="2" t="s">
        <v>177</v>
      </c>
      <c r="F2648" s="2" t="s">
        <v>178</v>
      </c>
      <c r="G2648" s="2" t="s">
        <v>21</v>
      </c>
      <c r="H2648" s="2" t="s">
        <v>22</v>
      </c>
      <c r="I2648" s="2" t="s">
        <v>23</v>
      </c>
      <c r="J2648" s="2" t="s">
        <v>24</v>
      </c>
      <c r="K2648">
        <v>4728.97</v>
      </c>
      <c r="L2648">
        <v>507497.24</v>
      </c>
      <c r="M2648">
        <v>10731.67</v>
      </c>
      <c r="N2648" s="2" t="s">
        <v>179</v>
      </c>
      <c r="O2648" s="2" t="s">
        <v>180</v>
      </c>
      <c r="P2648" s="2" t="s">
        <v>4779</v>
      </c>
      <c r="Q2648" s="2" t="s">
        <v>4780</v>
      </c>
      <c r="R2648" s="2" t="s">
        <v>29</v>
      </c>
      <c r="S2648" s="2" t="s">
        <v>30</v>
      </c>
    </row>
    <row r="2649" spans="1:19">
      <c r="A2649" s="1">
        <v>45170</v>
      </c>
      <c r="B2649" s="1">
        <v>45170</v>
      </c>
      <c r="C2649">
        <v>2023</v>
      </c>
      <c r="D2649">
        <v>9</v>
      </c>
      <c r="E2649" s="2" t="s">
        <v>183</v>
      </c>
      <c r="F2649" s="2" t="s">
        <v>184</v>
      </c>
      <c r="G2649" s="2" t="s">
        <v>185</v>
      </c>
      <c r="H2649" s="2" t="s">
        <v>22</v>
      </c>
      <c r="I2649" s="2" t="s">
        <v>186</v>
      </c>
      <c r="J2649" s="2" t="s">
        <v>24</v>
      </c>
      <c r="K2649">
        <v>2662.16</v>
      </c>
      <c r="L2649">
        <v>4040899.63</v>
      </c>
      <c r="M2649">
        <v>151790.26</v>
      </c>
      <c r="N2649" s="2" t="s">
        <v>187</v>
      </c>
      <c r="O2649" s="2" t="s">
        <v>188</v>
      </c>
      <c r="P2649" s="2" t="s">
        <v>4781</v>
      </c>
      <c r="Q2649" s="2" t="s">
        <v>4782</v>
      </c>
      <c r="R2649" s="2" t="s">
        <v>29</v>
      </c>
      <c r="S2649" s="2" t="s">
        <v>30</v>
      </c>
    </row>
    <row r="2650" spans="1:19">
      <c r="A2650" s="1">
        <v>45170</v>
      </c>
      <c r="B2650" s="1">
        <v>45170</v>
      </c>
      <c r="C2650">
        <v>2023</v>
      </c>
      <c r="D2650">
        <v>9</v>
      </c>
      <c r="E2650" s="2" t="s">
        <v>191</v>
      </c>
      <c r="F2650" s="2" t="s">
        <v>192</v>
      </c>
      <c r="G2650" s="2" t="s">
        <v>185</v>
      </c>
      <c r="H2650" s="2" t="s">
        <v>22</v>
      </c>
      <c r="I2650" s="2" t="s">
        <v>186</v>
      </c>
      <c r="J2650" s="2" t="s">
        <v>24</v>
      </c>
      <c r="K2650">
        <v>988.1</v>
      </c>
      <c r="L2650">
        <v>4179061.44</v>
      </c>
      <c r="M2650">
        <v>422939.12</v>
      </c>
      <c r="N2650" s="2" t="s">
        <v>193</v>
      </c>
      <c r="O2650" s="2" t="s">
        <v>194</v>
      </c>
      <c r="P2650" s="2" t="s">
        <v>4783</v>
      </c>
      <c r="Q2650" s="2" t="s">
        <v>4784</v>
      </c>
      <c r="R2650" s="2" t="s">
        <v>29</v>
      </c>
      <c r="S2650" s="2" t="s">
        <v>30</v>
      </c>
    </row>
    <row r="2651" spans="1:19">
      <c r="A2651" s="1">
        <v>45170</v>
      </c>
      <c r="B2651" s="1">
        <v>45170</v>
      </c>
      <c r="C2651">
        <v>2023</v>
      </c>
      <c r="D2651">
        <v>9</v>
      </c>
      <c r="E2651" s="2" t="s">
        <v>197</v>
      </c>
      <c r="F2651" s="2" t="s">
        <v>198</v>
      </c>
      <c r="G2651" s="2" t="s">
        <v>185</v>
      </c>
      <c r="H2651" s="2" t="s">
        <v>22</v>
      </c>
      <c r="I2651" s="2" t="s">
        <v>186</v>
      </c>
      <c r="J2651" s="2" t="s">
        <v>59</v>
      </c>
      <c r="K2651">
        <v>3650.26</v>
      </c>
      <c r="L2651">
        <v>8219961.0700000003</v>
      </c>
      <c r="M2651">
        <v>225188.37</v>
      </c>
      <c r="N2651" s="2" t="s">
        <v>199</v>
      </c>
      <c r="O2651" s="2" t="s">
        <v>200</v>
      </c>
      <c r="P2651" s="2" t="s">
        <v>4785</v>
      </c>
      <c r="Q2651" s="2" t="s">
        <v>4786</v>
      </c>
      <c r="R2651" s="2" t="s">
        <v>29</v>
      </c>
      <c r="S2651" s="2" t="s">
        <v>30</v>
      </c>
    </row>
    <row r="2652" spans="1:19">
      <c r="A2652" s="1">
        <v>45170</v>
      </c>
      <c r="B2652" s="1">
        <v>45170</v>
      </c>
      <c r="C2652">
        <v>2023</v>
      </c>
      <c r="D2652">
        <v>9</v>
      </c>
      <c r="E2652" s="2" t="s">
        <v>203</v>
      </c>
      <c r="F2652" s="2" t="s">
        <v>204</v>
      </c>
      <c r="G2652" s="2" t="s">
        <v>39</v>
      </c>
      <c r="H2652" s="2" t="s">
        <v>22</v>
      </c>
      <c r="I2652" s="2" t="s">
        <v>40</v>
      </c>
      <c r="J2652" s="2" t="s">
        <v>24</v>
      </c>
      <c r="K2652">
        <v>991.43</v>
      </c>
      <c r="L2652">
        <v>25476.97</v>
      </c>
      <c r="M2652">
        <v>2569.7199999999998</v>
      </c>
      <c r="N2652" s="2" t="s">
        <v>205</v>
      </c>
      <c r="O2652" s="2" t="s">
        <v>206</v>
      </c>
      <c r="P2652" s="2" t="s">
        <v>4787</v>
      </c>
      <c r="Q2652" s="2" t="s">
        <v>4788</v>
      </c>
      <c r="R2652" s="2" t="s">
        <v>29</v>
      </c>
      <c r="S2652" s="2" t="s">
        <v>30</v>
      </c>
    </row>
    <row r="2653" spans="1:19">
      <c r="A2653" s="1">
        <v>45170</v>
      </c>
      <c r="B2653" s="1">
        <v>45170</v>
      </c>
      <c r="C2653">
        <v>2023</v>
      </c>
      <c r="D2653">
        <v>9</v>
      </c>
      <c r="E2653" s="2" t="s">
        <v>209</v>
      </c>
      <c r="F2653" s="2" t="s">
        <v>210</v>
      </c>
      <c r="G2653" s="2" t="s">
        <v>39</v>
      </c>
      <c r="H2653" s="2" t="s">
        <v>22</v>
      </c>
      <c r="I2653" s="2" t="s">
        <v>40</v>
      </c>
      <c r="J2653" s="2" t="s">
        <v>59</v>
      </c>
      <c r="K2653">
        <v>991.43</v>
      </c>
      <c r="L2653">
        <v>25476.97</v>
      </c>
      <c r="M2653">
        <v>2569.7199999999998</v>
      </c>
      <c r="N2653" s="2" t="s">
        <v>211</v>
      </c>
      <c r="O2653" s="2" t="s">
        <v>212</v>
      </c>
      <c r="P2653" s="2" t="s">
        <v>4787</v>
      </c>
      <c r="Q2653" s="2" t="s">
        <v>4788</v>
      </c>
      <c r="R2653" s="2" t="s">
        <v>29</v>
      </c>
      <c r="S2653" s="2" t="s">
        <v>30</v>
      </c>
    </row>
    <row r="2654" spans="1:19">
      <c r="A2654" s="1">
        <v>45170</v>
      </c>
      <c r="B2654" s="1">
        <v>45170</v>
      </c>
      <c r="C2654">
        <v>2023</v>
      </c>
      <c r="D2654">
        <v>9</v>
      </c>
      <c r="E2654" s="2" t="s">
        <v>213</v>
      </c>
      <c r="F2654" s="2" t="s">
        <v>214</v>
      </c>
      <c r="G2654" s="2" t="s">
        <v>185</v>
      </c>
      <c r="H2654" s="2" t="s">
        <v>22</v>
      </c>
      <c r="I2654" s="2" t="s">
        <v>215</v>
      </c>
      <c r="J2654" s="2" t="s">
        <v>24</v>
      </c>
      <c r="K2654">
        <v>94608.31</v>
      </c>
      <c r="L2654">
        <v>1988707</v>
      </c>
      <c r="M2654">
        <v>2102.04</v>
      </c>
      <c r="N2654" s="2" t="s">
        <v>216</v>
      </c>
      <c r="O2654" s="2" t="s">
        <v>217</v>
      </c>
      <c r="P2654" s="2" t="s">
        <v>4789</v>
      </c>
      <c r="Q2654" s="2" t="s">
        <v>4790</v>
      </c>
      <c r="R2654" s="2" t="s">
        <v>29</v>
      </c>
      <c r="S2654" s="2" t="s">
        <v>30</v>
      </c>
    </row>
    <row r="2655" spans="1:19">
      <c r="A2655" s="1">
        <v>45170</v>
      </c>
      <c r="B2655" s="1">
        <v>45170</v>
      </c>
      <c r="C2655">
        <v>2023</v>
      </c>
      <c r="D2655">
        <v>9</v>
      </c>
      <c r="E2655" s="2" t="s">
        <v>220</v>
      </c>
      <c r="F2655" s="2" t="s">
        <v>221</v>
      </c>
      <c r="G2655" s="2" t="s">
        <v>185</v>
      </c>
      <c r="H2655" s="2" t="s">
        <v>22</v>
      </c>
      <c r="I2655" s="2" t="s">
        <v>215</v>
      </c>
      <c r="J2655" s="2" t="s">
        <v>24</v>
      </c>
      <c r="K2655">
        <v>6606.3</v>
      </c>
      <c r="L2655">
        <v>446013.68</v>
      </c>
      <c r="M2655">
        <v>6751.34</v>
      </c>
      <c r="N2655" s="2" t="s">
        <v>222</v>
      </c>
      <c r="O2655" s="2" t="s">
        <v>223</v>
      </c>
      <c r="P2655" s="2" t="s">
        <v>4791</v>
      </c>
      <c r="Q2655" s="2" t="s">
        <v>4792</v>
      </c>
      <c r="R2655" s="2" t="s">
        <v>29</v>
      </c>
      <c r="S2655" s="2" t="s">
        <v>30</v>
      </c>
    </row>
    <row r="2656" spans="1:19">
      <c r="A2656" s="1">
        <v>45170</v>
      </c>
      <c r="B2656" s="1">
        <v>45170</v>
      </c>
      <c r="C2656">
        <v>2023</v>
      </c>
      <c r="D2656">
        <v>9</v>
      </c>
      <c r="E2656" s="2" t="s">
        <v>226</v>
      </c>
      <c r="F2656" s="2" t="s">
        <v>227</v>
      </c>
      <c r="G2656" s="2" t="s">
        <v>185</v>
      </c>
      <c r="H2656" s="2" t="s">
        <v>22</v>
      </c>
      <c r="I2656" s="2" t="s">
        <v>215</v>
      </c>
      <c r="J2656" s="2" t="s">
        <v>59</v>
      </c>
      <c r="K2656">
        <v>101214.61</v>
      </c>
      <c r="L2656">
        <v>2434720.6800000002</v>
      </c>
      <c r="M2656">
        <v>2405.5</v>
      </c>
      <c r="N2656" s="2" t="s">
        <v>228</v>
      </c>
      <c r="O2656" s="2" t="s">
        <v>229</v>
      </c>
      <c r="P2656" s="2" t="s">
        <v>4793</v>
      </c>
      <c r="Q2656" s="2" t="s">
        <v>4794</v>
      </c>
      <c r="R2656" s="2" t="s">
        <v>29</v>
      </c>
      <c r="S2656" s="2" t="s">
        <v>30</v>
      </c>
    </row>
    <row r="2657" spans="1:19">
      <c r="A2657" s="1">
        <v>45170</v>
      </c>
      <c r="B2657" s="1">
        <v>45170</v>
      </c>
      <c r="C2657">
        <v>2023</v>
      </c>
      <c r="D2657">
        <v>9</v>
      </c>
      <c r="E2657" s="2" t="s">
        <v>232</v>
      </c>
      <c r="F2657" s="2" t="s">
        <v>233</v>
      </c>
      <c r="G2657" s="2" t="s">
        <v>21</v>
      </c>
      <c r="H2657" s="2" t="s">
        <v>22</v>
      </c>
      <c r="I2657" s="2" t="s">
        <v>23</v>
      </c>
      <c r="J2657" s="2" t="s">
        <v>24</v>
      </c>
      <c r="K2657">
        <v>1512.78</v>
      </c>
      <c r="L2657">
        <v>109471.78</v>
      </c>
      <c r="M2657">
        <v>7236.46</v>
      </c>
      <c r="N2657" s="2" t="s">
        <v>234</v>
      </c>
      <c r="O2657" s="2" t="s">
        <v>235</v>
      </c>
      <c r="P2657" s="2" t="s">
        <v>4795</v>
      </c>
      <c r="Q2657" s="2" t="s">
        <v>4796</v>
      </c>
      <c r="R2657" s="2" t="s">
        <v>29</v>
      </c>
      <c r="S2657" s="2" t="s">
        <v>30</v>
      </c>
    </row>
    <row r="2658" spans="1:19">
      <c r="A2658" s="1">
        <v>45170</v>
      </c>
      <c r="B2658" s="1">
        <v>45170</v>
      </c>
      <c r="C2658">
        <v>2023</v>
      </c>
      <c r="D2658">
        <v>9</v>
      </c>
      <c r="E2658" s="2" t="s">
        <v>238</v>
      </c>
      <c r="F2658" s="2" t="s">
        <v>239</v>
      </c>
      <c r="G2658" s="2" t="s">
        <v>21</v>
      </c>
      <c r="H2658" s="2" t="s">
        <v>22</v>
      </c>
      <c r="I2658" s="2" t="s">
        <v>66</v>
      </c>
      <c r="J2658" s="2" t="s">
        <v>24</v>
      </c>
      <c r="K2658">
        <v>1371.81</v>
      </c>
      <c r="L2658">
        <v>138081.01999999999</v>
      </c>
      <c r="M2658">
        <v>10065.61</v>
      </c>
      <c r="N2658" s="2" t="s">
        <v>240</v>
      </c>
      <c r="O2658" s="2" t="s">
        <v>241</v>
      </c>
      <c r="P2658" s="2" t="s">
        <v>4797</v>
      </c>
      <c r="Q2658" s="2" t="s">
        <v>4798</v>
      </c>
      <c r="R2658" s="2" t="s">
        <v>29</v>
      </c>
      <c r="S2658" s="2" t="s">
        <v>30</v>
      </c>
    </row>
    <row r="2659" spans="1:19">
      <c r="A2659" s="1">
        <v>45170</v>
      </c>
      <c r="B2659" s="1">
        <v>45170</v>
      </c>
      <c r="C2659">
        <v>2023</v>
      </c>
      <c r="D2659">
        <v>9</v>
      </c>
      <c r="E2659" s="2" t="s">
        <v>244</v>
      </c>
      <c r="F2659" s="2" t="s">
        <v>245</v>
      </c>
      <c r="G2659" s="2" t="s">
        <v>21</v>
      </c>
      <c r="H2659" s="2" t="s">
        <v>22</v>
      </c>
      <c r="I2659" s="2" t="s">
        <v>23</v>
      </c>
      <c r="J2659" s="2" t="s">
        <v>24</v>
      </c>
      <c r="K2659">
        <v>5598.05</v>
      </c>
      <c r="L2659">
        <v>3126189.59</v>
      </c>
      <c r="M2659">
        <v>55844.26</v>
      </c>
      <c r="N2659" s="2" t="s">
        <v>246</v>
      </c>
      <c r="O2659" s="2" t="s">
        <v>247</v>
      </c>
      <c r="P2659" s="2" t="s">
        <v>4799</v>
      </c>
      <c r="Q2659" s="2" t="s">
        <v>4800</v>
      </c>
      <c r="R2659" s="2" t="s">
        <v>29</v>
      </c>
      <c r="S2659" s="2" t="s">
        <v>30</v>
      </c>
    </row>
    <row r="2660" spans="1:19">
      <c r="A2660" s="1">
        <v>45170</v>
      </c>
      <c r="B2660" s="1">
        <v>45170</v>
      </c>
      <c r="C2660">
        <v>2023</v>
      </c>
      <c r="D2660">
        <v>9</v>
      </c>
      <c r="E2660" s="2" t="s">
        <v>250</v>
      </c>
      <c r="F2660" s="2" t="s">
        <v>251</v>
      </c>
      <c r="G2660" s="2" t="s">
        <v>21</v>
      </c>
      <c r="H2660" s="2" t="s">
        <v>22</v>
      </c>
      <c r="I2660" s="2" t="s">
        <v>66</v>
      </c>
      <c r="J2660" s="2" t="s">
        <v>24</v>
      </c>
      <c r="K2660">
        <v>129</v>
      </c>
      <c r="L2660">
        <v>226.04</v>
      </c>
      <c r="M2660">
        <v>175.22</v>
      </c>
      <c r="N2660" s="2" t="s">
        <v>252</v>
      </c>
      <c r="O2660" s="2" t="s">
        <v>253</v>
      </c>
      <c r="P2660" s="2" t="s">
        <v>280</v>
      </c>
      <c r="Q2660" s="2" t="s">
        <v>4801</v>
      </c>
      <c r="R2660" s="2" t="s">
        <v>29</v>
      </c>
      <c r="S2660" s="2" t="s">
        <v>30</v>
      </c>
    </row>
    <row r="2661" spans="1:19">
      <c r="A2661" s="1">
        <v>45170</v>
      </c>
      <c r="B2661" s="1">
        <v>45170</v>
      </c>
      <c r="C2661">
        <v>2023</v>
      </c>
      <c r="D2661">
        <v>9</v>
      </c>
      <c r="E2661" s="2" t="s">
        <v>256</v>
      </c>
      <c r="F2661" s="2" t="s">
        <v>257</v>
      </c>
      <c r="G2661" s="2" t="s">
        <v>21</v>
      </c>
      <c r="H2661" s="2" t="s">
        <v>22</v>
      </c>
      <c r="I2661" s="2" t="s">
        <v>258</v>
      </c>
      <c r="J2661" s="2" t="s">
        <v>24</v>
      </c>
      <c r="K2661">
        <v>538.35</v>
      </c>
      <c r="L2661">
        <v>575020.94999999995</v>
      </c>
      <c r="M2661">
        <v>106811.73</v>
      </c>
      <c r="N2661" s="2" t="s">
        <v>259</v>
      </c>
      <c r="O2661" s="2" t="s">
        <v>260</v>
      </c>
      <c r="P2661" s="2" t="s">
        <v>4802</v>
      </c>
      <c r="Q2661" s="2" t="s">
        <v>4803</v>
      </c>
      <c r="R2661" s="2" t="s">
        <v>29</v>
      </c>
      <c r="S2661" s="2" t="s">
        <v>30</v>
      </c>
    </row>
    <row r="2662" spans="1:19">
      <c r="A2662" s="1">
        <v>45170</v>
      </c>
      <c r="B2662" s="1">
        <v>45170</v>
      </c>
      <c r="C2662">
        <v>2023</v>
      </c>
      <c r="D2662">
        <v>9</v>
      </c>
      <c r="E2662" s="2" t="s">
        <v>263</v>
      </c>
      <c r="F2662" s="2" t="s">
        <v>264</v>
      </c>
      <c r="G2662" s="2" t="s">
        <v>21</v>
      </c>
      <c r="H2662" s="2" t="s">
        <v>22</v>
      </c>
      <c r="I2662" s="2" t="s">
        <v>258</v>
      </c>
      <c r="J2662" s="2" t="s">
        <v>24</v>
      </c>
      <c r="K2662">
        <v>0</v>
      </c>
      <c r="L2662">
        <v>0</v>
      </c>
      <c r="N2662" s="2" t="s">
        <v>265</v>
      </c>
      <c r="O2662" s="2" t="s">
        <v>266</v>
      </c>
      <c r="P2662" s="2" t="s">
        <v>639</v>
      </c>
      <c r="Q2662" s="2" t="s">
        <v>639</v>
      </c>
      <c r="R2662" s="2" t="s">
        <v>29</v>
      </c>
      <c r="S2662" s="2" t="s">
        <v>30</v>
      </c>
    </row>
    <row r="2663" spans="1:19">
      <c r="A2663" s="1">
        <v>45170</v>
      </c>
      <c r="B2663" s="1">
        <v>45170</v>
      </c>
      <c r="C2663">
        <v>2023</v>
      </c>
      <c r="D2663">
        <v>9</v>
      </c>
      <c r="E2663" s="2" t="s">
        <v>269</v>
      </c>
      <c r="F2663" s="2" t="s">
        <v>270</v>
      </c>
      <c r="G2663" s="2" t="s">
        <v>21</v>
      </c>
      <c r="H2663" s="2" t="s">
        <v>22</v>
      </c>
      <c r="I2663" s="2" t="s">
        <v>258</v>
      </c>
      <c r="J2663" s="2" t="s">
        <v>59</v>
      </c>
      <c r="K2663">
        <v>538.35</v>
      </c>
      <c r="L2663">
        <v>575020.94999999995</v>
      </c>
      <c r="M2663">
        <v>106811.73</v>
      </c>
      <c r="N2663" s="2" t="s">
        <v>271</v>
      </c>
      <c r="O2663" s="2" t="s">
        <v>272</v>
      </c>
      <c r="P2663" s="2" t="s">
        <v>4802</v>
      </c>
      <c r="Q2663" s="2" t="s">
        <v>4803</v>
      </c>
      <c r="R2663" s="2" t="s">
        <v>29</v>
      </c>
      <c r="S2663" s="2" t="s">
        <v>30</v>
      </c>
    </row>
    <row r="2664" spans="1:19">
      <c r="A2664" s="1">
        <v>45170</v>
      </c>
      <c r="B2664" s="1">
        <v>45170</v>
      </c>
      <c r="C2664">
        <v>2023</v>
      </c>
      <c r="D2664">
        <v>9</v>
      </c>
      <c r="E2664" s="2" t="s">
        <v>275</v>
      </c>
      <c r="F2664" s="2" t="s">
        <v>276</v>
      </c>
      <c r="G2664" s="2" t="s">
        <v>39</v>
      </c>
      <c r="H2664" s="2" t="s">
        <v>22</v>
      </c>
      <c r="I2664" s="2" t="s">
        <v>40</v>
      </c>
      <c r="J2664" s="2" t="s">
        <v>24</v>
      </c>
      <c r="K2664">
        <v>0.96</v>
      </c>
      <c r="L2664">
        <v>9.19</v>
      </c>
      <c r="M2664">
        <v>957.29</v>
      </c>
      <c r="N2664" s="2" t="s">
        <v>277</v>
      </c>
      <c r="O2664" s="2" t="s">
        <v>278</v>
      </c>
      <c r="P2664" s="2" t="s">
        <v>1244</v>
      </c>
      <c r="Q2664" s="2" t="s">
        <v>4804</v>
      </c>
      <c r="R2664" s="2" t="s">
        <v>29</v>
      </c>
      <c r="S2664" s="2" t="s">
        <v>30</v>
      </c>
    </row>
    <row r="2665" spans="1:19">
      <c r="A2665" s="1">
        <v>45170</v>
      </c>
      <c r="B2665" s="1">
        <v>45170</v>
      </c>
      <c r="C2665">
        <v>2023</v>
      </c>
      <c r="D2665">
        <v>9</v>
      </c>
      <c r="E2665" s="2" t="s">
        <v>281</v>
      </c>
      <c r="F2665" s="2" t="s">
        <v>282</v>
      </c>
      <c r="G2665" s="2" t="s">
        <v>39</v>
      </c>
      <c r="H2665" s="2" t="s">
        <v>22</v>
      </c>
      <c r="I2665" s="2" t="s">
        <v>40</v>
      </c>
      <c r="J2665" s="2" t="s">
        <v>24</v>
      </c>
      <c r="K2665">
        <v>0.01</v>
      </c>
      <c r="L2665">
        <v>0.03</v>
      </c>
      <c r="M2665">
        <v>300</v>
      </c>
      <c r="N2665" s="2" t="s">
        <v>283</v>
      </c>
      <c r="O2665" s="2" t="s">
        <v>284</v>
      </c>
      <c r="P2665" s="2" t="s">
        <v>832</v>
      </c>
      <c r="Q2665" s="2" t="s">
        <v>1247</v>
      </c>
      <c r="R2665" s="2" t="s">
        <v>29</v>
      </c>
      <c r="S2665" s="2" t="s">
        <v>30</v>
      </c>
    </row>
    <row r="2666" spans="1:19">
      <c r="A2666" s="1">
        <v>45170</v>
      </c>
      <c r="B2666" s="1">
        <v>45170</v>
      </c>
      <c r="C2666">
        <v>2023</v>
      </c>
      <c r="D2666">
        <v>9</v>
      </c>
      <c r="E2666" s="2" t="s">
        <v>287</v>
      </c>
      <c r="F2666" s="2" t="s">
        <v>288</v>
      </c>
      <c r="G2666" s="2" t="s">
        <v>39</v>
      </c>
      <c r="H2666" s="2" t="s">
        <v>22</v>
      </c>
      <c r="I2666" s="2" t="s">
        <v>40</v>
      </c>
      <c r="J2666" s="2" t="s">
        <v>59</v>
      </c>
      <c r="K2666">
        <v>0.97</v>
      </c>
      <c r="L2666">
        <v>9.2100000000000009</v>
      </c>
      <c r="M2666">
        <v>949.48</v>
      </c>
      <c r="N2666" s="2" t="s">
        <v>289</v>
      </c>
      <c r="O2666" s="2" t="s">
        <v>290</v>
      </c>
      <c r="P2666" s="2" t="s">
        <v>1525</v>
      </c>
      <c r="Q2666" s="2" t="s">
        <v>4805</v>
      </c>
      <c r="R2666" s="2" t="s">
        <v>29</v>
      </c>
      <c r="S2666" s="2" t="s">
        <v>30</v>
      </c>
    </row>
    <row r="2667" spans="1:19">
      <c r="A2667" s="1">
        <v>45170</v>
      </c>
      <c r="B2667" s="1">
        <v>45170</v>
      </c>
      <c r="C2667">
        <v>2023</v>
      </c>
      <c r="D2667">
        <v>9</v>
      </c>
      <c r="E2667" s="2" t="s">
        <v>293</v>
      </c>
      <c r="F2667" s="2" t="s">
        <v>294</v>
      </c>
      <c r="G2667" s="2" t="s">
        <v>21</v>
      </c>
      <c r="H2667" s="2" t="s">
        <v>22</v>
      </c>
      <c r="I2667" s="2" t="s">
        <v>295</v>
      </c>
      <c r="J2667" s="2" t="s">
        <v>24</v>
      </c>
      <c r="K2667">
        <v>508.67</v>
      </c>
      <c r="L2667">
        <v>2881.93</v>
      </c>
      <c r="M2667">
        <v>566.55999999999995</v>
      </c>
      <c r="N2667" s="2" t="s">
        <v>296</v>
      </c>
      <c r="O2667" s="2" t="s">
        <v>297</v>
      </c>
      <c r="P2667" s="2" t="s">
        <v>4806</v>
      </c>
      <c r="Q2667" s="2" t="s">
        <v>4807</v>
      </c>
      <c r="R2667" s="2" t="s">
        <v>29</v>
      </c>
      <c r="S2667" s="2" t="s">
        <v>30</v>
      </c>
    </row>
    <row r="2668" spans="1:19">
      <c r="A2668" s="1">
        <v>45170</v>
      </c>
      <c r="B2668" s="1">
        <v>45170</v>
      </c>
      <c r="C2668">
        <v>2023</v>
      </c>
      <c r="D2668">
        <v>9</v>
      </c>
      <c r="E2668" s="2" t="s">
        <v>300</v>
      </c>
      <c r="F2668" s="2" t="s">
        <v>301</v>
      </c>
      <c r="G2668" s="2" t="s">
        <v>21</v>
      </c>
      <c r="H2668" s="2" t="s">
        <v>22</v>
      </c>
      <c r="I2668" s="2" t="s">
        <v>295</v>
      </c>
      <c r="J2668" s="2" t="s">
        <v>24</v>
      </c>
      <c r="K2668">
        <v>707.39</v>
      </c>
      <c r="L2668">
        <v>841.78</v>
      </c>
      <c r="M2668">
        <v>119</v>
      </c>
      <c r="N2668" s="2" t="s">
        <v>302</v>
      </c>
      <c r="O2668" s="2" t="s">
        <v>303</v>
      </c>
      <c r="P2668" s="2" t="s">
        <v>4808</v>
      </c>
      <c r="Q2668" s="2" t="s">
        <v>4809</v>
      </c>
      <c r="R2668" s="2" t="s">
        <v>29</v>
      </c>
      <c r="S2668" s="2" t="s">
        <v>30</v>
      </c>
    </row>
    <row r="2669" spans="1:19">
      <c r="A2669" s="1">
        <v>45170</v>
      </c>
      <c r="B2669" s="1">
        <v>45170</v>
      </c>
      <c r="C2669">
        <v>2023</v>
      </c>
      <c r="D2669">
        <v>9</v>
      </c>
      <c r="E2669" s="2" t="s">
        <v>306</v>
      </c>
      <c r="F2669" s="2" t="s">
        <v>307</v>
      </c>
      <c r="G2669" s="2" t="s">
        <v>21</v>
      </c>
      <c r="H2669" s="2" t="s">
        <v>22</v>
      </c>
      <c r="I2669" s="2" t="s">
        <v>295</v>
      </c>
      <c r="J2669" s="2" t="s">
        <v>101</v>
      </c>
      <c r="K2669">
        <v>1216.07</v>
      </c>
      <c r="L2669">
        <v>3723.71</v>
      </c>
      <c r="M2669">
        <v>306.20999999999998</v>
      </c>
      <c r="N2669" s="2" t="s">
        <v>308</v>
      </c>
      <c r="O2669" s="2" t="s">
        <v>309</v>
      </c>
      <c r="P2669" s="2" t="s">
        <v>4810</v>
      </c>
      <c r="Q2669" s="2" t="s">
        <v>4811</v>
      </c>
      <c r="R2669" s="2" t="s">
        <v>29</v>
      </c>
      <c r="S2669" s="2" t="s">
        <v>30</v>
      </c>
    </row>
    <row r="2670" spans="1:19">
      <c r="A2670" s="1">
        <v>45170</v>
      </c>
      <c r="B2670" s="1">
        <v>45170</v>
      </c>
      <c r="C2670">
        <v>2023</v>
      </c>
      <c r="D2670">
        <v>9</v>
      </c>
      <c r="E2670" s="2" t="s">
        <v>312</v>
      </c>
      <c r="F2670" s="2" t="s">
        <v>313</v>
      </c>
      <c r="G2670" s="2" t="s">
        <v>21</v>
      </c>
      <c r="H2670" s="2" t="s">
        <v>22</v>
      </c>
      <c r="I2670" s="2" t="s">
        <v>295</v>
      </c>
      <c r="J2670" s="2" t="s">
        <v>59</v>
      </c>
      <c r="K2670">
        <v>6143.17</v>
      </c>
      <c r="L2670">
        <v>23667.78</v>
      </c>
      <c r="M2670">
        <v>385.27</v>
      </c>
      <c r="N2670" s="2" t="s">
        <v>314</v>
      </c>
      <c r="O2670" s="2" t="s">
        <v>315</v>
      </c>
      <c r="P2670" s="2" t="s">
        <v>175</v>
      </c>
      <c r="Q2670" s="2" t="s">
        <v>4812</v>
      </c>
      <c r="R2670" s="2" t="s">
        <v>4813</v>
      </c>
      <c r="S2670" s="2" t="s">
        <v>4814</v>
      </c>
    </row>
    <row r="2671" spans="1:19">
      <c r="A2671" s="1">
        <v>45170</v>
      </c>
      <c r="B2671" s="1">
        <v>45170</v>
      </c>
      <c r="C2671">
        <v>2023</v>
      </c>
      <c r="D2671">
        <v>9</v>
      </c>
      <c r="E2671" s="2" t="s">
        <v>318</v>
      </c>
      <c r="F2671" s="2" t="s">
        <v>319</v>
      </c>
      <c r="G2671" s="2" t="s">
        <v>21</v>
      </c>
      <c r="H2671" s="2" t="s">
        <v>22</v>
      </c>
      <c r="I2671" s="2" t="s">
        <v>295</v>
      </c>
      <c r="J2671" s="2" t="s">
        <v>24</v>
      </c>
      <c r="K2671">
        <v>4927.1000000000004</v>
      </c>
      <c r="L2671">
        <v>19944.07</v>
      </c>
      <c r="M2671">
        <v>404.78</v>
      </c>
      <c r="N2671" s="2" t="s">
        <v>320</v>
      </c>
      <c r="O2671" s="2" t="s">
        <v>321</v>
      </c>
      <c r="P2671" s="2" t="s">
        <v>4815</v>
      </c>
      <c r="Q2671" s="2" t="s">
        <v>4816</v>
      </c>
      <c r="R2671" s="2" t="s">
        <v>29</v>
      </c>
      <c r="S2671" s="2" t="s">
        <v>30</v>
      </c>
    </row>
    <row r="2672" spans="1:19">
      <c r="A2672" s="1">
        <v>45170</v>
      </c>
      <c r="B2672" s="1">
        <v>45170</v>
      </c>
      <c r="C2672">
        <v>2023</v>
      </c>
      <c r="D2672">
        <v>9</v>
      </c>
      <c r="E2672" s="2" t="s">
        <v>324</v>
      </c>
      <c r="F2672" s="2" t="s">
        <v>325</v>
      </c>
      <c r="G2672" s="2" t="s">
        <v>21</v>
      </c>
      <c r="H2672" s="2" t="s">
        <v>22</v>
      </c>
      <c r="I2672" s="2" t="s">
        <v>23</v>
      </c>
      <c r="J2672" s="2" t="s">
        <v>59</v>
      </c>
      <c r="K2672">
        <v>119215.72</v>
      </c>
      <c r="L2672">
        <v>5340255.82</v>
      </c>
      <c r="M2672">
        <v>4479.49</v>
      </c>
      <c r="N2672" s="2" t="s">
        <v>326</v>
      </c>
      <c r="O2672" s="2" t="s">
        <v>327</v>
      </c>
      <c r="P2672" s="2" t="s">
        <v>4817</v>
      </c>
      <c r="Q2672" s="2" t="s">
        <v>4818</v>
      </c>
      <c r="R2672" s="2" t="s">
        <v>29</v>
      </c>
      <c r="S2672" s="2" t="s">
        <v>30</v>
      </c>
    </row>
    <row r="2673" spans="1:19">
      <c r="A2673" s="1">
        <v>45170</v>
      </c>
      <c r="B2673" s="1">
        <v>45170</v>
      </c>
      <c r="C2673">
        <v>2023</v>
      </c>
      <c r="D2673">
        <v>9</v>
      </c>
      <c r="E2673" s="2" t="s">
        <v>330</v>
      </c>
      <c r="F2673" s="2" t="s">
        <v>331</v>
      </c>
      <c r="G2673" s="2" t="s">
        <v>21</v>
      </c>
      <c r="H2673" s="2" t="s">
        <v>332</v>
      </c>
      <c r="I2673" s="2" t="s">
        <v>333</v>
      </c>
      <c r="J2673" s="2" t="s">
        <v>24</v>
      </c>
      <c r="K2673">
        <v>212.8</v>
      </c>
      <c r="L2673">
        <v>12960209.560000001</v>
      </c>
      <c r="M2673">
        <v>6090324.04</v>
      </c>
      <c r="N2673" s="2" t="s">
        <v>334</v>
      </c>
      <c r="O2673" s="2" t="s">
        <v>335</v>
      </c>
      <c r="P2673" s="2" t="s">
        <v>4819</v>
      </c>
      <c r="Q2673" s="2" t="s">
        <v>4820</v>
      </c>
      <c r="R2673" s="2" t="s">
        <v>29</v>
      </c>
      <c r="S2673" s="2" t="s">
        <v>30</v>
      </c>
    </row>
    <row r="2674" spans="1:19">
      <c r="A2674" s="1">
        <v>45170</v>
      </c>
      <c r="B2674" s="1">
        <v>45170</v>
      </c>
      <c r="C2674">
        <v>2023</v>
      </c>
      <c r="D2674">
        <v>9</v>
      </c>
      <c r="E2674" s="2" t="s">
        <v>338</v>
      </c>
      <c r="F2674" s="2" t="s">
        <v>339</v>
      </c>
      <c r="G2674" s="2" t="s">
        <v>21</v>
      </c>
      <c r="H2674" s="2" t="s">
        <v>332</v>
      </c>
      <c r="I2674" s="2" t="s">
        <v>333</v>
      </c>
      <c r="J2674" s="2" t="s">
        <v>24</v>
      </c>
      <c r="K2674">
        <v>1.1299999999999999</v>
      </c>
      <c r="L2674">
        <v>1584973.79</v>
      </c>
      <c r="M2674">
        <v>140263167.25999999</v>
      </c>
      <c r="N2674" s="2" t="s">
        <v>340</v>
      </c>
      <c r="O2674" s="2" t="s">
        <v>341</v>
      </c>
      <c r="P2674" s="2" t="s">
        <v>3065</v>
      </c>
      <c r="Q2674" s="2" t="s">
        <v>4821</v>
      </c>
      <c r="R2674" s="2" t="s">
        <v>29</v>
      </c>
      <c r="S2674" s="2" t="s">
        <v>30</v>
      </c>
    </row>
    <row r="2675" spans="1:19">
      <c r="A2675" s="1">
        <v>45170</v>
      </c>
      <c r="B2675" s="1">
        <v>45170</v>
      </c>
      <c r="C2675">
        <v>2023</v>
      </c>
      <c r="D2675">
        <v>9</v>
      </c>
      <c r="E2675" s="2" t="s">
        <v>344</v>
      </c>
      <c r="F2675" s="2" t="s">
        <v>345</v>
      </c>
      <c r="G2675" s="2" t="s">
        <v>21</v>
      </c>
      <c r="H2675" s="2" t="s">
        <v>332</v>
      </c>
      <c r="I2675" s="2" t="s">
        <v>333</v>
      </c>
      <c r="J2675" s="2" t="s">
        <v>59</v>
      </c>
      <c r="K2675">
        <v>213.94</v>
      </c>
      <c r="L2675">
        <v>14545183.359999999</v>
      </c>
      <c r="M2675">
        <v>6798720.8399999999</v>
      </c>
      <c r="N2675" s="2" t="s">
        <v>346</v>
      </c>
      <c r="O2675" s="2" t="s">
        <v>347</v>
      </c>
      <c r="P2675" s="2" t="s">
        <v>4822</v>
      </c>
      <c r="Q2675" s="2" t="s">
        <v>4823</v>
      </c>
      <c r="R2675" s="2" t="s">
        <v>29</v>
      </c>
      <c r="S2675" s="2" t="s">
        <v>30</v>
      </c>
    </row>
    <row r="2676" spans="1:19">
      <c r="A2676" s="1">
        <v>45170</v>
      </c>
      <c r="B2676" s="1">
        <v>45170</v>
      </c>
      <c r="C2676">
        <v>2023</v>
      </c>
      <c r="D2676">
        <v>9</v>
      </c>
      <c r="E2676" s="2" t="s">
        <v>350</v>
      </c>
      <c r="F2676" s="2" t="s">
        <v>351</v>
      </c>
      <c r="G2676" s="2" t="s">
        <v>21</v>
      </c>
      <c r="H2676" s="2" t="s">
        <v>22</v>
      </c>
      <c r="I2676" s="2" t="s">
        <v>352</v>
      </c>
      <c r="J2676" s="2" t="s">
        <v>353</v>
      </c>
      <c r="K2676">
        <v>131665.97</v>
      </c>
      <c r="L2676">
        <v>20237041.120000001</v>
      </c>
      <c r="M2676">
        <v>15369.99</v>
      </c>
      <c r="N2676" s="2" t="s">
        <v>354</v>
      </c>
      <c r="O2676" s="2" t="s">
        <v>355</v>
      </c>
      <c r="P2676" s="2" t="s">
        <v>4824</v>
      </c>
      <c r="Q2676" s="2" t="s">
        <v>4825</v>
      </c>
      <c r="R2676" s="2" t="s">
        <v>29</v>
      </c>
      <c r="S2676" s="2" t="s">
        <v>30</v>
      </c>
    </row>
    <row r="2677" spans="1:19">
      <c r="A2677" s="1">
        <v>45170</v>
      </c>
      <c r="B2677" s="1">
        <v>45170</v>
      </c>
      <c r="C2677">
        <v>2023</v>
      </c>
      <c r="D2677">
        <v>9</v>
      </c>
      <c r="E2677" s="2" t="s">
        <v>358</v>
      </c>
      <c r="F2677" s="2" t="s">
        <v>359</v>
      </c>
      <c r="G2677" s="2" t="s">
        <v>21</v>
      </c>
      <c r="H2677" s="2" t="s">
        <v>22</v>
      </c>
      <c r="I2677" s="2" t="s">
        <v>352</v>
      </c>
      <c r="J2677" s="2" t="s">
        <v>353</v>
      </c>
      <c r="K2677">
        <v>132204.32</v>
      </c>
      <c r="L2677">
        <v>20812062.07</v>
      </c>
      <c r="M2677">
        <v>15742.35</v>
      </c>
      <c r="N2677" s="2" t="s">
        <v>360</v>
      </c>
      <c r="O2677" s="2" t="s">
        <v>361</v>
      </c>
      <c r="P2677" s="2" t="s">
        <v>4826</v>
      </c>
      <c r="Q2677" s="2" t="s">
        <v>4827</v>
      </c>
      <c r="R2677" s="2" t="s">
        <v>29</v>
      </c>
      <c r="S2677" s="2" t="s">
        <v>30</v>
      </c>
    </row>
    <row r="2678" spans="1:19">
      <c r="A2678" s="1">
        <v>45170</v>
      </c>
      <c r="B2678" s="1">
        <v>45170</v>
      </c>
      <c r="C2678">
        <v>2023</v>
      </c>
      <c r="D2678">
        <v>9</v>
      </c>
      <c r="E2678" s="2" t="s">
        <v>364</v>
      </c>
      <c r="F2678" s="2" t="s">
        <v>365</v>
      </c>
      <c r="G2678" s="2" t="s">
        <v>21</v>
      </c>
      <c r="H2678" s="2" t="s">
        <v>22</v>
      </c>
      <c r="I2678" s="2" t="s">
        <v>352</v>
      </c>
      <c r="J2678" s="2" t="s">
        <v>353</v>
      </c>
      <c r="K2678">
        <v>131990.38</v>
      </c>
      <c r="L2678">
        <v>6266878.7199999997</v>
      </c>
      <c r="M2678">
        <v>4747.9799999999996</v>
      </c>
      <c r="N2678" s="2" t="s">
        <v>366</v>
      </c>
      <c r="O2678" s="2" t="s">
        <v>367</v>
      </c>
      <c r="P2678" s="2" t="s">
        <v>4828</v>
      </c>
      <c r="Q2678" s="2" t="s">
        <v>4829</v>
      </c>
      <c r="R2678" s="2" t="s">
        <v>29</v>
      </c>
      <c r="S2678" s="2" t="s">
        <v>30</v>
      </c>
    </row>
    <row r="2679" spans="1:19">
      <c r="A2679" s="1">
        <v>45170</v>
      </c>
      <c r="B2679" s="1">
        <v>45170</v>
      </c>
      <c r="C2679">
        <v>2023</v>
      </c>
      <c r="D2679">
        <v>9</v>
      </c>
      <c r="E2679" s="2" t="s">
        <v>370</v>
      </c>
      <c r="F2679" s="2" t="s">
        <v>371</v>
      </c>
      <c r="G2679" s="2" t="s">
        <v>21</v>
      </c>
      <c r="H2679" s="2" t="s">
        <v>22</v>
      </c>
      <c r="I2679" s="2" t="s">
        <v>23</v>
      </c>
      <c r="J2679" s="2" t="s">
        <v>24</v>
      </c>
      <c r="K2679">
        <v>105556.87</v>
      </c>
      <c r="L2679">
        <v>1579133.18</v>
      </c>
      <c r="M2679">
        <v>1496</v>
      </c>
      <c r="N2679" s="2" t="s">
        <v>372</v>
      </c>
      <c r="O2679" s="2" t="s">
        <v>373</v>
      </c>
      <c r="P2679" s="2" t="s">
        <v>4830</v>
      </c>
      <c r="Q2679" s="2" t="s">
        <v>4831</v>
      </c>
      <c r="R2679" s="2" t="s">
        <v>29</v>
      </c>
      <c r="S2679" s="2" t="s">
        <v>30</v>
      </c>
    </row>
    <row r="2680" spans="1:19">
      <c r="A2680" s="1">
        <v>45170</v>
      </c>
      <c r="B2680" s="1">
        <v>45170</v>
      </c>
      <c r="C2680">
        <v>2023</v>
      </c>
      <c r="D2680">
        <v>9</v>
      </c>
      <c r="E2680" s="2" t="s">
        <v>376</v>
      </c>
      <c r="F2680" s="2" t="s">
        <v>377</v>
      </c>
      <c r="G2680" s="2" t="s">
        <v>21</v>
      </c>
      <c r="H2680" s="2" t="s">
        <v>22</v>
      </c>
      <c r="I2680" s="2" t="s">
        <v>23</v>
      </c>
      <c r="J2680" s="2" t="s">
        <v>378</v>
      </c>
      <c r="K2680">
        <v>2.52</v>
      </c>
      <c r="L2680">
        <v>37.119999999999997</v>
      </c>
      <c r="M2680">
        <v>1473.02</v>
      </c>
      <c r="N2680" s="2" t="s">
        <v>379</v>
      </c>
      <c r="O2680" s="2" t="s">
        <v>380</v>
      </c>
      <c r="P2680" s="2" t="s">
        <v>1145</v>
      </c>
      <c r="Q2680" s="2" t="s">
        <v>1501</v>
      </c>
      <c r="R2680" s="2" t="s">
        <v>29</v>
      </c>
      <c r="S2680" s="2" t="s">
        <v>30</v>
      </c>
    </row>
    <row r="2681" spans="1:19">
      <c r="A2681" s="1">
        <v>45200</v>
      </c>
      <c r="B2681" s="1">
        <v>45200</v>
      </c>
      <c r="C2681">
        <v>2023</v>
      </c>
      <c r="D2681">
        <v>10</v>
      </c>
      <c r="E2681" s="2" t="s">
        <v>19</v>
      </c>
      <c r="F2681" s="2" t="s">
        <v>20</v>
      </c>
      <c r="G2681" s="2" t="s">
        <v>21</v>
      </c>
      <c r="H2681" s="2" t="s">
        <v>22</v>
      </c>
      <c r="I2681" s="2" t="s">
        <v>23</v>
      </c>
      <c r="J2681" s="2" t="s">
        <v>24</v>
      </c>
      <c r="K2681">
        <v>0.31</v>
      </c>
      <c r="L2681">
        <v>20.079999999999998</v>
      </c>
      <c r="M2681">
        <v>6477.42</v>
      </c>
      <c r="N2681" s="2" t="s">
        <v>25</v>
      </c>
      <c r="O2681" s="2" t="s">
        <v>26</v>
      </c>
      <c r="P2681" s="2" t="s">
        <v>2811</v>
      </c>
      <c r="Q2681" s="2" t="s">
        <v>4832</v>
      </c>
      <c r="R2681" s="2" t="s">
        <v>29</v>
      </c>
      <c r="S2681" s="2" t="s">
        <v>30</v>
      </c>
    </row>
    <row r="2682" spans="1:19">
      <c r="A2682" s="1">
        <v>45200</v>
      </c>
      <c r="B2682" s="1">
        <v>45200</v>
      </c>
      <c r="C2682">
        <v>2023</v>
      </c>
      <c r="D2682">
        <v>10</v>
      </c>
      <c r="E2682" s="2" t="s">
        <v>31</v>
      </c>
      <c r="F2682" s="2" t="s">
        <v>32</v>
      </c>
      <c r="G2682" s="2" t="s">
        <v>21</v>
      </c>
      <c r="H2682" s="2" t="s">
        <v>22</v>
      </c>
      <c r="I2682" s="2" t="s">
        <v>23</v>
      </c>
      <c r="J2682" s="2" t="s">
        <v>24</v>
      </c>
      <c r="K2682">
        <v>1745.79</v>
      </c>
      <c r="L2682">
        <v>19666.04</v>
      </c>
      <c r="M2682">
        <v>1126.48</v>
      </c>
      <c r="N2682" s="2" t="s">
        <v>33</v>
      </c>
      <c r="O2682" s="2" t="s">
        <v>34</v>
      </c>
      <c r="P2682" s="2" t="s">
        <v>4833</v>
      </c>
      <c r="Q2682" s="2" t="s">
        <v>4834</v>
      </c>
      <c r="R2682" s="2" t="s">
        <v>29</v>
      </c>
      <c r="S2682" s="2" t="s">
        <v>30</v>
      </c>
    </row>
    <row r="2683" spans="1:19">
      <c r="A2683" s="1">
        <v>45200</v>
      </c>
      <c r="B2683" s="1">
        <v>45200</v>
      </c>
      <c r="C2683">
        <v>2023</v>
      </c>
      <c r="D2683">
        <v>10</v>
      </c>
      <c r="E2683" s="2" t="s">
        <v>37</v>
      </c>
      <c r="F2683" s="2" t="s">
        <v>38</v>
      </c>
      <c r="G2683" s="2" t="s">
        <v>39</v>
      </c>
      <c r="H2683" s="2" t="s">
        <v>22</v>
      </c>
      <c r="I2683" s="2" t="s">
        <v>40</v>
      </c>
      <c r="J2683" s="2" t="s">
        <v>24</v>
      </c>
      <c r="K2683">
        <v>8.5399999999999991</v>
      </c>
      <c r="L2683">
        <v>412.64</v>
      </c>
      <c r="M2683">
        <v>4831.8500000000004</v>
      </c>
      <c r="N2683" s="2" t="s">
        <v>41</v>
      </c>
      <c r="O2683" s="2" t="s">
        <v>42</v>
      </c>
      <c r="P2683" s="2" t="s">
        <v>4835</v>
      </c>
      <c r="Q2683" s="2" t="s">
        <v>4836</v>
      </c>
      <c r="R2683" s="2" t="s">
        <v>29</v>
      </c>
      <c r="S2683" s="2" t="s">
        <v>30</v>
      </c>
    </row>
    <row r="2684" spans="1:19">
      <c r="A2684" s="1">
        <v>45200</v>
      </c>
      <c r="B2684" s="1">
        <v>45200</v>
      </c>
      <c r="C2684">
        <v>2023</v>
      </c>
      <c r="D2684">
        <v>10</v>
      </c>
      <c r="E2684" s="2" t="s">
        <v>45</v>
      </c>
      <c r="F2684" s="2" t="s">
        <v>46</v>
      </c>
      <c r="G2684" s="2" t="s">
        <v>39</v>
      </c>
      <c r="H2684" s="2" t="s">
        <v>22</v>
      </c>
      <c r="I2684" s="2" t="s">
        <v>40</v>
      </c>
      <c r="J2684" s="2" t="s">
        <v>24</v>
      </c>
      <c r="K2684">
        <v>5683.38</v>
      </c>
      <c r="L2684">
        <v>276289.33</v>
      </c>
      <c r="M2684">
        <v>4861.3599999999997</v>
      </c>
      <c r="N2684" s="2" t="s">
        <v>47</v>
      </c>
      <c r="O2684" s="2" t="s">
        <v>48</v>
      </c>
      <c r="P2684" s="2" t="s">
        <v>4837</v>
      </c>
      <c r="Q2684" s="2" t="s">
        <v>4838</v>
      </c>
      <c r="R2684" s="2" t="s">
        <v>29</v>
      </c>
      <c r="S2684" s="2" t="s">
        <v>30</v>
      </c>
    </row>
    <row r="2685" spans="1:19">
      <c r="A2685" s="1">
        <v>45200</v>
      </c>
      <c r="B2685" s="1">
        <v>45200</v>
      </c>
      <c r="C2685">
        <v>2023</v>
      </c>
      <c r="D2685">
        <v>10</v>
      </c>
      <c r="E2685" s="2" t="s">
        <v>51</v>
      </c>
      <c r="F2685" s="2" t="s">
        <v>52</v>
      </c>
      <c r="G2685" s="2" t="s">
        <v>39</v>
      </c>
      <c r="H2685" s="2" t="s">
        <v>22</v>
      </c>
      <c r="I2685" s="2" t="s">
        <v>40</v>
      </c>
      <c r="J2685" s="2" t="s">
        <v>24</v>
      </c>
      <c r="K2685">
        <v>29.4</v>
      </c>
      <c r="L2685">
        <v>1129.8599999999999</v>
      </c>
      <c r="M2685">
        <v>3843.06</v>
      </c>
      <c r="N2685" s="2" t="s">
        <v>53</v>
      </c>
      <c r="O2685" s="2" t="s">
        <v>54</v>
      </c>
      <c r="P2685" s="2" t="s">
        <v>4839</v>
      </c>
      <c r="Q2685" s="2" t="s">
        <v>4840</v>
      </c>
      <c r="R2685" s="2" t="s">
        <v>29</v>
      </c>
      <c r="S2685" s="2" t="s">
        <v>30</v>
      </c>
    </row>
    <row r="2686" spans="1:19">
      <c r="A2686" s="1">
        <v>45200</v>
      </c>
      <c r="B2686" s="1">
        <v>45200</v>
      </c>
      <c r="C2686">
        <v>2023</v>
      </c>
      <c r="D2686">
        <v>10</v>
      </c>
      <c r="E2686" s="2" t="s">
        <v>57</v>
      </c>
      <c r="F2686" s="2" t="s">
        <v>58</v>
      </c>
      <c r="G2686" s="2" t="s">
        <v>39</v>
      </c>
      <c r="H2686" s="2" t="s">
        <v>22</v>
      </c>
      <c r="I2686" s="2" t="s">
        <v>40</v>
      </c>
      <c r="J2686" s="2" t="s">
        <v>59</v>
      </c>
      <c r="K2686">
        <v>5721.32</v>
      </c>
      <c r="L2686">
        <v>277831.83</v>
      </c>
      <c r="M2686">
        <v>4856.08</v>
      </c>
      <c r="N2686" s="2" t="s">
        <v>60</v>
      </c>
      <c r="O2686" s="2" t="s">
        <v>61</v>
      </c>
      <c r="P2686" s="2" t="s">
        <v>4841</v>
      </c>
      <c r="Q2686" s="2" t="s">
        <v>4842</v>
      </c>
      <c r="R2686" s="2" t="s">
        <v>29</v>
      </c>
      <c r="S2686" s="2" t="s">
        <v>30</v>
      </c>
    </row>
    <row r="2687" spans="1:19">
      <c r="A2687" s="1">
        <v>45200</v>
      </c>
      <c r="B2687" s="1">
        <v>45200</v>
      </c>
      <c r="C2687">
        <v>2023</v>
      </c>
      <c r="D2687">
        <v>10</v>
      </c>
      <c r="E2687" s="2" t="s">
        <v>64</v>
      </c>
      <c r="F2687" s="2" t="s">
        <v>65</v>
      </c>
      <c r="G2687" s="2" t="s">
        <v>21</v>
      </c>
      <c r="H2687" s="2" t="s">
        <v>22</v>
      </c>
      <c r="I2687" s="2" t="s">
        <v>66</v>
      </c>
      <c r="J2687" s="2" t="s">
        <v>24</v>
      </c>
      <c r="K2687">
        <v>15.14</v>
      </c>
      <c r="L2687">
        <v>525.30999999999995</v>
      </c>
      <c r="M2687">
        <v>3469.68</v>
      </c>
      <c r="N2687" s="2" t="s">
        <v>67</v>
      </c>
      <c r="O2687" s="2" t="s">
        <v>68</v>
      </c>
      <c r="P2687" s="2" t="s">
        <v>4843</v>
      </c>
      <c r="Q2687" s="2" t="s">
        <v>4844</v>
      </c>
      <c r="R2687" s="2" t="s">
        <v>29</v>
      </c>
      <c r="S2687" s="2" t="s">
        <v>30</v>
      </c>
    </row>
    <row r="2688" spans="1:19">
      <c r="A2688" s="1">
        <v>45200</v>
      </c>
      <c r="B2688" s="1">
        <v>45200</v>
      </c>
      <c r="C2688">
        <v>2023</v>
      </c>
      <c r="D2688">
        <v>10</v>
      </c>
      <c r="E2688" s="2" t="s">
        <v>71</v>
      </c>
      <c r="F2688" s="2" t="s">
        <v>72</v>
      </c>
      <c r="G2688" s="2" t="s">
        <v>21</v>
      </c>
      <c r="H2688" s="2" t="s">
        <v>22</v>
      </c>
      <c r="I2688" s="2" t="s">
        <v>73</v>
      </c>
      <c r="J2688" s="2" t="s">
        <v>59</v>
      </c>
      <c r="K2688">
        <v>5104.71</v>
      </c>
      <c r="L2688">
        <v>230670.27</v>
      </c>
      <c r="M2688">
        <v>4518.7700000000004</v>
      </c>
      <c r="N2688" s="2" t="s">
        <v>74</v>
      </c>
      <c r="O2688" s="2" t="s">
        <v>75</v>
      </c>
      <c r="P2688" s="2" t="s">
        <v>4845</v>
      </c>
      <c r="Q2688" s="2" t="s">
        <v>4846</v>
      </c>
      <c r="R2688" s="2" t="s">
        <v>29</v>
      </c>
      <c r="S2688" s="2" t="s">
        <v>30</v>
      </c>
    </row>
    <row r="2689" spans="1:19">
      <c r="A2689" s="1">
        <v>45200</v>
      </c>
      <c r="B2689" s="1">
        <v>45200</v>
      </c>
      <c r="C2689">
        <v>2023</v>
      </c>
      <c r="D2689">
        <v>10</v>
      </c>
      <c r="E2689" s="2" t="s">
        <v>78</v>
      </c>
      <c r="F2689" s="2" t="s">
        <v>79</v>
      </c>
      <c r="G2689" s="2" t="s">
        <v>80</v>
      </c>
      <c r="H2689" s="2" t="s">
        <v>81</v>
      </c>
      <c r="I2689" s="2" t="s">
        <v>82</v>
      </c>
      <c r="J2689" s="2" t="s">
        <v>24</v>
      </c>
      <c r="K2689">
        <v>1.96</v>
      </c>
      <c r="L2689">
        <v>7018310.0700000003</v>
      </c>
      <c r="M2689">
        <v>358077044.38999999</v>
      </c>
      <c r="N2689" s="2" t="s">
        <v>83</v>
      </c>
      <c r="O2689" s="2" t="s">
        <v>84</v>
      </c>
      <c r="P2689" s="2" t="s">
        <v>2804</v>
      </c>
      <c r="Q2689" s="2" t="s">
        <v>4847</v>
      </c>
      <c r="R2689" s="2" t="s">
        <v>29</v>
      </c>
      <c r="S2689" s="2" t="s">
        <v>30</v>
      </c>
    </row>
    <row r="2690" spans="1:19">
      <c r="A2690" s="1">
        <v>45200</v>
      </c>
      <c r="B2690" s="1">
        <v>45200</v>
      </c>
      <c r="C2690">
        <v>2023</v>
      </c>
      <c r="D2690">
        <v>10</v>
      </c>
      <c r="E2690" s="2" t="s">
        <v>87</v>
      </c>
      <c r="F2690" s="2" t="s">
        <v>88</v>
      </c>
      <c r="G2690" s="2" t="s">
        <v>80</v>
      </c>
      <c r="H2690" s="2" t="s">
        <v>81</v>
      </c>
      <c r="I2690" s="2" t="s">
        <v>82</v>
      </c>
      <c r="J2690" s="2" t="s">
        <v>24</v>
      </c>
      <c r="K2690">
        <v>0.66</v>
      </c>
      <c r="L2690">
        <v>889348.55</v>
      </c>
      <c r="M2690">
        <v>134749780.30000001</v>
      </c>
      <c r="N2690" s="2" t="s">
        <v>89</v>
      </c>
      <c r="O2690" s="2" t="s">
        <v>90</v>
      </c>
      <c r="P2690" s="2" t="s">
        <v>509</v>
      </c>
      <c r="Q2690" s="2" t="s">
        <v>4848</v>
      </c>
      <c r="R2690" s="2" t="s">
        <v>29</v>
      </c>
      <c r="S2690" s="2" t="s">
        <v>30</v>
      </c>
    </row>
    <row r="2691" spans="1:19">
      <c r="A2691" s="1">
        <v>45200</v>
      </c>
      <c r="B2691" s="1">
        <v>45200</v>
      </c>
      <c r="C2691">
        <v>2023</v>
      </c>
      <c r="D2691">
        <v>10</v>
      </c>
      <c r="E2691" s="2" t="s">
        <v>93</v>
      </c>
      <c r="F2691" s="2" t="s">
        <v>94</v>
      </c>
      <c r="G2691" s="2" t="s">
        <v>80</v>
      </c>
      <c r="H2691" s="2" t="s">
        <v>81</v>
      </c>
      <c r="I2691" s="2" t="s">
        <v>82</v>
      </c>
      <c r="J2691" s="2" t="s">
        <v>24</v>
      </c>
      <c r="K2691">
        <v>0.4</v>
      </c>
      <c r="L2691">
        <v>5760792.5800000001</v>
      </c>
      <c r="M2691">
        <v>1440198145</v>
      </c>
      <c r="N2691" s="2" t="s">
        <v>95</v>
      </c>
      <c r="O2691" s="2" t="s">
        <v>96</v>
      </c>
      <c r="P2691" s="2" t="s">
        <v>2906</v>
      </c>
      <c r="Q2691" s="2" t="s">
        <v>4849</v>
      </c>
      <c r="R2691" s="2" t="s">
        <v>29</v>
      </c>
      <c r="S2691" s="2" t="s">
        <v>30</v>
      </c>
    </row>
    <row r="2692" spans="1:19">
      <c r="A2692" s="1">
        <v>45200</v>
      </c>
      <c r="B2692" s="1">
        <v>45200</v>
      </c>
      <c r="C2692">
        <v>2023</v>
      </c>
      <c r="D2692">
        <v>10</v>
      </c>
      <c r="E2692" s="2" t="s">
        <v>99</v>
      </c>
      <c r="F2692" s="2" t="s">
        <v>100</v>
      </c>
      <c r="G2692" s="2" t="s">
        <v>80</v>
      </c>
      <c r="H2692" s="2" t="s">
        <v>81</v>
      </c>
      <c r="I2692" s="2" t="s">
        <v>82</v>
      </c>
      <c r="J2692" s="2" t="s">
        <v>101</v>
      </c>
      <c r="K2692">
        <v>1.26</v>
      </c>
      <c r="L2692">
        <v>13902084.98</v>
      </c>
      <c r="M2692">
        <v>1103340077.78</v>
      </c>
      <c r="N2692" s="2" t="s">
        <v>102</v>
      </c>
      <c r="O2692" s="2" t="s">
        <v>103</v>
      </c>
      <c r="P2692" s="2" t="s">
        <v>267</v>
      </c>
      <c r="Q2692" s="2" t="s">
        <v>4850</v>
      </c>
      <c r="R2692" s="2" t="s">
        <v>29</v>
      </c>
      <c r="S2692" s="2" t="s">
        <v>30</v>
      </c>
    </row>
    <row r="2693" spans="1:19">
      <c r="A2693" s="1">
        <v>45200</v>
      </c>
      <c r="B2693" s="1">
        <v>45200</v>
      </c>
      <c r="C2693">
        <v>2023</v>
      </c>
      <c r="D2693">
        <v>10</v>
      </c>
      <c r="E2693" s="2" t="s">
        <v>106</v>
      </c>
      <c r="F2693" s="2" t="s">
        <v>107</v>
      </c>
      <c r="G2693" s="2" t="s">
        <v>80</v>
      </c>
      <c r="H2693" s="2" t="s">
        <v>81</v>
      </c>
      <c r="I2693" s="2" t="s">
        <v>82</v>
      </c>
      <c r="J2693" s="2" t="s">
        <v>24</v>
      </c>
      <c r="K2693">
        <v>0.2</v>
      </c>
      <c r="L2693">
        <v>7251943.8499999996</v>
      </c>
      <c r="M2693">
        <v>3625971925</v>
      </c>
      <c r="N2693" s="2" t="s">
        <v>108</v>
      </c>
      <c r="O2693" s="2" t="s">
        <v>109</v>
      </c>
      <c r="P2693" s="2" t="s">
        <v>1142</v>
      </c>
      <c r="Q2693" s="2" t="s">
        <v>4851</v>
      </c>
      <c r="R2693" s="2" t="s">
        <v>29</v>
      </c>
      <c r="S2693" s="2" t="s">
        <v>30</v>
      </c>
    </row>
    <row r="2694" spans="1:19">
      <c r="A2694" s="1">
        <v>45200</v>
      </c>
      <c r="B2694" s="1">
        <v>45200</v>
      </c>
      <c r="C2694">
        <v>2023</v>
      </c>
      <c r="D2694">
        <v>10</v>
      </c>
      <c r="E2694" s="2" t="s">
        <v>111</v>
      </c>
      <c r="F2694" s="2" t="s">
        <v>112</v>
      </c>
      <c r="G2694" s="2" t="s">
        <v>80</v>
      </c>
      <c r="H2694" s="2" t="s">
        <v>81</v>
      </c>
      <c r="I2694" s="2" t="s">
        <v>82</v>
      </c>
      <c r="J2694" s="2" t="s">
        <v>24</v>
      </c>
      <c r="K2694">
        <v>0.1</v>
      </c>
      <c r="L2694">
        <v>501610</v>
      </c>
      <c r="M2694">
        <v>501610000</v>
      </c>
      <c r="N2694" s="2" t="s">
        <v>113</v>
      </c>
      <c r="O2694" s="2" t="s">
        <v>114</v>
      </c>
      <c r="P2694" s="2" t="s">
        <v>425</v>
      </c>
      <c r="Q2694" s="2" t="s">
        <v>4852</v>
      </c>
      <c r="R2694" s="2" t="s">
        <v>29</v>
      </c>
      <c r="S2694" s="2" t="s">
        <v>30</v>
      </c>
    </row>
    <row r="2695" spans="1:19">
      <c r="A2695" s="1">
        <v>45200</v>
      </c>
      <c r="B2695" s="1">
        <v>45200</v>
      </c>
      <c r="C2695">
        <v>2023</v>
      </c>
      <c r="D2695">
        <v>10</v>
      </c>
      <c r="E2695" s="2" t="s">
        <v>117</v>
      </c>
      <c r="F2695" s="2" t="s">
        <v>118</v>
      </c>
      <c r="G2695" s="2" t="s">
        <v>80</v>
      </c>
      <c r="H2695" s="2" t="s">
        <v>81</v>
      </c>
      <c r="I2695" s="2" t="s">
        <v>82</v>
      </c>
      <c r="J2695" s="2" t="s">
        <v>59</v>
      </c>
      <c r="K2695">
        <v>3.31</v>
      </c>
      <c r="L2695">
        <v>21422005.050000001</v>
      </c>
      <c r="M2695">
        <v>647190484.88999999</v>
      </c>
      <c r="N2695" s="2" t="s">
        <v>119</v>
      </c>
      <c r="O2695" s="2" t="s">
        <v>120</v>
      </c>
      <c r="P2695" s="2" t="s">
        <v>1194</v>
      </c>
      <c r="Q2695" s="2" t="s">
        <v>4853</v>
      </c>
      <c r="R2695" s="2" t="s">
        <v>29</v>
      </c>
      <c r="S2695" s="2" t="s">
        <v>30</v>
      </c>
    </row>
    <row r="2696" spans="1:19">
      <c r="A2696" s="1">
        <v>45200</v>
      </c>
      <c r="B2696" s="1">
        <v>45200</v>
      </c>
      <c r="C2696">
        <v>2023</v>
      </c>
      <c r="D2696">
        <v>10</v>
      </c>
      <c r="E2696" s="2" t="s">
        <v>123</v>
      </c>
      <c r="F2696" s="2" t="s">
        <v>124</v>
      </c>
      <c r="G2696" s="2" t="s">
        <v>21</v>
      </c>
      <c r="H2696" s="2" t="s">
        <v>22</v>
      </c>
      <c r="I2696" s="2" t="s">
        <v>73</v>
      </c>
      <c r="J2696" s="2" t="s">
        <v>24</v>
      </c>
      <c r="K2696">
        <v>1603.73</v>
      </c>
      <c r="L2696">
        <v>120794.77</v>
      </c>
      <c r="M2696">
        <v>7532.11</v>
      </c>
      <c r="N2696" s="2" t="s">
        <v>125</v>
      </c>
      <c r="O2696" s="2" t="s">
        <v>126</v>
      </c>
      <c r="P2696" s="2" t="s">
        <v>4854</v>
      </c>
      <c r="Q2696" s="2" t="s">
        <v>4855</v>
      </c>
      <c r="R2696" s="2" t="s">
        <v>29</v>
      </c>
      <c r="S2696" s="2" t="s">
        <v>30</v>
      </c>
    </row>
    <row r="2697" spans="1:19">
      <c r="A2697" s="1">
        <v>45200</v>
      </c>
      <c r="B2697" s="1">
        <v>45200</v>
      </c>
      <c r="C2697">
        <v>2023</v>
      </c>
      <c r="D2697">
        <v>10</v>
      </c>
      <c r="E2697" s="2" t="s">
        <v>129</v>
      </c>
      <c r="F2697" s="2" t="s">
        <v>130</v>
      </c>
      <c r="G2697" s="2" t="s">
        <v>21</v>
      </c>
      <c r="H2697" s="2" t="s">
        <v>22</v>
      </c>
      <c r="I2697" s="2" t="s">
        <v>73</v>
      </c>
      <c r="J2697" s="2" t="s">
        <v>24</v>
      </c>
      <c r="K2697">
        <v>1596.74</v>
      </c>
      <c r="L2697">
        <v>57774.35</v>
      </c>
      <c r="M2697">
        <v>3618.27</v>
      </c>
      <c r="N2697" s="2" t="s">
        <v>131</v>
      </c>
      <c r="O2697" s="2" t="s">
        <v>132</v>
      </c>
      <c r="P2697" s="2" t="s">
        <v>4856</v>
      </c>
      <c r="Q2697" s="2" t="s">
        <v>4857</v>
      </c>
      <c r="R2697" s="2" t="s">
        <v>29</v>
      </c>
      <c r="S2697" s="2" t="s">
        <v>30</v>
      </c>
    </row>
    <row r="2698" spans="1:19">
      <c r="A2698" s="1">
        <v>45200</v>
      </c>
      <c r="B2698" s="1">
        <v>45200</v>
      </c>
      <c r="C2698">
        <v>2023</v>
      </c>
      <c r="D2698">
        <v>10</v>
      </c>
      <c r="E2698" s="2" t="s">
        <v>135</v>
      </c>
      <c r="F2698" s="2" t="s">
        <v>136</v>
      </c>
      <c r="G2698" s="2" t="s">
        <v>21</v>
      </c>
      <c r="H2698" s="2" t="s">
        <v>22</v>
      </c>
      <c r="I2698" s="2" t="s">
        <v>73</v>
      </c>
      <c r="J2698" s="2" t="s">
        <v>101</v>
      </c>
      <c r="K2698">
        <v>3200.48</v>
      </c>
      <c r="L2698">
        <v>178569.13</v>
      </c>
      <c r="M2698">
        <v>5579.45</v>
      </c>
      <c r="N2698" s="2" t="s">
        <v>137</v>
      </c>
      <c r="O2698" s="2" t="s">
        <v>138</v>
      </c>
      <c r="P2698" s="2" t="s">
        <v>4858</v>
      </c>
      <c r="Q2698" s="2" t="s">
        <v>4859</v>
      </c>
      <c r="R2698" s="2" t="s">
        <v>29</v>
      </c>
      <c r="S2698" s="2" t="s">
        <v>30</v>
      </c>
    </row>
    <row r="2699" spans="1:19">
      <c r="A2699" s="1">
        <v>45200</v>
      </c>
      <c r="B2699" s="1">
        <v>45200</v>
      </c>
      <c r="C2699">
        <v>2023</v>
      </c>
      <c r="D2699">
        <v>10</v>
      </c>
      <c r="E2699" s="2" t="s">
        <v>141</v>
      </c>
      <c r="F2699" s="2" t="s">
        <v>142</v>
      </c>
      <c r="G2699" s="2" t="s">
        <v>21</v>
      </c>
      <c r="H2699" s="2" t="s">
        <v>22</v>
      </c>
      <c r="I2699" s="2" t="s">
        <v>73</v>
      </c>
      <c r="J2699" s="2" t="s">
        <v>24</v>
      </c>
      <c r="K2699">
        <v>528.95000000000005</v>
      </c>
      <c r="L2699">
        <v>18370.32</v>
      </c>
      <c r="M2699">
        <v>3472.98</v>
      </c>
      <c r="N2699" s="2" t="s">
        <v>143</v>
      </c>
      <c r="O2699" s="2" t="s">
        <v>144</v>
      </c>
      <c r="P2699" s="2" t="s">
        <v>4860</v>
      </c>
      <c r="Q2699" s="2" t="s">
        <v>4861</v>
      </c>
      <c r="R2699" s="2" t="s">
        <v>29</v>
      </c>
      <c r="S2699" s="2" t="s">
        <v>30</v>
      </c>
    </row>
    <row r="2700" spans="1:19">
      <c r="A2700" s="1">
        <v>45200</v>
      </c>
      <c r="B2700" s="1">
        <v>45200</v>
      </c>
      <c r="C2700">
        <v>2023</v>
      </c>
      <c r="D2700">
        <v>10</v>
      </c>
      <c r="E2700" s="2" t="s">
        <v>147</v>
      </c>
      <c r="F2700" s="2" t="s">
        <v>148</v>
      </c>
      <c r="G2700" s="2" t="s">
        <v>21</v>
      </c>
      <c r="H2700" s="2" t="s">
        <v>22</v>
      </c>
      <c r="I2700" s="2" t="s">
        <v>73</v>
      </c>
      <c r="J2700" s="2" t="s">
        <v>24</v>
      </c>
      <c r="K2700">
        <v>1375.28</v>
      </c>
      <c r="L2700">
        <v>33730.83</v>
      </c>
      <c r="M2700">
        <v>2452.65</v>
      </c>
      <c r="N2700" s="2" t="s">
        <v>149</v>
      </c>
      <c r="O2700" s="2" t="s">
        <v>150</v>
      </c>
      <c r="P2700" s="2" t="s">
        <v>4862</v>
      </c>
      <c r="Q2700" s="2" t="s">
        <v>4863</v>
      </c>
      <c r="R2700" s="2" t="s">
        <v>29</v>
      </c>
      <c r="S2700" s="2" t="s">
        <v>30</v>
      </c>
    </row>
    <row r="2701" spans="1:19">
      <c r="A2701" s="1">
        <v>45200</v>
      </c>
      <c r="B2701" s="1">
        <v>45200</v>
      </c>
      <c r="C2701">
        <v>2023</v>
      </c>
      <c r="D2701">
        <v>10</v>
      </c>
      <c r="E2701" s="2" t="s">
        <v>153</v>
      </c>
      <c r="F2701" s="2" t="s">
        <v>154</v>
      </c>
      <c r="G2701" s="2" t="s">
        <v>21</v>
      </c>
      <c r="H2701" s="2" t="s">
        <v>22</v>
      </c>
      <c r="I2701" s="2" t="s">
        <v>73</v>
      </c>
      <c r="J2701" s="2" t="s">
        <v>101</v>
      </c>
      <c r="K2701">
        <v>1904.23</v>
      </c>
      <c r="L2701">
        <v>52101.14</v>
      </c>
      <c r="M2701">
        <v>2736.07</v>
      </c>
      <c r="N2701" s="2" t="s">
        <v>155</v>
      </c>
      <c r="O2701" s="2" t="s">
        <v>156</v>
      </c>
      <c r="P2701" s="2" t="s">
        <v>4864</v>
      </c>
      <c r="Q2701" s="2" t="s">
        <v>4865</v>
      </c>
      <c r="R2701" s="2" t="s">
        <v>29</v>
      </c>
      <c r="S2701" s="2" t="s">
        <v>30</v>
      </c>
    </row>
    <row r="2702" spans="1:19">
      <c r="A2702" s="1">
        <v>45200</v>
      </c>
      <c r="B2702" s="1">
        <v>45200</v>
      </c>
      <c r="C2702">
        <v>2023</v>
      </c>
      <c r="D2702">
        <v>10</v>
      </c>
      <c r="E2702" s="2" t="s">
        <v>159</v>
      </c>
      <c r="F2702" s="2" t="s">
        <v>160</v>
      </c>
      <c r="G2702" s="2" t="s">
        <v>21</v>
      </c>
      <c r="H2702" s="2" t="s">
        <v>22</v>
      </c>
      <c r="I2702" s="2" t="s">
        <v>66</v>
      </c>
      <c r="J2702" s="2" t="s">
        <v>59</v>
      </c>
      <c r="K2702">
        <v>1499.66</v>
      </c>
      <c r="L2702">
        <v>139050.42000000001</v>
      </c>
      <c r="M2702">
        <v>9272.1299999999992</v>
      </c>
      <c r="N2702" s="2" t="s">
        <v>161</v>
      </c>
      <c r="O2702" s="2" t="s">
        <v>162</v>
      </c>
      <c r="P2702" s="2" t="s">
        <v>4497</v>
      </c>
      <c r="Q2702" s="2" t="s">
        <v>4866</v>
      </c>
      <c r="R2702" s="2" t="s">
        <v>29</v>
      </c>
      <c r="S2702" s="2" t="s">
        <v>30</v>
      </c>
    </row>
    <row r="2703" spans="1:19">
      <c r="A2703" s="1">
        <v>45200</v>
      </c>
      <c r="B2703" s="1">
        <v>45200</v>
      </c>
      <c r="C2703">
        <v>2023</v>
      </c>
      <c r="D2703">
        <v>10</v>
      </c>
      <c r="E2703" s="2" t="s">
        <v>165</v>
      </c>
      <c r="F2703" s="2" t="s">
        <v>166</v>
      </c>
      <c r="G2703" s="2" t="s">
        <v>21</v>
      </c>
      <c r="H2703" s="2" t="s">
        <v>22</v>
      </c>
      <c r="I2703" s="2" t="s">
        <v>23</v>
      </c>
      <c r="J2703" s="2" t="s">
        <v>24</v>
      </c>
      <c r="N2703" s="2" t="s">
        <v>167</v>
      </c>
      <c r="O2703" s="2" t="s">
        <v>168</v>
      </c>
      <c r="P2703" s="2" t="s">
        <v>175</v>
      </c>
      <c r="Q2703" s="2" t="s">
        <v>175</v>
      </c>
      <c r="R2703" s="2" t="s">
        <v>640</v>
      </c>
      <c r="S2703" s="2" t="s">
        <v>641</v>
      </c>
    </row>
    <row r="2704" spans="1:19">
      <c r="A2704" s="1">
        <v>45200</v>
      </c>
      <c r="B2704" s="1">
        <v>45200</v>
      </c>
      <c r="C2704">
        <v>2023</v>
      </c>
      <c r="D2704">
        <v>10</v>
      </c>
      <c r="E2704" s="2" t="s">
        <v>171</v>
      </c>
      <c r="F2704" s="2" t="s">
        <v>172</v>
      </c>
      <c r="G2704" s="2" t="s">
        <v>21</v>
      </c>
      <c r="H2704" s="2" t="s">
        <v>22</v>
      </c>
      <c r="I2704" s="2" t="s">
        <v>66</v>
      </c>
      <c r="J2704" s="2" t="s">
        <v>24</v>
      </c>
      <c r="N2704" s="2" t="s">
        <v>173</v>
      </c>
      <c r="O2704" s="2" t="s">
        <v>174</v>
      </c>
      <c r="P2704" s="2" t="s">
        <v>175</v>
      </c>
      <c r="Q2704" s="2" t="s">
        <v>175</v>
      </c>
      <c r="R2704" s="2" t="s">
        <v>640</v>
      </c>
      <c r="S2704" s="2" t="s">
        <v>641</v>
      </c>
    </row>
    <row r="2705" spans="1:19">
      <c r="A2705" s="1">
        <v>45200</v>
      </c>
      <c r="B2705" s="1">
        <v>45200</v>
      </c>
      <c r="C2705">
        <v>2023</v>
      </c>
      <c r="D2705">
        <v>10</v>
      </c>
      <c r="E2705" s="2" t="s">
        <v>177</v>
      </c>
      <c r="F2705" s="2" t="s">
        <v>178</v>
      </c>
      <c r="G2705" s="2" t="s">
        <v>21</v>
      </c>
      <c r="H2705" s="2" t="s">
        <v>22</v>
      </c>
      <c r="I2705" s="2" t="s">
        <v>23</v>
      </c>
      <c r="J2705" s="2" t="s">
        <v>24</v>
      </c>
      <c r="K2705">
        <v>4928.8</v>
      </c>
      <c r="L2705">
        <v>538238.51</v>
      </c>
      <c r="M2705">
        <v>10920.27</v>
      </c>
      <c r="N2705" s="2" t="s">
        <v>179</v>
      </c>
      <c r="O2705" s="2" t="s">
        <v>180</v>
      </c>
      <c r="P2705" s="2" t="s">
        <v>4867</v>
      </c>
      <c r="Q2705" s="2" t="s">
        <v>4868</v>
      </c>
      <c r="R2705" s="2" t="s">
        <v>29</v>
      </c>
      <c r="S2705" s="2" t="s">
        <v>30</v>
      </c>
    </row>
    <row r="2706" spans="1:19">
      <c r="A2706" s="1">
        <v>45200</v>
      </c>
      <c r="B2706" s="1">
        <v>45200</v>
      </c>
      <c r="C2706">
        <v>2023</v>
      </c>
      <c r="D2706">
        <v>10</v>
      </c>
      <c r="E2706" s="2" t="s">
        <v>183</v>
      </c>
      <c r="F2706" s="2" t="s">
        <v>184</v>
      </c>
      <c r="G2706" s="2" t="s">
        <v>185</v>
      </c>
      <c r="H2706" s="2" t="s">
        <v>22</v>
      </c>
      <c r="I2706" s="2" t="s">
        <v>186</v>
      </c>
      <c r="J2706" s="2" t="s">
        <v>24</v>
      </c>
      <c r="K2706">
        <v>2752.51</v>
      </c>
      <c r="L2706">
        <v>4064190.01</v>
      </c>
      <c r="M2706">
        <v>147653.96</v>
      </c>
      <c r="N2706" s="2" t="s">
        <v>187</v>
      </c>
      <c r="O2706" s="2" t="s">
        <v>188</v>
      </c>
      <c r="P2706" s="2" t="s">
        <v>4869</v>
      </c>
      <c r="Q2706" s="2" t="s">
        <v>4870</v>
      </c>
      <c r="R2706" s="2" t="s">
        <v>29</v>
      </c>
      <c r="S2706" s="2" t="s">
        <v>30</v>
      </c>
    </row>
    <row r="2707" spans="1:19">
      <c r="A2707" s="1">
        <v>45200</v>
      </c>
      <c r="B2707" s="1">
        <v>45200</v>
      </c>
      <c r="C2707">
        <v>2023</v>
      </c>
      <c r="D2707">
        <v>10</v>
      </c>
      <c r="E2707" s="2" t="s">
        <v>191</v>
      </c>
      <c r="F2707" s="2" t="s">
        <v>192</v>
      </c>
      <c r="G2707" s="2" t="s">
        <v>185</v>
      </c>
      <c r="H2707" s="2" t="s">
        <v>22</v>
      </c>
      <c r="I2707" s="2" t="s">
        <v>186</v>
      </c>
      <c r="J2707" s="2" t="s">
        <v>24</v>
      </c>
      <c r="K2707">
        <v>983.5</v>
      </c>
      <c r="L2707">
        <v>4400612.28</v>
      </c>
      <c r="M2707">
        <v>447444.05</v>
      </c>
      <c r="N2707" s="2" t="s">
        <v>193</v>
      </c>
      <c r="O2707" s="2" t="s">
        <v>194</v>
      </c>
      <c r="P2707" s="2" t="s">
        <v>4871</v>
      </c>
      <c r="Q2707" s="2" t="s">
        <v>4872</v>
      </c>
      <c r="R2707" s="2" t="s">
        <v>29</v>
      </c>
      <c r="S2707" s="2" t="s">
        <v>30</v>
      </c>
    </row>
    <row r="2708" spans="1:19">
      <c r="A2708" s="1">
        <v>45200</v>
      </c>
      <c r="B2708" s="1">
        <v>45200</v>
      </c>
      <c r="C2708">
        <v>2023</v>
      </c>
      <c r="D2708">
        <v>10</v>
      </c>
      <c r="E2708" s="2" t="s">
        <v>197</v>
      </c>
      <c r="F2708" s="2" t="s">
        <v>198</v>
      </c>
      <c r="G2708" s="2" t="s">
        <v>185</v>
      </c>
      <c r="H2708" s="2" t="s">
        <v>22</v>
      </c>
      <c r="I2708" s="2" t="s">
        <v>186</v>
      </c>
      <c r="J2708" s="2" t="s">
        <v>59</v>
      </c>
      <c r="K2708">
        <v>3736</v>
      </c>
      <c r="L2708">
        <v>8464802.2899999991</v>
      </c>
      <c r="M2708">
        <v>226573.94</v>
      </c>
      <c r="N2708" s="2" t="s">
        <v>199</v>
      </c>
      <c r="O2708" s="2" t="s">
        <v>200</v>
      </c>
      <c r="P2708" s="2" t="s">
        <v>4873</v>
      </c>
      <c r="Q2708" s="2" t="s">
        <v>4874</v>
      </c>
      <c r="R2708" s="2" t="s">
        <v>29</v>
      </c>
      <c r="S2708" s="2" t="s">
        <v>30</v>
      </c>
    </row>
    <row r="2709" spans="1:19">
      <c r="A2709" s="1">
        <v>45200</v>
      </c>
      <c r="B2709" s="1">
        <v>45200</v>
      </c>
      <c r="C2709">
        <v>2023</v>
      </c>
      <c r="D2709">
        <v>10</v>
      </c>
      <c r="E2709" s="2" t="s">
        <v>203</v>
      </c>
      <c r="F2709" s="2" t="s">
        <v>204</v>
      </c>
      <c r="G2709" s="2" t="s">
        <v>39</v>
      </c>
      <c r="H2709" s="2" t="s">
        <v>22</v>
      </c>
      <c r="I2709" s="2" t="s">
        <v>40</v>
      </c>
      <c r="J2709" s="2" t="s">
        <v>24</v>
      </c>
      <c r="K2709">
        <v>986.49</v>
      </c>
      <c r="L2709">
        <v>25378.31</v>
      </c>
      <c r="M2709">
        <v>2572.59</v>
      </c>
      <c r="N2709" s="2" t="s">
        <v>205</v>
      </c>
      <c r="O2709" s="2" t="s">
        <v>206</v>
      </c>
      <c r="P2709" s="2" t="s">
        <v>4875</v>
      </c>
      <c r="Q2709" s="2" t="s">
        <v>4876</v>
      </c>
      <c r="R2709" s="2" t="s">
        <v>29</v>
      </c>
      <c r="S2709" s="2" t="s">
        <v>30</v>
      </c>
    </row>
    <row r="2710" spans="1:19">
      <c r="A2710" s="1">
        <v>45200</v>
      </c>
      <c r="B2710" s="1">
        <v>45200</v>
      </c>
      <c r="C2710">
        <v>2023</v>
      </c>
      <c r="D2710">
        <v>10</v>
      </c>
      <c r="E2710" s="2" t="s">
        <v>209</v>
      </c>
      <c r="F2710" s="2" t="s">
        <v>210</v>
      </c>
      <c r="G2710" s="2" t="s">
        <v>39</v>
      </c>
      <c r="H2710" s="2" t="s">
        <v>22</v>
      </c>
      <c r="I2710" s="2" t="s">
        <v>40</v>
      </c>
      <c r="J2710" s="2" t="s">
        <v>59</v>
      </c>
      <c r="K2710">
        <v>986.49</v>
      </c>
      <c r="L2710">
        <v>25378.31</v>
      </c>
      <c r="M2710">
        <v>2572.59</v>
      </c>
      <c r="N2710" s="2" t="s">
        <v>211</v>
      </c>
      <c r="O2710" s="2" t="s">
        <v>212</v>
      </c>
      <c r="P2710" s="2" t="s">
        <v>4875</v>
      </c>
      <c r="Q2710" s="2" t="s">
        <v>4876</v>
      </c>
      <c r="R2710" s="2" t="s">
        <v>29</v>
      </c>
      <c r="S2710" s="2" t="s">
        <v>30</v>
      </c>
    </row>
    <row r="2711" spans="1:19">
      <c r="A2711" s="1">
        <v>45200</v>
      </c>
      <c r="B2711" s="1">
        <v>45200</v>
      </c>
      <c r="C2711">
        <v>2023</v>
      </c>
      <c r="D2711">
        <v>10</v>
      </c>
      <c r="E2711" s="2" t="s">
        <v>213</v>
      </c>
      <c r="F2711" s="2" t="s">
        <v>214</v>
      </c>
      <c r="G2711" s="2" t="s">
        <v>185</v>
      </c>
      <c r="H2711" s="2" t="s">
        <v>22</v>
      </c>
      <c r="I2711" s="2" t="s">
        <v>215</v>
      </c>
      <c r="J2711" s="2" t="s">
        <v>24</v>
      </c>
      <c r="K2711">
        <v>102456.37</v>
      </c>
      <c r="L2711">
        <v>2144832.9500000002</v>
      </c>
      <c r="M2711">
        <v>2093.41</v>
      </c>
      <c r="N2711" s="2" t="s">
        <v>216</v>
      </c>
      <c r="O2711" s="2" t="s">
        <v>217</v>
      </c>
      <c r="P2711" s="2" t="s">
        <v>4877</v>
      </c>
      <c r="Q2711" s="2" t="s">
        <v>4878</v>
      </c>
      <c r="R2711" s="2" t="s">
        <v>29</v>
      </c>
      <c r="S2711" s="2" t="s">
        <v>30</v>
      </c>
    </row>
    <row r="2712" spans="1:19">
      <c r="A2712" s="1">
        <v>45200</v>
      </c>
      <c r="B2712" s="1">
        <v>45200</v>
      </c>
      <c r="C2712">
        <v>2023</v>
      </c>
      <c r="D2712">
        <v>10</v>
      </c>
      <c r="E2712" s="2" t="s">
        <v>220</v>
      </c>
      <c r="F2712" s="2" t="s">
        <v>221</v>
      </c>
      <c r="G2712" s="2" t="s">
        <v>185</v>
      </c>
      <c r="H2712" s="2" t="s">
        <v>22</v>
      </c>
      <c r="I2712" s="2" t="s">
        <v>215</v>
      </c>
      <c r="J2712" s="2" t="s">
        <v>24</v>
      </c>
      <c r="K2712">
        <v>6877.68</v>
      </c>
      <c r="L2712">
        <v>474252.89</v>
      </c>
      <c r="M2712">
        <v>6895.54</v>
      </c>
      <c r="N2712" s="2" t="s">
        <v>222</v>
      </c>
      <c r="O2712" s="2" t="s">
        <v>223</v>
      </c>
      <c r="P2712" s="2" t="s">
        <v>4879</v>
      </c>
      <c r="Q2712" s="2" t="s">
        <v>4880</v>
      </c>
      <c r="R2712" s="2" t="s">
        <v>29</v>
      </c>
      <c r="S2712" s="2" t="s">
        <v>30</v>
      </c>
    </row>
    <row r="2713" spans="1:19">
      <c r="A2713" s="1">
        <v>45200</v>
      </c>
      <c r="B2713" s="1">
        <v>45200</v>
      </c>
      <c r="C2713">
        <v>2023</v>
      </c>
      <c r="D2713">
        <v>10</v>
      </c>
      <c r="E2713" s="2" t="s">
        <v>226</v>
      </c>
      <c r="F2713" s="2" t="s">
        <v>227</v>
      </c>
      <c r="G2713" s="2" t="s">
        <v>185</v>
      </c>
      <c r="H2713" s="2" t="s">
        <v>22</v>
      </c>
      <c r="I2713" s="2" t="s">
        <v>215</v>
      </c>
      <c r="J2713" s="2" t="s">
        <v>59</v>
      </c>
      <c r="K2713">
        <v>109334.05</v>
      </c>
      <c r="L2713">
        <v>2619085.83</v>
      </c>
      <c r="M2713">
        <v>2395.4899999999998</v>
      </c>
      <c r="N2713" s="2" t="s">
        <v>228</v>
      </c>
      <c r="O2713" s="2" t="s">
        <v>229</v>
      </c>
      <c r="P2713" s="2" t="s">
        <v>4881</v>
      </c>
      <c r="Q2713" s="2" t="s">
        <v>4882</v>
      </c>
      <c r="R2713" s="2" t="s">
        <v>29</v>
      </c>
      <c r="S2713" s="2" t="s">
        <v>30</v>
      </c>
    </row>
    <row r="2714" spans="1:19">
      <c r="A2714" s="1">
        <v>45200</v>
      </c>
      <c r="B2714" s="1">
        <v>45200</v>
      </c>
      <c r="C2714">
        <v>2023</v>
      </c>
      <c r="D2714">
        <v>10</v>
      </c>
      <c r="E2714" s="2" t="s">
        <v>232</v>
      </c>
      <c r="F2714" s="2" t="s">
        <v>233</v>
      </c>
      <c r="G2714" s="2" t="s">
        <v>21</v>
      </c>
      <c r="H2714" s="2" t="s">
        <v>22</v>
      </c>
      <c r="I2714" s="2" t="s">
        <v>23</v>
      </c>
      <c r="J2714" s="2" t="s">
        <v>24</v>
      </c>
      <c r="K2714">
        <v>1278.99</v>
      </c>
      <c r="L2714">
        <v>131545.92000000001</v>
      </c>
      <c r="M2714">
        <v>10285.14</v>
      </c>
      <c r="N2714" s="2" t="s">
        <v>234</v>
      </c>
      <c r="O2714" s="2" t="s">
        <v>235</v>
      </c>
      <c r="P2714" s="2" t="s">
        <v>4883</v>
      </c>
      <c r="Q2714" s="2" t="s">
        <v>4884</v>
      </c>
      <c r="R2714" s="2" t="s">
        <v>29</v>
      </c>
      <c r="S2714" s="2" t="s">
        <v>30</v>
      </c>
    </row>
    <row r="2715" spans="1:19">
      <c r="A2715" s="1">
        <v>45200</v>
      </c>
      <c r="B2715" s="1">
        <v>45200</v>
      </c>
      <c r="C2715">
        <v>2023</v>
      </c>
      <c r="D2715">
        <v>10</v>
      </c>
      <c r="E2715" s="2" t="s">
        <v>238</v>
      </c>
      <c r="F2715" s="2" t="s">
        <v>239</v>
      </c>
      <c r="G2715" s="2" t="s">
        <v>21</v>
      </c>
      <c r="H2715" s="2" t="s">
        <v>22</v>
      </c>
      <c r="I2715" s="2" t="s">
        <v>66</v>
      </c>
      <c r="J2715" s="2" t="s">
        <v>24</v>
      </c>
      <c r="K2715">
        <v>1348.29</v>
      </c>
      <c r="L2715">
        <v>138287.31</v>
      </c>
      <c r="M2715">
        <v>10256.5</v>
      </c>
      <c r="N2715" s="2" t="s">
        <v>240</v>
      </c>
      <c r="O2715" s="2" t="s">
        <v>241</v>
      </c>
      <c r="P2715" s="2" t="s">
        <v>4885</v>
      </c>
      <c r="Q2715" s="2" t="s">
        <v>4886</v>
      </c>
      <c r="R2715" s="2" t="s">
        <v>29</v>
      </c>
      <c r="S2715" s="2" t="s">
        <v>30</v>
      </c>
    </row>
    <row r="2716" spans="1:19">
      <c r="A2716" s="1">
        <v>45200</v>
      </c>
      <c r="B2716" s="1">
        <v>45200</v>
      </c>
      <c r="C2716">
        <v>2023</v>
      </c>
      <c r="D2716">
        <v>10</v>
      </c>
      <c r="E2716" s="2" t="s">
        <v>244</v>
      </c>
      <c r="F2716" s="2" t="s">
        <v>245</v>
      </c>
      <c r="G2716" s="2" t="s">
        <v>21</v>
      </c>
      <c r="H2716" s="2" t="s">
        <v>22</v>
      </c>
      <c r="I2716" s="2" t="s">
        <v>23</v>
      </c>
      <c r="J2716" s="2" t="s">
        <v>24</v>
      </c>
      <c r="K2716">
        <v>6314.53</v>
      </c>
      <c r="L2716">
        <v>3262014.74</v>
      </c>
      <c r="M2716">
        <v>51658.87</v>
      </c>
      <c r="N2716" s="2" t="s">
        <v>246</v>
      </c>
      <c r="O2716" s="2" t="s">
        <v>247</v>
      </c>
      <c r="P2716" s="2" t="s">
        <v>4887</v>
      </c>
      <c r="Q2716" s="2" t="s">
        <v>4888</v>
      </c>
      <c r="R2716" s="2" t="s">
        <v>29</v>
      </c>
      <c r="S2716" s="2" t="s">
        <v>30</v>
      </c>
    </row>
    <row r="2717" spans="1:19">
      <c r="A2717" s="1">
        <v>45200</v>
      </c>
      <c r="B2717" s="1">
        <v>45200</v>
      </c>
      <c r="C2717">
        <v>2023</v>
      </c>
      <c r="D2717">
        <v>10</v>
      </c>
      <c r="E2717" s="2" t="s">
        <v>250</v>
      </c>
      <c r="F2717" s="2" t="s">
        <v>251</v>
      </c>
      <c r="G2717" s="2" t="s">
        <v>21</v>
      </c>
      <c r="H2717" s="2" t="s">
        <v>22</v>
      </c>
      <c r="I2717" s="2" t="s">
        <v>66</v>
      </c>
      <c r="J2717" s="2" t="s">
        <v>24</v>
      </c>
      <c r="K2717">
        <v>136.22999999999999</v>
      </c>
      <c r="L2717">
        <v>237.8</v>
      </c>
      <c r="M2717">
        <v>174.56</v>
      </c>
      <c r="N2717" s="2" t="s">
        <v>252</v>
      </c>
      <c r="O2717" s="2" t="s">
        <v>253</v>
      </c>
      <c r="P2717" s="2" t="s">
        <v>4889</v>
      </c>
      <c r="Q2717" s="2" t="s">
        <v>4890</v>
      </c>
      <c r="R2717" s="2" t="s">
        <v>29</v>
      </c>
      <c r="S2717" s="2" t="s">
        <v>30</v>
      </c>
    </row>
    <row r="2718" spans="1:19">
      <c r="A2718" s="1">
        <v>45200</v>
      </c>
      <c r="B2718" s="1">
        <v>45200</v>
      </c>
      <c r="C2718">
        <v>2023</v>
      </c>
      <c r="D2718">
        <v>10</v>
      </c>
      <c r="E2718" s="2" t="s">
        <v>256</v>
      </c>
      <c r="F2718" s="2" t="s">
        <v>257</v>
      </c>
      <c r="G2718" s="2" t="s">
        <v>21</v>
      </c>
      <c r="H2718" s="2" t="s">
        <v>22</v>
      </c>
      <c r="I2718" s="2" t="s">
        <v>258</v>
      </c>
      <c r="J2718" s="2" t="s">
        <v>24</v>
      </c>
      <c r="K2718">
        <v>559.9</v>
      </c>
      <c r="L2718">
        <v>584454.15</v>
      </c>
      <c r="M2718">
        <v>104385.45</v>
      </c>
      <c r="N2718" s="2" t="s">
        <v>259</v>
      </c>
      <c r="O2718" s="2" t="s">
        <v>260</v>
      </c>
      <c r="P2718" s="2" t="s">
        <v>4891</v>
      </c>
      <c r="Q2718" s="2" t="s">
        <v>4892</v>
      </c>
      <c r="R2718" s="2" t="s">
        <v>29</v>
      </c>
      <c r="S2718" s="2" t="s">
        <v>30</v>
      </c>
    </row>
    <row r="2719" spans="1:19">
      <c r="A2719" s="1">
        <v>45200</v>
      </c>
      <c r="B2719" s="1">
        <v>45200</v>
      </c>
      <c r="C2719">
        <v>2023</v>
      </c>
      <c r="D2719">
        <v>10</v>
      </c>
      <c r="E2719" s="2" t="s">
        <v>263</v>
      </c>
      <c r="F2719" s="2" t="s">
        <v>264</v>
      </c>
      <c r="G2719" s="2" t="s">
        <v>21</v>
      </c>
      <c r="H2719" s="2" t="s">
        <v>22</v>
      </c>
      <c r="I2719" s="2" t="s">
        <v>258</v>
      </c>
      <c r="J2719" s="2" t="s">
        <v>24</v>
      </c>
      <c r="K2719">
        <v>0</v>
      </c>
      <c r="L2719">
        <v>0</v>
      </c>
      <c r="N2719" s="2" t="s">
        <v>265</v>
      </c>
      <c r="O2719" s="2" t="s">
        <v>266</v>
      </c>
      <c r="P2719" s="2" t="s">
        <v>639</v>
      </c>
      <c r="Q2719" s="2" t="s">
        <v>639</v>
      </c>
      <c r="R2719" s="2" t="s">
        <v>29</v>
      </c>
      <c r="S2719" s="2" t="s">
        <v>30</v>
      </c>
    </row>
    <row r="2720" spans="1:19">
      <c r="A2720" s="1">
        <v>45200</v>
      </c>
      <c r="B2720" s="1">
        <v>45200</v>
      </c>
      <c r="C2720">
        <v>2023</v>
      </c>
      <c r="D2720">
        <v>10</v>
      </c>
      <c r="E2720" s="2" t="s">
        <v>269</v>
      </c>
      <c r="F2720" s="2" t="s">
        <v>270</v>
      </c>
      <c r="G2720" s="2" t="s">
        <v>21</v>
      </c>
      <c r="H2720" s="2" t="s">
        <v>22</v>
      </c>
      <c r="I2720" s="2" t="s">
        <v>258</v>
      </c>
      <c r="J2720" s="2" t="s">
        <v>59</v>
      </c>
      <c r="K2720">
        <v>559.9</v>
      </c>
      <c r="L2720">
        <v>584454.15</v>
      </c>
      <c r="M2720">
        <v>104385.45</v>
      </c>
      <c r="N2720" s="2" t="s">
        <v>271</v>
      </c>
      <c r="O2720" s="2" t="s">
        <v>272</v>
      </c>
      <c r="P2720" s="2" t="s">
        <v>4891</v>
      </c>
      <c r="Q2720" s="2" t="s">
        <v>4892</v>
      </c>
      <c r="R2720" s="2" t="s">
        <v>29</v>
      </c>
      <c r="S2720" s="2" t="s">
        <v>30</v>
      </c>
    </row>
    <row r="2721" spans="1:19">
      <c r="A2721" s="1">
        <v>45200</v>
      </c>
      <c r="B2721" s="1">
        <v>45200</v>
      </c>
      <c r="C2721">
        <v>2023</v>
      </c>
      <c r="D2721">
        <v>10</v>
      </c>
      <c r="E2721" s="2" t="s">
        <v>275</v>
      </c>
      <c r="F2721" s="2" t="s">
        <v>276</v>
      </c>
      <c r="G2721" s="2" t="s">
        <v>39</v>
      </c>
      <c r="H2721" s="2" t="s">
        <v>22</v>
      </c>
      <c r="I2721" s="2" t="s">
        <v>40</v>
      </c>
      <c r="J2721" s="2" t="s">
        <v>24</v>
      </c>
      <c r="K2721">
        <v>0.84</v>
      </c>
      <c r="L2721">
        <v>8.26</v>
      </c>
      <c r="M2721">
        <v>983.33</v>
      </c>
      <c r="N2721" s="2" t="s">
        <v>277</v>
      </c>
      <c r="O2721" s="2" t="s">
        <v>278</v>
      </c>
      <c r="P2721" s="2" t="s">
        <v>383</v>
      </c>
      <c r="Q2721" s="2" t="s">
        <v>4198</v>
      </c>
      <c r="R2721" s="2" t="s">
        <v>29</v>
      </c>
      <c r="S2721" s="2" t="s">
        <v>30</v>
      </c>
    </row>
    <row r="2722" spans="1:19">
      <c r="A2722" s="1">
        <v>45200</v>
      </c>
      <c r="B2722" s="1">
        <v>45200</v>
      </c>
      <c r="C2722">
        <v>2023</v>
      </c>
      <c r="D2722">
        <v>10</v>
      </c>
      <c r="E2722" s="2" t="s">
        <v>281</v>
      </c>
      <c r="F2722" s="2" t="s">
        <v>282</v>
      </c>
      <c r="G2722" s="2" t="s">
        <v>39</v>
      </c>
      <c r="H2722" s="2" t="s">
        <v>22</v>
      </c>
      <c r="I2722" s="2" t="s">
        <v>40</v>
      </c>
      <c r="J2722" s="2" t="s">
        <v>24</v>
      </c>
      <c r="K2722">
        <v>0.01</v>
      </c>
      <c r="L2722">
        <v>0.02</v>
      </c>
      <c r="M2722">
        <v>200</v>
      </c>
      <c r="N2722" s="2" t="s">
        <v>283</v>
      </c>
      <c r="O2722" s="2" t="s">
        <v>284</v>
      </c>
      <c r="P2722" s="2" t="s">
        <v>832</v>
      </c>
      <c r="Q2722" s="2" t="s">
        <v>1039</v>
      </c>
      <c r="R2722" s="2" t="s">
        <v>29</v>
      </c>
      <c r="S2722" s="2" t="s">
        <v>30</v>
      </c>
    </row>
    <row r="2723" spans="1:19">
      <c r="A2723" s="1">
        <v>45200</v>
      </c>
      <c r="B2723" s="1">
        <v>45200</v>
      </c>
      <c r="C2723">
        <v>2023</v>
      </c>
      <c r="D2723">
        <v>10</v>
      </c>
      <c r="E2723" s="2" t="s">
        <v>287</v>
      </c>
      <c r="F2723" s="2" t="s">
        <v>288</v>
      </c>
      <c r="G2723" s="2" t="s">
        <v>39</v>
      </c>
      <c r="H2723" s="2" t="s">
        <v>22</v>
      </c>
      <c r="I2723" s="2" t="s">
        <v>40</v>
      </c>
      <c r="J2723" s="2" t="s">
        <v>59</v>
      </c>
      <c r="K2723">
        <v>0.85</v>
      </c>
      <c r="L2723">
        <v>8.2899999999999991</v>
      </c>
      <c r="M2723">
        <v>975.29</v>
      </c>
      <c r="N2723" s="2" t="s">
        <v>289</v>
      </c>
      <c r="O2723" s="2" t="s">
        <v>290</v>
      </c>
      <c r="P2723" s="2" t="s">
        <v>1117</v>
      </c>
      <c r="Q2723" s="2" t="s">
        <v>4893</v>
      </c>
      <c r="R2723" s="2" t="s">
        <v>29</v>
      </c>
      <c r="S2723" s="2" t="s">
        <v>30</v>
      </c>
    </row>
    <row r="2724" spans="1:19">
      <c r="A2724" s="1">
        <v>45200</v>
      </c>
      <c r="B2724" s="1">
        <v>45200</v>
      </c>
      <c r="C2724">
        <v>2023</v>
      </c>
      <c r="D2724">
        <v>10</v>
      </c>
      <c r="E2724" s="2" t="s">
        <v>293</v>
      </c>
      <c r="F2724" s="2" t="s">
        <v>294</v>
      </c>
      <c r="G2724" s="2" t="s">
        <v>21</v>
      </c>
      <c r="H2724" s="2" t="s">
        <v>22</v>
      </c>
      <c r="I2724" s="2" t="s">
        <v>295</v>
      </c>
      <c r="J2724" s="2" t="s">
        <v>24</v>
      </c>
      <c r="K2724">
        <v>622.87</v>
      </c>
      <c r="L2724">
        <v>3490.04</v>
      </c>
      <c r="M2724">
        <v>560.32000000000005</v>
      </c>
      <c r="N2724" s="2" t="s">
        <v>296</v>
      </c>
      <c r="O2724" s="2" t="s">
        <v>297</v>
      </c>
      <c r="P2724" s="2" t="s">
        <v>4894</v>
      </c>
      <c r="Q2724" s="2" t="s">
        <v>4895</v>
      </c>
      <c r="R2724" s="2" t="s">
        <v>29</v>
      </c>
      <c r="S2724" s="2" t="s">
        <v>30</v>
      </c>
    </row>
    <row r="2725" spans="1:19">
      <c r="A2725" s="1">
        <v>45200</v>
      </c>
      <c r="B2725" s="1">
        <v>45200</v>
      </c>
      <c r="C2725">
        <v>2023</v>
      </c>
      <c r="D2725">
        <v>10</v>
      </c>
      <c r="E2725" s="2" t="s">
        <v>300</v>
      </c>
      <c r="F2725" s="2" t="s">
        <v>301</v>
      </c>
      <c r="G2725" s="2" t="s">
        <v>21</v>
      </c>
      <c r="H2725" s="2" t="s">
        <v>22</v>
      </c>
      <c r="I2725" s="2" t="s">
        <v>295</v>
      </c>
      <c r="J2725" s="2" t="s">
        <v>24</v>
      </c>
      <c r="K2725">
        <v>735.65</v>
      </c>
      <c r="L2725">
        <v>872.37</v>
      </c>
      <c r="M2725">
        <v>118.58</v>
      </c>
      <c r="N2725" s="2" t="s">
        <v>302</v>
      </c>
      <c r="O2725" s="2" t="s">
        <v>303</v>
      </c>
      <c r="P2725" s="2" t="s">
        <v>4896</v>
      </c>
      <c r="Q2725" s="2" t="s">
        <v>4897</v>
      </c>
      <c r="R2725" s="2" t="s">
        <v>29</v>
      </c>
      <c r="S2725" s="2" t="s">
        <v>30</v>
      </c>
    </row>
    <row r="2726" spans="1:19">
      <c r="A2726" s="1">
        <v>45200</v>
      </c>
      <c r="B2726" s="1">
        <v>45200</v>
      </c>
      <c r="C2726">
        <v>2023</v>
      </c>
      <c r="D2726">
        <v>10</v>
      </c>
      <c r="E2726" s="2" t="s">
        <v>306</v>
      </c>
      <c r="F2726" s="2" t="s">
        <v>307</v>
      </c>
      <c r="G2726" s="2" t="s">
        <v>21</v>
      </c>
      <c r="H2726" s="2" t="s">
        <v>22</v>
      </c>
      <c r="I2726" s="2" t="s">
        <v>295</v>
      </c>
      <c r="J2726" s="2" t="s">
        <v>101</v>
      </c>
      <c r="K2726">
        <v>1358.52</v>
      </c>
      <c r="L2726">
        <v>4362.41</v>
      </c>
      <c r="M2726">
        <v>321.11</v>
      </c>
      <c r="N2726" s="2" t="s">
        <v>308</v>
      </c>
      <c r="O2726" s="2" t="s">
        <v>309</v>
      </c>
      <c r="P2726" s="2" t="s">
        <v>4898</v>
      </c>
      <c r="Q2726" s="2" t="s">
        <v>4899</v>
      </c>
      <c r="R2726" s="2" t="s">
        <v>29</v>
      </c>
      <c r="S2726" s="2" t="s">
        <v>30</v>
      </c>
    </row>
    <row r="2727" spans="1:19">
      <c r="A2727" s="1">
        <v>45200</v>
      </c>
      <c r="B2727" s="1">
        <v>45200</v>
      </c>
      <c r="C2727">
        <v>2023</v>
      </c>
      <c r="D2727">
        <v>10</v>
      </c>
      <c r="E2727" s="2" t="s">
        <v>312</v>
      </c>
      <c r="F2727" s="2" t="s">
        <v>313</v>
      </c>
      <c r="G2727" s="2" t="s">
        <v>21</v>
      </c>
      <c r="H2727" s="2" t="s">
        <v>22</v>
      </c>
      <c r="I2727" s="2" t="s">
        <v>295</v>
      </c>
      <c r="J2727" s="2" t="s">
        <v>59</v>
      </c>
      <c r="K2727">
        <v>6687.84</v>
      </c>
      <c r="L2727">
        <v>25011.83</v>
      </c>
      <c r="M2727">
        <v>373.99</v>
      </c>
      <c r="N2727" s="2" t="s">
        <v>314</v>
      </c>
      <c r="O2727" s="2" t="s">
        <v>315</v>
      </c>
      <c r="P2727" s="2" t="s">
        <v>4900</v>
      </c>
      <c r="Q2727" s="2" t="s">
        <v>4901</v>
      </c>
      <c r="R2727" s="2" t="s">
        <v>29</v>
      </c>
      <c r="S2727" s="2" t="s">
        <v>30</v>
      </c>
    </row>
    <row r="2728" spans="1:19">
      <c r="A2728" s="1">
        <v>45200</v>
      </c>
      <c r="B2728" s="1">
        <v>45200</v>
      </c>
      <c r="C2728">
        <v>2023</v>
      </c>
      <c r="D2728">
        <v>10</v>
      </c>
      <c r="E2728" s="2" t="s">
        <v>318</v>
      </c>
      <c r="F2728" s="2" t="s">
        <v>319</v>
      </c>
      <c r="G2728" s="2" t="s">
        <v>21</v>
      </c>
      <c r="H2728" s="2" t="s">
        <v>22</v>
      </c>
      <c r="I2728" s="2" t="s">
        <v>295</v>
      </c>
      <c r="J2728" s="2" t="s">
        <v>24</v>
      </c>
      <c r="K2728">
        <v>5329.32</v>
      </c>
      <c r="L2728">
        <v>20649.419999999998</v>
      </c>
      <c r="M2728">
        <v>387.47</v>
      </c>
      <c r="N2728" s="2" t="s">
        <v>320</v>
      </c>
      <c r="O2728" s="2" t="s">
        <v>321</v>
      </c>
      <c r="P2728" s="2" t="s">
        <v>4902</v>
      </c>
      <c r="Q2728" s="2" t="s">
        <v>4903</v>
      </c>
      <c r="R2728" s="2" t="s">
        <v>29</v>
      </c>
      <c r="S2728" s="2" t="s">
        <v>30</v>
      </c>
    </row>
    <row r="2729" spans="1:19">
      <c r="A2729" s="1">
        <v>45200</v>
      </c>
      <c r="B2729" s="1">
        <v>45200</v>
      </c>
      <c r="C2729">
        <v>2023</v>
      </c>
      <c r="D2729">
        <v>10</v>
      </c>
      <c r="E2729" s="2" t="s">
        <v>324</v>
      </c>
      <c r="F2729" s="2" t="s">
        <v>325</v>
      </c>
      <c r="G2729" s="2" t="s">
        <v>21</v>
      </c>
      <c r="H2729" s="2" t="s">
        <v>22</v>
      </c>
      <c r="I2729" s="2" t="s">
        <v>23</v>
      </c>
      <c r="J2729" s="2" t="s">
        <v>59</v>
      </c>
      <c r="K2729">
        <v>128356.32</v>
      </c>
      <c r="L2729">
        <v>5667253.6299999999</v>
      </c>
      <c r="M2729">
        <v>4415.25</v>
      </c>
      <c r="N2729" s="2" t="s">
        <v>326</v>
      </c>
      <c r="O2729" s="2" t="s">
        <v>327</v>
      </c>
      <c r="P2729" s="2" t="s">
        <v>4904</v>
      </c>
      <c r="Q2729" s="2" t="s">
        <v>4905</v>
      </c>
      <c r="R2729" s="2" t="s">
        <v>29</v>
      </c>
      <c r="S2729" s="2" t="s">
        <v>30</v>
      </c>
    </row>
    <row r="2730" spans="1:19">
      <c r="A2730" s="1">
        <v>45200</v>
      </c>
      <c r="B2730" s="1">
        <v>45200</v>
      </c>
      <c r="C2730">
        <v>2023</v>
      </c>
      <c r="D2730">
        <v>10</v>
      </c>
      <c r="E2730" s="2" t="s">
        <v>330</v>
      </c>
      <c r="F2730" s="2" t="s">
        <v>331</v>
      </c>
      <c r="G2730" s="2" t="s">
        <v>21</v>
      </c>
      <c r="H2730" s="2" t="s">
        <v>332</v>
      </c>
      <c r="I2730" s="2" t="s">
        <v>333</v>
      </c>
      <c r="J2730" s="2" t="s">
        <v>24</v>
      </c>
      <c r="K2730">
        <v>223.48</v>
      </c>
      <c r="L2730">
        <v>11899324.4</v>
      </c>
      <c r="M2730">
        <v>5324558.9800000004</v>
      </c>
      <c r="N2730" s="2" t="s">
        <v>334</v>
      </c>
      <c r="O2730" s="2" t="s">
        <v>335</v>
      </c>
      <c r="P2730" s="2" t="s">
        <v>4906</v>
      </c>
      <c r="Q2730" s="2" t="s">
        <v>4907</v>
      </c>
      <c r="R2730" s="2" t="s">
        <v>29</v>
      </c>
      <c r="S2730" s="2" t="s">
        <v>30</v>
      </c>
    </row>
    <row r="2731" spans="1:19">
      <c r="A2731" s="1">
        <v>45200</v>
      </c>
      <c r="B2731" s="1">
        <v>45200</v>
      </c>
      <c r="C2731">
        <v>2023</v>
      </c>
      <c r="D2731">
        <v>10</v>
      </c>
      <c r="E2731" s="2" t="s">
        <v>338</v>
      </c>
      <c r="F2731" s="2" t="s">
        <v>339</v>
      </c>
      <c r="G2731" s="2" t="s">
        <v>21</v>
      </c>
      <c r="H2731" s="2" t="s">
        <v>332</v>
      </c>
      <c r="I2731" s="2" t="s">
        <v>333</v>
      </c>
      <c r="J2731" s="2" t="s">
        <v>24</v>
      </c>
      <c r="K2731">
        <v>1.1399999999999999</v>
      </c>
      <c r="L2731">
        <v>1565076.06</v>
      </c>
      <c r="M2731">
        <v>137287373.68000001</v>
      </c>
      <c r="N2731" s="2" t="s">
        <v>340</v>
      </c>
      <c r="O2731" s="2" t="s">
        <v>341</v>
      </c>
      <c r="P2731" s="2" t="s">
        <v>2133</v>
      </c>
      <c r="Q2731" s="2" t="s">
        <v>4908</v>
      </c>
      <c r="R2731" s="2" t="s">
        <v>29</v>
      </c>
      <c r="S2731" s="2" t="s">
        <v>30</v>
      </c>
    </row>
    <row r="2732" spans="1:19">
      <c r="A2732" s="1">
        <v>45200</v>
      </c>
      <c r="B2732" s="1">
        <v>45200</v>
      </c>
      <c r="C2732">
        <v>2023</v>
      </c>
      <c r="D2732">
        <v>10</v>
      </c>
      <c r="E2732" s="2" t="s">
        <v>344</v>
      </c>
      <c r="F2732" s="2" t="s">
        <v>345</v>
      </c>
      <c r="G2732" s="2" t="s">
        <v>21</v>
      </c>
      <c r="H2732" s="2" t="s">
        <v>332</v>
      </c>
      <c r="I2732" s="2" t="s">
        <v>333</v>
      </c>
      <c r="J2732" s="2" t="s">
        <v>59</v>
      </c>
      <c r="K2732">
        <v>224.62</v>
      </c>
      <c r="L2732">
        <v>13464400.460000001</v>
      </c>
      <c r="M2732">
        <v>5994301.6900000004</v>
      </c>
      <c r="N2732" s="2" t="s">
        <v>346</v>
      </c>
      <c r="O2732" s="2" t="s">
        <v>347</v>
      </c>
      <c r="P2732" s="2" t="s">
        <v>4909</v>
      </c>
      <c r="Q2732" s="2" t="s">
        <v>4910</v>
      </c>
      <c r="R2732" s="2" t="s">
        <v>29</v>
      </c>
      <c r="S2732" s="2" t="s">
        <v>30</v>
      </c>
    </row>
    <row r="2733" spans="1:19">
      <c r="A2733" s="1">
        <v>45200</v>
      </c>
      <c r="B2733" s="1">
        <v>45200</v>
      </c>
      <c r="C2733">
        <v>2023</v>
      </c>
      <c r="D2733">
        <v>10</v>
      </c>
      <c r="E2733" s="2" t="s">
        <v>350</v>
      </c>
      <c r="F2733" s="2" t="s">
        <v>351</v>
      </c>
      <c r="G2733" s="2" t="s">
        <v>21</v>
      </c>
      <c r="H2733" s="2" t="s">
        <v>22</v>
      </c>
      <c r="I2733" s="2" t="s">
        <v>352</v>
      </c>
      <c r="J2733" s="2" t="s">
        <v>353</v>
      </c>
      <c r="K2733">
        <v>141873.15</v>
      </c>
      <c r="L2733">
        <v>19526386.609999999</v>
      </c>
      <c r="M2733">
        <v>13763.27</v>
      </c>
      <c r="N2733" s="2" t="s">
        <v>354</v>
      </c>
      <c r="O2733" s="2" t="s">
        <v>355</v>
      </c>
      <c r="P2733" s="2" t="s">
        <v>4911</v>
      </c>
      <c r="Q2733" s="2" t="s">
        <v>4912</v>
      </c>
      <c r="R2733" s="2" t="s">
        <v>29</v>
      </c>
      <c r="S2733" s="2" t="s">
        <v>30</v>
      </c>
    </row>
    <row r="2734" spans="1:19">
      <c r="A2734" s="1">
        <v>45200</v>
      </c>
      <c r="B2734" s="1">
        <v>45200</v>
      </c>
      <c r="C2734">
        <v>2023</v>
      </c>
      <c r="D2734">
        <v>10</v>
      </c>
      <c r="E2734" s="2" t="s">
        <v>358</v>
      </c>
      <c r="F2734" s="2" t="s">
        <v>359</v>
      </c>
      <c r="G2734" s="2" t="s">
        <v>21</v>
      </c>
      <c r="H2734" s="2" t="s">
        <v>22</v>
      </c>
      <c r="I2734" s="2" t="s">
        <v>352</v>
      </c>
      <c r="J2734" s="2" t="s">
        <v>353</v>
      </c>
      <c r="K2734">
        <v>142433.04999999999</v>
      </c>
      <c r="L2734">
        <v>20110840.760000002</v>
      </c>
      <c r="M2734">
        <v>14119.5</v>
      </c>
      <c r="N2734" s="2" t="s">
        <v>360</v>
      </c>
      <c r="O2734" s="2" t="s">
        <v>361</v>
      </c>
      <c r="P2734" s="2" t="s">
        <v>4913</v>
      </c>
      <c r="Q2734" s="2" t="s">
        <v>4914</v>
      </c>
      <c r="R2734" s="2" t="s">
        <v>29</v>
      </c>
      <c r="S2734" s="2" t="s">
        <v>30</v>
      </c>
    </row>
    <row r="2735" spans="1:19">
      <c r="A2735" s="1">
        <v>45200</v>
      </c>
      <c r="B2735" s="1">
        <v>45200</v>
      </c>
      <c r="C2735">
        <v>2023</v>
      </c>
      <c r="D2735">
        <v>10</v>
      </c>
      <c r="E2735" s="2" t="s">
        <v>364</v>
      </c>
      <c r="F2735" s="2" t="s">
        <v>365</v>
      </c>
      <c r="G2735" s="2" t="s">
        <v>21</v>
      </c>
      <c r="H2735" s="2" t="s">
        <v>22</v>
      </c>
      <c r="I2735" s="2" t="s">
        <v>352</v>
      </c>
      <c r="J2735" s="2" t="s">
        <v>353</v>
      </c>
      <c r="K2735">
        <v>142208.43</v>
      </c>
      <c r="L2735">
        <v>6646440.2999999998</v>
      </c>
      <c r="M2735">
        <v>4673.7299999999996</v>
      </c>
      <c r="N2735" s="2" t="s">
        <v>366</v>
      </c>
      <c r="O2735" s="2" t="s">
        <v>367</v>
      </c>
      <c r="P2735" s="2" t="s">
        <v>4915</v>
      </c>
      <c r="Q2735" s="2" t="s">
        <v>4916</v>
      </c>
      <c r="R2735" s="2" t="s">
        <v>29</v>
      </c>
      <c r="S2735" s="2" t="s">
        <v>30</v>
      </c>
    </row>
    <row r="2736" spans="1:19">
      <c r="A2736" s="1">
        <v>45200</v>
      </c>
      <c r="B2736" s="1">
        <v>45200</v>
      </c>
      <c r="C2736">
        <v>2023</v>
      </c>
      <c r="D2736">
        <v>10</v>
      </c>
      <c r="E2736" s="2" t="s">
        <v>370</v>
      </c>
      <c r="F2736" s="2" t="s">
        <v>371</v>
      </c>
      <c r="G2736" s="2" t="s">
        <v>21</v>
      </c>
      <c r="H2736" s="2" t="s">
        <v>22</v>
      </c>
      <c r="I2736" s="2" t="s">
        <v>23</v>
      </c>
      <c r="J2736" s="2" t="s">
        <v>24</v>
      </c>
      <c r="K2736">
        <v>114087.9</v>
      </c>
      <c r="L2736">
        <v>1715768.34</v>
      </c>
      <c r="M2736">
        <v>1503.9</v>
      </c>
      <c r="N2736" s="2" t="s">
        <v>372</v>
      </c>
      <c r="O2736" s="2" t="s">
        <v>373</v>
      </c>
      <c r="P2736" s="2" t="s">
        <v>4917</v>
      </c>
      <c r="Q2736" s="2" t="s">
        <v>4918</v>
      </c>
      <c r="R2736" s="2" t="s">
        <v>29</v>
      </c>
      <c r="S2736" s="2" t="s">
        <v>30</v>
      </c>
    </row>
    <row r="2737" spans="1:19">
      <c r="A2737" s="1">
        <v>45200</v>
      </c>
      <c r="B2737" s="1">
        <v>45200</v>
      </c>
      <c r="C2737">
        <v>2023</v>
      </c>
      <c r="D2737">
        <v>10</v>
      </c>
      <c r="E2737" s="2" t="s">
        <v>376</v>
      </c>
      <c r="F2737" s="2" t="s">
        <v>377</v>
      </c>
      <c r="G2737" s="2" t="s">
        <v>21</v>
      </c>
      <c r="H2737" s="2" t="s">
        <v>22</v>
      </c>
      <c r="I2737" s="2" t="s">
        <v>23</v>
      </c>
      <c r="J2737" s="2" t="s">
        <v>378</v>
      </c>
      <c r="K2737">
        <v>2.63</v>
      </c>
      <c r="L2737">
        <v>37.67</v>
      </c>
      <c r="M2737">
        <v>1432.32</v>
      </c>
      <c r="N2737" s="2" t="s">
        <v>379</v>
      </c>
      <c r="O2737" s="2" t="s">
        <v>380</v>
      </c>
      <c r="P2737" s="2" t="s">
        <v>4919</v>
      </c>
      <c r="Q2737" s="2" t="s">
        <v>4920</v>
      </c>
      <c r="R2737" s="2" t="s">
        <v>29</v>
      </c>
      <c r="S2737" s="2" t="s">
        <v>30</v>
      </c>
    </row>
    <row r="2738" spans="1:19">
      <c r="A2738" s="1">
        <v>45231</v>
      </c>
      <c r="B2738" s="1">
        <v>45231</v>
      </c>
      <c r="C2738">
        <v>2023</v>
      </c>
      <c r="D2738">
        <v>11</v>
      </c>
      <c r="E2738" s="2" t="s">
        <v>19</v>
      </c>
      <c r="F2738" s="2" t="s">
        <v>20</v>
      </c>
      <c r="G2738" s="2" t="s">
        <v>21</v>
      </c>
      <c r="H2738" s="2" t="s">
        <v>22</v>
      </c>
      <c r="I2738" s="2" t="s">
        <v>23</v>
      </c>
      <c r="J2738" s="2" t="s">
        <v>24</v>
      </c>
      <c r="K2738">
        <v>0.3</v>
      </c>
      <c r="L2738">
        <v>18.66</v>
      </c>
      <c r="M2738">
        <v>6220</v>
      </c>
      <c r="N2738" s="2" t="s">
        <v>25</v>
      </c>
      <c r="O2738" s="2" t="s">
        <v>26</v>
      </c>
      <c r="P2738" s="2" t="s">
        <v>2807</v>
      </c>
      <c r="Q2738" s="2" t="s">
        <v>4921</v>
      </c>
      <c r="R2738" s="2" t="s">
        <v>29</v>
      </c>
      <c r="S2738" s="2" t="s">
        <v>30</v>
      </c>
    </row>
    <row r="2739" spans="1:19">
      <c r="A2739" s="1">
        <v>45231</v>
      </c>
      <c r="B2739" s="1">
        <v>45231</v>
      </c>
      <c r="C2739">
        <v>2023</v>
      </c>
      <c r="D2739">
        <v>11</v>
      </c>
      <c r="E2739" s="2" t="s">
        <v>31</v>
      </c>
      <c r="F2739" s="2" t="s">
        <v>32</v>
      </c>
      <c r="G2739" s="2" t="s">
        <v>21</v>
      </c>
      <c r="H2739" s="2" t="s">
        <v>22</v>
      </c>
      <c r="I2739" s="2" t="s">
        <v>23</v>
      </c>
      <c r="J2739" s="2" t="s">
        <v>24</v>
      </c>
      <c r="K2739">
        <v>3221.01</v>
      </c>
      <c r="L2739">
        <v>47635.28</v>
      </c>
      <c r="M2739">
        <v>1478.89</v>
      </c>
      <c r="N2739" s="2" t="s">
        <v>33</v>
      </c>
      <c r="O2739" s="2" t="s">
        <v>34</v>
      </c>
      <c r="P2739" s="2" t="s">
        <v>4922</v>
      </c>
      <c r="Q2739" s="2" t="s">
        <v>4923</v>
      </c>
      <c r="R2739" s="2" t="s">
        <v>29</v>
      </c>
      <c r="S2739" s="2" t="s">
        <v>30</v>
      </c>
    </row>
    <row r="2740" spans="1:19">
      <c r="A2740" s="1">
        <v>45231</v>
      </c>
      <c r="B2740" s="1">
        <v>45231</v>
      </c>
      <c r="C2740">
        <v>2023</v>
      </c>
      <c r="D2740">
        <v>11</v>
      </c>
      <c r="E2740" s="2" t="s">
        <v>37</v>
      </c>
      <c r="F2740" s="2" t="s">
        <v>38</v>
      </c>
      <c r="G2740" s="2" t="s">
        <v>39</v>
      </c>
      <c r="H2740" s="2" t="s">
        <v>22</v>
      </c>
      <c r="I2740" s="2" t="s">
        <v>40</v>
      </c>
      <c r="J2740" s="2" t="s">
        <v>24</v>
      </c>
      <c r="K2740">
        <v>7.89</v>
      </c>
      <c r="L2740">
        <v>391.23</v>
      </c>
      <c r="M2740">
        <v>4958.5600000000004</v>
      </c>
      <c r="N2740" s="2" t="s">
        <v>41</v>
      </c>
      <c r="O2740" s="2" t="s">
        <v>42</v>
      </c>
      <c r="P2740" s="2" t="s">
        <v>4924</v>
      </c>
      <c r="Q2740" s="2" t="s">
        <v>4925</v>
      </c>
      <c r="R2740" s="2" t="s">
        <v>29</v>
      </c>
      <c r="S2740" s="2" t="s">
        <v>30</v>
      </c>
    </row>
    <row r="2741" spans="1:19">
      <c r="A2741" s="1">
        <v>45231</v>
      </c>
      <c r="B2741" s="1">
        <v>45231</v>
      </c>
      <c r="C2741">
        <v>2023</v>
      </c>
      <c r="D2741">
        <v>11</v>
      </c>
      <c r="E2741" s="2" t="s">
        <v>45</v>
      </c>
      <c r="F2741" s="2" t="s">
        <v>46</v>
      </c>
      <c r="G2741" s="2" t="s">
        <v>39</v>
      </c>
      <c r="H2741" s="2" t="s">
        <v>22</v>
      </c>
      <c r="I2741" s="2" t="s">
        <v>40</v>
      </c>
      <c r="J2741" s="2" t="s">
        <v>24</v>
      </c>
      <c r="K2741">
        <v>5505.75</v>
      </c>
      <c r="L2741">
        <v>275032.40000000002</v>
      </c>
      <c r="M2741">
        <v>4995.37</v>
      </c>
      <c r="N2741" s="2" t="s">
        <v>47</v>
      </c>
      <c r="O2741" s="2" t="s">
        <v>48</v>
      </c>
      <c r="P2741" s="2" t="s">
        <v>4926</v>
      </c>
      <c r="Q2741" s="2" t="s">
        <v>4927</v>
      </c>
      <c r="R2741" s="2" t="s">
        <v>29</v>
      </c>
      <c r="S2741" s="2" t="s">
        <v>30</v>
      </c>
    </row>
    <row r="2742" spans="1:19">
      <c r="A2742" s="1">
        <v>45231</v>
      </c>
      <c r="B2742" s="1">
        <v>45231</v>
      </c>
      <c r="C2742">
        <v>2023</v>
      </c>
      <c r="D2742">
        <v>11</v>
      </c>
      <c r="E2742" s="2" t="s">
        <v>51</v>
      </c>
      <c r="F2742" s="2" t="s">
        <v>52</v>
      </c>
      <c r="G2742" s="2" t="s">
        <v>39</v>
      </c>
      <c r="H2742" s="2" t="s">
        <v>22</v>
      </c>
      <c r="I2742" s="2" t="s">
        <v>40</v>
      </c>
      <c r="J2742" s="2" t="s">
        <v>24</v>
      </c>
      <c r="K2742">
        <v>28.99</v>
      </c>
      <c r="L2742">
        <v>1106.74</v>
      </c>
      <c r="M2742">
        <v>3817.66</v>
      </c>
      <c r="N2742" s="2" t="s">
        <v>53</v>
      </c>
      <c r="O2742" s="2" t="s">
        <v>54</v>
      </c>
      <c r="P2742" s="2" t="s">
        <v>4928</v>
      </c>
      <c r="Q2742" s="2" t="s">
        <v>4929</v>
      </c>
      <c r="R2742" s="2" t="s">
        <v>29</v>
      </c>
      <c r="S2742" s="2" t="s">
        <v>30</v>
      </c>
    </row>
    <row r="2743" spans="1:19">
      <c r="A2743" s="1">
        <v>45231</v>
      </c>
      <c r="B2743" s="1">
        <v>45231</v>
      </c>
      <c r="C2743">
        <v>2023</v>
      </c>
      <c r="D2743">
        <v>11</v>
      </c>
      <c r="E2743" s="2" t="s">
        <v>57</v>
      </c>
      <c r="F2743" s="2" t="s">
        <v>58</v>
      </c>
      <c r="G2743" s="2" t="s">
        <v>39</v>
      </c>
      <c r="H2743" s="2" t="s">
        <v>22</v>
      </c>
      <c r="I2743" s="2" t="s">
        <v>40</v>
      </c>
      <c r="J2743" s="2" t="s">
        <v>59</v>
      </c>
      <c r="K2743">
        <v>5542.64</v>
      </c>
      <c r="L2743">
        <v>276530.37</v>
      </c>
      <c r="M2743">
        <v>4989.1499999999996</v>
      </c>
      <c r="N2743" s="2" t="s">
        <v>60</v>
      </c>
      <c r="O2743" s="2" t="s">
        <v>61</v>
      </c>
      <c r="P2743" s="2" t="s">
        <v>4930</v>
      </c>
      <c r="Q2743" s="2" t="s">
        <v>4931</v>
      </c>
      <c r="R2743" s="2" t="s">
        <v>29</v>
      </c>
      <c r="S2743" s="2" t="s">
        <v>30</v>
      </c>
    </row>
    <row r="2744" spans="1:19">
      <c r="A2744" s="1">
        <v>45231</v>
      </c>
      <c r="B2744" s="1">
        <v>45231</v>
      </c>
      <c r="C2744">
        <v>2023</v>
      </c>
      <c r="D2744">
        <v>11</v>
      </c>
      <c r="E2744" s="2" t="s">
        <v>64</v>
      </c>
      <c r="F2744" s="2" t="s">
        <v>65</v>
      </c>
      <c r="G2744" s="2" t="s">
        <v>21</v>
      </c>
      <c r="H2744" s="2" t="s">
        <v>22</v>
      </c>
      <c r="I2744" s="2" t="s">
        <v>66</v>
      </c>
      <c r="J2744" s="2" t="s">
        <v>24</v>
      </c>
      <c r="K2744">
        <v>18.82</v>
      </c>
      <c r="L2744">
        <v>589.66999999999996</v>
      </c>
      <c r="M2744">
        <v>3133.21</v>
      </c>
      <c r="N2744" s="2" t="s">
        <v>67</v>
      </c>
      <c r="O2744" s="2" t="s">
        <v>68</v>
      </c>
      <c r="P2744" s="2" t="s">
        <v>4932</v>
      </c>
      <c r="Q2744" s="2" t="s">
        <v>4933</v>
      </c>
      <c r="R2744" s="2" t="s">
        <v>29</v>
      </c>
      <c r="S2744" s="2" t="s">
        <v>30</v>
      </c>
    </row>
    <row r="2745" spans="1:19">
      <c r="A2745" s="1">
        <v>45231</v>
      </c>
      <c r="B2745" s="1">
        <v>45231</v>
      </c>
      <c r="C2745">
        <v>2023</v>
      </c>
      <c r="D2745">
        <v>11</v>
      </c>
      <c r="E2745" s="2" t="s">
        <v>71</v>
      </c>
      <c r="F2745" s="2" t="s">
        <v>72</v>
      </c>
      <c r="G2745" s="2" t="s">
        <v>21</v>
      </c>
      <c r="H2745" s="2" t="s">
        <v>22</v>
      </c>
      <c r="I2745" s="2" t="s">
        <v>73</v>
      </c>
      <c r="J2745" s="2" t="s">
        <v>59</v>
      </c>
      <c r="K2745">
        <v>4742.5600000000004</v>
      </c>
      <c r="L2745">
        <v>210038.12</v>
      </c>
      <c r="M2745">
        <v>4428.79</v>
      </c>
      <c r="N2745" s="2" t="s">
        <v>74</v>
      </c>
      <c r="O2745" s="2" t="s">
        <v>75</v>
      </c>
      <c r="P2745" s="2" t="s">
        <v>4934</v>
      </c>
      <c r="Q2745" s="2" t="s">
        <v>4935</v>
      </c>
      <c r="R2745" s="2" t="s">
        <v>29</v>
      </c>
      <c r="S2745" s="2" t="s">
        <v>30</v>
      </c>
    </row>
    <row r="2746" spans="1:19">
      <c r="A2746" s="1">
        <v>45231</v>
      </c>
      <c r="B2746" s="1">
        <v>45231</v>
      </c>
      <c r="C2746">
        <v>2023</v>
      </c>
      <c r="D2746">
        <v>11</v>
      </c>
      <c r="E2746" s="2" t="s">
        <v>78</v>
      </c>
      <c r="F2746" s="2" t="s">
        <v>79</v>
      </c>
      <c r="G2746" s="2" t="s">
        <v>80</v>
      </c>
      <c r="H2746" s="2" t="s">
        <v>81</v>
      </c>
      <c r="I2746" s="2" t="s">
        <v>82</v>
      </c>
      <c r="J2746" s="2" t="s">
        <v>24</v>
      </c>
      <c r="K2746">
        <v>1.74</v>
      </c>
      <c r="L2746">
        <v>6922315.1600000001</v>
      </c>
      <c r="M2746">
        <v>397834204.60000002</v>
      </c>
      <c r="N2746" s="2" t="s">
        <v>83</v>
      </c>
      <c r="O2746" s="2" t="s">
        <v>84</v>
      </c>
      <c r="P2746" s="2" t="s">
        <v>85</v>
      </c>
      <c r="Q2746" s="2" t="s">
        <v>4936</v>
      </c>
      <c r="R2746" s="2" t="s">
        <v>29</v>
      </c>
      <c r="S2746" s="2" t="s">
        <v>30</v>
      </c>
    </row>
    <row r="2747" spans="1:19">
      <c r="A2747" s="1">
        <v>45231</v>
      </c>
      <c r="B2747" s="1">
        <v>45231</v>
      </c>
      <c r="C2747">
        <v>2023</v>
      </c>
      <c r="D2747">
        <v>11</v>
      </c>
      <c r="E2747" s="2" t="s">
        <v>87</v>
      </c>
      <c r="F2747" s="2" t="s">
        <v>88</v>
      </c>
      <c r="G2747" s="2" t="s">
        <v>80</v>
      </c>
      <c r="H2747" s="2" t="s">
        <v>81</v>
      </c>
      <c r="I2747" s="2" t="s">
        <v>82</v>
      </c>
      <c r="J2747" s="2" t="s">
        <v>24</v>
      </c>
      <c r="K2747">
        <v>0.64</v>
      </c>
      <c r="L2747">
        <v>939382.09</v>
      </c>
      <c r="M2747">
        <v>146778451.56</v>
      </c>
      <c r="N2747" s="2" t="s">
        <v>89</v>
      </c>
      <c r="O2747" s="2" t="s">
        <v>90</v>
      </c>
      <c r="P2747" s="2" t="s">
        <v>27</v>
      </c>
      <c r="Q2747" s="2" t="s">
        <v>4937</v>
      </c>
      <c r="R2747" s="2" t="s">
        <v>29</v>
      </c>
      <c r="S2747" s="2" t="s">
        <v>30</v>
      </c>
    </row>
    <row r="2748" spans="1:19">
      <c r="A2748" s="1">
        <v>45231</v>
      </c>
      <c r="B2748" s="1">
        <v>45231</v>
      </c>
      <c r="C2748">
        <v>2023</v>
      </c>
      <c r="D2748">
        <v>11</v>
      </c>
      <c r="E2748" s="2" t="s">
        <v>93</v>
      </c>
      <c r="F2748" s="2" t="s">
        <v>94</v>
      </c>
      <c r="G2748" s="2" t="s">
        <v>80</v>
      </c>
      <c r="H2748" s="2" t="s">
        <v>81</v>
      </c>
      <c r="I2748" s="2" t="s">
        <v>82</v>
      </c>
      <c r="J2748" s="2" t="s">
        <v>24</v>
      </c>
      <c r="K2748">
        <v>0.41</v>
      </c>
      <c r="L2748">
        <v>5919153.6600000001</v>
      </c>
      <c r="M2748">
        <v>1443696014.6300001</v>
      </c>
      <c r="N2748" s="2" t="s">
        <v>95</v>
      </c>
      <c r="O2748" s="2" t="s">
        <v>96</v>
      </c>
      <c r="P2748" s="2" t="s">
        <v>2036</v>
      </c>
      <c r="Q2748" s="2" t="s">
        <v>4938</v>
      </c>
      <c r="R2748" s="2" t="s">
        <v>29</v>
      </c>
      <c r="S2748" s="2" t="s">
        <v>30</v>
      </c>
    </row>
    <row r="2749" spans="1:19">
      <c r="A2749" s="1">
        <v>45231</v>
      </c>
      <c r="B2749" s="1">
        <v>45231</v>
      </c>
      <c r="C2749">
        <v>2023</v>
      </c>
      <c r="D2749">
        <v>11</v>
      </c>
      <c r="E2749" s="2" t="s">
        <v>99</v>
      </c>
      <c r="F2749" s="2" t="s">
        <v>100</v>
      </c>
      <c r="G2749" s="2" t="s">
        <v>80</v>
      </c>
      <c r="H2749" s="2" t="s">
        <v>81</v>
      </c>
      <c r="I2749" s="2" t="s">
        <v>82</v>
      </c>
      <c r="J2749" s="2" t="s">
        <v>101</v>
      </c>
      <c r="K2749">
        <v>1.24</v>
      </c>
      <c r="L2749">
        <v>13568124.449999999</v>
      </c>
      <c r="M2749">
        <v>1094203584.6800001</v>
      </c>
      <c r="N2749" s="2" t="s">
        <v>102</v>
      </c>
      <c r="O2749" s="2" t="s">
        <v>103</v>
      </c>
      <c r="P2749" s="2" t="s">
        <v>2583</v>
      </c>
      <c r="Q2749" s="2" t="s">
        <v>4939</v>
      </c>
      <c r="R2749" s="2" t="s">
        <v>29</v>
      </c>
      <c r="S2749" s="2" t="s">
        <v>30</v>
      </c>
    </row>
    <row r="2750" spans="1:19">
      <c r="A2750" s="1">
        <v>45231</v>
      </c>
      <c r="B2750" s="1">
        <v>45231</v>
      </c>
      <c r="C2750">
        <v>2023</v>
      </c>
      <c r="D2750">
        <v>11</v>
      </c>
      <c r="E2750" s="2" t="s">
        <v>106</v>
      </c>
      <c r="F2750" s="2" t="s">
        <v>107</v>
      </c>
      <c r="G2750" s="2" t="s">
        <v>80</v>
      </c>
      <c r="H2750" s="2" t="s">
        <v>81</v>
      </c>
      <c r="I2750" s="2" t="s">
        <v>82</v>
      </c>
      <c r="J2750" s="2" t="s">
        <v>24</v>
      </c>
      <c r="K2750">
        <v>0.19</v>
      </c>
      <c r="L2750">
        <v>6709588.7000000002</v>
      </c>
      <c r="M2750">
        <v>3531362473.6799998</v>
      </c>
      <c r="N2750" s="2" t="s">
        <v>108</v>
      </c>
      <c r="O2750" s="2" t="s">
        <v>109</v>
      </c>
      <c r="P2750" s="2" t="s">
        <v>97</v>
      </c>
      <c r="Q2750" s="2" t="s">
        <v>4940</v>
      </c>
      <c r="R2750" s="2" t="s">
        <v>29</v>
      </c>
      <c r="S2750" s="2" t="s">
        <v>30</v>
      </c>
    </row>
    <row r="2751" spans="1:19">
      <c r="A2751" s="1">
        <v>45231</v>
      </c>
      <c r="B2751" s="1">
        <v>45231</v>
      </c>
      <c r="C2751">
        <v>2023</v>
      </c>
      <c r="D2751">
        <v>11</v>
      </c>
      <c r="E2751" s="2" t="s">
        <v>111</v>
      </c>
      <c r="F2751" s="2" t="s">
        <v>112</v>
      </c>
      <c r="G2751" s="2" t="s">
        <v>80</v>
      </c>
      <c r="H2751" s="2" t="s">
        <v>81</v>
      </c>
      <c r="I2751" s="2" t="s">
        <v>82</v>
      </c>
      <c r="J2751" s="2" t="s">
        <v>24</v>
      </c>
      <c r="K2751">
        <v>0.1</v>
      </c>
      <c r="L2751">
        <v>520644.91</v>
      </c>
      <c r="M2751">
        <v>520644910</v>
      </c>
      <c r="N2751" s="2" t="s">
        <v>113</v>
      </c>
      <c r="O2751" s="2" t="s">
        <v>114</v>
      </c>
      <c r="P2751" s="2" t="s">
        <v>425</v>
      </c>
      <c r="Q2751" s="2" t="s">
        <v>4941</v>
      </c>
      <c r="R2751" s="2" t="s">
        <v>29</v>
      </c>
      <c r="S2751" s="2" t="s">
        <v>30</v>
      </c>
    </row>
    <row r="2752" spans="1:19">
      <c r="A2752" s="1">
        <v>45231</v>
      </c>
      <c r="B2752" s="1">
        <v>45231</v>
      </c>
      <c r="C2752">
        <v>2023</v>
      </c>
      <c r="D2752">
        <v>11</v>
      </c>
      <c r="E2752" s="2" t="s">
        <v>117</v>
      </c>
      <c r="F2752" s="2" t="s">
        <v>118</v>
      </c>
      <c r="G2752" s="2" t="s">
        <v>80</v>
      </c>
      <c r="H2752" s="2" t="s">
        <v>81</v>
      </c>
      <c r="I2752" s="2" t="s">
        <v>82</v>
      </c>
      <c r="J2752" s="2" t="s">
        <v>59</v>
      </c>
      <c r="K2752">
        <v>3.08</v>
      </c>
      <c r="L2752">
        <v>21011084.52</v>
      </c>
      <c r="M2752">
        <v>682178068.83000004</v>
      </c>
      <c r="N2752" s="2" t="s">
        <v>119</v>
      </c>
      <c r="O2752" s="2" t="s">
        <v>120</v>
      </c>
      <c r="P2752" s="2" t="s">
        <v>4942</v>
      </c>
      <c r="Q2752" s="2" t="s">
        <v>4943</v>
      </c>
      <c r="R2752" s="2" t="s">
        <v>29</v>
      </c>
      <c r="S2752" s="2" t="s">
        <v>30</v>
      </c>
    </row>
    <row r="2753" spans="1:19">
      <c r="A2753" s="1">
        <v>45231</v>
      </c>
      <c r="B2753" s="1">
        <v>45231</v>
      </c>
      <c r="C2753">
        <v>2023</v>
      </c>
      <c r="D2753">
        <v>11</v>
      </c>
      <c r="E2753" s="2" t="s">
        <v>123</v>
      </c>
      <c r="F2753" s="2" t="s">
        <v>124</v>
      </c>
      <c r="G2753" s="2" t="s">
        <v>21</v>
      </c>
      <c r="H2753" s="2" t="s">
        <v>22</v>
      </c>
      <c r="I2753" s="2" t="s">
        <v>73</v>
      </c>
      <c r="J2753" s="2" t="s">
        <v>24</v>
      </c>
      <c r="K2753">
        <v>1387.24</v>
      </c>
      <c r="L2753">
        <v>101629.03</v>
      </c>
      <c r="M2753">
        <v>7325.99</v>
      </c>
      <c r="N2753" s="2" t="s">
        <v>125</v>
      </c>
      <c r="O2753" s="2" t="s">
        <v>126</v>
      </c>
      <c r="P2753" s="2" t="s">
        <v>4944</v>
      </c>
      <c r="Q2753" s="2" t="s">
        <v>4945</v>
      </c>
      <c r="R2753" s="2" t="s">
        <v>29</v>
      </c>
      <c r="S2753" s="2" t="s">
        <v>30</v>
      </c>
    </row>
    <row r="2754" spans="1:19">
      <c r="A2754" s="1">
        <v>45231</v>
      </c>
      <c r="B2754" s="1">
        <v>45231</v>
      </c>
      <c r="C2754">
        <v>2023</v>
      </c>
      <c r="D2754">
        <v>11</v>
      </c>
      <c r="E2754" s="2" t="s">
        <v>129</v>
      </c>
      <c r="F2754" s="2" t="s">
        <v>130</v>
      </c>
      <c r="G2754" s="2" t="s">
        <v>21</v>
      </c>
      <c r="H2754" s="2" t="s">
        <v>22</v>
      </c>
      <c r="I2754" s="2" t="s">
        <v>73</v>
      </c>
      <c r="J2754" s="2" t="s">
        <v>24</v>
      </c>
      <c r="K2754">
        <v>1583.66</v>
      </c>
      <c r="L2754">
        <v>59014.93</v>
      </c>
      <c r="M2754">
        <v>3726.49</v>
      </c>
      <c r="N2754" s="2" t="s">
        <v>131</v>
      </c>
      <c r="O2754" s="2" t="s">
        <v>132</v>
      </c>
      <c r="P2754" s="2" t="s">
        <v>4946</v>
      </c>
      <c r="Q2754" s="2" t="s">
        <v>4947</v>
      </c>
      <c r="R2754" s="2" t="s">
        <v>29</v>
      </c>
      <c r="S2754" s="2" t="s">
        <v>30</v>
      </c>
    </row>
    <row r="2755" spans="1:19">
      <c r="A2755" s="1">
        <v>45231</v>
      </c>
      <c r="B2755" s="1">
        <v>45231</v>
      </c>
      <c r="C2755">
        <v>2023</v>
      </c>
      <c r="D2755">
        <v>11</v>
      </c>
      <c r="E2755" s="2" t="s">
        <v>135</v>
      </c>
      <c r="F2755" s="2" t="s">
        <v>136</v>
      </c>
      <c r="G2755" s="2" t="s">
        <v>21</v>
      </c>
      <c r="H2755" s="2" t="s">
        <v>22</v>
      </c>
      <c r="I2755" s="2" t="s">
        <v>73</v>
      </c>
      <c r="J2755" s="2" t="s">
        <v>101</v>
      </c>
      <c r="K2755">
        <v>2970.9</v>
      </c>
      <c r="L2755">
        <v>160643.97</v>
      </c>
      <c r="M2755">
        <v>5407.25</v>
      </c>
      <c r="N2755" s="2" t="s">
        <v>137</v>
      </c>
      <c r="O2755" s="2" t="s">
        <v>138</v>
      </c>
      <c r="P2755" s="2" t="s">
        <v>4948</v>
      </c>
      <c r="Q2755" s="2" t="s">
        <v>4949</v>
      </c>
      <c r="R2755" s="2" t="s">
        <v>29</v>
      </c>
      <c r="S2755" s="2" t="s">
        <v>30</v>
      </c>
    </row>
    <row r="2756" spans="1:19">
      <c r="A2756" s="1">
        <v>45231</v>
      </c>
      <c r="B2756" s="1">
        <v>45231</v>
      </c>
      <c r="C2756">
        <v>2023</v>
      </c>
      <c r="D2756">
        <v>11</v>
      </c>
      <c r="E2756" s="2" t="s">
        <v>141</v>
      </c>
      <c r="F2756" s="2" t="s">
        <v>142</v>
      </c>
      <c r="G2756" s="2" t="s">
        <v>21</v>
      </c>
      <c r="H2756" s="2" t="s">
        <v>22</v>
      </c>
      <c r="I2756" s="2" t="s">
        <v>73</v>
      </c>
      <c r="J2756" s="2" t="s">
        <v>24</v>
      </c>
      <c r="K2756">
        <v>469.71</v>
      </c>
      <c r="L2756">
        <v>15014.96</v>
      </c>
      <c r="M2756">
        <v>3196.64</v>
      </c>
      <c r="N2756" s="2" t="s">
        <v>143</v>
      </c>
      <c r="O2756" s="2" t="s">
        <v>144</v>
      </c>
      <c r="P2756" s="2" t="s">
        <v>4950</v>
      </c>
      <c r="Q2756" s="2" t="s">
        <v>4951</v>
      </c>
      <c r="R2756" s="2" t="s">
        <v>29</v>
      </c>
      <c r="S2756" s="2" t="s">
        <v>30</v>
      </c>
    </row>
    <row r="2757" spans="1:19">
      <c r="A2757" s="1">
        <v>45231</v>
      </c>
      <c r="B2757" s="1">
        <v>45231</v>
      </c>
      <c r="C2757">
        <v>2023</v>
      </c>
      <c r="D2757">
        <v>11</v>
      </c>
      <c r="E2757" s="2" t="s">
        <v>147</v>
      </c>
      <c r="F2757" s="2" t="s">
        <v>148</v>
      </c>
      <c r="G2757" s="2" t="s">
        <v>21</v>
      </c>
      <c r="H2757" s="2" t="s">
        <v>22</v>
      </c>
      <c r="I2757" s="2" t="s">
        <v>73</v>
      </c>
      <c r="J2757" s="2" t="s">
        <v>24</v>
      </c>
      <c r="K2757">
        <v>1301.95</v>
      </c>
      <c r="L2757">
        <v>34379.19</v>
      </c>
      <c r="M2757">
        <v>2640.59</v>
      </c>
      <c r="N2757" s="2" t="s">
        <v>149</v>
      </c>
      <c r="O2757" s="2" t="s">
        <v>150</v>
      </c>
      <c r="P2757" s="2" t="s">
        <v>4952</v>
      </c>
      <c r="Q2757" s="2" t="s">
        <v>4953</v>
      </c>
      <c r="R2757" s="2" t="s">
        <v>29</v>
      </c>
      <c r="S2757" s="2" t="s">
        <v>30</v>
      </c>
    </row>
    <row r="2758" spans="1:19">
      <c r="A2758" s="1">
        <v>45231</v>
      </c>
      <c r="B2758" s="1">
        <v>45231</v>
      </c>
      <c r="C2758">
        <v>2023</v>
      </c>
      <c r="D2758">
        <v>11</v>
      </c>
      <c r="E2758" s="2" t="s">
        <v>153</v>
      </c>
      <c r="F2758" s="2" t="s">
        <v>154</v>
      </c>
      <c r="G2758" s="2" t="s">
        <v>21</v>
      </c>
      <c r="H2758" s="2" t="s">
        <v>22</v>
      </c>
      <c r="I2758" s="2" t="s">
        <v>73</v>
      </c>
      <c r="J2758" s="2" t="s">
        <v>101</v>
      </c>
      <c r="K2758">
        <v>1771.66</v>
      </c>
      <c r="L2758">
        <v>49394.15</v>
      </c>
      <c r="M2758">
        <v>2788.02</v>
      </c>
      <c r="N2758" s="2" t="s">
        <v>155</v>
      </c>
      <c r="O2758" s="2" t="s">
        <v>156</v>
      </c>
      <c r="P2758" s="2" t="s">
        <v>4954</v>
      </c>
      <c r="Q2758" s="2" t="s">
        <v>4955</v>
      </c>
      <c r="R2758" s="2" t="s">
        <v>29</v>
      </c>
      <c r="S2758" s="2" t="s">
        <v>30</v>
      </c>
    </row>
    <row r="2759" spans="1:19">
      <c r="A2759" s="1">
        <v>45231</v>
      </c>
      <c r="B2759" s="1">
        <v>45231</v>
      </c>
      <c r="C2759">
        <v>2023</v>
      </c>
      <c r="D2759">
        <v>11</v>
      </c>
      <c r="E2759" s="2" t="s">
        <v>159</v>
      </c>
      <c r="F2759" s="2" t="s">
        <v>160</v>
      </c>
      <c r="G2759" s="2" t="s">
        <v>21</v>
      </c>
      <c r="H2759" s="2" t="s">
        <v>22</v>
      </c>
      <c r="I2759" s="2" t="s">
        <v>66</v>
      </c>
      <c r="J2759" s="2" t="s">
        <v>59</v>
      </c>
      <c r="K2759">
        <v>1527.84</v>
      </c>
      <c r="L2759">
        <v>142456.18</v>
      </c>
      <c r="M2759">
        <v>9324.02</v>
      </c>
      <c r="N2759" s="2" t="s">
        <v>161</v>
      </c>
      <c r="O2759" s="2" t="s">
        <v>162</v>
      </c>
      <c r="P2759" s="2" t="s">
        <v>4956</v>
      </c>
      <c r="Q2759" s="2" t="s">
        <v>4957</v>
      </c>
      <c r="R2759" s="2" t="s">
        <v>29</v>
      </c>
      <c r="S2759" s="2" t="s">
        <v>30</v>
      </c>
    </row>
    <row r="2760" spans="1:19">
      <c r="A2760" s="1">
        <v>45231</v>
      </c>
      <c r="B2760" s="1">
        <v>45231</v>
      </c>
      <c r="C2760">
        <v>2023</v>
      </c>
      <c r="D2760">
        <v>11</v>
      </c>
      <c r="E2760" s="2" t="s">
        <v>165</v>
      </c>
      <c r="F2760" s="2" t="s">
        <v>166</v>
      </c>
      <c r="G2760" s="2" t="s">
        <v>21</v>
      </c>
      <c r="H2760" s="2" t="s">
        <v>22</v>
      </c>
      <c r="I2760" s="2" t="s">
        <v>23</v>
      </c>
      <c r="J2760" s="2" t="s">
        <v>24</v>
      </c>
      <c r="N2760" s="2" t="s">
        <v>167</v>
      </c>
      <c r="O2760" s="2" t="s">
        <v>168</v>
      </c>
      <c r="P2760" s="2" t="s">
        <v>175</v>
      </c>
      <c r="Q2760" s="2" t="s">
        <v>175</v>
      </c>
      <c r="R2760" s="2" t="s">
        <v>640</v>
      </c>
      <c r="S2760" s="2" t="s">
        <v>641</v>
      </c>
    </row>
    <row r="2761" spans="1:19">
      <c r="A2761" s="1">
        <v>45231</v>
      </c>
      <c r="B2761" s="1">
        <v>45231</v>
      </c>
      <c r="C2761">
        <v>2023</v>
      </c>
      <c r="D2761">
        <v>11</v>
      </c>
      <c r="E2761" s="2" t="s">
        <v>171</v>
      </c>
      <c r="F2761" s="2" t="s">
        <v>172</v>
      </c>
      <c r="G2761" s="2" t="s">
        <v>21</v>
      </c>
      <c r="H2761" s="2" t="s">
        <v>22</v>
      </c>
      <c r="I2761" s="2" t="s">
        <v>66</v>
      </c>
      <c r="J2761" s="2" t="s">
        <v>24</v>
      </c>
      <c r="N2761" s="2" t="s">
        <v>173</v>
      </c>
      <c r="O2761" s="2" t="s">
        <v>174</v>
      </c>
      <c r="P2761" s="2" t="s">
        <v>175</v>
      </c>
      <c r="Q2761" s="2" t="s">
        <v>175</v>
      </c>
      <c r="R2761" s="2" t="s">
        <v>640</v>
      </c>
      <c r="S2761" s="2" t="s">
        <v>641</v>
      </c>
    </row>
    <row r="2762" spans="1:19">
      <c r="A2762" s="1">
        <v>45231</v>
      </c>
      <c r="B2762" s="1">
        <v>45231</v>
      </c>
      <c r="C2762">
        <v>2023</v>
      </c>
      <c r="D2762">
        <v>11</v>
      </c>
      <c r="E2762" s="2" t="s">
        <v>177</v>
      </c>
      <c r="F2762" s="2" t="s">
        <v>178</v>
      </c>
      <c r="G2762" s="2" t="s">
        <v>21</v>
      </c>
      <c r="H2762" s="2" t="s">
        <v>22</v>
      </c>
      <c r="I2762" s="2" t="s">
        <v>23</v>
      </c>
      <c r="J2762" s="2" t="s">
        <v>24</v>
      </c>
      <c r="K2762">
        <v>4723.84</v>
      </c>
      <c r="L2762">
        <v>535001.71</v>
      </c>
      <c r="M2762">
        <v>11325.57</v>
      </c>
      <c r="N2762" s="2" t="s">
        <v>179</v>
      </c>
      <c r="O2762" s="2" t="s">
        <v>180</v>
      </c>
      <c r="P2762" s="2" t="s">
        <v>4958</v>
      </c>
      <c r="Q2762" s="2" t="s">
        <v>4959</v>
      </c>
      <c r="R2762" s="2" t="s">
        <v>29</v>
      </c>
      <c r="S2762" s="2" t="s">
        <v>30</v>
      </c>
    </row>
    <row r="2763" spans="1:19">
      <c r="A2763" s="1">
        <v>45231</v>
      </c>
      <c r="B2763" s="1">
        <v>45231</v>
      </c>
      <c r="C2763">
        <v>2023</v>
      </c>
      <c r="D2763">
        <v>11</v>
      </c>
      <c r="E2763" s="2" t="s">
        <v>183</v>
      </c>
      <c r="F2763" s="2" t="s">
        <v>184</v>
      </c>
      <c r="G2763" s="2" t="s">
        <v>185</v>
      </c>
      <c r="H2763" s="2" t="s">
        <v>22</v>
      </c>
      <c r="I2763" s="2" t="s">
        <v>186</v>
      </c>
      <c r="J2763" s="2" t="s">
        <v>24</v>
      </c>
      <c r="K2763">
        <v>2633.96</v>
      </c>
      <c r="L2763">
        <v>3902503.78</v>
      </c>
      <c r="M2763">
        <v>148161.09</v>
      </c>
      <c r="N2763" s="2" t="s">
        <v>187</v>
      </c>
      <c r="O2763" s="2" t="s">
        <v>188</v>
      </c>
      <c r="P2763" s="2" t="s">
        <v>4960</v>
      </c>
      <c r="Q2763" s="2" t="s">
        <v>4961</v>
      </c>
      <c r="R2763" s="2" t="s">
        <v>29</v>
      </c>
      <c r="S2763" s="2" t="s">
        <v>30</v>
      </c>
    </row>
    <row r="2764" spans="1:19">
      <c r="A2764" s="1">
        <v>45231</v>
      </c>
      <c r="B2764" s="1">
        <v>45231</v>
      </c>
      <c r="C2764">
        <v>2023</v>
      </c>
      <c r="D2764">
        <v>11</v>
      </c>
      <c r="E2764" s="2" t="s">
        <v>191</v>
      </c>
      <c r="F2764" s="2" t="s">
        <v>192</v>
      </c>
      <c r="G2764" s="2" t="s">
        <v>185</v>
      </c>
      <c r="H2764" s="2" t="s">
        <v>22</v>
      </c>
      <c r="I2764" s="2" t="s">
        <v>186</v>
      </c>
      <c r="J2764" s="2" t="s">
        <v>24</v>
      </c>
      <c r="K2764">
        <v>988.62</v>
      </c>
      <c r="L2764">
        <v>4130936.39</v>
      </c>
      <c r="M2764">
        <v>417848.76</v>
      </c>
      <c r="N2764" s="2" t="s">
        <v>193</v>
      </c>
      <c r="O2764" s="2" t="s">
        <v>194</v>
      </c>
      <c r="P2764" s="2" t="s">
        <v>4962</v>
      </c>
      <c r="Q2764" s="2" t="s">
        <v>4963</v>
      </c>
      <c r="R2764" s="2" t="s">
        <v>29</v>
      </c>
      <c r="S2764" s="2" t="s">
        <v>30</v>
      </c>
    </row>
    <row r="2765" spans="1:19">
      <c r="A2765" s="1">
        <v>45231</v>
      </c>
      <c r="B2765" s="1">
        <v>45231</v>
      </c>
      <c r="C2765">
        <v>2023</v>
      </c>
      <c r="D2765">
        <v>11</v>
      </c>
      <c r="E2765" s="2" t="s">
        <v>197</v>
      </c>
      <c r="F2765" s="2" t="s">
        <v>198</v>
      </c>
      <c r="G2765" s="2" t="s">
        <v>185</v>
      </c>
      <c r="H2765" s="2" t="s">
        <v>22</v>
      </c>
      <c r="I2765" s="2" t="s">
        <v>186</v>
      </c>
      <c r="J2765" s="2" t="s">
        <v>59</v>
      </c>
      <c r="K2765">
        <v>3622.58</v>
      </c>
      <c r="L2765">
        <v>8033440.1699999999</v>
      </c>
      <c r="M2765">
        <v>221760.19</v>
      </c>
      <c r="N2765" s="2" t="s">
        <v>199</v>
      </c>
      <c r="O2765" s="2" t="s">
        <v>200</v>
      </c>
      <c r="P2765" s="2" t="s">
        <v>4964</v>
      </c>
      <c r="Q2765" s="2" t="s">
        <v>4965</v>
      </c>
      <c r="R2765" s="2" t="s">
        <v>29</v>
      </c>
      <c r="S2765" s="2" t="s">
        <v>30</v>
      </c>
    </row>
    <row r="2766" spans="1:19">
      <c r="A2766" s="1">
        <v>45231</v>
      </c>
      <c r="B2766" s="1">
        <v>45231</v>
      </c>
      <c r="C2766">
        <v>2023</v>
      </c>
      <c r="D2766">
        <v>11</v>
      </c>
      <c r="E2766" s="2" t="s">
        <v>203</v>
      </c>
      <c r="F2766" s="2" t="s">
        <v>204</v>
      </c>
      <c r="G2766" s="2" t="s">
        <v>39</v>
      </c>
      <c r="H2766" s="2" t="s">
        <v>22</v>
      </c>
      <c r="I2766" s="2" t="s">
        <v>40</v>
      </c>
      <c r="J2766" s="2" t="s">
        <v>24</v>
      </c>
      <c r="K2766">
        <v>1079.5899999999999</v>
      </c>
      <c r="L2766">
        <v>28971.99</v>
      </c>
      <c r="M2766">
        <v>2683.61</v>
      </c>
      <c r="N2766" s="2" t="s">
        <v>205</v>
      </c>
      <c r="O2766" s="2" t="s">
        <v>206</v>
      </c>
      <c r="P2766" s="2" t="s">
        <v>4966</v>
      </c>
      <c r="Q2766" s="2" t="s">
        <v>4967</v>
      </c>
      <c r="R2766" s="2" t="s">
        <v>29</v>
      </c>
      <c r="S2766" s="2" t="s">
        <v>30</v>
      </c>
    </row>
    <row r="2767" spans="1:19">
      <c r="A2767" s="1">
        <v>45231</v>
      </c>
      <c r="B2767" s="1">
        <v>45231</v>
      </c>
      <c r="C2767">
        <v>2023</v>
      </c>
      <c r="D2767">
        <v>11</v>
      </c>
      <c r="E2767" s="2" t="s">
        <v>209</v>
      </c>
      <c r="F2767" s="2" t="s">
        <v>210</v>
      </c>
      <c r="G2767" s="2" t="s">
        <v>39</v>
      </c>
      <c r="H2767" s="2" t="s">
        <v>22</v>
      </c>
      <c r="I2767" s="2" t="s">
        <v>40</v>
      </c>
      <c r="J2767" s="2" t="s">
        <v>59</v>
      </c>
      <c r="K2767">
        <v>1079.5899999999999</v>
      </c>
      <c r="L2767">
        <v>28971.99</v>
      </c>
      <c r="M2767">
        <v>2683.61</v>
      </c>
      <c r="N2767" s="2" t="s">
        <v>211</v>
      </c>
      <c r="O2767" s="2" t="s">
        <v>212</v>
      </c>
      <c r="P2767" s="2" t="s">
        <v>4966</v>
      </c>
      <c r="Q2767" s="2" t="s">
        <v>4967</v>
      </c>
      <c r="R2767" s="2" t="s">
        <v>29</v>
      </c>
      <c r="S2767" s="2" t="s">
        <v>30</v>
      </c>
    </row>
    <row r="2768" spans="1:19">
      <c r="A2768" s="1">
        <v>45231</v>
      </c>
      <c r="B2768" s="1">
        <v>45231</v>
      </c>
      <c r="C2768">
        <v>2023</v>
      </c>
      <c r="D2768">
        <v>11</v>
      </c>
      <c r="E2768" s="2" t="s">
        <v>213</v>
      </c>
      <c r="F2768" s="2" t="s">
        <v>214</v>
      </c>
      <c r="G2768" s="2" t="s">
        <v>185</v>
      </c>
      <c r="H2768" s="2" t="s">
        <v>22</v>
      </c>
      <c r="I2768" s="2" t="s">
        <v>215</v>
      </c>
      <c r="J2768" s="2" t="s">
        <v>24</v>
      </c>
      <c r="K2768">
        <v>101718.14</v>
      </c>
      <c r="L2768">
        <v>2168457.54</v>
      </c>
      <c r="M2768">
        <v>2131.83</v>
      </c>
      <c r="N2768" s="2" t="s">
        <v>216</v>
      </c>
      <c r="O2768" s="2" t="s">
        <v>217</v>
      </c>
      <c r="P2768" s="2" t="s">
        <v>4968</v>
      </c>
      <c r="Q2768" s="2" t="s">
        <v>4969</v>
      </c>
      <c r="R2768" s="2" t="s">
        <v>29</v>
      </c>
      <c r="S2768" s="2" t="s">
        <v>30</v>
      </c>
    </row>
    <row r="2769" spans="1:19">
      <c r="A2769" s="1">
        <v>45231</v>
      </c>
      <c r="B2769" s="1">
        <v>45231</v>
      </c>
      <c r="C2769">
        <v>2023</v>
      </c>
      <c r="D2769">
        <v>11</v>
      </c>
      <c r="E2769" s="2" t="s">
        <v>220</v>
      </c>
      <c r="F2769" s="2" t="s">
        <v>221</v>
      </c>
      <c r="G2769" s="2" t="s">
        <v>185</v>
      </c>
      <c r="H2769" s="2" t="s">
        <v>22</v>
      </c>
      <c r="I2769" s="2" t="s">
        <v>215</v>
      </c>
      <c r="J2769" s="2" t="s">
        <v>24</v>
      </c>
      <c r="K2769">
        <v>6927.98</v>
      </c>
      <c r="L2769">
        <v>478325.84</v>
      </c>
      <c r="M2769">
        <v>6904.26</v>
      </c>
      <c r="N2769" s="2" t="s">
        <v>222</v>
      </c>
      <c r="O2769" s="2" t="s">
        <v>223</v>
      </c>
      <c r="P2769" s="2" t="s">
        <v>4970</v>
      </c>
      <c r="Q2769" s="2" t="s">
        <v>4971</v>
      </c>
      <c r="R2769" s="2" t="s">
        <v>29</v>
      </c>
      <c r="S2769" s="2" t="s">
        <v>30</v>
      </c>
    </row>
    <row r="2770" spans="1:19">
      <c r="A2770" s="1">
        <v>45231</v>
      </c>
      <c r="B2770" s="1">
        <v>45231</v>
      </c>
      <c r="C2770">
        <v>2023</v>
      </c>
      <c r="D2770">
        <v>11</v>
      </c>
      <c r="E2770" s="2" t="s">
        <v>226</v>
      </c>
      <c r="F2770" s="2" t="s">
        <v>227</v>
      </c>
      <c r="G2770" s="2" t="s">
        <v>185</v>
      </c>
      <c r="H2770" s="2" t="s">
        <v>22</v>
      </c>
      <c r="I2770" s="2" t="s">
        <v>215</v>
      </c>
      <c r="J2770" s="2" t="s">
        <v>59</v>
      </c>
      <c r="K2770">
        <v>108646.12</v>
      </c>
      <c r="L2770">
        <v>2646783.38</v>
      </c>
      <c r="M2770">
        <v>2436.15</v>
      </c>
      <c r="N2770" s="2" t="s">
        <v>228</v>
      </c>
      <c r="O2770" s="2" t="s">
        <v>229</v>
      </c>
      <c r="P2770" s="2" t="s">
        <v>4972</v>
      </c>
      <c r="Q2770" s="2" t="s">
        <v>4973</v>
      </c>
      <c r="R2770" s="2" t="s">
        <v>29</v>
      </c>
      <c r="S2770" s="2" t="s">
        <v>30</v>
      </c>
    </row>
    <row r="2771" spans="1:19">
      <c r="A2771" s="1">
        <v>45231</v>
      </c>
      <c r="B2771" s="1">
        <v>45231</v>
      </c>
      <c r="C2771">
        <v>2023</v>
      </c>
      <c r="D2771">
        <v>11</v>
      </c>
      <c r="E2771" s="2" t="s">
        <v>232</v>
      </c>
      <c r="F2771" s="2" t="s">
        <v>233</v>
      </c>
      <c r="G2771" s="2" t="s">
        <v>21</v>
      </c>
      <c r="H2771" s="2" t="s">
        <v>22</v>
      </c>
      <c r="I2771" s="2" t="s">
        <v>23</v>
      </c>
      <c r="J2771" s="2" t="s">
        <v>24</v>
      </c>
      <c r="K2771">
        <v>1380.65</v>
      </c>
      <c r="L2771">
        <v>142414.9</v>
      </c>
      <c r="M2771">
        <v>10315.06</v>
      </c>
      <c r="N2771" s="2" t="s">
        <v>234</v>
      </c>
      <c r="O2771" s="2" t="s">
        <v>235</v>
      </c>
      <c r="P2771" s="2" t="s">
        <v>4974</v>
      </c>
      <c r="Q2771" s="2" t="s">
        <v>4975</v>
      </c>
      <c r="R2771" s="2" t="s">
        <v>29</v>
      </c>
      <c r="S2771" s="2" t="s">
        <v>30</v>
      </c>
    </row>
    <row r="2772" spans="1:19">
      <c r="A2772" s="1">
        <v>45231</v>
      </c>
      <c r="B2772" s="1">
        <v>45231</v>
      </c>
      <c r="C2772">
        <v>2023</v>
      </c>
      <c r="D2772">
        <v>11</v>
      </c>
      <c r="E2772" s="2" t="s">
        <v>238</v>
      </c>
      <c r="F2772" s="2" t="s">
        <v>239</v>
      </c>
      <c r="G2772" s="2" t="s">
        <v>21</v>
      </c>
      <c r="H2772" s="2" t="s">
        <v>22</v>
      </c>
      <c r="I2772" s="2" t="s">
        <v>66</v>
      </c>
      <c r="J2772" s="2" t="s">
        <v>24</v>
      </c>
      <c r="K2772">
        <v>1376.66</v>
      </c>
      <c r="L2772">
        <v>141646.1</v>
      </c>
      <c r="M2772">
        <v>10289.11</v>
      </c>
      <c r="N2772" s="2" t="s">
        <v>240</v>
      </c>
      <c r="O2772" s="2" t="s">
        <v>241</v>
      </c>
      <c r="P2772" s="2" t="s">
        <v>4976</v>
      </c>
      <c r="Q2772" s="2" t="s">
        <v>4977</v>
      </c>
      <c r="R2772" s="2" t="s">
        <v>29</v>
      </c>
      <c r="S2772" s="2" t="s">
        <v>30</v>
      </c>
    </row>
    <row r="2773" spans="1:19">
      <c r="A2773" s="1">
        <v>45231</v>
      </c>
      <c r="B2773" s="1">
        <v>45231</v>
      </c>
      <c r="C2773">
        <v>2023</v>
      </c>
      <c r="D2773">
        <v>11</v>
      </c>
      <c r="E2773" s="2" t="s">
        <v>244</v>
      </c>
      <c r="F2773" s="2" t="s">
        <v>245</v>
      </c>
      <c r="G2773" s="2" t="s">
        <v>21</v>
      </c>
      <c r="H2773" s="2" t="s">
        <v>22</v>
      </c>
      <c r="I2773" s="2" t="s">
        <v>23</v>
      </c>
      <c r="J2773" s="2" t="s">
        <v>24</v>
      </c>
      <c r="K2773">
        <v>6394.01</v>
      </c>
      <c r="L2773">
        <v>3208491.45</v>
      </c>
      <c r="M2773">
        <v>50179.64</v>
      </c>
      <c r="N2773" s="2" t="s">
        <v>246</v>
      </c>
      <c r="O2773" s="2" t="s">
        <v>247</v>
      </c>
      <c r="P2773" s="2" t="s">
        <v>4978</v>
      </c>
      <c r="Q2773" s="2" t="s">
        <v>4979</v>
      </c>
      <c r="R2773" s="2" t="s">
        <v>29</v>
      </c>
      <c r="S2773" s="2" t="s">
        <v>30</v>
      </c>
    </row>
    <row r="2774" spans="1:19">
      <c r="A2774" s="1">
        <v>45231</v>
      </c>
      <c r="B2774" s="1">
        <v>45231</v>
      </c>
      <c r="C2774">
        <v>2023</v>
      </c>
      <c r="D2774">
        <v>11</v>
      </c>
      <c r="E2774" s="2" t="s">
        <v>250</v>
      </c>
      <c r="F2774" s="2" t="s">
        <v>251</v>
      </c>
      <c r="G2774" s="2" t="s">
        <v>21</v>
      </c>
      <c r="H2774" s="2" t="s">
        <v>22</v>
      </c>
      <c r="I2774" s="2" t="s">
        <v>66</v>
      </c>
      <c r="J2774" s="2" t="s">
        <v>24</v>
      </c>
      <c r="K2774">
        <v>132.36000000000001</v>
      </c>
      <c r="L2774">
        <v>220.41</v>
      </c>
      <c r="M2774">
        <v>166.52</v>
      </c>
      <c r="N2774" s="2" t="s">
        <v>252</v>
      </c>
      <c r="O2774" s="2" t="s">
        <v>253</v>
      </c>
      <c r="P2774" s="2" t="s">
        <v>4980</v>
      </c>
      <c r="Q2774" s="2" t="s">
        <v>4981</v>
      </c>
      <c r="R2774" s="2" t="s">
        <v>29</v>
      </c>
      <c r="S2774" s="2" t="s">
        <v>30</v>
      </c>
    </row>
    <row r="2775" spans="1:19">
      <c r="A2775" s="1">
        <v>45231</v>
      </c>
      <c r="B2775" s="1">
        <v>45231</v>
      </c>
      <c r="C2775">
        <v>2023</v>
      </c>
      <c r="D2775">
        <v>11</v>
      </c>
      <c r="E2775" s="2" t="s">
        <v>256</v>
      </c>
      <c r="F2775" s="2" t="s">
        <v>257</v>
      </c>
      <c r="G2775" s="2" t="s">
        <v>21</v>
      </c>
      <c r="H2775" s="2" t="s">
        <v>22</v>
      </c>
      <c r="I2775" s="2" t="s">
        <v>258</v>
      </c>
      <c r="J2775" s="2" t="s">
        <v>24</v>
      </c>
      <c r="K2775">
        <v>525.54999999999995</v>
      </c>
      <c r="L2775">
        <v>558865.88</v>
      </c>
      <c r="M2775">
        <v>106339.24</v>
      </c>
      <c r="N2775" s="2" t="s">
        <v>259</v>
      </c>
      <c r="O2775" s="2" t="s">
        <v>260</v>
      </c>
      <c r="P2775" s="2" t="s">
        <v>4982</v>
      </c>
      <c r="Q2775" s="2" t="s">
        <v>4983</v>
      </c>
      <c r="R2775" s="2" t="s">
        <v>29</v>
      </c>
      <c r="S2775" s="2" t="s">
        <v>30</v>
      </c>
    </row>
    <row r="2776" spans="1:19">
      <c r="A2776" s="1">
        <v>45231</v>
      </c>
      <c r="B2776" s="1">
        <v>45231</v>
      </c>
      <c r="C2776">
        <v>2023</v>
      </c>
      <c r="D2776">
        <v>11</v>
      </c>
      <c r="E2776" s="2" t="s">
        <v>263</v>
      </c>
      <c r="F2776" s="2" t="s">
        <v>264</v>
      </c>
      <c r="G2776" s="2" t="s">
        <v>21</v>
      </c>
      <c r="H2776" s="2" t="s">
        <v>22</v>
      </c>
      <c r="I2776" s="2" t="s">
        <v>258</v>
      </c>
      <c r="J2776" s="2" t="s">
        <v>24</v>
      </c>
      <c r="K2776">
        <v>0</v>
      </c>
      <c r="L2776">
        <v>0</v>
      </c>
      <c r="N2776" s="2" t="s">
        <v>265</v>
      </c>
      <c r="O2776" s="2" t="s">
        <v>266</v>
      </c>
      <c r="P2776" s="2" t="s">
        <v>639</v>
      </c>
      <c r="Q2776" s="2" t="s">
        <v>639</v>
      </c>
      <c r="R2776" s="2" t="s">
        <v>29</v>
      </c>
      <c r="S2776" s="2" t="s">
        <v>30</v>
      </c>
    </row>
    <row r="2777" spans="1:19">
      <c r="A2777" s="1">
        <v>45231</v>
      </c>
      <c r="B2777" s="1">
        <v>45231</v>
      </c>
      <c r="C2777">
        <v>2023</v>
      </c>
      <c r="D2777">
        <v>11</v>
      </c>
      <c r="E2777" s="2" t="s">
        <v>269</v>
      </c>
      <c r="F2777" s="2" t="s">
        <v>270</v>
      </c>
      <c r="G2777" s="2" t="s">
        <v>21</v>
      </c>
      <c r="H2777" s="2" t="s">
        <v>22</v>
      </c>
      <c r="I2777" s="2" t="s">
        <v>258</v>
      </c>
      <c r="J2777" s="2" t="s">
        <v>59</v>
      </c>
      <c r="K2777">
        <v>525.54999999999995</v>
      </c>
      <c r="L2777">
        <v>558865.88</v>
      </c>
      <c r="M2777">
        <v>106339.24</v>
      </c>
      <c r="N2777" s="2" t="s">
        <v>271</v>
      </c>
      <c r="O2777" s="2" t="s">
        <v>272</v>
      </c>
      <c r="P2777" s="2" t="s">
        <v>4982</v>
      </c>
      <c r="Q2777" s="2" t="s">
        <v>4983</v>
      </c>
      <c r="R2777" s="2" t="s">
        <v>29</v>
      </c>
      <c r="S2777" s="2" t="s">
        <v>30</v>
      </c>
    </row>
    <row r="2778" spans="1:19">
      <c r="A2778" s="1">
        <v>45231</v>
      </c>
      <c r="B2778" s="1">
        <v>45231</v>
      </c>
      <c r="C2778">
        <v>2023</v>
      </c>
      <c r="D2778">
        <v>11</v>
      </c>
      <c r="E2778" s="2" t="s">
        <v>275</v>
      </c>
      <c r="F2778" s="2" t="s">
        <v>276</v>
      </c>
      <c r="G2778" s="2" t="s">
        <v>39</v>
      </c>
      <c r="H2778" s="2" t="s">
        <v>22</v>
      </c>
      <c r="I2778" s="2" t="s">
        <v>40</v>
      </c>
      <c r="J2778" s="2" t="s">
        <v>24</v>
      </c>
      <c r="K2778">
        <v>0.75</v>
      </c>
      <c r="L2778">
        <v>7.29</v>
      </c>
      <c r="M2778">
        <v>972</v>
      </c>
      <c r="N2778" s="2" t="s">
        <v>277</v>
      </c>
      <c r="O2778" s="2" t="s">
        <v>278</v>
      </c>
      <c r="P2778" s="2" t="s">
        <v>928</v>
      </c>
      <c r="Q2778" s="2" t="s">
        <v>4984</v>
      </c>
      <c r="R2778" s="2" t="s">
        <v>29</v>
      </c>
      <c r="S2778" s="2" t="s">
        <v>30</v>
      </c>
    </row>
    <row r="2779" spans="1:19">
      <c r="A2779" s="1">
        <v>45231</v>
      </c>
      <c r="B2779" s="1">
        <v>45231</v>
      </c>
      <c r="C2779">
        <v>2023</v>
      </c>
      <c r="D2779">
        <v>11</v>
      </c>
      <c r="E2779" s="2" t="s">
        <v>281</v>
      </c>
      <c r="F2779" s="2" t="s">
        <v>282</v>
      </c>
      <c r="G2779" s="2" t="s">
        <v>39</v>
      </c>
      <c r="H2779" s="2" t="s">
        <v>22</v>
      </c>
      <c r="I2779" s="2" t="s">
        <v>40</v>
      </c>
      <c r="J2779" s="2" t="s">
        <v>24</v>
      </c>
      <c r="K2779">
        <v>0.01</v>
      </c>
      <c r="L2779">
        <v>0.02</v>
      </c>
      <c r="M2779">
        <v>200</v>
      </c>
      <c r="N2779" s="2" t="s">
        <v>283</v>
      </c>
      <c r="O2779" s="2" t="s">
        <v>284</v>
      </c>
      <c r="P2779" s="2" t="s">
        <v>832</v>
      </c>
      <c r="Q2779" s="2" t="s">
        <v>1039</v>
      </c>
      <c r="R2779" s="2" t="s">
        <v>29</v>
      </c>
      <c r="S2779" s="2" t="s">
        <v>30</v>
      </c>
    </row>
    <row r="2780" spans="1:19">
      <c r="A2780" s="1">
        <v>45231</v>
      </c>
      <c r="B2780" s="1">
        <v>45231</v>
      </c>
      <c r="C2780">
        <v>2023</v>
      </c>
      <c r="D2780">
        <v>11</v>
      </c>
      <c r="E2780" s="2" t="s">
        <v>287</v>
      </c>
      <c r="F2780" s="2" t="s">
        <v>288</v>
      </c>
      <c r="G2780" s="2" t="s">
        <v>39</v>
      </c>
      <c r="H2780" s="2" t="s">
        <v>22</v>
      </c>
      <c r="I2780" s="2" t="s">
        <v>40</v>
      </c>
      <c r="J2780" s="2" t="s">
        <v>59</v>
      </c>
      <c r="K2780">
        <v>0.75</v>
      </c>
      <c r="L2780">
        <v>7.31</v>
      </c>
      <c r="M2780">
        <v>974.67</v>
      </c>
      <c r="N2780" s="2" t="s">
        <v>289</v>
      </c>
      <c r="O2780" s="2" t="s">
        <v>290</v>
      </c>
      <c r="P2780" s="2" t="s">
        <v>928</v>
      </c>
      <c r="Q2780" s="2" t="s">
        <v>4985</v>
      </c>
      <c r="R2780" s="2" t="s">
        <v>29</v>
      </c>
      <c r="S2780" s="2" t="s">
        <v>30</v>
      </c>
    </row>
    <row r="2781" spans="1:19">
      <c r="A2781" s="1">
        <v>45231</v>
      </c>
      <c r="B2781" s="1">
        <v>45231</v>
      </c>
      <c r="C2781">
        <v>2023</v>
      </c>
      <c r="D2781">
        <v>11</v>
      </c>
      <c r="E2781" s="2" t="s">
        <v>293</v>
      </c>
      <c r="F2781" s="2" t="s">
        <v>294</v>
      </c>
      <c r="G2781" s="2" t="s">
        <v>21</v>
      </c>
      <c r="H2781" s="2" t="s">
        <v>22</v>
      </c>
      <c r="I2781" s="2" t="s">
        <v>295</v>
      </c>
      <c r="J2781" s="2" t="s">
        <v>24</v>
      </c>
      <c r="K2781">
        <v>539.32000000000005</v>
      </c>
      <c r="L2781">
        <v>3503.62</v>
      </c>
      <c r="M2781">
        <v>649.64</v>
      </c>
      <c r="N2781" s="2" t="s">
        <v>296</v>
      </c>
      <c r="O2781" s="2" t="s">
        <v>297</v>
      </c>
      <c r="P2781" s="2" t="s">
        <v>4986</v>
      </c>
      <c r="Q2781" s="2" t="s">
        <v>4987</v>
      </c>
      <c r="R2781" s="2" t="s">
        <v>29</v>
      </c>
      <c r="S2781" s="2" t="s">
        <v>30</v>
      </c>
    </row>
    <row r="2782" spans="1:19">
      <c r="A2782" s="1">
        <v>45231</v>
      </c>
      <c r="B2782" s="1">
        <v>45231</v>
      </c>
      <c r="C2782">
        <v>2023</v>
      </c>
      <c r="D2782">
        <v>11</v>
      </c>
      <c r="E2782" s="2" t="s">
        <v>300</v>
      </c>
      <c r="F2782" s="2" t="s">
        <v>301</v>
      </c>
      <c r="G2782" s="2" t="s">
        <v>21</v>
      </c>
      <c r="H2782" s="2" t="s">
        <v>22</v>
      </c>
      <c r="I2782" s="2" t="s">
        <v>295</v>
      </c>
      <c r="J2782" s="2" t="s">
        <v>24</v>
      </c>
      <c r="K2782">
        <v>662.14</v>
      </c>
      <c r="L2782">
        <v>890.69</v>
      </c>
      <c r="M2782">
        <v>134.52000000000001</v>
      </c>
      <c r="N2782" s="2" t="s">
        <v>302</v>
      </c>
      <c r="O2782" s="2" t="s">
        <v>303</v>
      </c>
      <c r="P2782" s="2" t="s">
        <v>4988</v>
      </c>
      <c r="Q2782" s="2" t="s">
        <v>4989</v>
      </c>
      <c r="R2782" s="2" t="s">
        <v>29</v>
      </c>
      <c r="S2782" s="2" t="s">
        <v>30</v>
      </c>
    </row>
    <row r="2783" spans="1:19">
      <c r="A2783" s="1">
        <v>45231</v>
      </c>
      <c r="B2783" s="1">
        <v>45231</v>
      </c>
      <c r="C2783">
        <v>2023</v>
      </c>
      <c r="D2783">
        <v>11</v>
      </c>
      <c r="E2783" s="2" t="s">
        <v>306</v>
      </c>
      <c r="F2783" s="2" t="s">
        <v>307</v>
      </c>
      <c r="G2783" s="2" t="s">
        <v>21</v>
      </c>
      <c r="H2783" s="2" t="s">
        <v>22</v>
      </c>
      <c r="I2783" s="2" t="s">
        <v>295</v>
      </c>
      <c r="J2783" s="2" t="s">
        <v>101</v>
      </c>
      <c r="K2783">
        <v>1201.46</v>
      </c>
      <c r="L2783">
        <v>4394.32</v>
      </c>
      <c r="M2783">
        <v>365.75</v>
      </c>
      <c r="N2783" s="2" t="s">
        <v>308</v>
      </c>
      <c r="O2783" s="2" t="s">
        <v>309</v>
      </c>
      <c r="P2783" s="2" t="s">
        <v>4990</v>
      </c>
      <c r="Q2783" s="2" t="s">
        <v>4991</v>
      </c>
      <c r="R2783" s="2" t="s">
        <v>29</v>
      </c>
      <c r="S2783" s="2" t="s">
        <v>30</v>
      </c>
    </row>
    <row r="2784" spans="1:19">
      <c r="A2784" s="1">
        <v>45231</v>
      </c>
      <c r="B2784" s="1">
        <v>45231</v>
      </c>
      <c r="C2784">
        <v>2023</v>
      </c>
      <c r="D2784">
        <v>11</v>
      </c>
      <c r="E2784" s="2" t="s">
        <v>312</v>
      </c>
      <c r="F2784" s="2" t="s">
        <v>313</v>
      </c>
      <c r="G2784" s="2" t="s">
        <v>21</v>
      </c>
      <c r="H2784" s="2" t="s">
        <v>22</v>
      </c>
      <c r="I2784" s="2" t="s">
        <v>295</v>
      </c>
      <c r="J2784" s="2" t="s">
        <v>59</v>
      </c>
      <c r="K2784">
        <v>6510.09</v>
      </c>
      <c r="L2784">
        <v>24247.54</v>
      </c>
      <c r="M2784">
        <v>372.46</v>
      </c>
      <c r="N2784" s="2" t="s">
        <v>314</v>
      </c>
      <c r="O2784" s="2" t="s">
        <v>315</v>
      </c>
      <c r="P2784" s="2" t="s">
        <v>4992</v>
      </c>
      <c r="Q2784" s="2" t="s">
        <v>4993</v>
      </c>
      <c r="R2784" s="2" t="s">
        <v>29</v>
      </c>
      <c r="S2784" s="2" t="s">
        <v>30</v>
      </c>
    </row>
    <row r="2785" spans="1:19">
      <c r="A2785" s="1">
        <v>45231</v>
      </c>
      <c r="B2785" s="1">
        <v>45231</v>
      </c>
      <c r="C2785">
        <v>2023</v>
      </c>
      <c r="D2785">
        <v>11</v>
      </c>
      <c r="E2785" s="2" t="s">
        <v>318</v>
      </c>
      <c r="F2785" s="2" t="s">
        <v>319</v>
      </c>
      <c r="G2785" s="2" t="s">
        <v>21</v>
      </c>
      <c r="H2785" s="2" t="s">
        <v>22</v>
      </c>
      <c r="I2785" s="2" t="s">
        <v>295</v>
      </c>
      <c r="J2785" s="2" t="s">
        <v>24</v>
      </c>
      <c r="K2785">
        <v>5308.63</v>
      </c>
      <c r="L2785">
        <v>19853.22</v>
      </c>
      <c r="M2785">
        <v>373.98</v>
      </c>
      <c r="N2785" s="2" t="s">
        <v>320</v>
      </c>
      <c r="O2785" s="2" t="s">
        <v>321</v>
      </c>
      <c r="P2785" s="2" t="s">
        <v>4994</v>
      </c>
      <c r="Q2785" s="2" t="s">
        <v>4995</v>
      </c>
      <c r="R2785" s="2" t="s">
        <v>29</v>
      </c>
      <c r="S2785" s="2" t="s">
        <v>30</v>
      </c>
    </row>
    <row r="2786" spans="1:19">
      <c r="A2786" s="1">
        <v>45231</v>
      </c>
      <c r="B2786" s="1">
        <v>45231</v>
      </c>
      <c r="C2786">
        <v>2023</v>
      </c>
      <c r="D2786">
        <v>11</v>
      </c>
      <c r="E2786" s="2" t="s">
        <v>324</v>
      </c>
      <c r="F2786" s="2" t="s">
        <v>325</v>
      </c>
      <c r="G2786" s="2" t="s">
        <v>21</v>
      </c>
      <c r="H2786" s="2" t="s">
        <v>22</v>
      </c>
      <c r="I2786" s="2" t="s">
        <v>23</v>
      </c>
      <c r="J2786" s="2" t="s">
        <v>59</v>
      </c>
      <c r="K2786">
        <v>128072.73</v>
      </c>
      <c r="L2786">
        <v>5673302.6100000003</v>
      </c>
      <c r="M2786">
        <v>4429.75</v>
      </c>
      <c r="N2786" s="2" t="s">
        <v>326</v>
      </c>
      <c r="O2786" s="2" t="s">
        <v>327</v>
      </c>
      <c r="P2786" s="2" t="s">
        <v>4996</v>
      </c>
      <c r="Q2786" s="2" t="s">
        <v>4997</v>
      </c>
      <c r="R2786" s="2" t="s">
        <v>29</v>
      </c>
      <c r="S2786" s="2" t="s">
        <v>30</v>
      </c>
    </row>
    <row r="2787" spans="1:19">
      <c r="A2787" s="1">
        <v>45231</v>
      </c>
      <c r="B2787" s="1">
        <v>45231</v>
      </c>
      <c r="C2787">
        <v>2023</v>
      </c>
      <c r="D2787">
        <v>11</v>
      </c>
      <c r="E2787" s="2" t="s">
        <v>330</v>
      </c>
      <c r="F2787" s="2" t="s">
        <v>331</v>
      </c>
      <c r="G2787" s="2" t="s">
        <v>21</v>
      </c>
      <c r="H2787" s="2" t="s">
        <v>332</v>
      </c>
      <c r="I2787" s="2" t="s">
        <v>333</v>
      </c>
      <c r="J2787" s="2" t="s">
        <v>24</v>
      </c>
      <c r="K2787">
        <v>218.05</v>
      </c>
      <c r="L2787">
        <v>12078797.109999999</v>
      </c>
      <c r="M2787">
        <v>5539462.0999999996</v>
      </c>
      <c r="N2787" s="2" t="s">
        <v>334</v>
      </c>
      <c r="O2787" s="2" t="s">
        <v>335</v>
      </c>
      <c r="P2787" s="2" t="s">
        <v>4998</v>
      </c>
      <c r="Q2787" s="2" t="s">
        <v>4999</v>
      </c>
      <c r="R2787" s="2" t="s">
        <v>29</v>
      </c>
      <c r="S2787" s="2" t="s">
        <v>30</v>
      </c>
    </row>
    <row r="2788" spans="1:19">
      <c r="A2788" s="1">
        <v>45231</v>
      </c>
      <c r="B2788" s="1">
        <v>45231</v>
      </c>
      <c r="C2788">
        <v>2023</v>
      </c>
      <c r="D2788">
        <v>11</v>
      </c>
      <c r="E2788" s="2" t="s">
        <v>338</v>
      </c>
      <c r="F2788" s="2" t="s">
        <v>339</v>
      </c>
      <c r="G2788" s="2" t="s">
        <v>21</v>
      </c>
      <c r="H2788" s="2" t="s">
        <v>332</v>
      </c>
      <c r="I2788" s="2" t="s">
        <v>333</v>
      </c>
      <c r="J2788" s="2" t="s">
        <v>24</v>
      </c>
      <c r="K2788">
        <v>1.1499999999999999</v>
      </c>
      <c r="L2788">
        <v>1512645.43</v>
      </c>
      <c r="M2788">
        <v>131534385.22</v>
      </c>
      <c r="N2788" s="2" t="s">
        <v>340</v>
      </c>
      <c r="O2788" s="2" t="s">
        <v>341</v>
      </c>
      <c r="P2788" s="2" t="s">
        <v>3814</v>
      </c>
      <c r="Q2788" s="2" t="s">
        <v>5000</v>
      </c>
      <c r="R2788" s="2" t="s">
        <v>29</v>
      </c>
      <c r="S2788" s="2" t="s">
        <v>30</v>
      </c>
    </row>
    <row r="2789" spans="1:19">
      <c r="A2789" s="1">
        <v>45231</v>
      </c>
      <c r="B2789" s="1">
        <v>45231</v>
      </c>
      <c r="C2789">
        <v>2023</v>
      </c>
      <c r="D2789">
        <v>11</v>
      </c>
      <c r="E2789" s="2" t="s">
        <v>344</v>
      </c>
      <c r="F2789" s="2" t="s">
        <v>345</v>
      </c>
      <c r="G2789" s="2" t="s">
        <v>21</v>
      </c>
      <c r="H2789" s="2" t="s">
        <v>332</v>
      </c>
      <c r="I2789" s="2" t="s">
        <v>333</v>
      </c>
      <c r="J2789" s="2" t="s">
        <v>59</v>
      </c>
      <c r="K2789">
        <v>219.2</v>
      </c>
      <c r="L2789">
        <v>13591442.529999999</v>
      </c>
      <c r="M2789">
        <v>6200475.6100000003</v>
      </c>
      <c r="N2789" s="2" t="s">
        <v>346</v>
      </c>
      <c r="O2789" s="2" t="s">
        <v>347</v>
      </c>
      <c r="P2789" s="2" t="s">
        <v>5001</v>
      </c>
      <c r="Q2789" s="2" t="s">
        <v>5002</v>
      </c>
      <c r="R2789" s="2" t="s">
        <v>29</v>
      </c>
      <c r="S2789" s="2" t="s">
        <v>30</v>
      </c>
    </row>
    <row r="2790" spans="1:19">
      <c r="A2790" s="1">
        <v>45231</v>
      </c>
      <c r="B2790" s="1">
        <v>45231</v>
      </c>
      <c r="C2790">
        <v>2023</v>
      </c>
      <c r="D2790">
        <v>11</v>
      </c>
      <c r="E2790" s="2" t="s">
        <v>350</v>
      </c>
      <c r="F2790" s="2" t="s">
        <v>351</v>
      </c>
      <c r="G2790" s="2" t="s">
        <v>21</v>
      </c>
      <c r="H2790" s="2" t="s">
        <v>22</v>
      </c>
      <c r="I2790" s="2" t="s">
        <v>352</v>
      </c>
      <c r="J2790" s="2" t="s">
        <v>353</v>
      </c>
      <c r="K2790">
        <v>141072.41</v>
      </c>
      <c r="L2790">
        <v>19641486.98</v>
      </c>
      <c r="M2790">
        <v>13922.98</v>
      </c>
      <c r="N2790" s="2" t="s">
        <v>354</v>
      </c>
      <c r="O2790" s="2" t="s">
        <v>355</v>
      </c>
      <c r="P2790" s="2" t="s">
        <v>5003</v>
      </c>
      <c r="Q2790" s="2" t="s">
        <v>5004</v>
      </c>
      <c r="R2790" s="2" t="s">
        <v>29</v>
      </c>
      <c r="S2790" s="2" t="s">
        <v>30</v>
      </c>
    </row>
    <row r="2791" spans="1:19">
      <c r="A2791" s="1">
        <v>45231</v>
      </c>
      <c r="B2791" s="1">
        <v>45231</v>
      </c>
      <c r="C2791">
        <v>2023</v>
      </c>
      <c r="D2791">
        <v>11</v>
      </c>
      <c r="E2791" s="2" t="s">
        <v>358</v>
      </c>
      <c r="F2791" s="2" t="s">
        <v>359</v>
      </c>
      <c r="G2791" s="2" t="s">
        <v>21</v>
      </c>
      <c r="H2791" s="2" t="s">
        <v>22</v>
      </c>
      <c r="I2791" s="2" t="s">
        <v>352</v>
      </c>
      <c r="J2791" s="2" t="s">
        <v>353</v>
      </c>
      <c r="K2791">
        <v>141597.96</v>
      </c>
      <c r="L2791">
        <v>20200352.859999999</v>
      </c>
      <c r="M2791">
        <v>14265.99</v>
      </c>
      <c r="N2791" s="2" t="s">
        <v>360</v>
      </c>
      <c r="O2791" s="2" t="s">
        <v>361</v>
      </c>
      <c r="P2791" s="2" t="s">
        <v>5005</v>
      </c>
      <c r="Q2791" s="2" t="s">
        <v>5006</v>
      </c>
      <c r="R2791" s="2" t="s">
        <v>29</v>
      </c>
      <c r="S2791" s="2" t="s">
        <v>30</v>
      </c>
    </row>
    <row r="2792" spans="1:19">
      <c r="A2792" s="1">
        <v>45231</v>
      </c>
      <c r="B2792" s="1">
        <v>45231</v>
      </c>
      <c r="C2792">
        <v>2023</v>
      </c>
      <c r="D2792">
        <v>11</v>
      </c>
      <c r="E2792" s="2" t="s">
        <v>364</v>
      </c>
      <c r="F2792" s="2" t="s">
        <v>365</v>
      </c>
      <c r="G2792" s="2" t="s">
        <v>21</v>
      </c>
      <c r="H2792" s="2" t="s">
        <v>22</v>
      </c>
      <c r="I2792" s="2" t="s">
        <v>352</v>
      </c>
      <c r="J2792" s="2" t="s">
        <v>353</v>
      </c>
      <c r="K2792">
        <v>141378.76</v>
      </c>
      <c r="L2792">
        <v>6608910.3300000001</v>
      </c>
      <c r="M2792">
        <v>4674.6099999999997</v>
      </c>
      <c r="N2792" s="2" t="s">
        <v>366</v>
      </c>
      <c r="O2792" s="2" t="s">
        <v>367</v>
      </c>
      <c r="P2792" s="2" t="s">
        <v>5007</v>
      </c>
      <c r="Q2792" s="2" t="s">
        <v>5008</v>
      </c>
      <c r="R2792" s="2" t="s">
        <v>29</v>
      </c>
      <c r="S2792" s="2" t="s">
        <v>30</v>
      </c>
    </row>
    <row r="2793" spans="1:19">
      <c r="A2793" s="1">
        <v>45231</v>
      </c>
      <c r="B2793" s="1">
        <v>45231</v>
      </c>
      <c r="C2793">
        <v>2023</v>
      </c>
      <c r="D2793">
        <v>11</v>
      </c>
      <c r="E2793" s="2" t="s">
        <v>370</v>
      </c>
      <c r="F2793" s="2" t="s">
        <v>371</v>
      </c>
      <c r="G2793" s="2" t="s">
        <v>21</v>
      </c>
      <c r="H2793" s="2" t="s">
        <v>22</v>
      </c>
      <c r="I2793" s="2" t="s">
        <v>23</v>
      </c>
      <c r="J2793" s="2" t="s">
        <v>24</v>
      </c>
      <c r="K2793">
        <v>112352.92</v>
      </c>
      <c r="L2793">
        <v>1739740.61</v>
      </c>
      <c r="M2793">
        <v>1548.46</v>
      </c>
      <c r="N2793" s="2" t="s">
        <v>372</v>
      </c>
      <c r="O2793" s="2" t="s">
        <v>373</v>
      </c>
      <c r="P2793" s="2" t="s">
        <v>5009</v>
      </c>
      <c r="Q2793" s="2" t="s">
        <v>5010</v>
      </c>
      <c r="R2793" s="2" t="s">
        <v>29</v>
      </c>
      <c r="S2793" s="2" t="s">
        <v>30</v>
      </c>
    </row>
    <row r="2794" spans="1:19">
      <c r="A2794" s="1">
        <v>45231</v>
      </c>
      <c r="B2794" s="1">
        <v>45231</v>
      </c>
      <c r="C2794">
        <v>2023</v>
      </c>
      <c r="D2794">
        <v>11</v>
      </c>
      <c r="E2794" s="2" t="s">
        <v>376</v>
      </c>
      <c r="F2794" s="2" t="s">
        <v>377</v>
      </c>
      <c r="G2794" s="2" t="s">
        <v>21</v>
      </c>
      <c r="H2794" s="2" t="s">
        <v>22</v>
      </c>
      <c r="I2794" s="2" t="s">
        <v>23</v>
      </c>
      <c r="J2794" s="2" t="s">
        <v>378</v>
      </c>
      <c r="K2794">
        <v>2.69</v>
      </c>
      <c r="L2794">
        <v>37.409999999999997</v>
      </c>
      <c r="M2794">
        <v>1390.71</v>
      </c>
      <c r="N2794" s="2" t="s">
        <v>379</v>
      </c>
      <c r="O2794" s="2" t="s">
        <v>380</v>
      </c>
      <c r="P2794" s="2" t="s">
        <v>5011</v>
      </c>
      <c r="Q2794" s="2" t="s">
        <v>5012</v>
      </c>
      <c r="R2794" s="2" t="s">
        <v>29</v>
      </c>
      <c r="S2794" s="2" t="s">
        <v>30</v>
      </c>
    </row>
    <row r="2795" spans="1:19">
      <c r="A2795" s="1">
        <v>45261</v>
      </c>
      <c r="B2795" s="1">
        <v>45261</v>
      </c>
      <c r="C2795">
        <v>2023</v>
      </c>
      <c r="D2795">
        <v>12</v>
      </c>
      <c r="E2795" s="2" t="s">
        <v>19</v>
      </c>
      <c r="F2795" s="2" t="s">
        <v>20</v>
      </c>
      <c r="G2795" s="2" t="s">
        <v>21</v>
      </c>
      <c r="H2795" s="2" t="s">
        <v>22</v>
      </c>
      <c r="I2795" s="2" t="s">
        <v>23</v>
      </c>
      <c r="J2795" s="2" t="s">
        <v>24</v>
      </c>
      <c r="K2795">
        <v>0.32</v>
      </c>
      <c r="L2795">
        <v>22.74</v>
      </c>
      <c r="M2795">
        <v>7106.25</v>
      </c>
      <c r="N2795" s="2" t="s">
        <v>25</v>
      </c>
      <c r="O2795" s="2" t="s">
        <v>26</v>
      </c>
      <c r="P2795" s="2" t="s">
        <v>1083</v>
      </c>
      <c r="Q2795" s="2" t="s">
        <v>5013</v>
      </c>
      <c r="R2795" s="2" t="s">
        <v>29</v>
      </c>
      <c r="S2795" s="2" t="s">
        <v>30</v>
      </c>
    </row>
    <row r="2796" spans="1:19">
      <c r="A2796" s="1">
        <v>45261</v>
      </c>
      <c r="B2796" s="1">
        <v>45261</v>
      </c>
      <c r="C2796">
        <v>2023</v>
      </c>
      <c r="D2796">
        <v>12</v>
      </c>
      <c r="E2796" s="2" t="s">
        <v>31</v>
      </c>
      <c r="F2796" s="2" t="s">
        <v>32</v>
      </c>
      <c r="G2796" s="2" t="s">
        <v>21</v>
      </c>
      <c r="H2796" s="2" t="s">
        <v>22</v>
      </c>
      <c r="I2796" s="2" t="s">
        <v>23</v>
      </c>
      <c r="J2796" s="2" t="s">
        <v>24</v>
      </c>
      <c r="K2796">
        <v>1580.49</v>
      </c>
      <c r="L2796">
        <v>27013.24</v>
      </c>
      <c r="M2796">
        <v>1709.17</v>
      </c>
      <c r="N2796" s="2" t="s">
        <v>33</v>
      </c>
      <c r="O2796" s="2" t="s">
        <v>34</v>
      </c>
      <c r="P2796" s="2" t="s">
        <v>5014</v>
      </c>
      <c r="Q2796" s="2" t="s">
        <v>5015</v>
      </c>
      <c r="R2796" s="2" t="s">
        <v>29</v>
      </c>
      <c r="S2796" s="2" t="s">
        <v>30</v>
      </c>
    </row>
    <row r="2797" spans="1:19">
      <c r="A2797" s="1">
        <v>45261</v>
      </c>
      <c r="B2797" s="1">
        <v>45261</v>
      </c>
      <c r="C2797">
        <v>2023</v>
      </c>
      <c r="D2797">
        <v>12</v>
      </c>
      <c r="E2797" s="2" t="s">
        <v>37</v>
      </c>
      <c r="F2797" s="2" t="s">
        <v>38</v>
      </c>
      <c r="G2797" s="2" t="s">
        <v>39</v>
      </c>
      <c r="H2797" s="2" t="s">
        <v>22</v>
      </c>
      <c r="I2797" s="2" t="s">
        <v>40</v>
      </c>
      <c r="J2797" s="2" t="s">
        <v>24</v>
      </c>
      <c r="K2797">
        <v>8.19</v>
      </c>
      <c r="L2797">
        <v>404.96</v>
      </c>
      <c r="M2797">
        <v>4944.57</v>
      </c>
      <c r="N2797" s="2" t="s">
        <v>41</v>
      </c>
      <c r="O2797" s="2" t="s">
        <v>42</v>
      </c>
      <c r="P2797" s="2" t="s">
        <v>5016</v>
      </c>
      <c r="Q2797" s="2" t="s">
        <v>5017</v>
      </c>
      <c r="R2797" s="2" t="s">
        <v>29</v>
      </c>
      <c r="S2797" s="2" t="s">
        <v>30</v>
      </c>
    </row>
    <row r="2798" spans="1:19">
      <c r="A2798" s="1">
        <v>45261</v>
      </c>
      <c r="B2798" s="1">
        <v>45261</v>
      </c>
      <c r="C2798">
        <v>2023</v>
      </c>
      <c r="D2798">
        <v>12</v>
      </c>
      <c r="E2798" s="2" t="s">
        <v>45</v>
      </c>
      <c r="F2798" s="2" t="s">
        <v>46</v>
      </c>
      <c r="G2798" s="2" t="s">
        <v>39</v>
      </c>
      <c r="H2798" s="2" t="s">
        <v>22</v>
      </c>
      <c r="I2798" s="2" t="s">
        <v>40</v>
      </c>
      <c r="J2798" s="2" t="s">
        <v>24</v>
      </c>
      <c r="K2798">
        <v>5428.47</v>
      </c>
      <c r="L2798">
        <v>267842.5</v>
      </c>
      <c r="M2798">
        <v>4934.03</v>
      </c>
      <c r="N2798" s="2" t="s">
        <v>47</v>
      </c>
      <c r="O2798" s="2" t="s">
        <v>48</v>
      </c>
      <c r="P2798" s="2" t="s">
        <v>5018</v>
      </c>
      <c r="Q2798" s="2" t="s">
        <v>5019</v>
      </c>
      <c r="R2798" s="2" t="s">
        <v>29</v>
      </c>
      <c r="S2798" s="2" t="s">
        <v>30</v>
      </c>
    </row>
    <row r="2799" spans="1:19">
      <c r="A2799" s="1">
        <v>45261</v>
      </c>
      <c r="B2799" s="1">
        <v>45261</v>
      </c>
      <c r="C2799">
        <v>2023</v>
      </c>
      <c r="D2799">
        <v>12</v>
      </c>
      <c r="E2799" s="2" t="s">
        <v>51</v>
      </c>
      <c r="F2799" s="2" t="s">
        <v>52</v>
      </c>
      <c r="G2799" s="2" t="s">
        <v>39</v>
      </c>
      <c r="H2799" s="2" t="s">
        <v>22</v>
      </c>
      <c r="I2799" s="2" t="s">
        <v>40</v>
      </c>
      <c r="J2799" s="2" t="s">
        <v>24</v>
      </c>
      <c r="K2799">
        <v>26.94</v>
      </c>
      <c r="L2799">
        <v>1041.03</v>
      </c>
      <c r="M2799">
        <v>3864.25</v>
      </c>
      <c r="N2799" s="2" t="s">
        <v>53</v>
      </c>
      <c r="O2799" s="2" t="s">
        <v>54</v>
      </c>
      <c r="P2799" s="2" t="s">
        <v>5020</v>
      </c>
      <c r="Q2799" s="2" t="s">
        <v>5021</v>
      </c>
      <c r="R2799" s="2" t="s">
        <v>29</v>
      </c>
      <c r="S2799" s="2" t="s">
        <v>30</v>
      </c>
    </row>
    <row r="2800" spans="1:19">
      <c r="A2800" s="1">
        <v>45261</v>
      </c>
      <c r="B2800" s="1">
        <v>45261</v>
      </c>
      <c r="C2800">
        <v>2023</v>
      </c>
      <c r="D2800">
        <v>12</v>
      </c>
      <c r="E2800" s="2" t="s">
        <v>57</v>
      </c>
      <c r="F2800" s="2" t="s">
        <v>58</v>
      </c>
      <c r="G2800" s="2" t="s">
        <v>39</v>
      </c>
      <c r="H2800" s="2" t="s">
        <v>22</v>
      </c>
      <c r="I2800" s="2" t="s">
        <v>40</v>
      </c>
      <c r="J2800" s="2" t="s">
        <v>59</v>
      </c>
      <c r="K2800">
        <v>5463.6</v>
      </c>
      <c r="L2800">
        <v>269288.49</v>
      </c>
      <c r="M2800">
        <v>4928.7700000000004</v>
      </c>
      <c r="N2800" s="2" t="s">
        <v>60</v>
      </c>
      <c r="O2800" s="2" t="s">
        <v>61</v>
      </c>
      <c r="P2800" s="2" t="s">
        <v>5022</v>
      </c>
      <c r="Q2800" s="2" t="s">
        <v>5023</v>
      </c>
      <c r="R2800" s="2" t="s">
        <v>29</v>
      </c>
      <c r="S2800" s="2" t="s">
        <v>30</v>
      </c>
    </row>
    <row r="2801" spans="1:19">
      <c r="A2801" s="1">
        <v>45261</v>
      </c>
      <c r="B2801" s="1">
        <v>45261</v>
      </c>
      <c r="C2801">
        <v>2023</v>
      </c>
      <c r="D2801">
        <v>12</v>
      </c>
      <c r="E2801" s="2" t="s">
        <v>64</v>
      </c>
      <c r="F2801" s="2" t="s">
        <v>65</v>
      </c>
      <c r="G2801" s="2" t="s">
        <v>21</v>
      </c>
      <c r="H2801" s="2" t="s">
        <v>22</v>
      </c>
      <c r="I2801" s="2" t="s">
        <v>66</v>
      </c>
      <c r="J2801" s="2" t="s">
        <v>24</v>
      </c>
      <c r="K2801">
        <v>14.09</v>
      </c>
      <c r="L2801">
        <v>477.57</v>
      </c>
      <c r="M2801">
        <v>3389.43</v>
      </c>
      <c r="N2801" s="2" t="s">
        <v>67</v>
      </c>
      <c r="O2801" s="2" t="s">
        <v>68</v>
      </c>
      <c r="P2801" s="2" t="s">
        <v>5024</v>
      </c>
      <c r="Q2801" s="2" t="s">
        <v>5025</v>
      </c>
      <c r="R2801" s="2" t="s">
        <v>29</v>
      </c>
      <c r="S2801" s="2" t="s">
        <v>30</v>
      </c>
    </row>
    <row r="2802" spans="1:19">
      <c r="A2802" s="1">
        <v>45261</v>
      </c>
      <c r="B2802" s="1">
        <v>45261</v>
      </c>
      <c r="C2802">
        <v>2023</v>
      </c>
      <c r="D2802">
        <v>12</v>
      </c>
      <c r="E2802" s="2" t="s">
        <v>71</v>
      </c>
      <c r="F2802" s="2" t="s">
        <v>72</v>
      </c>
      <c r="G2802" s="2" t="s">
        <v>21</v>
      </c>
      <c r="H2802" s="2" t="s">
        <v>22</v>
      </c>
      <c r="I2802" s="2" t="s">
        <v>73</v>
      </c>
      <c r="J2802" s="2" t="s">
        <v>59</v>
      </c>
      <c r="K2802">
        <v>4983.1499999999996</v>
      </c>
      <c r="L2802">
        <v>213053.75</v>
      </c>
      <c r="M2802">
        <v>4275.4799999999996</v>
      </c>
      <c r="N2802" s="2" t="s">
        <v>74</v>
      </c>
      <c r="O2802" s="2" t="s">
        <v>75</v>
      </c>
      <c r="P2802" s="2" t="s">
        <v>5026</v>
      </c>
      <c r="Q2802" s="2" t="s">
        <v>5027</v>
      </c>
      <c r="R2802" s="2" t="s">
        <v>29</v>
      </c>
      <c r="S2802" s="2" t="s">
        <v>30</v>
      </c>
    </row>
    <row r="2803" spans="1:19">
      <c r="A2803" s="1">
        <v>45261</v>
      </c>
      <c r="B2803" s="1">
        <v>45261</v>
      </c>
      <c r="C2803">
        <v>2023</v>
      </c>
      <c r="D2803">
        <v>12</v>
      </c>
      <c r="E2803" s="2" t="s">
        <v>78</v>
      </c>
      <c r="F2803" s="2" t="s">
        <v>79</v>
      </c>
      <c r="G2803" s="2" t="s">
        <v>80</v>
      </c>
      <c r="H2803" s="2" t="s">
        <v>81</v>
      </c>
      <c r="I2803" s="2" t="s">
        <v>82</v>
      </c>
      <c r="J2803" s="2" t="s">
        <v>24</v>
      </c>
      <c r="K2803">
        <v>2.0099999999999998</v>
      </c>
      <c r="L2803">
        <v>7392675.1100000003</v>
      </c>
      <c r="M2803">
        <v>367794781.58999997</v>
      </c>
      <c r="N2803" s="2" t="s">
        <v>83</v>
      </c>
      <c r="O2803" s="2" t="s">
        <v>84</v>
      </c>
      <c r="P2803" s="2" t="s">
        <v>5028</v>
      </c>
      <c r="Q2803" s="2" t="s">
        <v>5029</v>
      </c>
      <c r="R2803" s="2" t="s">
        <v>29</v>
      </c>
      <c r="S2803" s="2" t="s">
        <v>30</v>
      </c>
    </row>
    <row r="2804" spans="1:19">
      <c r="A2804" s="1">
        <v>45261</v>
      </c>
      <c r="B2804" s="1">
        <v>45261</v>
      </c>
      <c r="C2804">
        <v>2023</v>
      </c>
      <c r="D2804">
        <v>12</v>
      </c>
      <c r="E2804" s="2" t="s">
        <v>87</v>
      </c>
      <c r="F2804" s="2" t="s">
        <v>88</v>
      </c>
      <c r="G2804" s="2" t="s">
        <v>80</v>
      </c>
      <c r="H2804" s="2" t="s">
        <v>81</v>
      </c>
      <c r="I2804" s="2" t="s">
        <v>82</v>
      </c>
      <c r="J2804" s="2" t="s">
        <v>24</v>
      </c>
      <c r="K2804">
        <v>0.69</v>
      </c>
      <c r="L2804">
        <v>1009116.28</v>
      </c>
      <c r="M2804">
        <v>146248736.22999999</v>
      </c>
      <c r="N2804" s="2" t="s">
        <v>89</v>
      </c>
      <c r="O2804" s="2" t="s">
        <v>90</v>
      </c>
      <c r="P2804" s="2" t="s">
        <v>810</v>
      </c>
      <c r="Q2804" s="2" t="s">
        <v>5030</v>
      </c>
      <c r="R2804" s="2" t="s">
        <v>29</v>
      </c>
      <c r="S2804" s="2" t="s">
        <v>30</v>
      </c>
    </row>
    <row r="2805" spans="1:19">
      <c r="A2805" s="1">
        <v>45261</v>
      </c>
      <c r="B2805" s="1">
        <v>45261</v>
      </c>
      <c r="C2805">
        <v>2023</v>
      </c>
      <c r="D2805">
        <v>12</v>
      </c>
      <c r="E2805" s="2" t="s">
        <v>93</v>
      </c>
      <c r="F2805" s="2" t="s">
        <v>94</v>
      </c>
      <c r="G2805" s="2" t="s">
        <v>80</v>
      </c>
      <c r="H2805" s="2" t="s">
        <v>81</v>
      </c>
      <c r="I2805" s="2" t="s">
        <v>82</v>
      </c>
      <c r="J2805" s="2" t="s">
        <v>24</v>
      </c>
      <c r="K2805">
        <v>0.4</v>
      </c>
      <c r="L2805">
        <v>5903343.0599999996</v>
      </c>
      <c r="M2805">
        <v>1475835765</v>
      </c>
      <c r="N2805" s="2" t="s">
        <v>95</v>
      </c>
      <c r="O2805" s="2" t="s">
        <v>96</v>
      </c>
      <c r="P2805" s="2" t="s">
        <v>2906</v>
      </c>
      <c r="Q2805" s="2" t="s">
        <v>5031</v>
      </c>
      <c r="R2805" s="2" t="s">
        <v>29</v>
      </c>
      <c r="S2805" s="2" t="s">
        <v>30</v>
      </c>
    </row>
    <row r="2806" spans="1:19">
      <c r="A2806" s="1">
        <v>45261</v>
      </c>
      <c r="B2806" s="1">
        <v>45261</v>
      </c>
      <c r="C2806">
        <v>2023</v>
      </c>
      <c r="D2806">
        <v>12</v>
      </c>
      <c r="E2806" s="2" t="s">
        <v>99</v>
      </c>
      <c r="F2806" s="2" t="s">
        <v>100</v>
      </c>
      <c r="G2806" s="2" t="s">
        <v>80</v>
      </c>
      <c r="H2806" s="2" t="s">
        <v>81</v>
      </c>
      <c r="I2806" s="2" t="s">
        <v>82</v>
      </c>
      <c r="J2806" s="2" t="s">
        <v>101</v>
      </c>
      <c r="K2806">
        <v>1.29</v>
      </c>
      <c r="L2806">
        <v>14220985.24</v>
      </c>
      <c r="M2806">
        <v>1102401956.5899999</v>
      </c>
      <c r="N2806" s="2" t="s">
        <v>102</v>
      </c>
      <c r="O2806" s="2" t="s">
        <v>103</v>
      </c>
      <c r="P2806" s="2" t="s">
        <v>2875</v>
      </c>
      <c r="Q2806" s="2" t="s">
        <v>5032</v>
      </c>
      <c r="R2806" s="2" t="s">
        <v>29</v>
      </c>
      <c r="S2806" s="2" t="s">
        <v>30</v>
      </c>
    </row>
    <row r="2807" spans="1:19">
      <c r="A2807" s="1">
        <v>45261</v>
      </c>
      <c r="B2807" s="1">
        <v>45261</v>
      </c>
      <c r="C2807">
        <v>2023</v>
      </c>
      <c r="D2807">
        <v>12</v>
      </c>
      <c r="E2807" s="2" t="s">
        <v>106</v>
      </c>
      <c r="F2807" s="2" t="s">
        <v>107</v>
      </c>
      <c r="G2807" s="2" t="s">
        <v>80</v>
      </c>
      <c r="H2807" s="2" t="s">
        <v>81</v>
      </c>
      <c r="I2807" s="2" t="s">
        <v>82</v>
      </c>
      <c r="J2807" s="2" t="s">
        <v>24</v>
      </c>
      <c r="K2807">
        <v>0.2</v>
      </c>
      <c r="L2807">
        <v>7308525.9000000004</v>
      </c>
      <c r="M2807">
        <v>3654262950</v>
      </c>
      <c r="N2807" s="2" t="s">
        <v>108</v>
      </c>
      <c r="O2807" s="2" t="s">
        <v>109</v>
      </c>
      <c r="P2807" s="2" t="s">
        <v>1142</v>
      </c>
      <c r="Q2807" s="2" t="s">
        <v>5033</v>
      </c>
      <c r="R2807" s="2" t="s">
        <v>29</v>
      </c>
      <c r="S2807" s="2" t="s">
        <v>30</v>
      </c>
    </row>
    <row r="2808" spans="1:19">
      <c r="A2808" s="1">
        <v>45261</v>
      </c>
      <c r="B2808" s="1">
        <v>45261</v>
      </c>
      <c r="C2808">
        <v>2023</v>
      </c>
      <c r="D2808">
        <v>12</v>
      </c>
      <c r="E2808" s="2" t="s">
        <v>111</v>
      </c>
      <c r="F2808" s="2" t="s">
        <v>112</v>
      </c>
      <c r="G2808" s="2" t="s">
        <v>80</v>
      </c>
      <c r="H2808" s="2" t="s">
        <v>81</v>
      </c>
      <c r="I2808" s="2" t="s">
        <v>82</v>
      </c>
      <c r="J2808" s="2" t="s">
        <v>24</v>
      </c>
      <c r="K2808">
        <v>0.11</v>
      </c>
      <c r="L2808">
        <v>614983.92000000004</v>
      </c>
      <c r="M2808">
        <v>559076290.90999997</v>
      </c>
      <c r="N2808" s="2" t="s">
        <v>113</v>
      </c>
      <c r="O2808" s="2" t="s">
        <v>114</v>
      </c>
      <c r="P2808" s="2" t="s">
        <v>1291</v>
      </c>
      <c r="Q2808" s="2" t="s">
        <v>5034</v>
      </c>
      <c r="R2808" s="2" t="s">
        <v>29</v>
      </c>
      <c r="S2808" s="2" t="s">
        <v>30</v>
      </c>
    </row>
    <row r="2809" spans="1:19">
      <c r="A2809" s="1">
        <v>45261</v>
      </c>
      <c r="B2809" s="1">
        <v>45261</v>
      </c>
      <c r="C2809">
        <v>2023</v>
      </c>
      <c r="D2809">
        <v>12</v>
      </c>
      <c r="E2809" s="2" t="s">
        <v>117</v>
      </c>
      <c r="F2809" s="2" t="s">
        <v>118</v>
      </c>
      <c r="G2809" s="2" t="s">
        <v>80</v>
      </c>
      <c r="H2809" s="2" t="s">
        <v>81</v>
      </c>
      <c r="I2809" s="2" t="s">
        <v>82</v>
      </c>
      <c r="J2809" s="2" t="s">
        <v>59</v>
      </c>
      <c r="K2809">
        <v>3.41</v>
      </c>
      <c r="L2809">
        <v>22228644.27</v>
      </c>
      <c r="M2809">
        <v>651866400.88</v>
      </c>
      <c r="N2809" s="2" t="s">
        <v>119</v>
      </c>
      <c r="O2809" s="2" t="s">
        <v>120</v>
      </c>
      <c r="P2809" s="2" t="s">
        <v>5035</v>
      </c>
      <c r="Q2809" s="2" t="s">
        <v>5036</v>
      </c>
      <c r="R2809" s="2" t="s">
        <v>29</v>
      </c>
      <c r="S2809" s="2" t="s">
        <v>30</v>
      </c>
    </row>
    <row r="2810" spans="1:19">
      <c r="A2810" s="1">
        <v>45261</v>
      </c>
      <c r="B2810" s="1">
        <v>45261</v>
      </c>
      <c r="C2810">
        <v>2023</v>
      </c>
      <c r="D2810">
        <v>12</v>
      </c>
      <c r="E2810" s="2" t="s">
        <v>123</v>
      </c>
      <c r="F2810" s="2" t="s">
        <v>124</v>
      </c>
      <c r="G2810" s="2" t="s">
        <v>21</v>
      </c>
      <c r="H2810" s="2" t="s">
        <v>22</v>
      </c>
      <c r="I2810" s="2" t="s">
        <v>73</v>
      </c>
      <c r="J2810" s="2" t="s">
        <v>24</v>
      </c>
      <c r="K2810">
        <v>1508.29</v>
      </c>
      <c r="L2810">
        <v>106819.06</v>
      </c>
      <c r="M2810">
        <v>7082.13</v>
      </c>
      <c r="N2810" s="2" t="s">
        <v>125</v>
      </c>
      <c r="O2810" s="2" t="s">
        <v>126</v>
      </c>
      <c r="P2810" s="2" t="s">
        <v>5037</v>
      </c>
      <c r="Q2810" s="2" t="s">
        <v>5038</v>
      </c>
      <c r="R2810" s="2" t="s">
        <v>29</v>
      </c>
      <c r="S2810" s="2" t="s">
        <v>30</v>
      </c>
    </row>
    <row r="2811" spans="1:19">
      <c r="A2811" s="1">
        <v>45261</v>
      </c>
      <c r="B2811" s="1">
        <v>45261</v>
      </c>
      <c r="C2811">
        <v>2023</v>
      </c>
      <c r="D2811">
        <v>12</v>
      </c>
      <c r="E2811" s="2" t="s">
        <v>129</v>
      </c>
      <c r="F2811" s="2" t="s">
        <v>130</v>
      </c>
      <c r="G2811" s="2" t="s">
        <v>21</v>
      </c>
      <c r="H2811" s="2" t="s">
        <v>22</v>
      </c>
      <c r="I2811" s="2" t="s">
        <v>73</v>
      </c>
      <c r="J2811" s="2" t="s">
        <v>24</v>
      </c>
      <c r="K2811">
        <v>1706.7</v>
      </c>
      <c r="L2811">
        <v>58300.18</v>
      </c>
      <c r="M2811">
        <v>3415.96</v>
      </c>
      <c r="N2811" s="2" t="s">
        <v>131</v>
      </c>
      <c r="O2811" s="2" t="s">
        <v>132</v>
      </c>
      <c r="P2811" s="2" t="s">
        <v>5039</v>
      </c>
      <c r="Q2811" s="2" t="s">
        <v>5040</v>
      </c>
      <c r="R2811" s="2" t="s">
        <v>29</v>
      </c>
      <c r="S2811" s="2" t="s">
        <v>30</v>
      </c>
    </row>
    <row r="2812" spans="1:19">
      <c r="A2812" s="1">
        <v>45261</v>
      </c>
      <c r="B2812" s="1">
        <v>45261</v>
      </c>
      <c r="C2812">
        <v>2023</v>
      </c>
      <c r="D2812">
        <v>12</v>
      </c>
      <c r="E2812" s="2" t="s">
        <v>135</v>
      </c>
      <c r="F2812" s="2" t="s">
        <v>136</v>
      </c>
      <c r="G2812" s="2" t="s">
        <v>21</v>
      </c>
      <c r="H2812" s="2" t="s">
        <v>22</v>
      </c>
      <c r="I2812" s="2" t="s">
        <v>73</v>
      </c>
      <c r="J2812" s="2" t="s">
        <v>101</v>
      </c>
      <c r="K2812">
        <v>3215</v>
      </c>
      <c r="L2812">
        <v>165119.24</v>
      </c>
      <c r="M2812">
        <v>5135.8999999999996</v>
      </c>
      <c r="N2812" s="2" t="s">
        <v>137</v>
      </c>
      <c r="O2812" s="2" t="s">
        <v>138</v>
      </c>
      <c r="P2812" s="2" t="s">
        <v>5041</v>
      </c>
      <c r="Q2812" s="2" t="s">
        <v>5042</v>
      </c>
      <c r="R2812" s="2" t="s">
        <v>29</v>
      </c>
      <c r="S2812" s="2" t="s">
        <v>30</v>
      </c>
    </row>
    <row r="2813" spans="1:19">
      <c r="A2813" s="1">
        <v>45261</v>
      </c>
      <c r="B2813" s="1">
        <v>45261</v>
      </c>
      <c r="C2813">
        <v>2023</v>
      </c>
      <c r="D2813">
        <v>12</v>
      </c>
      <c r="E2813" s="2" t="s">
        <v>141</v>
      </c>
      <c r="F2813" s="2" t="s">
        <v>142</v>
      </c>
      <c r="G2813" s="2" t="s">
        <v>21</v>
      </c>
      <c r="H2813" s="2" t="s">
        <v>22</v>
      </c>
      <c r="I2813" s="2" t="s">
        <v>73</v>
      </c>
      <c r="J2813" s="2" t="s">
        <v>24</v>
      </c>
      <c r="K2813">
        <v>466.56</v>
      </c>
      <c r="L2813">
        <v>15709.17</v>
      </c>
      <c r="M2813">
        <v>3367.02</v>
      </c>
      <c r="N2813" s="2" t="s">
        <v>143</v>
      </c>
      <c r="O2813" s="2" t="s">
        <v>144</v>
      </c>
      <c r="P2813" s="2" t="s">
        <v>5043</v>
      </c>
      <c r="Q2813" s="2" t="s">
        <v>5044</v>
      </c>
      <c r="R2813" s="2" t="s">
        <v>29</v>
      </c>
      <c r="S2813" s="2" t="s">
        <v>30</v>
      </c>
    </row>
    <row r="2814" spans="1:19">
      <c r="A2814" s="1">
        <v>45261</v>
      </c>
      <c r="B2814" s="1">
        <v>45261</v>
      </c>
      <c r="C2814">
        <v>2023</v>
      </c>
      <c r="D2814">
        <v>12</v>
      </c>
      <c r="E2814" s="2" t="s">
        <v>147</v>
      </c>
      <c r="F2814" s="2" t="s">
        <v>148</v>
      </c>
      <c r="G2814" s="2" t="s">
        <v>21</v>
      </c>
      <c r="H2814" s="2" t="s">
        <v>22</v>
      </c>
      <c r="I2814" s="2" t="s">
        <v>73</v>
      </c>
      <c r="J2814" s="2" t="s">
        <v>24</v>
      </c>
      <c r="K2814">
        <v>1301.5899999999999</v>
      </c>
      <c r="L2814">
        <v>32225.35</v>
      </c>
      <c r="M2814">
        <v>2475.84</v>
      </c>
      <c r="N2814" s="2" t="s">
        <v>149</v>
      </c>
      <c r="O2814" s="2" t="s">
        <v>150</v>
      </c>
      <c r="P2814" s="2" t="s">
        <v>5045</v>
      </c>
      <c r="Q2814" s="2" t="s">
        <v>5046</v>
      </c>
      <c r="R2814" s="2" t="s">
        <v>29</v>
      </c>
      <c r="S2814" s="2" t="s">
        <v>30</v>
      </c>
    </row>
    <row r="2815" spans="1:19">
      <c r="A2815" s="1">
        <v>45261</v>
      </c>
      <c r="B2815" s="1">
        <v>45261</v>
      </c>
      <c r="C2815">
        <v>2023</v>
      </c>
      <c r="D2815">
        <v>12</v>
      </c>
      <c r="E2815" s="2" t="s">
        <v>153</v>
      </c>
      <c r="F2815" s="2" t="s">
        <v>154</v>
      </c>
      <c r="G2815" s="2" t="s">
        <v>21</v>
      </c>
      <c r="H2815" s="2" t="s">
        <v>22</v>
      </c>
      <c r="I2815" s="2" t="s">
        <v>73</v>
      </c>
      <c r="J2815" s="2" t="s">
        <v>101</v>
      </c>
      <c r="K2815">
        <v>1768.16</v>
      </c>
      <c r="L2815">
        <v>47934.52</v>
      </c>
      <c r="M2815">
        <v>2710.98</v>
      </c>
      <c r="N2815" s="2" t="s">
        <v>155</v>
      </c>
      <c r="O2815" s="2" t="s">
        <v>156</v>
      </c>
      <c r="P2815" s="2" t="s">
        <v>5047</v>
      </c>
      <c r="Q2815" s="2" t="s">
        <v>5048</v>
      </c>
      <c r="R2815" s="2" t="s">
        <v>29</v>
      </c>
      <c r="S2815" s="2" t="s">
        <v>30</v>
      </c>
    </row>
    <row r="2816" spans="1:19">
      <c r="A2816" s="1">
        <v>45261</v>
      </c>
      <c r="B2816" s="1">
        <v>45261</v>
      </c>
      <c r="C2816">
        <v>2023</v>
      </c>
      <c r="D2816">
        <v>12</v>
      </c>
      <c r="E2816" s="2" t="s">
        <v>159</v>
      </c>
      <c r="F2816" s="2" t="s">
        <v>160</v>
      </c>
      <c r="G2816" s="2" t="s">
        <v>21</v>
      </c>
      <c r="H2816" s="2" t="s">
        <v>22</v>
      </c>
      <c r="I2816" s="2" t="s">
        <v>66</v>
      </c>
      <c r="J2816" s="2" t="s">
        <v>59</v>
      </c>
      <c r="K2816">
        <v>1557.74</v>
      </c>
      <c r="L2816">
        <v>152704.79</v>
      </c>
      <c r="M2816">
        <v>9802.9699999999993</v>
      </c>
      <c r="N2816" s="2" t="s">
        <v>161</v>
      </c>
      <c r="O2816" s="2" t="s">
        <v>162</v>
      </c>
      <c r="P2816" s="2" t="s">
        <v>5049</v>
      </c>
      <c r="Q2816" s="2" t="s">
        <v>5050</v>
      </c>
      <c r="R2816" s="2" t="s">
        <v>29</v>
      </c>
      <c r="S2816" s="2" t="s">
        <v>30</v>
      </c>
    </row>
    <row r="2817" spans="1:19">
      <c r="A2817" s="1">
        <v>45261</v>
      </c>
      <c r="B2817" s="1">
        <v>45261</v>
      </c>
      <c r="C2817">
        <v>2023</v>
      </c>
      <c r="D2817">
        <v>12</v>
      </c>
      <c r="E2817" s="2" t="s">
        <v>165</v>
      </c>
      <c r="F2817" s="2" t="s">
        <v>166</v>
      </c>
      <c r="G2817" s="2" t="s">
        <v>21</v>
      </c>
      <c r="H2817" s="2" t="s">
        <v>22</v>
      </c>
      <c r="I2817" s="2" t="s">
        <v>23</v>
      </c>
      <c r="J2817" s="2" t="s">
        <v>24</v>
      </c>
      <c r="N2817" s="2" t="s">
        <v>167</v>
      </c>
      <c r="O2817" s="2" t="s">
        <v>168</v>
      </c>
      <c r="P2817" s="2" t="s">
        <v>175</v>
      </c>
      <c r="Q2817" s="2" t="s">
        <v>175</v>
      </c>
      <c r="R2817" s="2" t="s">
        <v>640</v>
      </c>
      <c r="S2817" s="2" t="s">
        <v>641</v>
      </c>
    </row>
    <row r="2818" spans="1:19">
      <c r="A2818" s="1">
        <v>45261</v>
      </c>
      <c r="B2818" s="1">
        <v>45261</v>
      </c>
      <c r="C2818">
        <v>2023</v>
      </c>
      <c r="D2818">
        <v>12</v>
      </c>
      <c r="E2818" s="2" t="s">
        <v>171</v>
      </c>
      <c r="F2818" s="2" t="s">
        <v>172</v>
      </c>
      <c r="G2818" s="2" t="s">
        <v>21</v>
      </c>
      <c r="H2818" s="2" t="s">
        <v>22</v>
      </c>
      <c r="I2818" s="2" t="s">
        <v>66</v>
      </c>
      <c r="J2818" s="2" t="s">
        <v>24</v>
      </c>
      <c r="N2818" s="2" t="s">
        <v>173</v>
      </c>
      <c r="O2818" s="2" t="s">
        <v>174</v>
      </c>
      <c r="P2818" s="2" t="s">
        <v>175</v>
      </c>
      <c r="Q2818" s="2" t="s">
        <v>175</v>
      </c>
      <c r="R2818" s="2" t="s">
        <v>640</v>
      </c>
      <c r="S2818" s="2" t="s">
        <v>641</v>
      </c>
    </row>
    <row r="2819" spans="1:19">
      <c r="A2819" s="1">
        <v>45261</v>
      </c>
      <c r="B2819" s="1">
        <v>45261</v>
      </c>
      <c r="C2819">
        <v>2023</v>
      </c>
      <c r="D2819">
        <v>12</v>
      </c>
      <c r="E2819" s="2" t="s">
        <v>177</v>
      </c>
      <c r="F2819" s="2" t="s">
        <v>178</v>
      </c>
      <c r="G2819" s="2" t="s">
        <v>21</v>
      </c>
      <c r="H2819" s="2" t="s">
        <v>22</v>
      </c>
      <c r="I2819" s="2" t="s">
        <v>23</v>
      </c>
      <c r="J2819" s="2" t="s">
        <v>24</v>
      </c>
      <c r="K2819">
        <v>4987.93</v>
      </c>
      <c r="L2819">
        <v>570126.06999999995</v>
      </c>
      <c r="M2819">
        <v>11430.11</v>
      </c>
      <c r="N2819" s="2" t="s">
        <v>179</v>
      </c>
      <c r="O2819" s="2" t="s">
        <v>180</v>
      </c>
      <c r="P2819" s="2" t="s">
        <v>5051</v>
      </c>
      <c r="Q2819" s="2" t="s">
        <v>5052</v>
      </c>
      <c r="R2819" s="2" t="s">
        <v>29</v>
      </c>
      <c r="S2819" s="2" t="s">
        <v>30</v>
      </c>
    </row>
    <row r="2820" spans="1:19">
      <c r="A2820" s="1">
        <v>45261</v>
      </c>
      <c r="B2820" s="1">
        <v>45261</v>
      </c>
      <c r="C2820">
        <v>2023</v>
      </c>
      <c r="D2820">
        <v>12</v>
      </c>
      <c r="E2820" s="2" t="s">
        <v>183</v>
      </c>
      <c r="F2820" s="2" t="s">
        <v>184</v>
      </c>
      <c r="G2820" s="2" t="s">
        <v>185</v>
      </c>
      <c r="H2820" s="2" t="s">
        <v>22</v>
      </c>
      <c r="I2820" s="2" t="s">
        <v>186</v>
      </c>
      <c r="J2820" s="2" t="s">
        <v>24</v>
      </c>
      <c r="K2820">
        <v>2785.31</v>
      </c>
      <c r="L2820">
        <v>4526050.53</v>
      </c>
      <c r="M2820">
        <v>162497.19</v>
      </c>
      <c r="N2820" s="2" t="s">
        <v>187</v>
      </c>
      <c r="O2820" s="2" t="s">
        <v>188</v>
      </c>
      <c r="P2820" s="2" t="s">
        <v>5053</v>
      </c>
      <c r="Q2820" s="2" t="s">
        <v>5054</v>
      </c>
      <c r="R2820" s="2" t="s">
        <v>29</v>
      </c>
      <c r="S2820" s="2" t="s">
        <v>30</v>
      </c>
    </row>
    <row r="2821" spans="1:19">
      <c r="A2821" s="1">
        <v>45261</v>
      </c>
      <c r="B2821" s="1">
        <v>45261</v>
      </c>
      <c r="C2821">
        <v>2023</v>
      </c>
      <c r="D2821">
        <v>12</v>
      </c>
      <c r="E2821" s="2" t="s">
        <v>191</v>
      </c>
      <c r="F2821" s="2" t="s">
        <v>192</v>
      </c>
      <c r="G2821" s="2" t="s">
        <v>185</v>
      </c>
      <c r="H2821" s="2" t="s">
        <v>22</v>
      </c>
      <c r="I2821" s="2" t="s">
        <v>186</v>
      </c>
      <c r="J2821" s="2" t="s">
        <v>24</v>
      </c>
      <c r="K2821">
        <v>1050.96</v>
      </c>
      <c r="L2821">
        <v>4862569.71</v>
      </c>
      <c r="M2821">
        <v>462678.86</v>
      </c>
      <c r="N2821" s="2" t="s">
        <v>193</v>
      </c>
      <c r="O2821" s="2" t="s">
        <v>194</v>
      </c>
      <c r="P2821" s="2" t="s">
        <v>5055</v>
      </c>
      <c r="Q2821" s="2" t="s">
        <v>5056</v>
      </c>
      <c r="R2821" s="2" t="s">
        <v>29</v>
      </c>
      <c r="S2821" s="2" t="s">
        <v>30</v>
      </c>
    </row>
    <row r="2822" spans="1:19">
      <c r="A2822" s="1">
        <v>45261</v>
      </c>
      <c r="B2822" s="1">
        <v>45261</v>
      </c>
      <c r="C2822">
        <v>2023</v>
      </c>
      <c r="D2822">
        <v>12</v>
      </c>
      <c r="E2822" s="2" t="s">
        <v>197</v>
      </c>
      <c r="F2822" s="2" t="s">
        <v>198</v>
      </c>
      <c r="G2822" s="2" t="s">
        <v>185</v>
      </c>
      <c r="H2822" s="2" t="s">
        <v>22</v>
      </c>
      <c r="I2822" s="2" t="s">
        <v>186</v>
      </c>
      <c r="J2822" s="2" t="s">
        <v>59</v>
      </c>
      <c r="K2822">
        <v>3836.26</v>
      </c>
      <c r="L2822">
        <v>9388620.2300000004</v>
      </c>
      <c r="M2822">
        <v>244733.68</v>
      </c>
      <c r="N2822" s="2" t="s">
        <v>199</v>
      </c>
      <c r="O2822" s="2" t="s">
        <v>200</v>
      </c>
      <c r="P2822" s="2" t="s">
        <v>5057</v>
      </c>
      <c r="Q2822" s="2" t="s">
        <v>5058</v>
      </c>
      <c r="R2822" s="2" t="s">
        <v>29</v>
      </c>
      <c r="S2822" s="2" t="s">
        <v>30</v>
      </c>
    </row>
    <row r="2823" spans="1:19">
      <c r="A2823" s="1">
        <v>45261</v>
      </c>
      <c r="B2823" s="1">
        <v>45261</v>
      </c>
      <c r="C2823">
        <v>2023</v>
      </c>
      <c r="D2823">
        <v>12</v>
      </c>
      <c r="E2823" s="2" t="s">
        <v>203</v>
      </c>
      <c r="F2823" s="2" t="s">
        <v>204</v>
      </c>
      <c r="G2823" s="2" t="s">
        <v>39</v>
      </c>
      <c r="H2823" s="2" t="s">
        <v>22</v>
      </c>
      <c r="I2823" s="2" t="s">
        <v>40</v>
      </c>
      <c r="J2823" s="2" t="s">
        <v>24</v>
      </c>
      <c r="K2823">
        <v>929.51</v>
      </c>
      <c r="L2823">
        <v>24592.06</v>
      </c>
      <c r="M2823">
        <v>2645.7</v>
      </c>
      <c r="N2823" s="2" t="s">
        <v>205</v>
      </c>
      <c r="O2823" s="2" t="s">
        <v>206</v>
      </c>
      <c r="P2823" s="2" t="s">
        <v>5059</v>
      </c>
      <c r="Q2823" s="2" t="s">
        <v>5060</v>
      </c>
      <c r="R2823" s="2" t="s">
        <v>29</v>
      </c>
      <c r="S2823" s="2" t="s">
        <v>30</v>
      </c>
    </row>
    <row r="2824" spans="1:19">
      <c r="A2824" s="1">
        <v>45261</v>
      </c>
      <c r="B2824" s="1">
        <v>45261</v>
      </c>
      <c r="C2824">
        <v>2023</v>
      </c>
      <c r="D2824">
        <v>12</v>
      </c>
      <c r="E2824" s="2" t="s">
        <v>209</v>
      </c>
      <c r="F2824" s="2" t="s">
        <v>210</v>
      </c>
      <c r="G2824" s="2" t="s">
        <v>39</v>
      </c>
      <c r="H2824" s="2" t="s">
        <v>22</v>
      </c>
      <c r="I2824" s="2" t="s">
        <v>40</v>
      </c>
      <c r="J2824" s="2" t="s">
        <v>59</v>
      </c>
      <c r="K2824">
        <v>929.51</v>
      </c>
      <c r="L2824">
        <v>24592.06</v>
      </c>
      <c r="M2824">
        <v>2645.7</v>
      </c>
      <c r="N2824" s="2" t="s">
        <v>211</v>
      </c>
      <c r="O2824" s="2" t="s">
        <v>212</v>
      </c>
      <c r="P2824" s="2" t="s">
        <v>5059</v>
      </c>
      <c r="Q2824" s="2" t="s">
        <v>5060</v>
      </c>
      <c r="R2824" s="2" t="s">
        <v>29</v>
      </c>
      <c r="S2824" s="2" t="s">
        <v>30</v>
      </c>
    </row>
    <row r="2825" spans="1:19">
      <c r="A2825" s="1">
        <v>45261</v>
      </c>
      <c r="B2825" s="1">
        <v>45261</v>
      </c>
      <c r="C2825">
        <v>2023</v>
      </c>
      <c r="D2825">
        <v>12</v>
      </c>
      <c r="E2825" s="2" t="s">
        <v>213</v>
      </c>
      <c r="F2825" s="2" t="s">
        <v>214</v>
      </c>
      <c r="G2825" s="2" t="s">
        <v>185</v>
      </c>
      <c r="H2825" s="2" t="s">
        <v>22</v>
      </c>
      <c r="I2825" s="2" t="s">
        <v>215</v>
      </c>
      <c r="J2825" s="2" t="s">
        <v>24</v>
      </c>
      <c r="K2825">
        <v>108957.71</v>
      </c>
      <c r="L2825">
        <v>2295798.41</v>
      </c>
      <c r="M2825">
        <v>2107.0500000000002</v>
      </c>
      <c r="N2825" s="2" t="s">
        <v>216</v>
      </c>
      <c r="O2825" s="2" t="s">
        <v>217</v>
      </c>
      <c r="P2825" s="2" t="s">
        <v>5061</v>
      </c>
      <c r="Q2825" s="2" t="s">
        <v>5062</v>
      </c>
      <c r="R2825" s="2" t="s">
        <v>29</v>
      </c>
      <c r="S2825" s="2" t="s">
        <v>30</v>
      </c>
    </row>
    <row r="2826" spans="1:19">
      <c r="A2826" s="1">
        <v>45261</v>
      </c>
      <c r="B2826" s="1">
        <v>45261</v>
      </c>
      <c r="C2826">
        <v>2023</v>
      </c>
      <c r="D2826">
        <v>12</v>
      </c>
      <c r="E2826" s="2" t="s">
        <v>220</v>
      </c>
      <c r="F2826" s="2" t="s">
        <v>221</v>
      </c>
      <c r="G2826" s="2" t="s">
        <v>185</v>
      </c>
      <c r="H2826" s="2" t="s">
        <v>22</v>
      </c>
      <c r="I2826" s="2" t="s">
        <v>215</v>
      </c>
      <c r="J2826" s="2" t="s">
        <v>24</v>
      </c>
      <c r="K2826">
        <v>7372.04</v>
      </c>
      <c r="L2826">
        <v>508669.04</v>
      </c>
      <c r="M2826">
        <v>6899.98</v>
      </c>
      <c r="N2826" s="2" t="s">
        <v>222</v>
      </c>
      <c r="O2826" s="2" t="s">
        <v>223</v>
      </c>
      <c r="P2826" s="2" t="s">
        <v>5063</v>
      </c>
      <c r="Q2826" s="2" t="s">
        <v>5064</v>
      </c>
      <c r="R2826" s="2" t="s">
        <v>29</v>
      </c>
      <c r="S2826" s="2" t="s">
        <v>30</v>
      </c>
    </row>
    <row r="2827" spans="1:19">
      <c r="A2827" s="1">
        <v>45261</v>
      </c>
      <c r="B2827" s="1">
        <v>45261</v>
      </c>
      <c r="C2827">
        <v>2023</v>
      </c>
      <c r="D2827">
        <v>12</v>
      </c>
      <c r="E2827" s="2" t="s">
        <v>226</v>
      </c>
      <c r="F2827" s="2" t="s">
        <v>227</v>
      </c>
      <c r="G2827" s="2" t="s">
        <v>185</v>
      </c>
      <c r="H2827" s="2" t="s">
        <v>22</v>
      </c>
      <c r="I2827" s="2" t="s">
        <v>215</v>
      </c>
      <c r="J2827" s="2" t="s">
        <v>59</v>
      </c>
      <c r="K2827">
        <v>116329.75</v>
      </c>
      <c r="L2827">
        <v>2804467.45</v>
      </c>
      <c r="M2827">
        <v>2410.79</v>
      </c>
      <c r="N2827" s="2" t="s">
        <v>228</v>
      </c>
      <c r="O2827" s="2" t="s">
        <v>229</v>
      </c>
      <c r="P2827" s="2" t="s">
        <v>5065</v>
      </c>
      <c r="Q2827" s="2" t="s">
        <v>5066</v>
      </c>
      <c r="R2827" s="2" t="s">
        <v>29</v>
      </c>
      <c r="S2827" s="2" t="s">
        <v>30</v>
      </c>
    </row>
    <row r="2828" spans="1:19">
      <c r="A2828" s="1">
        <v>45261</v>
      </c>
      <c r="B2828" s="1">
        <v>45261</v>
      </c>
      <c r="C2828">
        <v>2023</v>
      </c>
      <c r="D2828">
        <v>12</v>
      </c>
      <c r="E2828" s="2" t="s">
        <v>232</v>
      </c>
      <c r="F2828" s="2" t="s">
        <v>233</v>
      </c>
      <c r="G2828" s="2" t="s">
        <v>21</v>
      </c>
      <c r="H2828" s="2" t="s">
        <v>22</v>
      </c>
      <c r="I2828" s="2" t="s">
        <v>23</v>
      </c>
      <c r="J2828" s="2" t="s">
        <v>24</v>
      </c>
      <c r="K2828">
        <v>1310.99</v>
      </c>
      <c r="L2828">
        <v>128244.21</v>
      </c>
      <c r="M2828">
        <v>9782.24</v>
      </c>
      <c r="N2828" s="2" t="s">
        <v>234</v>
      </c>
      <c r="O2828" s="2" t="s">
        <v>235</v>
      </c>
      <c r="P2828" s="2" t="s">
        <v>5067</v>
      </c>
      <c r="Q2828" s="2" t="s">
        <v>5068</v>
      </c>
      <c r="R2828" s="2" t="s">
        <v>29</v>
      </c>
      <c r="S2828" s="2" t="s">
        <v>30</v>
      </c>
    </row>
    <row r="2829" spans="1:19">
      <c r="A2829" s="1">
        <v>45261</v>
      </c>
      <c r="B2829" s="1">
        <v>45261</v>
      </c>
      <c r="C2829">
        <v>2023</v>
      </c>
      <c r="D2829">
        <v>12</v>
      </c>
      <c r="E2829" s="2" t="s">
        <v>238</v>
      </c>
      <c r="F2829" s="2" t="s">
        <v>239</v>
      </c>
      <c r="G2829" s="2" t="s">
        <v>21</v>
      </c>
      <c r="H2829" s="2" t="s">
        <v>22</v>
      </c>
      <c r="I2829" s="2" t="s">
        <v>66</v>
      </c>
      <c r="J2829" s="2" t="s">
        <v>24</v>
      </c>
      <c r="K2829">
        <v>1403.46</v>
      </c>
      <c r="L2829">
        <v>151990.57999999999</v>
      </c>
      <c r="M2829">
        <v>10829.71</v>
      </c>
      <c r="N2829" s="2" t="s">
        <v>240</v>
      </c>
      <c r="O2829" s="2" t="s">
        <v>241</v>
      </c>
      <c r="P2829" s="2" t="s">
        <v>5069</v>
      </c>
      <c r="Q2829" s="2" t="s">
        <v>5070</v>
      </c>
      <c r="R2829" s="2" t="s">
        <v>29</v>
      </c>
      <c r="S2829" s="2" t="s">
        <v>30</v>
      </c>
    </row>
    <row r="2830" spans="1:19">
      <c r="A2830" s="1">
        <v>45261</v>
      </c>
      <c r="B2830" s="1">
        <v>45261</v>
      </c>
      <c r="C2830">
        <v>2023</v>
      </c>
      <c r="D2830">
        <v>12</v>
      </c>
      <c r="E2830" s="2" t="s">
        <v>244</v>
      </c>
      <c r="F2830" s="2" t="s">
        <v>245</v>
      </c>
      <c r="G2830" s="2" t="s">
        <v>21</v>
      </c>
      <c r="H2830" s="2" t="s">
        <v>22</v>
      </c>
      <c r="I2830" s="2" t="s">
        <v>23</v>
      </c>
      <c r="J2830" s="2" t="s">
        <v>24</v>
      </c>
      <c r="K2830">
        <v>6673.93</v>
      </c>
      <c r="L2830">
        <v>3368835.71</v>
      </c>
      <c r="M2830">
        <v>50477.54</v>
      </c>
      <c r="N2830" s="2" t="s">
        <v>246</v>
      </c>
      <c r="O2830" s="2" t="s">
        <v>247</v>
      </c>
      <c r="P2830" s="2" t="s">
        <v>5071</v>
      </c>
      <c r="Q2830" s="2" t="s">
        <v>5072</v>
      </c>
      <c r="R2830" s="2" t="s">
        <v>29</v>
      </c>
      <c r="S2830" s="2" t="s">
        <v>30</v>
      </c>
    </row>
    <row r="2831" spans="1:19">
      <c r="A2831" s="1">
        <v>45261</v>
      </c>
      <c r="B2831" s="1">
        <v>45261</v>
      </c>
      <c r="C2831">
        <v>2023</v>
      </c>
      <c r="D2831">
        <v>12</v>
      </c>
      <c r="E2831" s="2" t="s">
        <v>250</v>
      </c>
      <c r="F2831" s="2" t="s">
        <v>251</v>
      </c>
      <c r="G2831" s="2" t="s">
        <v>21</v>
      </c>
      <c r="H2831" s="2" t="s">
        <v>22</v>
      </c>
      <c r="I2831" s="2" t="s">
        <v>66</v>
      </c>
      <c r="J2831" s="2" t="s">
        <v>24</v>
      </c>
      <c r="K2831">
        <v>140.19</v>
      </c>
      <c r="L2831">
        <v>236.64</v>
      </c>
      <c r="M2831">
        <v>168.8</v>
      </c>
      <c r="N2831" s="2" t="s">
        <v>252</v>
      </c>
      <c r="O2831" s="2" t="s">
        <v>253</v>
      </c>
      <c r="P2831" s="2" t="s">
        <v>5073</v>
      </c>
      <c r="Q2831" s="2" t="s">
        <v>5074</v>
      </c>
      <c r="R2831" s="2" t="s">
        <v>29</v>
      </c>
      <c r="S2831" s="2" t="s">
        <v>30</v>
      </c>
    </row>
    <row r="2832" spans="1:19">
      <c r="A2832" s="1">
        <v>45261</v>
      </c>
      <c r="B2832" s="1">
        <v>45261</v>
      </c>
      <c r="C2832">
        <v>2023</v>
      </c>
      <c r="D2832">
        <v>12</v>
      </c>
      <c r="E2832" s="2" t="s">
        <v>256</v>
      </c>
      <c r="F2832" s="2" t="s">
        <v>257</v>
      </c>
      <c r="G2832" s="2" t="s">
        <v>21</v>
      </c>
      <c r="H2832" s="2" t="s">
        <v>22</v>
      </c>
      <c r="I2832" s="2" t="s">
        <v>258</v>
      </c>
      <c r="J2832" s="2" t="s">
        <v>24</v>
      </c>
      <c r="K2832">
        <v>547.23</v>
      </c>
      <c r="L2832">
        <v>592971.87</v>
      </c>
      <c r="M2832">
        <v>108358.8</v>
      </c>
      <c r="N2832" s="2" t="s">
        <v>259</v>
      </c>
      <c r="O2832" s="2" t="s">
        <v>260</v>
      </c>
      <c r="P2832" s="2" t="s">
        <v>5075</v>
      </c>
      <c r="Q2832" s="2" t="s">
        <v>5076</v>
      </c>
      <c r="R2832" s="2" t="s">
        <v>29</v>
      </c>
      <c r="S2832" s="2" t="s">
        <v>30</v>
      </c>
    </row>
    <row r="2833" spans="1:19">
      <c r="A2833" s="1">
        <v>45261</v>
      </c>
      <c r="B2833" s="1">
        <v>45261</v>
      </c>
      <c r="C2833">
        <v>2023</v>
      </c>
      <c r="D2833">
        <v>12</v>
      </c>
      <c r="E2833" s="2" t="s">
        <v>263</v>
      </c>
      <c r="F2833" s="2" t="s">
        <v>264</v>
      </c>
      <c r="G2833" s="2" t="s">
        <v>21</v>
      </c>
      <c r="H2833" s="2" t="s">
        <v>22</v>
      </c>
      <c r="I2833" s="2" t="s">
        <v>258</v>
      </c>
      <c r="J2833" s="2" t="s">
        <v>24</v>
      </c>
      <c r="K2833">
        <v>0</v>
      </c>
      <c r="L2833">
        <v>0</v>
      </c>
      <c r="N2833" s="2" t="s">
        <v>265</v>
      </c>
      <c r="O2833" s="2" t="s">
        <v>266</v>
      </c>
      <c r="P2833" s="2" t="s">
        <v>639</v>
      </c>
      <c r="Q2833" s="2" t="s">
        <v>639</v>
      </c>
      <c r="R2833" s="2" t="s">
        <v>29</v>
      </c>
      <c r="S2833" s="2" t="s">
        <v>30</v>
      </c>
    </row>
    <row r="2834" spans="1:19">
      <c r="A2834" s="1">
        <v>45261</v>
      </c>
      <c r="B2834" s="1">
        <v>45261</v>
      </c>
      <c r="C2834">
        <v>2023</v>
      </c>
      <c r="D2834">
        <v>12</v>
      </c>
      <c r="E2834" s="2" t="s">
        <v>269</v>
      </c>
      <c r="F2834" s="2" t="s">
        <v>270</v>
      </c>
      <c r="G2834" s="2" t="s">
        <v>21</v>
      </c>
      <c r="H2834" s="2" t="s">
        <v>22</v>
      </c>
      <c r="I2834" s="2" t="s">
        <v>258</v>
      </c>
      <c r="J2834" s="2" t="s">
        <v>59</v>
      </c>
      <c r="K2834">
        <v>547.23</v>
      </c>
      <c r="L2834">
        <v>592971.87</v>
      </c>
      <c r="M2834">
        <v>108358.8</v>
      </c>
      <c r="N2834" s="2" t="s">
        <v>271</v>
      </c>
      <c r="O2834" s="2" t="s">
        <v>272</v>
      </c>
      <c r="P2834" s="2" t="s">
        <v>5075</v>
      </c>
      <c r="Q2834" s="2" t="s">
        <v>5076</v>
      </c>
      <c r="R2834" s="2" t="s">
        <v>29</v>
      </c>
      <c r="S2834" s="2" t="s">
        <v>30</v>
      </c>
    </row>
    <row r="2835" spans="1:19">
      <c r="A2835" s="1">
        <v>45261</v>
      </c>
      <c r="B2835" s="1">
        <v>45261</v>
      </c>
      <c r="C2835">
        <v>2023</v>
      </c>
      <c r="D2835">
        <v>12</v>
      </c>
      <c r="E2835" s="2" t="s">
        <v>275</v>
      </c>
      <c r="F2835" s="2" t="s">
        <v>276</v>
      </c>
      <c r="G2835" s="2" t="s">
        <v>39</v>
      </c>
      <c r="H2835" s="2" t="s">
        <v>22</v>
      </c>
      <c r="I2835" s="2" t="s">
        <v>40</v>
      </c>
      <c r="J2835" s="2" t="s">
        <v>24</v>
      </c>
      <c r="K2835">
        <v>0.66</v>
      </c>
      <c r="L2835">
        <v>6.4</v>
      </c>
      <c r="M2835">
        <v>969.7</v>
      </c>
      <c r="N2835" s="2" t="s">
        <v>277</v>
      </c>
      <c r="O2835" s="2" t="s">
        <v>278</v>
      </c>
      <c r="P2835" s="2" t="s">
        <v>509</v>
      </c>
      <c r="Q2835" s="2" t="s">
        <v>5077</v>
      </c>
      <c r="R2835" s="2" t="s">
        <v>29</v>
      </c>
      <c r="S2835" s="2" t="s">
        <v>30</v>
      </c>
    </row>
    <row r="2836" spans="1:19">
      <c r="A2836" s="1">
        <v>45261</v>
      </c>
      <c r="B2836" s="1">
        <v>45261</v>
      </c>
      <c r="C2836">
        <v>2023</v>
      </c>
      <c r="D2836">
        <v>12</v>
      </c>
      <c r="E2836" s="2" t="s">
        <v>281</v>
      </c>
      <c r="F2836" s="2" t="s">
        <v>282</v>
      </c>
      <c r="G2836" s="2" t="s">
        <v>39</v>
      </c>
      <c r="H2836" s="2" t="s">
        <v>22</v>
      </c>
      <c r="I2836" s="2" t="s">
        <v>40</v>
      </c>
      <c r="J2836" s="2" t="s">
        <v>24</v>
      </c>
      <c r="K2836">
        <v>0</v>
      </c>
      <c r="L2836">
        <v>0.01</v>
      </c>
      <c r="N2836" s="2" t="s">
        <v>283</v>
      </c>
      <c r="O2836" s="2" t="s">
        <v>284</v>
      </c>
      <c r="P2836" s="2" t="s">
        <v>639</v>
      </c>
      <c r="Q2836" s="2" t="s">
        <v>832</v>
      </c>
      <c r="R2836" s="2" t="s">
        <v>29</v>
      </c>
      <c r="S2836" s="2" t="s">
        <v>30</v>
      </c>
    </row>
    <row r="2837" spans="1:19">
      <c r="A2837" s="1">
        <v>45261</v>
      </c>
      <c r="B2837" s="1">
        <v>45261</v>
      </c>
      <c r="C2837">
        <v>2023</v>
      </c>
      <c r="D2837">
        <v>12</v>
      </c>
      <c r="E2837" s="2" t="s">
        <v>287</v>
      </c>
      <c r="F2837" s="2" t="s">
        <v>288</v>
      </c>
      <c r="G2837" s="2" t="s">
        <v>39</v>
      </c>
      <c r="H2837" s="2" t="s">
        <v>22</v>
      </c>
      <c r="I2837" s="2" t="s">
        <v>40</v>
      </c>
      <c r="J2837" s="2" t="s">
        <v>59</v>
      </c>
      <c r="K2837">
        <v>0.66</v>
      </c>
      <c r="L2837">
        <v>6.42</v>
      </c>
      <c r="M2837">
        <v>972.73</v>
      </c>
      <c r="N2837" s="2" t="s">
        <v>289</v>
      </c>
      <c r="O2837" s="2" t="s">
        <v>290</v>
      </c>
      <c r="P2837" s="2" t="s">
        <v>509</v>
      </c>
      <c r="Q2837" s="2" t="s">
        <v>5078</v>
      </c>
      <c r="R2837" s="2" t="s">
        <v>29</v>
      </c>
      <c r="S2837" s="2" t="s">
        <v>30</v>
      </c>
    </row>
    <row r="2838" spans="1:19">
      <c r="A2838" s="1">
        <v>45261</v>
      </c>
      <c r="B2838" s="1">
        <v>45261</v>
      </c>
      <c r="C2838">
        <v>2023</v>
      </c>
      <c r="D2838">
        <v>12</v>
      </c>
      <c r="E2838" s="2" t="s">
        <v>293</v>
      </c>
      <c r="F2838" s="2" t="s">
        <v>294</v>
      </c>
      <c r="G2838" s="2" t="s">
        <v>21</v>
      </c>
      <c r="H2838" s="2" t="s">
        <v>22</v>
      </c>
      <c r="I2838" s="2" t="s">
        <v>295</v>
      </c>
      <c r="J2838" s="2" t="s">
        <v>24</v>
      </c>
      <c r="K2838">
        <v>564.98</v>
      </c>
      <c r="L2838">
        <v>3525.91</v>
      </c>
      <c r="M2838">
        <v>624.08000000000004</v>
      </c>
      <c r="N2838" s="2" t="s">
        <v>296</v>
      </c>
      <c r="O2838" s="2" t="s">
        <v>297</v>
      </c>
      <c r="P2838" s="2" t="s">
        <v>5079</v>
      </c>
      <c r="Q2838" s="2" t="s">
        <v>5080</v>
      </c>
      <c r="R2838" s="2" t="s">
        <v>29</v>
      </c>
      <c r="S2838" s="2" t="s">
        <v>30</v>
      </c>
    </row>
    <row r="2839" spans="1:19">
      <c r="A2839" s="1">
        <v>45261</v>
      </c>
      <c r="B2839" s="1">
        <v>45261</v>
      </c>
      <c r="C2839">
        <v>2023</v>
      </c>
      <c r="D2839">
        <v>12</v>
      </c>
      <c r="E2839" s="2" t="s">
        <v>300</v>
      </c>
      <c r="F2839" s="2" t="s">
        <v>301</v>
      </c>
      <c r="G2839" s="2" t="s">
        <v>21</v>
      </c>
      <c r="H2839" s="2" t="s">
        <v>22</v>
      </c>
      <c r="I2839" s="2" t="s">
        <v>295</v>
      </c>
      <c r="J2839" s="2" t="s">
        <v>24</v>
      </c>
      <c r="K2839">
        <v>709.65</v>
      </c>
      <c r="L2839">
        <v>915.33</v>
      </c>
      <c r="M2839">
        <v>128.97999999999999</v>
      </c>
      <c r="N2839" s="2" t="s">
        <v>302</v>
      </c>
      <c r="O2839" s="2" t="s">
        <v>303</v>
      </c>
      <c r="P2839" s="2" t="s">
        <v>5081</v>
      </c>
      <c r="Q2839" s="2" t="s">
        <v>5082</v>
      </c>
      <c r="R2839" s="2" t="s">
        <v>29</v>
      </c>
      <c r="S2839" s="2" t="s">
        <v>30</v>
      </c>
    </row>
    <row r="2840" spans="1:19">
      <c r="A2840" s="1">
        <v>45261</v>
      </c>
      <c r="B2840" s="1">
        <v>45261</v>
      </c>
      <c r="C2840">
        <v>2023</v>
      </c>
      <c r="D2840">
        <v>12</v>
      </c>
      <c r="E2840" s="2" t="s">
        <v>306</v>
      </c>
      <c r="F2840" s="2" t="s">
        <v>307</v>
      </c>
      <c r="G2840" s="2" t="s">
        <v>21</v>
      </c>
      <c r="H2840" s="2" t="s">
        <v>22</v>
      </c>
      <c r="I2840" s="2" t="s">
        <v>295</v>
      </c>
      <c r="J2840" s="2" t="s">
        <v>101</v>
      </c>
      <c r="K2840">
        <v>1274.6300000000001</v>
      </c>
      <c r="L2840">
        <v>4441.25</v>
      </c>
      <c r="M2840">
        <v>348.43</v>
      </c>
      <c r="N2840" s="2" t="s">
        <v>308</v>
      </c>
      <c r="O2840" s="2" t="s">
        <v>309</v>
      </c>
      <c r="P2840" s="2" t="s">
        <v>5083</v>
      </c>
      <c r="Q2840" s="2" t="s">
        <v>5084</v>
      </c>
      <c r="R2840" s="2" t="s">
        <v>29</v>
      </c>
      <c r="S2840" s="2" t="s">
        <v>30</v>
      </c>
    </row>
    <row r="2841" spans="1:19">
      <c r="A2841" s="1">
        <v>45261</v>
      </c>
      <c r="B2841" s="1">
        <v>45261</v>
      </c>
      <c r="C2841">
        <v>2023</v>
      </c>
      <c r="D2841">
        <v>12</v>
      </c>
      <c r="E2841" s="2" t="s">
        <v>312</v>
      </c>
      <c r="F2841" s="2" t="s">
        <v>313</v>
      </c>
      <c r="G2841" s="2" t="s">
        <v>21</v>
      </c>
      <c r="H2841" s="2" t="s">
        <v>22</v>
      </c>
      <c r="I2841" s="2" t="s">
        <v>295</v>
      </c>
      <c r="J2841" s="2" t="s">
        <v>59</v>
      </c>
      <c r="K2841">
        <v>7235.2</v>
      </c>
      <c r="L2841">
        <v>26172.86</v>
      </c>
      <c r="M2841">
        <v>361.74</v>
      </c>
      <c r="N2841" s="2" t="s">
        <v>314</v>
      </c>
      <c r="O2841" s="2" t="s">
        <v>315</v>
      </c>
      <c r="P2841" s="2" t="s">
        <v>5085</v>
      </c>
      <c r="Q2841" s="2" t="s">
        <v>5086</v>
      </c>
      <c r="R2841" s="2" t="s">
        <v>29</v>
      </c>
      <c r="S2841" s="2" t="s">
        <v>30</v>
      </c>
    </row>
    <row r="2842" spans="1:19">
      <c r="A2842" s="1">
        <v>45261</v>
      </c>
      <c r="B2842" s="1">
        <v>45261</v>
      </c>
      <c r="C2842">
        <v>2023</v>
      </c>
      <c r="D2842">
        <v>12</v>
      </c>
      <c r="E2842" s="2" t="s">
        <v>318</v>
      </c>
      <c r="F2842" s="2" t="s">
        <v>319</v>
      </c>
      <c r="G2842" s="2" t="s">
        <v>21</v>
      </c>
      <c r="H2842" s="2" t="s">
        <v>22</v>
      </c>
      <c r="I2842" s="2" t="s">
        <v>295</v>
      </c>
      <c r="J2842" s="2" t="s">
        <v>24</v>
      </c>
      <c r="K2842">
        <v>5960.57</v>
      </c>
      <c r="L2842">
        <v>21731.62</v>
      </c>
      <c r="M2842">
        <v>364.59</v>
      </c>
      <c r="N2842" s="2" t="s">
        <v>320</v>
      </c>
      <c r="O2842" s="2" t="s">
        <v>321</v>
      </c>
      <c r="P2842" s="2" t="s">
        <v>5087</v>
      </c>
      <c r="Q2842" s="2" t="s">
        <v>5088</v>
      </c>
      <c r="R2842" s="2" t="s">
        <v>29</v>
      </c>
      <c r="S2842" s="2" t="s">
        <v>30</v>
      </c>
    </row>
    <row r="2843" spans="1:19">
      <c r="A2843" s="1">
        <v>45261</v>
      </c>
      <c r="B2843" s="1">
        <v>45261</v>
      </c>
      <c r="C2843">
        <v>2023</v>
      </c>
      <c r="D2843">
        <v>12</v>
      </c>
      <c r="E2843" s="2" t="s">
        <v>324</v>
      </c>
      <c r="F2843" s="2" t="s">
        <v>325</v>
      </c>
      <c r="G2843" s="2" t="s">
        <v>21</v>
      </c>
      <c r="H2843" s="2" t="s">
        <v>22</v>
      </c>
      <c r="I2843" s="2" t="s">
        <v>23</v>
      </c>
      <c r="J2843" s="2" t="s">
        <v>59</v>
      </c>
      <c r="K2843">
        <v>134755.92000000001</v>
      </c>
      <c r="L2843">
        <v>5917191.4199999999</v>
      </c>
      <c r="M2843">
        <v>4391.04</v>
      </c>
      <c r="N2843" s="2" t="s">
        <v>326</v>
      </c>
      <c r="O2843" s="2" t="s">
        <v>327</v>
      </c>
      <c r="P2843" s="2" t="s">
        <v>5089</v>
      </c>
      <c r="Q2843" s="2" t="s">
        <v>5090</v>
      </c>
      <c r="R2843" s="2" t="s">
        <v>29</v>
      </c>
      <c r="S2843" s="2" t="s">
        <v>30</v>
      </c>
    </row>
    <row r="2844" spans="1:19">
      <c r="A2844" s="1">
        <v>45261</v>
      </c>
      <c r="B2844" s="1">
        <v>45261</v>
      </c>
      <c r="C2844">
        <v>2023</v>
      </c>
      <c r="D2844">
        <v>12</v>
      </c>
      <c r="E2844" s="2" t="s">
        <v>330</v>
      </c>
      <c r="F2844" s="2" t="s">
        <v>331</v>
      </c>
      <c r="G2844" s="2" t="s">
        <v>21</v>
      </c>
      <c r="H2844" s="2" t="s">
        <v>332</v>
      </c>
      <c r="I2844" s="2" t="s">
        <v>333</v>
      </c>
      <c r="J2844" s="2" t="s">
        <v>24</v>
      </c>
      <c r="K2844">
        <v>229.23</v>
      </c>
      <c r="L2844">
        <v>14244586.460000001</v>
      </c>
      <c r="M2844">
        <v>6214102.1900000004</v>
      </c>
      <c r="N2844" s="2" t="s">
        <v>334</v>
      </c>
      <c r="O2844" s="2" t="s">
        <v>335</v>
      </c>
      <c r="P2844" s="2" t="s">
        <v>5091</v>
      </c>
      <c r="Q2844" s="2" t="s">
        <v>5092</v>
      </c>
      <c r="R2844" s="2" t="s">
        <v>29</v>
      </c>
      <c r="S2844" s="2" t="s">
        <v>30</v>
      </c>
    </row>
    <row r="2845" spans="1:19">
      <c r="A2845" s="1">
        <v>45261</v>
      </c>
      <c r="B2845" s="1">
        <v>45261</v>
      </c>
      <c r="C2845">
        <v>2023</v>
      </c>
      <c r="D2845">
        <v>12</v>
      </c>
      <c r="E2845" s="2" t="s">
        <v>338</v>
      </c>
      <c r="F2845" s="2" t="s">
        <v>339</v>
      </c>
      <c r="G2845" s="2" t="s">
        <v>21</v>
      </c>
      <c r="H2845" s="2" t="s">
        <v>332</v>
      </c>
      <c r="I2845" s="2" t="s">
        <v>333</v>
      </c>
      <c r="J2845" s="2" t="s">
        <v>24</v>
      </c>
      <c r="K2845">
        <v>1.1599999999999999</v>
      </c>
      <c r="L2845">
        <v>1644191.53</v>
      </c>
      <c r="M2845">
        <v>141740649.13999999</v>
      </c>
      <c r="N2845" s="2" t="s">
        <v>340</v>
      </c>
      <c r="O2845" s="2" t="s">
        <v>341</v>
      </c>
      <c r="P2845" s="2" t="s">
        <v>1921</v>
      </c>
      <c r="Q2845" s="2" t="s">
        <v>5093</v>
      </c>
      <c r="R2845" s="2" t="s">
        <v>29</v>
      </c>
      <c r="S2845" s="2" t="s">
        <v>30</v>
      </c>
    </row>
    <row r="2846" spans="1:19">
      <c r="A2846" s="1">
        <v>45261</v>
      </c>
      <c r="B2846" s="1">
        <v>45261</v>
      </c>
      <c r="C2846">
        <v>2023</v>
      </c>
      <c r="D2846">
        <v>12</v>
      </c>
      <c r="E2846" s="2" t="s">
        <v>344</v>
      </c>
      <c r="F2846" s="2" t="s">
        <v>345</v>
      </c>
      <c r="G2846" s="2" t="s">
        <v>21</v>
      </c>
      <c r="H2846" s="2" t="s">
        <v>332</v>
      </c>
      <c r="I2846" s="2" t="s">
        <v>333</v>
      </c>
      <c r="J2846" s="2" t="s">
        <v>59</v>
      </c>
      <c r="K2846">
        <v>230.39</v>
      </c>
      <c r="L2846">
        <v>15888777.99</v>
      </c>
      <c r="M2846">
        <v>6896470.3300000001</v>
      </c>
      <c r="N2846" s="2" t="s">
        <v>346</v>
      </c>
      <c r="O2846" s="2" t="s">
        <v>347</v>
      </c>
      <c r="P2846" s="2" t="s">
        <v>5094</v>
      </c>
      <c r="Q2846" s="2" t="s">
        <v>5095</v>
      </c>
      <c r="R2846" s="2" t="s">
        <v>29</v>
      </c>
      <c r="S2846" s="2" t="s">
        <v>30</v>
      </c>
    </row>
    <row r="2847" spans="1:19">
      <c r="A2847" s="1">
        <v>45261</v>
      </c>
      <c r="B2847" s="1">
        <v>45261</v>
      </c>
      <c r="C2847">
        <v>2023</v>
      </c>
      <c r="D2847">
        <v>12</v>
      </c>
      <c r="E2847" s="2" t="s">
        <v>350</v>
      </c>
      <c r="F2847" s="2" t="s">
        <v>351</v>
      </c>
      <c r="G2847" s="2" t="s">
        <v>21</v>
      </c>
      <c r="H2847" s="2" t="s">
        <v>22</v>
      </c>
      <c r="I2847" s="2" t="s">
        <v>352</v>
      </c>
      <c r="J2847" s="2" t="s">
        <v>353</v>
      </c>
      <c r="K2847">
        <v>148762.4</v>
      </c>
      <c r="L2847">
        <v>22197900.82</v>
      </c>
      <c r="M2847">
        <v>14921.71</v>
      </c>
      <c r="N2847" s="2" t="s">
        <v>354</v>
      </c>
      <c r="O2847" s="2" t="s">
        <v>355</v>
      </c>
      <c r="P2847" s="2" t="s">
        <v>5096</v>
      </c>
      <c r="Q2847" s="2" t="s">
        <v>5097</v>
      </c>
      <c r="R2847" s="2" t="s">
        <v>29</v>
      </c>
      <c r="S2847" s="2" t="s">
        <v>30</v>
      </c>
    </row>
    <row r="2848" spans="1:19">
      <c r="A2848" s="1">
        <v>45261</v>
      </c>
      <c r="B2848" s="1">
        <v>45261</v>
      </c>
      <c r="C2848">
        <v>2023</v>
      </c>
      <c r="D2848">
        <v>12</v>
      </c>
      <c r="E2848" s="2" t="s">
        <v>358</v>
      </c>
      <c r="F2848" s="2" t="s">
        <v>359</v>
      </c>
      <c r="G2848" s="2" t="s">
        <v>21</v>
      </c>
      <c r="H2848" s="2" t="s">
        <v>22</v>
      </c>
      <c r="I2848" s="2" t="s">
        <v>352</v>
      </c>
      <c r="J2848" s="2" t="s">
        <v>353</v>
      </c>
      <c r="K2848">
        <v>149309.63</v>
      </c>
      <c r="L2848">
        <v>22790872.690000001</v>
      </c>
      <c r="M2848">
        <v>15264.17</v>
      </c>
      <c r="N2848" s="2" t="s">
        <v>360</v>
      </c>
      <c r="O2848" s="2" t="s">
        <v>361</v>
      </c>
      <c r="P2848" s="2" t="s">
        <v>5098</v>
      </c>
      <c r="Q2848" s="2" t="s">
        <v>5099</v>
      </c>
      <c r="R2848" s="2" t="s">
        <v>29</v>
      </c>
      <c r="S2848" s="2" t="s">
        <v>30</v>
      </c>
    </row>
    <row r="2849" spans="1:19">
      <c r="A2849" s="1">
        <v>45261</v>
      </c>
      <c r="B2849" s="1">
        <v>45261</v>
      </c>
      <c r="C2849">
        <v>2023</v>
      </c>
      <c r="D2849">
        <v>12</v>
      </c>
      <c r="E2849" s="2" t="s">
        <v>364</v>
      </c>
      <c r="F2849" s="2" t="s">
        <v>365</v>
      </c>
      <c r="G2849" s="2" t="s">
        <v>21</v>
      </c>
      <c r="H2849" s="2" t="s">
        <v>22</v>
      </c>
      <c r="I2849" s="2" t="s">
        <v>352</v>
      </c>
      <c r="J2849" s="2" t="s">
        <v>353</v>
      </c>
      <c r="K2849">
        <v>149079.24</v>
      </c>
      <c r="L2849">
        <v>6902094.7000000002</v>
      </c>
      <c r="M2849">
        <v>4629.82</v>
      </c>
      <c r="N2849" s="2" t="s">
        <v>366</v>
      </c>
      <c r="O2849" s="2" t="s">
        <v>367</v>
      </c>
      <c r="P2849" s="2" t="s">
        <v>5100</v>
      </c>
      <c r="Q2849" s="2" t="s">
        <v>5101</v>
      </c>
      <c r="R2849" s="2" t="s">
        <v>29</v>
      </c>
      <c r="S2849" s="2" t="s">
        <v>30</v>
      </c>
    </row>
    <row r="2850" spans="1:19">
      <c r="A2850" s="1">
        <v>45261</v>
      </c>
      <c r="B2850" s="1">
        <v>45261</v>
      </c>
      <c r="C2850">
        <v>2023</v>
      </c>
      <c r="D2850">
        <v>12</v>
      </c>
      <c r="E2850" s="2" t="s">
        <v>370</v>
      </c>
      <c r="F2850" s="2" t="s">
        <v>371</v>
      </c>
      <c r="G2850" s="2" t="s">
        <v>21</v>
      </c>
      <c r="H2850" s="2" t="s">
        <v>22</v>
      </c>
      <c r="I2850" s="2" t="s">
        <v>23</v>
      </c>
      <c r="J2850" s="2" t="s">
        <v>24</v>
      </c>
      <c r="K2850">
        <v>120202.26</v>
      </c>
      <c r="L2850">
        <v>1822949.45</v>
      </c>
      <c r="M2850">
        <v>1516.57</v>
      </c>
      <c r="N2850" s="2" t="s">
        <v>372</v>
      </c>
      <c r="O2850" s="2" t="s">
        <v>373</v>
      </c>
      <c r="P2850" s="2" t="s">
        <v>5102</v>
      </c>
      <c r="Q2850" s="2" t="s">
        <v>5103</v>
      </c>
      <c r="R2850" s="2" t="s">
        <v>29</v>
      </c>
      <c r="S2850" s="2" t="s">
        <v>30</v>
      </c>
    </row>
    <row r="2851" spans="1:19">
      <c r="A2851" s="1">
        <v>45261</v>
      </c>
      <c r="B2851" s="1">
        <v>45261</v>
      </c>
      <c r="C2851">
        <v>2023</v>
      </c>
      <c r="D2851">
        <v>12</v>
      </c>
      <c r="E2851" s="2" t="s">
        <v>376</v>
      </c>
      <c r="F2851" s="2" t="s">
        <v>377</v>
      </c>
      <c r="G2851" s="2" t="s">
        <v>21</v>
      </c>
      <c r="H2851" s="2" t="s">
        <v>22</v>
      </c>
      <c r="I2851" s="2" t="s">
        <v>23</v>
      </c>
      <c r="J2851" s="2" t="s">
        <v>378</v>
      </c>
      <c r="K2851">
        <v>2.06</v>
      </c>
      <c r="L2851">
        <v>25.78</v>
      </c>
      <c r="M2851">
        <v>1251.46</v>
      </c>
      <c r="N2851" s="2" t="s">
        <v>379</v>
      </c>
      <c r="O2851" s="2" t="s">
        <v>380</v>
      </c>
      <c r="P2851" s="2" t="s">
        <v>5104</v>
      </c>
      <c r="Q2851" s="2" t="s">
        <v>5105</v>
      </c>
      <c r="R2851" s="2" t="s">
        <v>29</v>
      </c>
      <c r="S2851" s="2" t="s">
        <v>30</v>
      </c>
    </row>
    <row r="2852" spans="1:19">
      <c r="A2852" s="1">
        <v>45292</v>
      </c>
      <c r="B2852" s="1">
        <v>45292</v>
      </c>
      <c r="C2852">
        <v>2024</v>
      </c>
      <c r="D2852">
        <v>1</v>
      </c>
      <c r="E2852" s="2" t="s">
        <v>19</v>
      </c>
      <c r="F2852" s="2" t="s">
        <v>20</v>
      </c>
      <c r="G2852" s="2" t="s">
        <v>21</v>
      </c>
      <c r="H2852" s="2" t="s">
        <v>22</v>
      </c>
      <c r="I2852" s="2" t="s">
        <v>23</v>
      </c>
      <c r="J2852" s="2" t="s">
        <v>24</v>
      </c>
      <c r="K2852">
        <v>0.36</v>
      </c>
      <c r="L2852">
        <v>23.72</v>
      </c>
      <c r="M2852">
        <v>6588.89</v>
      </c>
      <c r="N2852" s="2" t="s">
        <v>25</v>
      </c>
      <c r="O2852" s="2" t="s">
        <v>26</v>
      </c>
      <c r="P2852" s="2" t="s">
        <v>3657</v>
      </c>
      <c r="Q2852" s="2" t="s">
        <v>5106</v>
      </c>
      <c r="R2852" s="2" t="s">
        <v>29</v>
      </c>
      <c r="S2852" s="2" t="s">
        <v>30</v>
      </c>
    </row>
    <row r="2853" spans="1:19">
      <c r="A2853" s="1">
        <v>45292</v>
      </c>
      <c r="B2853" s="1">
        <v>45292</v>
      </c>
      <c r="C2853">
        <v>2024</v>
      </c>
      <c r="D2853">
        <v>1</v>
      </c>
      <c r="E2853" s="2" t="s">
        <v>31</v>
      </c>
      <c r="F2853" s="2" t="s">
        <v>32</v>
      </c>
      <c r="G2853" s="2" t="s">
        <v>21</v>
      </c>
      <c r="H2853" s="2" t="s">
        <v>22</v>
      </c>
      <c r="I2853" s="2" t="s">
        <v>23</v>
      </c>
      <c r="J2853" s="2" t="s">
        <v>24</v>
      </c>
      <c r="K2853">
        <v>2118.7399999999998</v>
      </c>
      <c r="L2853">
        <v>42872.34</v>
      </c>
      <c r="M2853">
        <v>2023.48</v>
      </c>
      <c r="N2853" s="2" t="s">
        <v>33</v>
      </c>
      <c r="O2853" s="2" t="s">
        <v>34</v>
      </c>
      <c r="P2853" s="2" t="s">
        <v>5107</v>
      </c>
      <c r="Q2853" s="2" t="s">
        <v>5108</v>
      </c>
      <c r="R2853" s="2" t="s">
        <v>29</v>
      </c>
      <c r="S2853" s="2" t="s">
        <v>30</v>
      </c>
    </row>
    <row r="2854" spans="1:19">
      <c r="A2854" s="1">
        <v>45292</v>
      </c>
      <c r="B2854" s="1">
        <v>45292</v>
      </c>
      <c r="C2854">
        <v>2024</v>
      </c>
      <c r="D2854">
        <v>1</v>
      </c>
      <c r="E2854" s="2" t="s">
        <v>37</v>
      </c>
      <c r="F2854" s="2" t="s">
        <v>38</v>
      </c>
      <c r="G2854" s="2" t="s">
        <v>39</v>
      </c>
      <c r="H2854" s="2" t="s">
        <v>22</v>
      </c>
      <c r="I2854" s="2" t="s">
        <v>40</v>
      </c>
      <c r="J2854" s="2" t="s">
        <v>24</v>
      </c>
      <c r="K2854">
        <v>8.26</v>
      </c>
      <c r="L2854">
        <v>403.68</v>
      </c>
      <c r="M2854">
        <v>4887.17</v>
      </c>
      <c r="N2854" s="2" t="s">
        <v>41</v>
      </c>
      <c r="O2854" s="2" t="s">
        <v>42</v>
      </c>
      <c r="P2854" s="2" t="s">
        <v>4198</v>
      </c>
      <c r="Q2854" s="2" t="s">
        <v>5109</v>
      </c>
      <c r="R2854" s="2" t="s">
        <v>29</v>
      </c>
      <c r="S2854" s="2" t="s">
        <v>30</v>
      </c>
    </row>
    <row r="2855" spans="1:19">
      <c r="A2855" s="1">
        <v>45292</v>
      </c>
      <c r="B2855" s="1">
        <v>45292</v>
      </c>
      <c r="C2855">
        <v>2024</v>
      </c>
      <c r="D2855">
        <v>1</v>
      </c>
      <c r="E2855" s="2" t="s">
        <v>45</v>
      </c>
      <c r="F2855" s="2" t="s">
        <v>46</v>
      </c>
      <c r="G2855" s="2" t="s">
        <v>39</v>
      </c>
      <c r="H2855" s="2" t="s">
        <v>22</v>
      </c>
      <c r="I2855" s="2" t="s">
        <v>40</v>
      </c>
      <c r="J2855" s="2" t="s">
        <v>24</v>
      </c>
      <c r="K2855">
        <v>5272.19</v>
      </c>
      <c r="L2855">
        <v>259326.33</v>
      </c>
      <c r="M2855">
        <v>4918.76</v>
      </c>
      <c r="N2855" s="2" t="s">
        <v>47</v>
      </c>
      <c r="O2855" s="2" t="s">
        <v>48</v>
      </c>
      <c r="P2855" s="2" t="s">
        <v>5110</v>
      </c>
      <c r="Q2855" s="2" t="s">
        <v>5111</v>
      </c>
      <c r="R2855" s="2" t="s">
        <v>29</v>
      </c>
      <c r="S2855" s="2" t="s">
        <v>30</v>
      </c>
    </row>
    <row r="2856" spans="1:19">
      <c r="A2856" s="1">
        <v>45292</v>
      </c>
      <c r="B2856" s="1">
        <v>45292</v>
      </c>
      <c r="C2856">
        <v>2024</v>
      </c>
      <c r="D2856">
        <v>1</v>
      </c>
      <c r="E2856" s="2" t="s">
        <v>51</v>
      </c>
      <c r="F2856" s="2" t="s">
        <v>52</v>
      </c>
      <c r="G2856" s="2" t="s">
        <v>39</v>
      </c>
      <c r="H2856" s="2" t="s">
        <v>22</v>
      </c>
      <c r="I2856" s="2" t="s">
        <v>40</v>
      </c>
      <c r="J2856" s="2" t="s">
        <v>24</v>
      </c>
      <c r="K2856">
        <v>25.56</v>
      </c>
      <c r="L2856">
        <v>1016</v>
      </c>
      <c r="M2856">
        <v>3974.96</v>
      </c>
      <c r="N2856" s="2" t="s">
        <v>53</v>
      </c>
      <c r="O2856" s="2" t="s">
        <v>54</v>
      </c>
      <c r="P2856" s="2" t="s">
        <v>5112</v>
      </c>
      <c r="Q2856" s="2" t="s">
        <v>5113</v>
      </c>
      <c r="R2856" s="2" t="s">
        <v>29</v>
      </c>
      <c r="S2856" s="2" t="s">
        <v>30</v>
      </c>
    </row>
    <row r="2857" spans="1:19">
      <c r="A2857" s="1">
        <v>45292</v>
      </c>
      <c r="B2857" s="1">
        <v>45292</v>
      </c>
      <c r="C2857">
        <v>2024</v>
      </c>
      <c r="D2857">
        <v>1</v>
      </c>
      <c r="E2857" s="2" t="s">
        <v>57</v>
      </c>
      <c r="F2857" s="2" t="s">
        <v>58</v>
      </c>
      <c r="G2857" s="2" t="s">
        <v>39</v>
      </c>
      <c r="H2857" s="2" t="s">
        <v>22</v>
      </c>
      <c r="I2857" s="2" t="s">
        <v>40</v>
      </c>
      <c r="J2857" s="2" t="s">
        <v>59</v>
      </c>
      <c r="K2857">
        <v>5306.01</v>
      </c>
      <c r="L2857">
        <v>260746.01</v>
      </c>
      <c r="M2857">
        <v>4914.16</v>
      </c>
      <c r="N2857" s="2" t="s">
        <v>60</v>
      </c>
      <c r="O2857" s="2" t="s">
        <v>61</v>
      </c>
      <c r="P2857" s="2" t="s">
        <v>5114</v>
      </c>
      <c r="Q2857" s="2" t="s">
        <v>5115</v>
      </c>
      <c r="R2857" s="2" t="s">
        <v>29</v>
      </c>
      <c r="S2857" s="2" t="s">
        <v>30</v>
      </c>
    </row>
    <row r="2858" spans="1:19">
      <c r="A2858" s="1">
        <v>45292</v>
      </c>
      <c r="B2858" s="1">
        <v>45292</v>
      </c>
      <c r="C2858">
        <v>2024</v>
      </c>
      <c r="D2858">
        <v>1</v>
      </c>
      <c r="E2858" s="2" t="s">
        <v>64</v>
      </c>
      <c r="F2858" s="2" t="s">
        <v>65</v>
      </c>
      <c r="G2858" s="2" t="s">
        <v>21</v>
      </c>
      <c r="H2858" s="2" t="s">
        <v>22</v>
      </c>
      <c r="I2858" s="2" t="s">
        <v>66</v>
      </c>
      <c r="J2858" s="2" t="s">
        <v>24</v>
      </c>
      <c r="K2858">
        <v>18.82</v>
      </c>
      <c r="L2858">
        <v>618.63</v>
      </c>
      <c r="M2858">
        <v>3287.09</v>
      </c>
      <c r="N2858" s="2" t="s">
        <v>67</v>
      </c>
      <c r="O2858" s="2" t="s">
        <v>68</v>
      </c>
      <c r="P2858" s="2" t="s">
        <v>4932</v>
      </c>
      <c r="Q2858" s="2" t="s">
        <v>5116</v>
      </c>
      <c r="R2858" s="2" t="s">
        <v>29</v>
      </c>
      <c r="S2858" s="2" t="s">
        <v>30</v>
      </c>
    </row>
    <row r="2859" spans="1:19">
      <c r="A2859" s="1">
        <v>45292</v>
      </c>
      <c r="B2859" s="1">
        <v>45292</v>
      </c>
      <c r="C2859">
        <v>2024</v>
      </c>
      <c r="D2859">
        <v>1</v>
      </c>
      <c r="E2859" s="2" t="s">
        <v>71</v>
      </c>
      <c r="F2859" s="2" t="s">
        <v>72</v>
      </c>
      <c r="G2859" s="2" t="s">
        <v>21</v>
      </c>
      <c r="H2859" s="2" t="s">
        <v>22</v>
      </c>
      <c r="I2859" s="2" t="s">
        <v>73</v>
      </c>
      <c r="J2859" s="2" t="s">
        <v>59</v>
      </c>
      <c r="K2859">
        <v>4934.1899999999996</v>
      </c>
      <c r="L2859">
        <v>211930.51</v>
      </c>
      <c r="M2859">
        <v>4295.1400000000003</v>
      </c>
      <c r="N2859" s="2" t="s">
        <v>74</v>
      </c>
      <c r="O2859" s="2" t="s">
        <v>75</v>
      </c>
      <c r="P2859" s="2" t="s">
        <v>5117</v>
      </c>
      <c r="Q2859" s="2" t="s">
        <v>5118</v>
      </c>
      <c r="R2859" s="2" t="s">
        <v>29</v>
      </c>
      <c r="S2859" s="2" t="s">
        <v>30</v>
      </c>
    </row>
    <row r="2860" spans="1:19">
      <c r="A2860" s="1">
        <v>45292</v>
      </c>
      <c r="B2860" s="1">
        <v>45292</v>
      </c>
      <c r="C2860">
        <v>2024</v>
      </c>
      <c r="D2860">
        <v>1</v>
      </c>
      <c r="E2860" s="2" t="s">
        <v>78</v>
      </c>
      <c r="F2860" s="2" t="s">
        <v>79</v>
      </c>
      <c r="G2860" s="2" t="s">
        <v>80</v>
      </c>
      <c r="H2860" s="2" t="s">
        <v>81</v>
      </c>
      <c r="I2860" s="2" t="s">
        <v>82</v>
      </c>
      <c r="J2860" s="2" t="s">
        <v>24</v>
      </c>
      <c r="K2860">
        <v>2.21</v>
      </c>
      <c r="L2860">
        <v>6439542.6799999997</v>
      </c>
      <c r="M2860">
        <v>291382021.72000003</v>
      </c>
      <c r="N2860" s="2" t="s">
        <v>83</v>
      </c>
      <c r="O2860" s="2" t="s">
        <v>84</v>
      </c>
      <c r="P2860" s="2" t="s">
        <v>3142</v>
      </c>
      <c r="Q2860" s="2" t="s">
        <v>5119</v>
      </c>
      <c r="R2860" s="2" t="s">
        <v>29</v>
      </c>
      <c r="S2860" s="2" t="s">
        <v>30</v>
      </c>
    </row>
    <row r="2861" spans="1:19">
      <c r="A2861" s="1">
        <v>45292</v>
      </c>
      <c r="B2861" s="1">
        <v>45292</v>
      </c>
      <c r="C2861">
        <v>2024</v>
      </c>
      <c r="D2861">
        <v>1</v>
      </c>
      <c r="E2861" s="2" t="s">
        <v>87</v>
      </c>
      <c r="F2861" s="2" t="s">
        <v>88</v>
      </c>
      <c r="G2861" s="2" t="s">
        <v>80</v>
      </c>
      <c r="H2861" s="2" t="s">
        <v>81</v>
      </c>
      <c r="I2861" s="2" t="s">
        <v>82</v>
      </c>
      <c r="J2861" s="2" t="s">
        <v>24</v>
      </c>
      <c r="K2861">
        <v>0.79</v>
      </c>
      <c r="L2861">
        <v>1100546.94</v>
      </c>
      <c r="M2861">
        <v>139309739.24000001</v>
      </c>
      <c r="N2861" s="2" t="s">
        <v>89</v>
      </c>
      <c r="O2861" s="2" t="s">
        <v>90</v>
      </c>
      <c r="P2861" s="2" t="s">
        <v>1549</v>
      </c>
      <c r="Q2861" s="2" t="s">
        <v>5120</v>
      </c>
      <c r="R2861" s="2" t="s">
        <v>29</v>
      </c>
      <c r="S2861" s="2" t="s">
        <v>30</v>
      </c>
    </row>
    <row r="2862" spans="1:19">
      <c r="A2862" s="1">
        <v>45292</v>
      </c>
      <c r="B2862" s="1">
        <v>45292</v>
      </c>
      <c r="C2862">
        <v>2024</v>
      </c>
      <c r="D2862">
        <v>1</v>
      </c>
      <c r="E2862" s="2" t="s">
        <v>93</v>
      </c>
      <c r="F2862" s="2" t="s">
        <v>94</v>
      </c>
      <c r="G2862" s="2" t="s">
        <v>80</v>
      </c>
      <c r="H2862" s="2" t="s">
        <v>81</v>
      </c>
      <c r="I2862" s="2" t="s">
        <v>82</v>
      </c>
      <c r="J2862" s="2" t="s">
        <v>24</v>
      </c>
      <c r="K2862">
        <v>0.43</v>
      </c>
      <c r="L2862">
        <v>6039056.0700000003</v>
      </c>
      <c r="M2862">
        <v>1404431644.1900001</v>
      </c>
      <c r="N2862" s="2" t="s">
        <v>95</v>
      </c>
      <c r="O2862" s="2" t="s">
        <v>96</v>
      </c>
      <c r="P2862" s="2" t="s">
        <v>5121</v>
      </c>
      <c r="Q2862" s="2" t="s">
        <v>5122</v>
      </c>
      <c r="R2862" s="2" t="s">
        <v>29</v>
      </c>
      <c r="S2862" s="2" t="s">
        <v>30</v>
      </c>
    </row>
    <row r="2863" spans="1:19">
      <c r="A2863" s="1">
        <v>45292</v>
      </c>
      <c r="B2863" s="1">
        <v>45292</v>
      </c>
      <c r="C2863">
        <v>2024</v>
      </c>
      <c r="D2863">
        <v>1</v>
      </c>
      <c r="E2863" s="2" t="s">
        <v>99</v>
      </c>
      <c r="F2863" s="2" t="s">
        <v>100</v>
      </c>
      <c r="G2863" s="2" t="s">
        <v>80</v>
      </c>
      <c r="H2863" s="2" t="s">
        <v>81</v>
      </c>
      <c r="I2863" s="2" t="s">
        <v>82</v>
      </c>
      <c r="J2863" s="2" t="s">
        <v>101</v>
      </c>
      <c r="K2863">
        <v>1.42</v>
      </c>
      <c r="L2863">
        <v>14658626.609999999</v>
      </c>
      <c r="M2863">
        <v>1032297648.59</v>
      </c>
      <c r="N2863" s="2" t="s">
        <v>102</v>
      </c>
      <c r="O2863" s="2" t="s">
        <v>103</v>
      </c>
      <c r="P2863" s="2" t="s">
        <v>5123</v>
      </c>
      <c r="Q2863" s="2" t="s">
        <v>5124</v>
      </c>
      <c r="R2863" s="2" t="s">
        <v>29</v>
      </c>
      <c r="S2863" s="2" t="s">
        <v>30</v>
      </c>
    </row>
    <row r="2864" spans="1:19">
      <c r="A2864" s="1">
        <v>45292</v>
      </c>
      <c r="B2864" s="1">
        <v>45292</v>
      </c>
      <c r="C2864">
        <v>2024</v>
      </c>
      <c r="D2864">
        <v>1</v>
      </c>
      <c r="E2864" s="2" t="s">
        <v>106</v>
      </c>
      <c r="F2864" s="2" t="s">
        <v>107</v>
      </c>
      <c r="G2864" s="2" t="s">
        <v>80</v>
      </c>
      <c r="H2864" s="2" t="s">
        <v>81</v>
      </c>
      <c r="I2864" s="2" t="s">
        <v>82</v>
      </c>
      <c r="J2864" s="2" t="s">
        <v>24</v>
      </c>
      <c r="K2864">
        <v>0.21</v>
      </c>
      <c r="L2864">
        <v>7519023.5999999996</v>
      </c>
      <c r="M2864">
        <v>3580487428.5700002</v>
      </c>
      <c r="N2864" s="2" t="s">
        <v>108</v>
      </c>
      <c r="O2864" s="2" t="s">
        <v>109</v>
      </c>
      <c r="P2864" s="2" t="s">
        <v>403</v>
      </c>
      <c r="Q2864" s="2" t="s">
        <v>5125</v>
      </c>
      <c r="R2864" s="2" t="s">
        <v>29</v>
      </c>
      <c r="S2864" s="2" t="s">
        <v>30</v>
      </c>
    </row>
    <row r="2865" spans="1:19">
      <c r="A2865" s="1">
        <v>45292</v>
      </c>
      <c r="B2865" s="1">
        <v>45292</v>
      </c>
      <c r="C2865">
        <v>2024</v>
      </c>
      <c r="D2865">
        <v>1</v>
      </c>
      <c r="E2865" s="2" t="s">
        <v>111</v>
      </c>
      <c r="F2865" s="2" t="s">
        <v>112</v>
      </c>
      <c r="G2865" s="2" t="s">
        <v>80</v>
      </c>
      <c r="H2865" s="2" t="s">
        <v>81</v>
      </c>
      <c r="I2865" s="2" t="s">
        <v>82</v>
      </c>
      <c r="J2865" s="2" t="s">
        <v>24</v>
      </c>
      <c r="K2865">
        <v>0.11</v>
      </c>
      <c r="L2865">
        <v>607465.27</v>
      </c>
      <c r="M2865">
        <v>552241154.54999995</v>
      </c>
      <c r="N2865" s="2" t="s">
        <v>113</v>
      </c>
      <c r="O2865" s="2" t="s">
        <v>114</v>
      </c>
      <c r="P2865" s="2" t="s">
        <v>1291</v>
      </c>
      <c r="Q2865" s="2" t="s">
        <v>5126</v>
      </c>
      <c r="R2865" s="2" t="s">
        <v>29</v>
      </c>
      <c r="S2865" s="2" t="s">
        <v>30</v>
      </c>
    </row>
    <row r="2866" spans="1:19">
      <c r="A2866" s="1">
        <v>45292</v>
      </c>
      <c r="B2866" s="1">
        <v>45292</v>
      </c>
      <c r="C2866">
        <v>2024</v>
      </c>
      <c r="D2866">
        <v>1</v>
      </c>
      <c r="E2866" s="2" t="s">
        <v>117</v>
      </c>
      <c r="F2866" s="2" t="s">
        <v>118</v>
      </c>
      <c r="G2866" s="2" t="s">
        <v>80</v>
      </c>
      <c r="H2866" s="2" t="s">
        <v>81</v>
      </c>
      <c r="I2866" s="2" t="s">
        <v>82</v>
      </c>
      <c r="J2866" s="2" t="s">
        <v>59</v>
      </c>
      <c r="K2866">
        <v>3.74</v>
      </c>
      <c r="L2866">
        <v>21705634.559999999</v>
      </c>
      <c r="M2866">
        <v>580364560.42999995</v>
      </c>
      <c r="N2866" s="2" t="s">
        <v>119</v>
      </c>
      <c r="O2866" s="2" t="s">
        <v>120</v>
      </c>
      <c r="P2866" s="2" t="s">
        <v>5127</v>
      </c>
      <c r="Q2866" s="2" t="s">
        <v>5128</v>
      </c>
      <c r="R2866" s="2" t="s">
        <v>29</v>
      </c>
      <c r="S2866" s="2" t="s">
        <v>30</v>
      </c>
    </row>
    <row r="2867" spans="1:19">
      <c r="A2867" s="1">
        <v>45292</v>
      </c>
      <c r="B2867" s="1">
        <v>45292</v>
      </c>
      <c r="C2867">
        <v>2024</v>
      </c>
      <c r="D2867">
        <v>1</v>
      </c>
      <c r="E2867" s="2" t="s">
        <v>123</v>
      </c>
      <c r="F2867" s="2" t="s">
        <v>124</v>
      </c>
      <c r="G2867" s="2" t="s">
        <v>21</v>
      </c>
      <c r="H2867" s="2" t="s">
        <v>22</v>
      </c>
      <c r="I2867" s="2" t="s">
        <v>73</v>
      </c>
      <c r="J2867" s="2" t="s">
        <v>24</v>
      </c>
      <c r="K2867">
        <v>1563.93</v>
      </c>
      <c r="L2867">
        <v>107912.17</v>
      </c>
      <c r="M2867">
        <v>6900.06</v>
      </c>
      <c r="N2867" s="2" t="s">
        <v>125</v>
      </c>
      <c r="O2867" s="2" t="s">
        <v>126</v>
      </c>
      <c r="P2867" s="2" t="s">
        <v>5129</v>
      </c>
      <c r="Q2867" s="2" t="s">
        <v>5130</v>
      </c>
      <c r="R2867" s="2" t="s">
        <v>29</v>
      </c>
      <c r="S2867" s="2" t="s">
        <v>30</v>
      </c>
    </row>
    <row r="2868" spans="1:19">
      <c r="A2868" s="1">
        <v>45292</v>
      </c>
      <c r="B2868" s="1">
        <v>45292</v>
      </c>
      <c r="C2868">
        <v>2024</v>
      </c>
      <c r="D2868">
        <v>1</v>
      </c>
      <c r="E2868" s="2" t="s">
        <v>129</v>
      </c>
      <c r="F2868" s="2" t="s">
        <v>130</v>
      </c>
      <c r="G2868" s="2" t="s">
        <v>21</v>
      </c>
      <c r="H2868" s="2" t="s">
        <v>22</v>
      </c>
      <c r="I2868" s="2" t="s">
        <v>73</v>
      </c>
      <c r="J2868" s="2" t="s">
        <v>24</v>
      </c>
      <c r="K2868">
        <v>1725.59</v>
      </c>
      <c r="L2868">
        <v>58531.77</v>
      </c>
      <c r="M2868">
        <v>3391.99</v>
      </c>
      <c r="N2868" s="2" t="s">
        <v>131</v>
      </c>
      <c r="O2868" s="2" t="s">
        <v>132</v>
      </c>
      <c r="P2868" s="2" t="s">
        <v>5131</v>
      </c>
      <c r="Q2868" s="2" t="s">
        <v>5132</v>
      </c>
      <c r="R2868" s="2" t="s">
        <v>29</v>
      </c>
      <c r="S2868" s="2" t="s">
        <v>30</v>
      </c>
    </row>
    <row r="2869" spans="1:19">
      <c r="A2869" s="1">
        <v>45292</v>
      </c>
      <c r="B2869" s="1">
        <v>45292</v>
      </c>
      <c r="C2869">
        <v>2024</v>
      </c>
      <c r="D2869">
        <v>1</v>
      </c>
      <c r="E2869" s="2" t="s">
        <v>135</v>
      </c>
      <c r="F2869" s="2" t="s">
        <v>136</v>
      </c>
      <c r="G2869" s="2" t="s">
        <v>21</v>
      </c>
      <c r="H2869" s="2" t="s">
        <v>22</v>
      </c>
      <c r="I2869" s="2" t="s">
        <v>73</v>
      </c>
      <c r="J2869" s="2" t="s">
        <v>101</v>
      </c>
      <c r="K2869">
        <v>3289.52</v>
      </c>
      <c r="L2869">
        <v>166443.93</v>
      </c>
      <c r="M2869">
        <v>5059.82</v>
      </c>
      <c r="N2869" s="2" t="s">
        <v>137</v>
      </c>
      <c r="O2869" s="2" t="s">
        <v>138</v>
      </c>
      <c r="P2869" s="2" t="s">
        <v>5133</v>
      </c>
      <c r="Q2869" s="2" t="s">
        <v>5134</v>
      </c>
      <c r="R2869" s="2" t="s">
        <v>29</v>
      </c>
      <c r="S2869" s="2" t="s">
        <v>30</v>
      </c>
    </row>
    <row r="2870" spans="1:19">
      <c r="A2870" s="1">
        <v>45292</v>
      </c>
      <c r="B2870" s="1">
        <v>45292</v>
      </c>
      <c r="C2870">
        <v>2024</v>
      </c>
      <c r="D2870">
        <v>1</v>
      </c>
      <c r="E2870" s="2" t="s">
        <v>141</v>
      </c>
      <c r="F2870" s="2" t="s">
        <v>142</v>
      </c>
      <c r="G2870" s="2" t="s">
        <v>21</v>
      </c>
      <c r="H2870" s="2" t="s">
        <v>22</v>
      </c>
      <c r="I2870" s="2" t="s">
        <v>73</v>
      </c>
      <c r="J2870" s="2" t="s">
        <v>24</v>
      </c>
      <c r="K2870">
        <v>451.5</v>
      </c>
      <c r="L2870">
        <v>15103.17</v>
      </c>
      <c r="M2870">
        <v>3345.11</v>
      </c>
      <c r="N2870" s="2" t="s">
        <v>143</v>
      </c>
      <c r="O2870" s="2" t="s">
        <v>144</v>
      </c>
      <c r="P2870" s="2" t="s">
        <v>5135</v>
      </c>
      <c r="Q2870" s="2" t="s">
        <v>5136</v>
      </c>
      <c r="R2870" s="2" t="s">
        <v>29</v>
      </c>
      <c r="S2870" s="2" t="s">
        <v>30</v>
      </c>
    </row>
    <row r="2871" spans="1:19">
      <c r="A2871" s="1">
        <v>45292</v>
      </c>
      <c r="B2871" s="1">
        <v>45292</v>
      </c>
      <c r="C2871">
        <v>2024</v>
      </c>
      <c r="D2871">
        <v>1</v>
      </c>
      <c r="E2871" s="2" t="s">
        <v>147</v>
      </c>
      <c r="F2871" s="2" t="s">
        <v>148</v>
      </c>
      <c r="G2871" s="2" t="s">
        <v>21</v>
      </c>
      <c r="H2871" s="2" t="s">
        <v>22</v>
      </c>
      <c r="I2871" s="2" t="s">
        <v>73</v>
      </c>
      <c r="J2871" s="2" t="s">
        <v>24</v>
      </c>
      <c r="K2871">
        <v>1193.18</v>
      </c>
      <c r="L2871">
        <v>30383.41</v>
      </c>
      <c r="M2871">
        <v>2546.42</v>
      </c>
      <c r="N2871" s="2" t="s">
        <v>149</v>
      </c>
      <c r="O2871" s="2" t="s">
        <v>150</v>
      </c>
      <c r="P2871" s="2" t="s">
        <v>5137</v>
      </c>
      <c r="Q2871" s="2" t="s">
        <v>5138</v>
      </c>
      <c r="R2871" s="2" t="s">
        <v>29</v>
      </c>
      <c r="S2871" s="2" t="s">
        <v>30</v>
      </c>
    </row>
    <row r="2872" spans="1:19">
      <c r="A2872" s="1">
        <v>45292</v>
      </c>
      <c r="B2872" s="1">
        <v>45292</v>
      </c>
      <c r="C2872">
        <v>2024</v>
      </c>
      <c r="D2872">
        <v>1</v>
      </c>
      <c r="E2872" s="2" t="s">
        <v>153</v>
      </c>
      <c r="F2872" s="2" t="s">
        <v>154</v>
      </c>
      <c r="G2872" s="2" t="s">
        <v>21</v>
      </c>
      <c r="H2872" s="2" t="s">
        <v>22</v>
      </c>
      <c r="I2872" s="2" t="s">
        <v>73</v>
      </c>
      <c r="J2872" s="2" t="s">
        <v>101</v>
      </c>
      <c r="K2872">
        <v>1644.68</v>
      </c>
      <c r="L2872">
        <v>45486.57</v>
      </c>
      <c r="M2872">
        <v>2765.68</v>
      </c>
      <c r="N2872" s="2" t="s">
        <v>155</v>
      </c>
      <c r="O2872" s="2" t="s">
        <v>156</v>
      </c>
      <c r="P2872" s="2" t="s">
        <v>5139</v>
      </c>
      <c r="Q2872" s="2" t="s">
        <v>5140</v>
      </c>
      <c r="R2872" s="2" t="s">
        <v>29</v>
      </c>
      <c r="S2872" s="2" t="s">
        <v>30</v>
      </c>
    </row>
    <row r="2873" spans="1:19">
      <c r="A2873" s="1">
        <v>45292</v>
      </c>
      <c r="B2873" s="1">
        <v>45292</v>
      </c>
      <c r="C2873">
        <v>2024</v>
      </c>
      <c r="D2873">
        <v>1</v>
      </c>
      <c r="E2873" s="2" t="s">
        <v>159</v>
      </c>
      <c r="F2873" s="2" t="s">
        <v>160</v>
      </c>
      <c r="G2873" s="2" t="s">
        <v>21</v>
      </c>
      <c r="H2873" s="2" t="s">
        <v>22</v>
      </c>
      <c r="I2873" s="2" t="s">
        <v>66</v>
      </c>
      <c r="J2873" s="2" t="s">
        <v>59</v>
      </c>
      <c r="K2873">
        <v>1571.5</v>
      </c>
      <c r="L2873">
        <v>154404.69</v>
      </c>
      <c r="M2873">
        <v>9825.31</v>
      </c>
      <c r="N2873" s="2" t="s">
        <v>161</v>
      </c>
      <c r="O2873" s="2" t="s">
        <v>162</v>
      </c>
      <c r="P2873" s="2" t="s">
        <v>5141</v>
      </c>
      <c r="Q2873" s="2" t="s">
        <v>5142</v>
      </c>
      <c r="R2873" s="2" t="s">
        <v>29</v>
      </c>
      <c r="S2873" s="2" t="s">
        <v>30</v>
      </c>
    </row>
    <row r="2874" spans="1:19">
      <c r="A2874" s="1">
        <v>45292</v>
      </c>
      <c r="B2874" s="1">
        <v>45292</v>
      </c>
      <c r="C2874">
        <v>2024</v>
      </c>
      <c r="D2874">
        <v>1</v>
      </c>
      <c r="E2874" s="2" t="s">
        <v>165</v>
      </c>
      <c r="F2874" s="2" t="s">
        <v>166</v>
      </c>
      <c r="G2874" s="2" t="s">
        <v>21</v>
      </c>
      <c r="H2874" s="2" t="s">
        <v>22</v>
      </c>
      <c r="I2874" s="2" t="s">
        <v>23</v>
      </c>
      <c r="J2874" s="2" t="s">
        <v>24</v>
      </c>
      <c r="N2874" s="2" t="s">
        <v>167</v>
      </c>
      <c r="O2874" s="2" t="s">
        <v>168</v>
      </c>
      <c r="P2874" s="2" t="s">
        <v>175</v>
      </c>
      <c r="Q2874" s="2" t="s">
        <v>175</v>
      </c>
      <c r="R2874" s="2" t="s">
        <v>640</v>
      </c>
      <c r="S2874" s="2" t="s">
        <v>641</v>
      </c>
    </row>
    <row r="2875" spans="1:19">
      <c r="A2875" s="1">
        <v>45292</v>
      </c>
      <c r="B2875" s="1">
        <v>45292</v>
      </c>
      <c r="C2875">
        <v>2024</v>
      </c>
      <c r="D2875">
        <v>1</v>
      </c>
      <c r="E2875" s="2" t="s">
        <v>171</v>
      </c>
      <c r="F2875" s="2" t="s">
        <v>172</v>
      </c>
      <c r="G2875" s="2" t="s">
        <v>21</v>
      </c>
      <c r="H2875" s="2" t="s">
        <v>22</v>
      </c>
      <c r="I2875" s="2" t="s">
        <v>66</v>
      </c>
      <c r="J2875" s="2" t="s">
        <v>24</v>
      </c>
      <c r="N2875" s="2" t="s">
        <v>173</v>
      </c>
      <c r="O2875" s="2" t="s">
        <v>174</v>
      </c>
      <c r="P2875" s="2" t="s">
        <v>175</v>
      </c>
      <c r="Q2875" s="2" t="s">
        <v>175</v>
      </c>
      <c r="R2875" s="2" t="s">
        <v>640</v>
      </c>
      <c r="S2875" s="2" t="s">
        <v>641</v>
      </c>
    </row>
    <row r="2876" spans="1:19">
      <c r="A2876" s="1">
        <v>45292</v>
      </c>
      <c r="B2876" s="1">
        <v>45292</v>
      </c>
      <c r="C2876">
        <v>2024</v>
      </c>
      <c r="D2876">
        <v>1</v>
      </c>
      <c r="E2876" s="2" t="s">
        <v>177</v>
      </c>
      <c r="F2876" s="2" t="s">
        <v>178</v>
      </c>
      <c r="G2876" s="2" t="s">
        <v>21</v>
      </c>
      <c r="H2876" s="2" t="s">
        <v>22</v>
      </c>
      <c r="I2876" s="2" t="s">
        <v>23</v>
      </c>
      <c r="J2876" s="2" t="s">
        <v>24</v>
      </c>
      <c r="K2876">
        <v>5087.92</v>
      </c>
      <c r="L2876">
        <v>566309.72</v>
      </c>
      <c r="M2876">
        <v>11130.48</v>
      </c>
      <c r="N2876" s="2" t="s">
        <v>179</v>
      </c>
      <c r="O2876" s="2" t="s">
        <v>180</v>
      </c>
      <c r="P2876" s="2" t="s">
        <v>5143</v>
      </c>
      <c r="Q2876" s="2" t="s">
        <v>5144</v>
      </c>
      <c r="R2876" s="2" t="s">
        <v>29</v>
      </c>
      <c r="S2876" s="2" t="s">
        <v>30</v>
      </c>
    </row>
    <row r="2877" spans="1:19">
      <c r="A2877" s="1">
        <v>45292</v>
      </c>
      <c r="B2877" s="1">
        <v>45292</v>
      </c>
      <c r="C2877">
        <v>2024</v>
      </c>
      <c r="D2877">
        <v>1</v>
      </c>
      <c r="E2877" s="2" t="s">
        <v>183</v>
      </c>
      <c r="F2877" s="2" t="s">
        <v>184</v>
      </c>
      <c r="G2877" s="2" t="s">
        <v>185</v>
      </c>
      <c r="H2877" s="2" t="s">
        <v>22</v>
      </c>
      <c r="I2877" s="2" t="s">
        <v>186</v>
      </c>
      <c r="J2877" s="2" t="s">
        <v>24</v>
      </c>
      <c r="K2877">
        <v>2809.67</v>
      </c>
      <c r="L2877">
        <v>4356954.29</v>
      </c>
      <c r="M2877">
        <v>155069.97</v>
      </c>
      <c r="N2877" s="2" t="s">
        <v>187</v>
      </c>
      <c r="O2877" s="2" t="s">
        <v>188</v>
      </c>
      <c r="P2877" s="2" t="s">
        <v>5145</v>
      </c>
      <c r="Q2877" s="2" t="s">
        <v>5146</v>
      </c>
      <c r="R2877" s="2" t="s">
        <v>29</v>
      </c>
      <c r="S2877" s="2" t="s">
        <v>30</v>
      </c>
    </row>
    <row r="2878" spans="1:19">
      <c r="A2878" s="1">
        <v>45292</v>
      </c>
      <c r="B2878" s="1">
        <v>45292</v>
      </c>
      <c r="C2878">
        <v>2024</v>
      </c>
      <c r="D2878">
        <v>1</v>
      </c>
      <c r="E2878" s="2" t="s">
        <v>191</v>
      </c>
      <c r="F2878" s="2" t="s">
        <v>192</v>
      </c>
      <c r="G2878" s="2" t="s">
        <v>185</v>
      </c>
      <c r="H2878" s="2" t="s">
        <v>22</v>
      </c>
      <c r="I2878" s="2" t="s">
        <v>186</v>
      </c>
      <c r="J2878" s="2" t="s">
        <v>24</v>
      </c>
      <c r="K2878">
        <v>1028.04</v>
      </c>
      <c r="L2878">
        <v>4767035.84</v>
      </c>
      <c r="M2878">
        <v>463701.4</v>
      </c>
      <c r="N2878" s="2" t="s">
        <v>193</v>
      </c>
      <c r="O2878" s="2" t="s">
        <v>194</v>
      </c>
      <c r="P2878" s="2" t="s">
        <v>5147</v>
      </c>
      <c r="Q2878" s="2" t="s">
        <v>5148</v>
      </c>
      <c r="R2878" s="2" t="s">
        <v>29</v>
      </c>
      <c r="S2878" s="2" t="s">
        <v>30</v>
      </c>
    </row>
    <row r="2879" spans="1:19">
      <c r="A2879" s="1">
        <v>45292</v>
      </c>
      <c r="B2879" s="1">
        <v>45292</v>
      </c>
      <c r="C2879">
        <v>2024</v>
      </c>
      <c r="D2879">
        <v>1</v>
      </c>
      <c r="E2879" s="2" t="s">
        <v>197</v>
      </c>
      <c r="F2879" s="2" t="s">
        <v>198</v>
      </c>
      <c r="G2879" s="2" t="s">
        <v>185</v>
      </c>
      <c r="H2879" s="2" t="s">
        <v>22</v>
      </c>
      <c r="I2879" s="2" t="s">
        <v>186</v>
      </c>
      <c r="J2879" s="2" t="s">
        <v>59</v>
      </c>
      <c r="K2879">
        <v>3837.71</v>
      </c>
      <c r="L2879">
        <v>9123990.1300000008</v>
      </c>
      <c r="M2879">
        <v>237745.69</v>
      </c>
      <c r="N2879" s="2" t="s">
        <v>199</v>
      </c>
      <c r="O2879" s="2" t="s">
        <v>200</v>
      </c>
      <c r="P2879" s="2" t="s">
        <v>5149</v>
      </c>
      <c r="Q2879" s="2" t="s">
        <v>5150</v>
      </c>
      <c r="R2879" s="2" t="s">
        <v>29</v>
      </c>
      <c r="S2879" s="2" t="s">
        <v>30</v>
      </c>
    </row>
    <row r="2880" spans="1:19">
      <c r="A2880" s="1">
        <v>45292</v>
      </c>
      <c r="B2880" s="1">
        <v>45292</v>
      </c>
      <c r="C2880">
        <v>2024</v>
      </c>
      <c r="D2880">
        <v>1</v>
      </c>
      <c r="E2880" s="2" t="s">
        <v>203</v>
      </c>
      <c r="F2880" s="2" t="s">
        <v>204</v>
      </c>
      <c r="G2880" s="2" t="s">
        <v>39</v>
      </c>
      <c r="H2880" s="2" t="s">
        <v>22</v>
      </c>
      <c r="I2880" s="2" t="s">
        <v>40</v>
      </c>
      <c r="J2880" s="2" t="s">
        <v>24</v>
      </c>
      <c r="K2880">
        <v>839.66</v>
      </c>
      <c r="L2880">
        <v>22350.880000000001</v>
      </c>
      <c r="M2880">
        <v>2661.9</v>
      </c>
      <c r="N2880" s="2" t="s">
        <v>205</v>
      </c>
      <c r="O2880" s="2" t="s">
        <v>206</v>
      </c>
      <c r="P2880" s="2" t="s">
        <v>5151</v>
      </c>
      <c r="Q2880" s="2" t="s">
        <v>5152</v>
      </c>
      <c r="R2880" s="2" t="s">
        <v>29</v>
      </c>
      <c r="S2880" s="2" t="s">
        <v>30</v>
      </c>
    </row>
    <row r="2881" spans="1:19">
      <c r="A2881" s="1">
        <v>45292</v>
      </c>
      <c r="B2881" s="1">
        <v>45292</v>
      </c>
      <c r="C2881">
        <v>2024</v>
      </c>
      <c r="D2881">
        <v>1</v>
      </c>
      <c r="E2881" s="2" t="s">
        <v>209</v>
      </c>
      <c r="F2881" s="2" t="s">
        <v>210</v>
      </c>
      <c r="G2881" s="2" t="s">
        <v>39</v>
      </c>
      <c r="H2881" s="2" t="s">
        <v>22</v>
      </c>
      <c r="I2881" s="2" t="s">
        <v>40</v>
      </c>
      <c r="J2881" s="2" t="s">
        <v>59</v>
      </c>
      <c r="K2881">
        <v>839.66</v>
      </c>
      <c r="L2881">
        <v>22350.880000000001</v>
      </c>
      <c r="M2881">
        <v>2661.9</v>
      </c>
      <c r="N2881" s="2" t="s">
        <v>211</v>
      </c>
      <c r="O2881" s="2" t="s">
        <v>212</v>
      </c>
      <c r="P2881" s="2" t="s">
        <v>5151</v>
      </c>
      <c r="Q2881" s="2" t="s">
        <v>5152</v>
      </c>
      <c r="R2881" s="2" t="s">
        <v>29</v>
      </c>
      <c r="S2881" s="2" t="s">
        <v>30</v>
      </c>
    </row>
    <row r="2882" spans="1:19">
      <c r="A2882" s="1">
        <v>45292</v>
      </c>
      <c r="B2882" s="1">
        <v>45292</v>
      </c>
      <c r="C2882">
        <v>2024</v>
      </c>
      <c r="D2882">
        <v>1</v>
      </c>
      <c r="E2882" s="2" t="s">
        <v>213</v>
      </c>
      <c r="F2882" s="2" t="s">
        <v>214</v>
      </c>
      <c r="G2882" s="2" t="s">
        <v>185</v>
      </c>
      <c r="H2882" s="2" t="s">
        <v>22</v>
      </c>
      <c r="I2882" s="2" t="s">
        <v>215</v>
      </c>
      <c r="J2882" s="2" t="s">
        <v>24</v>
      </c>
      <c r="K2882">
        <v>110200.56</v>
      </c>
      <c r="L2882">
        <v>2290441.33</v>
      </c>
      <c r="M2882">
        <v>2078.4299999999998</v>
      </c>
      <c r="N2882" s="2" t="s">
        <v>216</v>
      </c>
      <c r="O2882" s="2" t="s">
        <v>217</v>
      </c>
      <c r="P2882" s="2" t="s">
        <v>5153</v>
      </c>
      <c r="Q2882" s="2" t="s">
        <v>5154</v>
      </c>
      <c r="R2882" s="2" t="s">
        <v>29</v>
      </c>
      <c r="S2882" s="2" t="s">
        <v>30</v>
      </c>
    </row>
    <row r="2883" spans="1:19">
      <c r="A2883" s="1">
        <v>45292</v>
      </c>
      <c r="B2883" s="1">
        <v>45292</v>
      </c>
      <c r="C2883">
        <v>2024</v>
      </c>
      <c r="D2883">
        <v>1</v>
      </c>
      <c r="E2883" s="2" t="s">
        <v>220</v>
      </c>
      <c r="F2883" s="2" t="s">
        <v>221</v>
      </c>
      <c r="G2883" s="2" t="s">
        <v>185</v>
      </c>
      <c r="H2883" s="2" t="s">
        <v>22</v>
      </c>
      <c r="I2883" s="2" t="s">
        <v>215</v>
      </c>
      <c r="J2883" s="2" t="s">
        <v>24</v>
      </c>
      <c r="K2883">
        <v>7654.37</v>
      </c>
      <c r="L2883">
        <v>524854.43999999994</v>
      </c>
      <c r="M2883">
        <v>6856.93</v>
      </c>
      <c r="N2883" s="2" t="s">
        <v>222</v>
      </c>
      <c r="O2883" s="2" t="s">
        <v>223</v>
      </c>
      <c r="P2883" s="2" t="s">
        <v>5155</v>
      </c>
      <c r="Q2883" s="2" t="s">
        <v>5156</v>
      </c>
      <c r="R2883" s="2" t="s">
        <v>29</v>
      </c>
      <c r="S2883" s="2" t="s">
        <v>30</v>
      </c>
    </row>
    <row r="2884" spans="1:19">
      <c r="A2884" s="1">
        <v>45292</v>
      </c>
      <c r="B2884" s="1">
        <v>45292</v>
      </c>
      <c r="C2884">
        <v>2024</v>
      </c>
      <c r="D2884">
        <v>1</v>
      </c>
      <c r="E2884" s="2" t="s">
        <v>226</v>
      </c>
      <c r="F2884" s="2" t="s">
        <v>227</v>
      </c>
      <c r="G2884" s="2" t="s">
        <v>185</v>
      </c>
      <c r="H2884" s="2" t="s">
        <v>22</v>
      </c>
      <c r="I2884" s="2" t="s">
        <v>215</v>
      </c>
      <c r="J2884" s="2" t="s">
        <v>59</v>
      </c>
      <c r="K2884">
        <v>117854.93</v>
      </c>
      <c r="L2884">
        <v>2815295.77</v>
      </c>
      <c r="M2884">
        <v>2388.7800000000002</v>
      </c>
      <c r="N2884" s="2" t="s">
        <v>228</v>
      </c>
      <c r="O2884" s="2" t="s">
        <v>229</v>
      </c>
      <c r="P2884" s="2" t="s">
        <v>5157</v>
      </c>
      <c r="Q2884" s="2" t="s">
        <v>5158</v>
      </c>
      <c r="R2884" s="2" t="s">
        <v>29</v>
      </c>
      <c r="S2884" s="2" t="s">
        <v>30</v>
      </c>
    </row>
    <row r="2885" spans="1:19">
      <c r="A2885" s="1">
        <v>45292</v>
      </c>
      <c r="B2885" s="1">
        <v>45292</v>
      </c>
      <c r="C2885">
        <v>2024</v>
      </c>
      <c r="D2885">
        <v>1</v>
      </c>
      <c r="E2885" s="2" t="s">
        <v>232</v>
      </c>
      <c r="F2885" s="2" t="s">
        <v>233</v>
      </c>
      <c r="G2885" s="2" t="s">
        <v>21</v>
      </c>
      <c r="H2885" s="2" t="s">
        <v>22</v>
      </c>
      <c r="I2885" s="2" t="s">
        <v>23</v>
      </c>
      <c r="J2885" s="2" t="s">
        <v>24</v>
      </c>
      <c r="K2885">
        <v>948.05</v>
      </c>
      <c r="L2885">
        <v>127514.32</v>
      </c>
      <c r="M2885">
        <v>13450.17</v>
      </c>
      <c r="N2885" s="2" t="s">
        <v>234</v>
      </c>
      <c r="O2885" s="2" t="s">
        <v>235</v>
      </c>
      <c r="P2885" s="2" t="s">
        <v>5159</v>
      </c>
      <c r="Q2885" s="2" t="s">
        <v>5160</v>
      </c>
      <c r="R2885" s="2" t="s">
        <v>29</v>
      </c>
      <c r="S2885" s="2" t="s">
        <v>30</v>
      </c>
    </row>
    <row r="2886" spans="1:19">
      <c r="A2886" s="1">
        <v>45292</v>
      </c>
      <c r="B2886" s="1">
        <v>45292</v>
      </c>
      <c r="C2886">
        <v>2024</v>
      </c>
      <c r="D2886">
        <v>1</v>
      </c>
      <c r="E2886" s="2" t="s">
        <v>238</v>
      </c>
      <c r="F2886" s="2" t="s">
        <v>239</v>
      </c>
      <c r="G2886" s="2" t="s">
        <v>21</v>
      </c>
      <c r="H2886" s="2" t="s">
        <v>22</v>
      </c>
      <c r="I2886" s="2" t="s">
        <v>66</v>
      </c>
      <c r="J2886" s="2" t="s">
        <v>24</v>
      </c>
      <c r="K2886">
        <v>1440.08</v>
      </c>
      <c r="L2886">
        <v>153563.81</v>
      </c>
      <c r="M2886">
        <v>10663.56</v>
      </c>
      <c r="N2886" s="2" t="s">
        <v>240</v>
      </c>
      <c r="O2886" s="2" t="s">
        <v>241</v>
      </c>
      <c r="P2886" s="2" t="s">
        <v>5161</v>
      </c>
      <c r="Q2886" s="2" t="s">
        <v>5162</v>
      </c>
      <c r="R2886" s="2" t="s">
        <v>29</v>
      </c>
      <c r="S2886" s="2" t="s">
        <v>30</v>
      </c>
    </row>
    <row r="2887" spans="1:19">
      <c r="A2887" s="1">
        <v>45292</v>
      </c>
      <c r="B2887" s="1">
        <v>45292</v>
      </c>
      <c r="C2887">
        <v>2024</v>
      </c>
      <c r="D2887">
        <v>1</v>
      </c>
      <c r="E2887" s="2" t="s">
        <v>244</v>
      </c>
      <c r="F2887" s="2" t="s">
        <v>245</v>
      </c>
      <c r="G2887" s="2" t="s">
        <v>21</v>
      </c>
      <c r="H2887" s="2" t="s">
        <v>22</v>
      </c>
      <c r="I2887" s="2" t="s">
        <v>23</v>
      </c>
      <c r="J2887" s="2" t="s">
        <v>24</v>
      </c>
      <c r="K2887">
        <v>6882.78</v>
      </c>
      <c r="L2887">
        <v>3367322.17</v>
      </c>
      <c r="M2887">
        <v>48923.87</v>
      </c>
      <c r="N2887" s="2" t="s">
        <v>246</v>
      </c>
      <c r="O2887" s="2" t="s">
        <v>247</v>
      </c>
      <c r="P2887" s="2" t="s">
        <v>5163</v>
      </c>
      <c r="Q2887" s="2" t="s">
        <v>5164</v>
      </c>
      <c r="R2887" s="2" t="s">
        <v>29</v>
      </c>
      <c r="S2887" s="2" t="s">
        <v>30</v>
      </c>
    </row>
    <row r="2888" spans="1:19">
      <c r="A2888" s="1">
        <v>45292</v>
      </c>
      <c r="B2888" s="1">
        <v>45292</v>
      </c>
      <c r="C2888">
        <v>2024</v>
      </c>
      <c r="D2888">
        <v>1</v>
      </c>
      <c r="E2888" s="2" t="s">
        <v>250</v>
      </c>
      <c r="F2888" s="2" t="s">
        <v>251</v>
      </c>
      <c r="G2888" s="2" t="s">
        <v>21</v>
      </c>
      <c r="H2888" s="2" t="s">
        <v>22</v>
      </c>
      <c r="I2888" s="2" t="s">
        <v>66</v>
      </c>
      <c r="J2888" s="2" t="s">
        <v>24</v>
      </c>
      <c r="K2888">
        <v>112.6</v>
      </c>
      <c r="L2888">
        <v>222.25</v>
      </c>
      <c r="M2888">
        <v>197.38</v>
      </c>
      <c r="N2888" s="2" t="s">
        <v>252</v>
      </c>
      <c r="O2888" s="2" t="s">
        <v>253</v>
      </c>
      <c r="P2888" s="2" t="s">
        <v>5165</v>
      </c>
      <c r="Q2888" s="2" t="s">
        <v>5166</v>
      </c>
      <c r="R2888" s="2" t="s">
        <v>29</v>
      </c>
      <c r="S2888" s="2" t="s">
        <v>30</v>
      </c>
    </row>
    <row r="2889" spans="1:19">
      <c r="A2889" s="1">
        <v>45292</v>
      </c>
      <c r="B2889" s="1">
        <v>45292</v>
      </c>
      <c r="C2889">
        <v>2024</v>
      </c>
      <c r="D2889">
        <v>1</v>
      </c>
      <c r="E2889" s="2" t="s">
        <v>256</v>
      </c>
      <c r="F2889" s="2" t="s">
        <v>257</v>
      </c>
      <c r="G2889" s="2" t="s">
        <v>21</v>
      </c>
      <c r="H2889" s="2" t="s">
        <v>22</v>
      </c>
      <c r="I2889" s="2" t="s">
        <v>258</v>
      </c>
      <c r="J2889" s="2" t="s">
        <v>24</v>
      </c>
      <c r="K2889">
        <v>547.16999999999996</v>
      </c>
      <c r="L2889">
        <v>583652.73</v>
      </c>
      <c r="M2889">
        <v>106667.53</v>
      </c>
      <c r="N2889" s="2" t="s">
        <v>259</v>
      </c>
      <c r="O2889" s="2" t="s">
        <v>260</v>
      </c>
      <c r="P2889" s="2" t="s">
        <v>5167</v>
      </c>
      <c r="Q2889" s="2" t="s">
        <v>5168</v>
      </c>
      <c r="R2889" s="2" t="s">
        <v>29</v>
      </c>
      <c r="S2889" s="2" t="s">
        <v>30</v>
      </c>
    </row>
    <row r="2890" spans="1:19">
      <c r="A2890" s="1">
        <v>45292</v>
      </c>
      <c r="B2890" s="1">
        <v>45292</v>
      </c>
      <c r="C2890">
        <v>2024</v>
      </c>
      <c r="D2890">
        <v>1</v>
      </c>
      <c r="E2890" s="2" t="s">
        <v>263</v>
      </c>
      <c r="F2890" s="2" t="s">
        <v>264</v>
      </c>
      <c r="G2890" s="2" t="s">
        <v>21</v>
      </c>
      <c r="H2890" s="2" t="s">
        <v>22</v>
      </c>
      <c r="I2890" s="2" t="s">
        <v>258</v>
      </c>
      <c r="J2890" s="2" t="s">
        <v>24</v>
      </c>
      <c r="K2890">
        <v>0</v>
      </c>
      <c r="L2890">
        <v>0</v>
      </c>
      <c r="N2890" s="2" t="s">
        <v>265</v>
      </c>
      <c r="O2890" s="2" t="s">
        <v>266</v>
      </c>
      <c r="P2890" s="2" t="s">
        <v>639</v>
      </c>
      <c r="Q2890" s="2" t="s">
        <v>639</v>
      </c>
      <c r="R2890" s="2" t="s">
        <v>29</v>
      </c>
      <c r="S2890" s="2" t="s">
        <v>30</v>
      </c>
    </row>
    <row r="2891" spans="1:19">
      <c r="A2891" s="1">
        <v>45292</v>
      </c>
      <c r="B2891" s="1">
        <v>45292</v>
      </c>
      <c r="C2891">
        <v>2024</v>
      </c>
      <c r="D2891">
        <v>1</v>
      </c>
      <c r="E2891" s="2" t="s">
        <v>269</v>
      </c>
      <c r="F2891" s="2" t="s">
        <v>270</v>
      </c>
      <c r="G2891" s="2" t="s">
        <v>21</v>
      </c>
      <c r="H2891" s="2" t="s">
        <v>22</v>
      </c>
      <c r="I2891" s="2" t="s">
        <v>258</v>
      </c>
      <c r="J2891" s="2" t="s">
        <v>59</v>
      </c>
      <c r="K2891">
        <v>547.16999999999996</v>
      </c>
      <c r="L2891">
        <v>583652.73</v>
      </c>
      <c r="M2891">
        <v>106667.53</v>
      </c>
      <c r="N2891" s="2" t="s">
        <v>271</v>
      </c>
      <c r="O2891" s="2" t="s">
        <v>272</v>
      </c>
      <c r="P2891" s="2" t="s">
        <v>5167</v>
      </c>
      <c r="Q2891" s="2" t="s">
        <v>5168</v>
      </c>
      <c r="R2891" s="2" t="s">
        <v>29</v>
      </c>
      <c r="S2891" s="2" t="s">
        <v>30</v>
      </c>
    </row>
    <row r="2892" spans="1:19">
      <c r="A2892" s="1">
        <v>45292</v>
      </c>
      <c r="B2892" s="1">
        <v>45292</v>
      </c>
      <c r="C2892">
        <v>2024</v>
      </c>
      <c r="D2892">
        <v>1</v>
      </c>
      <c r="E2892" s="2" t="s">
        <v>275</v>
      </c>
      <c r="F2892" s="2" t="s">
        <v>276</v>
      </c>
      <c r="G2892" s="2" t="s">
        <v>39</v>
      </c>
      <c r="H2892" s="2" t="s">
        <v>22</v>
      </c>
      <c r="I2892" s="2" t="s">
        <v>40</v>
      </c>
      <c r="J2892" s="2" t="s">
        <v>24</v>
      </c>
      <c r="K2892">
        <v>0.64</v>
      </c>
      <c r="L2892">
        <v>6.12</v>
      </c>
      <c r="M2892">
        <v>956.25</v>
      </c>
      <c r="N2892" s="2" t="s">
        <v>277</v>
      </c>
      <c r="O2892" s="2" t="s">
        <v>278</v>
      </c>
      <c r="P2892" s="2" t="s">
        <v>27</v>
      </c>
      <c r="Q2892" s="2" t="s">
        <v>3174</v>
      </c>
      <c r="R2892" s="2" t="s">
        <v>29</v>
      </c>
      <c r="S2892" s="2" t="s">
        <v>30</v>
      </c>
    </row>
    <row r="2893" spans="1:19">
      <c r="A2893" s="1">
        <v>45292</v>
      </c>
      <c r="B2893" s="1">
        <v>45292</v>
      </c>
      <c r="C2893">
        <v>2024</v>
      </c>
      <c r="D2893">
        <v>1</v>
      </c>
      <c r="E2893" s="2" t="s">
        <v>281</v>
      </c>
      <c r="F2893" s="2" t="s">
        <v>282</v>
      </c>
      <c r="G2893" s="2" t="s">
        <v>39</v>
      </c>
      <c r="H2893" s="2" t="s">
        <v>22</v>
      </c>
      <c r="I2893" s="2" t="s">
        <v>40</v>
      </c>
      <c r="J2893" s="2" t="s">
        <v>24</v>
      </c>
      <c r="K2893">
        <v>0.02</v>
      </c>
      <c r="L2893">
        <v>0.1</v>
      </c>
      <c r="M2893">
        <v>500</v>
      </c>
      <c r="N2893" s="2" t="s">
        <v>283</v>
      </c>
      <c r="O2893" s="2" t="s">
        <v>284</v>
      </c>
      <c r="P2893" s="2" t="s">
        <v>1039</v>
      </c>
      <c r="Q2893" s="2" t="s">
        <v>425</v>
      </c>
      <c r="R2893" s="2" t="s">
        <v>29</v>
      </c>
      <c r="S2893" s="2" t="s">
        <v>30</v>
      </c>
    </row>
    <row r="2894" spans="1:19">
      <c r="A2894" s="1">
        <v>45292</v>
      </c>
      <c r="B2894" s="1">
        <v>45292</v>
      </c>
      <c r="C2894">
        <v>2024</v>
      </c>
      <c r="D2894">
        <v>1</v>
      </c>
      <c r="E2894" s="2" t="s">
        <v>287</v>
      </c>
      <c r="F2894" s="2" t="s">
        <v>288</v>
      </c>
      <c r="G2894" s="2" t="s">
        <v>39</v>
      </c>
      <c r="H2894" s="2" t="s">
        <v>22</v>
      </c>
      <c r="I2894" s="2" t="s">
        <v>40</v>
      </c>
      <c r="J2894" s="2" t="s">
        <v>59</v>
      </c>
      <c r="K2894">
        <v>0.65</v>
      </c>
      <c r="L2894">
        <v>6.22</v>
      </c>
      <c r="M2894">
        <v>956.92</v>
      </c>
      <c r="N2894" s="2" t="s">
        <v>289</v>
      </c>
      <c r="O2894" s="2" t="s">
        <v>290</v>
      </c>
      <c r="P2894" s="2" t="s">
        <v>2789</v>
      </c>
      <c r="Q2894" s="2" t="s">
        <v>5169</v>
      </c>
      <c r="R2894" s="2" t="s">
        <v>29</v>
      </c>
      <c r="S2894" s="2" t="s">
        <v>30</v>
      </c>
    </row>
    <row r="2895" spans="1:19">
      <c r="A2895" s="1">
        <v>45292</v>
      </c>
      <c r="B2895" s="1">
        <v>45292</v>
      </c>
      <c r="C2895">
        <v>2024</v>
      </c>
      <c r="D2895">
        <v>1</v>
      </c>
      <c r="E2895" s="2" t="s">
        <v>293</v>
      </c>
      <c r="F2895" s="2" t="s">
        <v>294</v>
      </c>
      <c r="G2895" s="2" t="s">
        <v>21</v>
      </c>
      <c r="H2895" s="2" t="s">
        <v>22</v>
      </c>
      <c r="I2895" s="2" t="s">
        <v>295</v>
      </c>
      <c r="J2895" s="2" t="s">
        <v>24</v>
      </c>
      <c r="K2895">
        <v>629.91</v>
      </c>
      <c r="L2895">
        <v>3598.17</v>
      </c>
      <c r="M2895">
        <v>571.22</v>
      </c>
      <c r="N2895" s="2" t="s">
        <v>296</v>
      </c>
      <c r="O2895" s="2" t="s">
        <v>297</v>
      </c>
      <c r="P2895" s="2" t="s">
        <v>5170</v>
      </c>
      <c r="Q2895" s="2" t="s">
        <v>5171</v>
      </c>
      <c r="R2895" s="2" t="s">
        <v>29</v>
      </c>
      <c r="S2895" s="2" t="s">
        <v>30</v>
      </c>
    </row>
    <row r="2896" spans="1:19">
      <c r="A2896" s="1">
        <v>45292</v>
      </c>
      <c r="B2896" s="1">
        <v>45292</v>
      </c>
      <c r="C2896">
        <v>2024</v>
      </c>
      <c r="D2896">
        <v>1</v>
      </c>
      <c r="E2896" s="2" t="s">
        <v>300</v>
      </c>
      <c r="F2896" s="2" t="s">
        <v>301</v>
      </c>
      <c r="G2896" s="2" t="s">
        <v>21</v>
      </c>
      <c r="H2896" s="2" t="s">
        <v>22</v>
      </c>
      <c r="I2896" s="2" t="s">
        <v>295</v>
      </c>
      <c r="J2896" s="2" t="s">
        <v>24</v>
      </c>
      <c r="K2896">
        <v>690.67</v>
      </c>
      <c r="L2896">
        <v>927.33</v>
      </c>
      <c r="M2896">
        <v>134.27000000000001</v>
      </c>
      <c r="N2896" s="2" t="s">
        <v>302</v>
      </c>
      <c r="O2896" s="2" t="s">
        <v>303</v>
      </c>
      <c r="P2896" s="2" t="s">
        <v>5172</v>
      </c>
      <c r="Q2896" s="2" t="s">
        <v>5173</v>
      </c>
      <c r="R2896" s="2" t="s">
        <v>29</v>
      </c>
      <c r="S2896" s="2" t="s">
        <v>30</v>
      </c>
    </row>
    <row r="2897" spans="1:19">
      <c r="A2897" s="1">
        <v>45292</v>
      </c>
      <c r="B2897" s="1">
        <v>45292</v>
      </c>
      <c r="C2897">
        <v>2024</v>
      </c>
      <c r="D2897">
        <v>1</v>
      </c>
      <c r="E2897" s="2" t="s">
        <v>306</v>
      </c>
      <c r="F2897" s="2" t="s">
        <v>307</v>
      </c>
      <c r="G2897" s="2" t="s">
        <v>21</v>
      </c>
      <c r="H2897" s="2" t="s">
        <v>22</v>
      </c>
      <c r="I2897" s="2" t="s">
        <v>295</v>
      </c>
      <c r="J2897" s="2" t="s">
        <v>101</v>
      </c>
      <c r="K2897">
        <v>1320.58</v>
      </c>
      <c r="L2897">
        <v>4525.49</v>
      </c>
      <c r="M2897">
        <v>342.69</v>
      </c>
      <c r="N2897" s="2" t="s">
        <v>308</v>
      </c>
      <c r="O2897" s="2" t="s">
        <v>309</v>
      </c>
      <c r="P2897" s="2" t="s">
        <v>5174</v>
      </c>
      <c r="Q2897" s="2" t="s">
        <v>5175</v>
      </c>
      <c r="R2897" s="2" t="s">
        <v>29</v>
      </c>
      <c r="S2897" s="2" t="s">
        <v>30</v>
      </c>
    </row>
    <row r="2898" spans="1:19">
      <c r="A2898" s="1">
        <v>45292</v>
      </c>
      <c r="B2898" s="1">
        <v>45292</v>
      </c>
      <c r="C2898">
        <v>2024</v>
      </c>
      <c r="D2898">
        <v>1</v>
      </c>
      <c r="E2898" s="2" t="s">
        <v>312</v>
      </c>
      <c r="F2898" s="2" t="s">
        <v>313</v>
      </c>
      <c r="G2898" s="2" t="s">
        <v>21</v>
      </c>
      <c r="H2898" s="2" t="s">
        <v>22</v>
      </c>
      <c r="I2898" s="2" t="s">
        <v>295</v>
      </c>
      <c r="J2898" s="2" t="s">
        <v>59</v>
      </c>
      <c r="K2898">
        <v>7087.25</v>
      </c>
      <c r="L2898">
        <v>25784.38</v>
      </c>
      <c r="M2898">
        <v>363.81</v>
      </c>
      <c r="N2898" s="2" t="s">
        <v>314</v>
      </c>
      <c r="O2898" s="2" t="s">
        <v>315</v>
      </c>
      <c r="P2898" s="2" t="s">
        <v>5176</v>
      </c>
      <c r="Q2898" s="2" t="s">
        <v>5177</v>
      </c>
      <c r="R2898" s="2" t="s">
        <v>29</v>
      </c>
      <c r="S2898" s="2" t="s">
        <v>30</v>
      </c>
    </row>
    <row r="2899" spans="1:19">
      <c r="A2899" s="1">
        <v>45292</v>
      </c>
      <c r="B2899" s="1">
        <v>45292</v>
      </c>
      <c r="C2899">
        <v>2024</v>
      </c>
      <c r="D2899">
        <v>1</v>
      </c>
      <c r="E2899" s="2" t="s">
        <v>318</v>
      </c>
      <c r="F2899" s="2" t="s">
        <v>319</v>
      </c>
      <c r="G2899" s="2" t="s">
        <v>21</v>
      </c>
      <c r="H2899" s="2" t="s">
        <v>22</v>
      </c>
      <c r="I2899" s="2" t="s">
        <v>295</v>
      </c>
      <c r="J2899" s="2" t="s">
        <v>24</v>
      </c>
      <c r="K2899">
        <v>5766.67</v>
      </c>
      <c r="L2899">
        <v>21258.89</v>
      </c>
      <c r="M2899">
        <v>368.65</v>
      </c>
      <c r="N2899" s="2" t="s">
        <v>320</v>
      </c>
      <c r="O2899" s="2" t="s">
        <v>321</v>
      </c>
      <c r="P2899" s="2" t="s">
        <v>5178</v>
      </c>
      <c r="Q2899" s="2" t="s">
        <v>5179</v>
      </c>
      <c r="R2899" s="2" t="s">
        <v>29</v>
      </c>
      <c r="S2899" s="2" t="s">
        <v>30</v>
      </c>
    </row>
    <row r="2900" spans="1:19">
      <c r="A2900" s="1">
        <v>45292</v>
      </c>
      <c r="B2900" s="1">
        <v>45292</v>
      </c>
      <c r="C2900">
        <v>2024</v>
      </c>
      <c r="D2900">
        <v>1</v>
      </c>
      <c r="E2900" s="2" t="s">
        <v>324</v>
      </c>
      <c r="F2900" s="2" t="s">
        <v>325</v>
      </c>
      <c r="G2900" s="2" t="s">
        <v>21</v>
      </c>
      <c r="H2900" s="2" t="s">
        <v>22</v>
      </c>
      <c r="I2900" s="2" t="s">
        <v>23</v>
      </c>
      <c r="J2900" s="2" t="s">
        <v>59</v>
      </c>
      <c r="K2900">
        <v>137068.03</v>
      </c>
      <c r="L2900">
        <v>5945126.2400000002</v>
      </c>
      <c r="M2900">
        <v>4337.3500000000004</v>
      </c>
      <c r="N2900" s="2" t="s">
        <v>326</v>
      </c>
      <c r="O2900" s="2" t="s">
        <v>327</v>
      </c>
      <c r="P2900" s="2" t="s">
        <v>5180</v>
      </c>
      <c r="Q2900" s="2" t="s">
        <v>5181</v>
      </c>
      <c r="R2900" s="2" t="s">
        <v>29</v>
      </c>
      <c r="S2900" s="2" t="s">
        <v>30</v>
      </c>
    </row>
    <row r="2901" spans="1:19">
      <c r="A2901" s="1">
        <v>45292</v>
      </c>
      <c r="B2901" s="1">
        <v>45292</v>
      </c>
      <c r="C2901">
        <v>2024</v>
      </c>
      <c r="D2901">
        <v>1</v>
      </c>
      <c r="E2901" s="2" t="s">
        <v>330</v>
      </c>
      <c r="F2901" s="2" t="s">
        <v>331</v>
      </c>
      <c r="G2901" s="2" t="s">
        <v>21</v>
      </c>
      <c r="H2901" s="2" t="s">
        <v>332</v>
      </c>
      <c r="I2901" s="2" t="s">
        <v>333</v>
      </c>
      <c r="J2901" s="2" t="s">
        <v>24</v>
      </c>
      <c r="K2901">
        <v>229.79</v>
      </c>
      <c r="L2901">
        <v>13127719.6</v>
      </c>
      <c r="M2901">
        <v>5712920.3200000003</v>
      </c>
      <c r="N2901" s="2" t="s">
        <v>334</v>
      </c>
      <c r="O2901" s="2" t="s">
        <v>335</v>
      </c>
      <c r="P2901" s="2" t="s">
        <v>5182</v>
      </c>
      <c r="Q2901" s="2" t="s">
        <v>5183</v>
      </c>
      <c r="R2901" s="2" t="s">
        <v>29</v>
      </c>
      <c r="S2901" s="2" t="s">
        <v>30</v>
      </c>
    </row>
    <row r="2902" spans="1:19">
      <c r="A2902" s="1">
        <v>45292</v>
      </c>
      <c r="B2902" s="1">
        <v>45292</v>
      </c>
      <c r="C2902">
        <v>2024</v>
      </c>
      <c r="D2902">
        <v>1</v>
      </c>
      <c r="E2902" s="2" t="s">
        <v>338</v>
      </c>
      <c r="F2902" s="2" t="s">
        <v>339</v>
      </c>
      <c r="G2902" s="2" t="s">
        <v>21</v>
      </c>
      <c r="H2902" s="2" t="s">
        <v>332</v>
      </c>
      <c r="I2902" s="2" t="s">
        <v>333</v>
      </c>
      <c r="J2902" s="2" t="s">
        <v>24</v>
      </c>
      <c r="K2902">
        <v>1.2</v>
      </c>
      <c r="L2902">
        <v>1563905.26</v>
      </c>
      <c r="M2902">
        <v>130325438.33</v>
      </c>
      <c r="N2902" s="2" t="s">
        <v>340</v>
      </c>
      <c r="O2902" s="2" t="s">
        <v>341</v>
      </c>
      <c r="P2902" s="2" t="s">
        <v>3533</v>
      </c>
      <c r="Q2902" s="2" t="s">
        <v>5184</v>
      </c>
      <c r="R2902" s="2" t="s">
        <v>29</v>
      </c>
      <c r="S2902" s="2" t="s">
        <v>30</v>
      </c>
    </row>
    <row r="2903" spans="1:19">
      <c r="A2903" s="1">
        <v>45292</v>
      </c>
      <c r="B2903" s="1">
        <v>45292</v>
      </c>
      <c r="C2903">
        <v>2024</v>
      </c>
      <c r="D2903">
        <v>1</v>
      </c>
      <c r="E2903" s="2" t="s">
        <v>344</v>
      </c>
      <c r="F2903" s="2" t="s">
        <v>345</v>
      </c>
      <c r="G2903" s="2" t="s">
        <v>21</v>
      </c>
      <c r="H2903" s="2" t="s">
        <v>332</v>
      </c>
      <c r="I2903" s="2" t="s">
        <v>333</v>
      </c>
      <c r="J2903" s="2" t="s">
        <v>59</v>
      </c>
      <c r="K2903">
        <v>230.99</v>
      </c>
      <c r="L2903">
        <v>14691624.859999999</v>
      </c>
      <c r="M2903">
        <v>6360286.0999999996</v>
      </c>
      <c r="N2903" s="2" t="s">
        <v>346</v>
      </c>
      <c r="O2903" s="2" t="s">
        <v>347</v>
      </c>
      <c r="P2903" s="2" t="s">
        <v>5185</v>
      </c>
      <c r="Q2903" s="2" t="s">
        <v>5186</v>
      </c>
      <c r="R2903" s="2" t="s">
        <v>29</v>
      </c>
      <c r="S2903" s="2" t="s">
        <v>30</v>
      </c>
    </row>
    <row r="2904" spans="1:19">
      <c r="A2904" s="1">
        <v>45292</v>
      </c>
      <c r="B2904" s="1">
        <v>45292</v>
      </c>
      <c r="C2904">
        <v>2024</v>
      </c>
      <c r="D2904">
        <v>1</v>
      </c>
      <c r="E2904" s="2" t="s">
        <v>350</v>
      </c>
      <c r="F2904" s="2" t="s">
        <v>351</v>
      </c>
      <c r="G2904" s="2" t="s">
        <v>21</v>
      </c>
      <c r="H2904" s="2" t="s">
        <v>22</v>
      </c>
      <c r="I2904" s="2" t="s">
        <v>352</v>
      </c>
      <c r="J2904" s="2" t="s">
        <v>353</v>
      </c>
      <c r="K2904">
        <v>150891.97</v>
      </c>
      <c r="L2904">
        <v>21028870.68</v>
      </c>
      <c r="M2904">
        <v>13936.37</v>
      </c>
      <c r="N2904" s="2" t="s">
        <v>354</v>
      </c>
      <c r="O2904" s="2" t="s">
        <v>355</v>
      </c>
      <c r="P2904" s="2" t="s">
        <v>5187</v>
      </c>
      <c r="Q2904" s="2" t="s">
        <v>5188</v>
      </c>
      <c r="R2904" s="2" t="s">
        <v>29</v>
      </c>
      <c r="S2904" s="2" t="s">
        <v>30</v>
      </c>
    </row>
    <row r="2905" spans="1:19">
      <c r="A2905" s="1">
        <v>45292</v>
      </c>
      <c r="B2905" s="1">
        <v>45292</v>
      </c>
      <c r="C2905">
        <v>2024</v>
      </c>
      <c r="D2905">
        <v>1</v>
      </c>
      <c r="E2905" s="2" t="s">
        <v>358</v>
      </c>
      <c r="F2905" s="2" t="s">
        <v>359</v>
      </c>
      <c r="G2905" s="2" t="s">
        <v>21</v>
      </c>
      <c r="H2905" s="2" t="s">
        <v>22</v>
      </c>
      <c r="I2905" s="2" t="s">
        <v>352</v>
      </c>
      <c r="J2905" s="2" t="s">
        <v>353</v>
      </c>
      <c r="K2905">
        <v>151439.14000000001</v>
      </c>
      <c r="L2905">
        <v>21612523.41</v>
      </c>
      <c r="M2905">
        <v>14271.43</v>
      </c>
      <c r="N2905" s="2" t="s">
        <v>360</v>
      </c>
      <c r="O2905" s="2" t="s">
        <v>361</v>
      </c>
      <c r="P2905" s="2" t="s">
        <v>5189</v>
      </c>
      <c r="Q2905" s="2" t="s">
        <v>5190</v>
      </c>
      <c r="R2905" s="2" t="s">
        <v>29</v>
      </c>
      <c r="S2905" s="2" t="s">
        <v>30</v>
      </c>
    </row>
    <row r="2906" spans="1:19">
      <c r="A2906" s="1">
        <v>45292</v>
      </c>
      <c r="B2906" s="1">
        <v>45292</v>
      </c>
      <c r="C2906">
        <v>2024</v>
      </c>
      <c r="D2906">
        <v>1</v>
      </c>
      <c r="E2906" s="2" t="s">
        <v>364</v>
      </c>
      <c r="F2906" s="2" t="s">
        <v>365</v>
      </c>
      <c r="G2906" s="2" t="s">
        <v>21</v>
      </c>
      <c r="H2906" s="2" t="s">
        <v>22</v>
      </c>
      <c r="I2906" s="2" t="s">
        <v>352</v>
      </c>
      <c r="J2906" s="2" t="s">
        <v>353</v>
      </c>
      <c r="K2906">
        <v>151208.15</v>
      </c>
      <c r="L2906">
        <v>6920898.5499999998</v>
      </c>
      <c r="M2906">
        <v>4577.07</v>
      </c>
      <c r="N2906" s="2" t="s">
        <v>366</v>
      </c>
      <c r="O2906" s="2" t="s">
        <v>367</v>
      </c>
      <c r="P2906" s="2" t="s">
        <v>5191</v>
      </c>
      <c r="Q2906" s="2" t="s">
        <v>5192</v>
      </c>
      <c r="R2906" s="2" t="s">
        <v>29</v>
      </c>
      <c r="S2906" s="2" t="s">
        <v>30</v>
      </c>
    </row>
    <row r="2907" spans="1:19">
      <c r="A2907" s="1">
        <v>45292</v>
      </c>
      <c r="B2907" s="1">
        <v>45292</v>
      </c>
      <c r="C2907">
        <v>2024</v>
      </c>
      <c r="D2907">
        <v>1</v>
      </c>
      <c r="E2907" s="2" t="s">
        <v>370</v>
      </c>
      <c r="F2907" s="2" t="s">
        <v>371</v>
      </c>
      <c r="G2907" s="2" t="s">
        <v>21</v>
      </c>
      <c r="H2907" s="2" t="s">
        <v>22</v>
      </c>
      <c r="I2907" s="2" t="s">
        <v>23</v>
      </c>
      <c r="J2907" s="2" t="s">
        <v>24</v>
      </c>
      <c r="K2907">
        <v>122030.18</v>
      </c>
      <c r="L2907">
        <v>1841083.97</v>
      </c>
      <c r="M2907">
        <v>1508.71</v>
      </c>
      <c r="N2907" s="2" t="s">
        <v>372</v>
      </c>
      <c r="O2907" s="2" t="s">
        <v>373</v>
      </c>
      <c r="P2907" s="2" t="s">
        <v>5193</v>
      </c>
      <c r="Q2907" s="2" t="s">
        <v>5194</v>
      </c>
      <c r="R2907" s="2" t="s">
        <v>29</v>
      </c>
      <c r="S2907" s="2" t="s">
        <v>30</v>
      </c>
    </row>
    <row r="2908" spans="1:19">
      <c r="A2908" s="1">
        <v>45292</v>
      </c>
      <c r="B2908" s="1">
        <v>45292</v>
      </c>
      <c r="C2908">
        <v>2024</v>
      </c>
      <c r="D2908">
        <v>1</v>
      </c>
      <c r="E2908" s="2" t="s">
        <v>376</v>
      </c>
      <c r="F2908" s="2" t="s">
        <v>377</v>
      </c>
      <c r="G2908" s="2" t="s">
        <v>21</v>
      </c>
      <c r="H2908" s="2" t="s">
        <v>22</v>
      </c>
      <c r="I2908" s="2" t="s">
        <v>23</v>
      </c>
      <c r="J2908" s="2" t="s">
        <v>378</v>
      </c>
      <c r="K2908">
        <v>1.9</v>
      </c>
      <c r="L2908">
        <v>21.4</v>
      </c>
      <c r="M2908">
        <v>1126.32</v>
      </c>
      <c r="N2908" s="2" t="s">
        <v>379</v>
      </c>
      <c r="O2908" s="2" t="s">
        <v>380</v>
      </c>
      <c r="P2908" s="2" t="s">
        <v>3750</v>
      </c>
      <c r="Q2908" s="2" t="s">
        <v>5195</v>
      </c>
      <c r="R2908" s="2" t="s">
        <v>29</v>
      </c>
      <c r="S2908" s="2" t="s">
        <v>30</v>
      </c>
    </row>
    <row r="2909" spans="1:19">
      <c r="A2909" s="1">
        <v>45323</v>
      </c>
      <c r="B2909" s="1">
        <v>45323</v>
      </c>
      <c r="C2909">
        <v>2024</v>
      </c>
      <c r="D2909">
        <v>2</v>
      </c>
      <c r="E2909" s="2" t="s">
        <v>19</v>
      </c>
      <c r="F2909" s="2" t="s">
        <v>20</v>
      </c>
      <c r="G2909" s="2" t="s">
        <v>21</v>
      </c>
      <c r="H2909" s="2" t="s">
        <v>22</v>
      </c>
      <c r="I2909" s="2" t="s">
        <v>23</v>
      </c>
      <c r="J2909" s="2" t="s">
        <v>24</v>
      </c>
      <c r="K2909">
        <v>0.32</v>
      </c>
      <c r="L2909">
        <v>20.77</v>
      </c>
      <c r="M2909">
        <v>6490.62</v>
      </c>
      <c r="N2909" s="2" t="s">
        <v>25</v>
      </c>
      <c r="O2909" s="2" t="s">
        <v>26</v>
      </c>
      <c r="P2909" s="2" t="s">
        <v>1083</v>
      </c>
      <c r="Q2909" s="2" t="s">
        <v>5196</v>
      </c>
      <c r="R2909" s="2" t="s">
        <v>29</v>
      </c>
      <c r="S2909" s="2" t="s">
        <v>30</v>
      </c>
    </row>
    <row r="2910" spans="1:19">
      <c r="A2910" s="1">
        <v>45323</v>
      </c>
      <c r="B2910" s="1">
        <v>45323</v>
      </c>
      <c r="C2910">
        <v>2024</v>
      </c>
      <c r="D2910">
        <v>2</v>
      </c>
      <c r="E2910" s="2" t="s">
        <v>31</v>
      </c>
      <c r="F2910" s="2" t="s">
        <v>32</v>
      </c>
      <c r="G2910" s="2" t="s">
        <v>21</v>
      </c>
      <c r="H2910" s="2" t="s">
        <v>22</v>
      </c>
      <c r="I2910" s="2" t="s">
        <v>23</v>
      </c>
      <c r="J2910" s="2" t="s">
        <v>24</v>
      </c>
      <c r="K2910">
        <v>2965.77</v>
      </c>
      <c r="L2910">
        <v>48312.01</v>
      </c>
      <c r="M2910">
        <v>1628.99</v>
      </c>
      <c r="N2910" s="2" t="s">
        <v>33</v>
      </c>
      <c r="O2910" s="2" t="s">
        <v>34</v>
      </c>
      <c r="P2910" s="2" t="s">
        <v>5197</v>
      </c>
      <c r="Q2910" s="2" t="s">
        <v>5198</v>
      </c>
      <c r="R2910" s="2" t="s">
        <v>29</v>
      </c>
      <c r="S2910" s="2" t="s">
        <v>30</v>
      </c>
    </row>
    <row r="2911" spans="1:19">
      <c r="A2911" s="1">
        <v>45323</v>
      </c>
      <c r="B2911" s="1">
        <v>45323</v>
      </c>
      <c r="C2911">
        <v>2024</v>
      </c>
      <c r="D2911">
        <v>2</v>
      </c>
      <c r="E2911" s="2" t="s">
        <v>37</v>
      </c>
      <c r="F2911" s="2" t="s">
        <v>38</v>
      </c>
      <c r="G2911" s="2" t="s">
        <v>39</v>
      </c>
      <c r="H2911" s="2" t="s">
        <v>22</v>
      </c>
      <c r="I2911" s="2" t="s">
        <v>40</v>
      </c>
      <c r="J2911" s="2" t="s">
        <v>24</v>
      </c>
      <c r="K2911">
        <v>7.91</v>
      </c>
      <c r="L2911">
        <v>395.35</v>
      </c>
      <c r="M2911">
        <v>4998.1000000000004</v>
      </c>
      <c r="N2911" s="2" t="s">
        <v>41</v>
      </c>
      <c r="O2911" s="2" t="s">
        <v>42</v>
      </c>
      <c r="P2911" s="2" t="s">
        <v>5199</v>
      </c>
      <c r="Q2911" s="2" t="s">
        <v>5200</v>
      </c>
      <c r="R2911" s="2" t="s">
        <v>29</v>
      </c>
      <c r="S2911" s="2" t="s">
        <v>30</v>
      </c>
    </row>
    <row r="2912" spans="1:19">
      <c r="A2912" s="1">
        <v>45323</v>
      </c>
      <c r="B2912" s="1">
        <v>45323</v>
      </c>
      <c r="C2912">
        <v>2024</v>
      </c>
      <c r="D2912">
        <v>2</v>
      </c>
      <c r="E2912" s="2" t="s">
        <v>45</v>
      </c>
      <c r="F2912" s="2" t="s">
        <v>46</v>
      </c>
      <c r="G2912" s="2" t="s">
        <v>39</v>
      </c>
      <c r="H2912" s="2" t="s">
        <v>22</v>
      </c>
      <c r="I2912" s="2" t="s">
        <v>40</v>
      </c>
      <c r="J2912" s="2" t="s">
        <v>24</v>
      </c>
      <c r="K2912">
        <v>5139.17</v>
      </c>
      <c r="L2912">
        <v>255808.94</v>
      </c>
      <c r="M2912">
        <v>4977.63</v>
      </c>
      <c r="N2912" s="2" t="s">
        <v>47</v>
      </c>
      <c r="O2912" s="2" t="s">
        <v>48</v>
      </c>
      <c r="P2912" s="2" t="s">
        <v>5201</v>
      </c>
      <c r="Q2912" s="2" t="s">
        <v>5202</v>
      </c>
      <c r="R2912" s="2" t="s">
        <v>29</v>
      </c>
      <c r="S2912" s="2" t="s">
        <v>30</v>
      </c>
    </row>
    <row r="2913" spans="1:19">
      <c r="A2913" s="1">
        <v>45323</v>
      </c>
      <c r="B2913" s="1">
        <v>45323</v>
      </c>
      <c r="C2913">
        <v>2024</v>
      </c>
      <c r="D2913">
        <v>2</v>
      </c>
      <c r="E2913" s="2" t="s">
        <v>51</v>
      </c>
      <c r="F2913" s="2" t="s">
        <v>52</v>
      </c>
      <c r="G2913" s="2" t="s">
        <v>39</v>
      </c>
      <c r="H2913" s="2" t="s">
        <v>22</v>
      </c>
      <c r="I2913" s="2" t="s">
        <v>40</v>
      </c>
      <c r="J2913" s="2" t="s">
        <v>24</v>
      </c>
      <c r="K2913">
        <v>25.26</v>
      </c>
      <c r="L2913">
        <v>1034.2</v>
      </c>
      <c r="M2913">
        <v>4094.22</v>
      </c>
      <c r="N2913" s="2" t="s">
        <v>53</v>
      </c>
      <c r="O2913" s="2" t="s">
        <v>54</v>
      </c>
      <c r="P2913" s="2" t="s">
        <v>5203</v>
      </c>
      <c r="Q2913" s="2" t="s">
        <v>5204</v>
      </c>
      <c r="R2913" s="2" t="s">
        <v>29</v>
      </c>
      <c r="S2913" s="2" t="s">
        <v>30</v>
      </c>
    </row>
    <row r="2914" spans="1:19">
      <c r="A2914" s="1">
        <v>45323</v>
      </c>
      <c r="B2914" s="1">
        <v>45323</v>
      </c>
      <c r="C2914">
        <v>2024</v>
      </c>
      <c r="D2914">
        <v>2</v>
      </c>
      <c r="E2914" s="2" t="s">
        <v>57</v>
      </c>
      <c r="F2914" s="2" t="s">
        <v>58</v>
      </c>
      <c r="G2914" s="2" t="s">
        <v>39</v>
      </c>
      <c r="H2914" s="2" t="s">
        <v>22</v>
      </c>
      <c r="I2914" s="2" t="s">
        <v>40</v>
      </c>
      <c r="J2914" s="2" t="s">
        <v>59</v>
      </c>
      <c r="K2914">
        <v>5172.34</v>
      </c>
      <c r="L2914">
        <v>257238.48</v>
      </c>
      <c r="M2914">
        <v>4973.3500000000004</v>
      </c>
      <c r="N2914" s="2" t="s">
        <v>60</v>
      </c>
      <c r="O2914" s="2" t="s">
        <v>61</v>
      </c>
      <c r="P2914" s="2" t="s">
        <v>5205</v>
      </c>
      <c r="Q2914" s="2" t="s">
        <v>5206</v>
      </c>
      <c r="R2914" s="2" t="s">
        <v>29</v>
      </c>
      <c r="S2914" s="2" t="s">
        <v>30</v>
      </c>
    </row>
    <row r="2915" spans="1:19">
      <c r="A2915" s="1">
        <v>45323</v>
      </c>
      <c r="B2915" s="1">
        <v>45323</v>
      </c>
      <c r="C2915">
        <v>2024</v>
      </c>
      <c r="D2915">
        <v>2</v>
      </c>
      <c r="E2915" s="2" t="s">
        <v>64</v>
      </c>
      <c r="F2915" s="2" t="s">
        <v>65</v>
      </c>
      <c r="G2915" s="2" t="s">
        <v>21</v>
      </c>
      <c r="H2915" s="2" t="s">
        <v>22</v>
      </c>
      <c r="I2915" s="2" t="s">
        <v>66</v>
      </c>
      <c r="J2915" s="2" t="s">
        <v>24</v>
      </c>
      <c r="K2915">
        <v>15.43</v>
      </c>
      <c r="L2915">
        <v>376.18</v>
      </c>
      <c r="M2915">
        <v>2437.98</v>
      </c>
      <c r="N2915" s="2" t="s">
        <v>67</v>
      </c>
      <c r="O2915" s="2" t="s">
        <v>68</v>
      </c>
      <c r="P2915" s="2" t="s">
        <v>5207</v>
      </c>
      <c r="Q2915" s="2" t="s">
        <v>5208</v>
      </c>
      <c r="R2915" s="2" t="s">
        <v>29</v>
      </c>
      <c r="S2915" s="2" t="s">
        <v>30</v>
      </c>
    </row>
    <row r="2916" spans="1:19">
      <c r="A2916" s="1">
        <v>45323</v>
      </c>
      <c r="B2916" s="1">
        <v>45323</v>
      </c>
      <c r="C2916">
        <v>2024</v>
      </c>
      <c r="D2916">
        <v>2</v>
      </c>
      <c r="E2916" s="2" t="s">
        <v>71</v>
      </c>
      <c r="F2916" s="2" t="s">
        <v>72</v>
      </c>
      <c r="G2916" s="2" t="s">
        <v>21</v>
      </c>
      <c r="H2916" s="2" t="s">
        <v>22</v>
      </c>
      <c r="I2916" s="2" t="s">
        <v>73</v>
      </c>
      <c r="J2916" s="2" t="s">
        <v>59</v>
      </c>
      <c r="K2916">
        <v>4634.92</v>
      </c>
      <c r="L2916">
        <v>190658.44</v>
      </c>
      <c r="M2916">
        <v>4113.5200000000004</v>
      </c>
      <c r="N2916" s="2" t="s">
        <v>74</v>
      </c>
      <c r="O2916" s="2" t="s">
        <v>75</v>
      </c>
      <c r="P2916" s="2" t="s">
        <v>5209</v>
      </c>
      <c r="Q2916" s="2" t="s">
        <v>5210</v>
      </c>
      <c r="R2916" s="2" t="s">
        <v>29</v>
      </c>
      <c r="S2916" s="2" t="s">
        <v>30</v>
      </c>
    </row>
    <row r="2917" spans="1:19">
      <c r="A2917" s="1">
        <v>45323</v>
      </c>
      <c r="B2917" s="1">
        <v>45323</v>
      </c>
      <c r="C2917">
        <v>2024</v>
      </c>
      <c r="D2917">
        <v>2</v>
      </c>
      <c r="E2917" s="2" t="s">
        <v>78</v>
      </c>
      <c r="F2917" s="2" t="s">
        <v>79</v>
      </c>
      <c r="G2917" s="2" t="s">
        <v>80</v>
      </c>
      <c r="H2917" s="2" t="s">
        <v>81</v>
      </c>
      <c r="I2917" s="2" t="s">
        <v>82</v>
      </c>
      <c r="J2917" s="2" t="s">
        <v>24</v>
      </c>
      <c r="K2917">
        <v>2.04</v>
      </c>
      <c r="L2917">
        <v>6537553.5300000003</v>
      </c>
      <c r="M2917">
        <v>320468310.29000002</v>
      </c>
      <c r="N2917" s="2" t="s">
        <v>83</v>
      </c>
      <c r="O2917" s="2" t="s">
        <v>84</v>
      </c>
      <c r="P2917" s="2" t="s">
        <v>5211</v>
      </c>
      <c r="Q2917" s="2" t="s">
        <v>5212</v>
      </c>
      <c r="R2917" s="2" t="s">
        <v>29</v>
      </c>
      <c r="S2917" s="2" t="s">
        <v>30</v>
      </c>
    </row>
    <row r="2918" spans="1:19">
      <c r="A2918" s="1">
        <v>45323</v>
      </c>
      <c r="B2918" s="1">
        <v>45323</v>
      </c>
      <c r="C2918">
        <v>2024</v>
      </c>
      <c r="D2918">
        <v>2</v>
      </c>
      <c r="E2918" s="2" t="s">
        <v>87</v>
      </c>
      <c r="F2918" s="2" t="s">
        <v>88</v>
      </c>
      <c r="G2918" s="2" t="s">
        <v>80</v>
      </c>
      <c r="H2918" s="2" t="s">
        <v>81</v>
      </c>
      <c r="I2918" s="2" t="s">
        <v>82</v>
      </c>
      <c r="J2918" s="2" t="s">
        <v>24</v>
      </c>
      <c r="K2918">
        <v>0.87</v>
      </c>
      <c r="L2918">
        <v>1273135.4099999999</v>
      </c>
      <c r="M2918">
        <v>146337403.44999999</v>
      </c>
      <c r="N2918" s="2" t="s">
        <v>89</v>
      </c>
      <c r="O2918" s="2" t="s">
        <v>90</v>
      </c>
      <c r="P2918" s="2" t="s">
        <v>912</v>
      </c>
      <c r="Q2918" s="2" t="s">
        <v>5213</v>
      </c>
      <c r="R2918" s="2" t="s">
        <v>29</v>
      </c>
      <c r="S2918" s="2" t="s">
        <v>30</v>
      </c>
    </row>
    <row r="2919" spans="1:19">
      <c r="A2919" s="1">
        <v>45323</v>
      </c>
      <c r="B2919" s="1">
        <v>45323</v>
      </c>
      <c r="C2919">
        <v>2024</v>
      </c>
      <c r="D2919">
        <v>2</v>
      </c>
      <c r="E2919" s="2" t="s">
        <v>93</v>
      </c>
      <c r="F2919" s="2" t="s">
        <v>94</v>
      </c>
      <c r="G2919" s="2" t="s">
        <v>80</v>
      </c>
      <c r="H2919" s="2" t="s">
        <v>81</v>
      </c>
      <c r="I2919" s="2" t="s">
        <v>82</v>
      </c>
      <c r="J2919" s="2" t="s">
        <v>24</v>
      </c>
      <c r="K2919">
        <v>0.39</v>
      </c>
      <c r="L2919">
        <v>6575138.6799999997</v>
      </c>
      <c r="M2919">
        <v>1685932994.8699999</v>
      </c>
      <c r="N2919" s="2" t="s">
        <v>95</v>
      </c>
      <c r="O2919" s="2" t="s">
        <v>96</v>
      </c>
      <c r="P2919" s="2" t="s">
        <v>5214</v>
      </c>
      <c r="Q2919" s="2" t="s">
        <v>5215</v>
      </c>
      <c r="R2919" s="2" t="s">
        <v>29</v>
      </c>
      <c r="S2919" s="2" t="s">
        <v>30</v>
      </c>
    </row>
    <row r="2920" spans="1:19">
      <c r="A2920" s="1">
        <v>45323</v>
      </c>
      <c r="B2920" s="1">
        <v>45323</v>
      </c>
      <c r="C2920">
        <v>2024</v>
      </c>
      <c r="D2920">
        <v>2</v>
      </c>
      <c r="E2920" s="2" t="s">
        <v>99</v>
      </c>
      <c r="F2920" s="2" t="s">
        <v>100</v>
      </c>
      <c r="G2920" s="2" t="s">
        <v>80</v>
      </c>
      <c r="H2920" s="2" t="s">
        <v>81</v>
      </c>
      <c r="I2920" s="2" t="s">
        <v>82</v>
      </c>
      <c r="J2920" s="2" t="s">
        <v>101</v>
      </c>
      <c r="K2920">
        <v>1.46</v>
      </c>
      <c r="L2920">
        <v>14722762.189999999</v>
      </c>
      <c r="M2920">
        <v>1008408369.1799999</v>
      </c>
      <c r="N2920" s="2" t="s">
        <v>102</v>
      </c>
      <c r="O2920" s="2" t="s">
        <v>103</v>
      </c>
      <c r="P2920" s="2" t="s">
        <v>4667</v>
      </c>
      <c r="Q2920" s="2" t="s">
        <v>5216</v>
      </c>
      <c r="R2920" s="2" t="s">
        <v>29</v>
      </c>
      <c r="S2920" s="2" t="s">
        <v>30</v>
      </c>
    </row>
    <row r="2921" spans="1:19">
      <c r="A2921" s="1">
        <v>45323</v>
      </c>
      <c r="B2921" s="1">
        <v>45323</v>
      </c>
      <c r="C2921">
        <v>2024</v>
      </c>
      <c r="D2921">
        <v>2</v>
      </c>
      <c r="E2921" s="2" t="s">
        <v>106</v>
      </c>
      <c r="F2921" s="2" t="s">
        <v>107</v>
      </c>
      <c r="G2921" s="2" t="s">
        <v>80</v>
      </c>
      <c r="H2921" s="2" t="s">
        <v>81</v>
      </c>
      <c r="I2921" s="2" t="s">
        <v>82</v>
      </c>
      <c r="J2921" s="2" t="s">
        <v>24</v>
      </c>
      <c r="K2921">
        <v>0.2</v>
      </c>
      <c r="L2921">
        <v>6874488.0999999996</v>
      </c>
      <c r="M2921">
        <v>3437244050</v>
      </c>
      <c r="N2921" s="2" t="s">
        <v>108</v>
      </c>
      <c r="O2921" s="2" t="s">
        <v>109</v>
      </c>
      <c r="P2921" s="2" t="s">
        <v>1142</v>
      </c>
      <c r="Q2921" s="2" t="s">
        <v>5217</v>
      </c>
      <c r="R2921" s="2" t="s">
        <v>29</v>
      </c>
      <c r="S2921" s="2" t="s">
        <v>30</v>
      </c>
    </row>
    <row r="2922" spans="1:19">
      <c r="A2922" s="1">
        <v>45323</v>
      </c>
      <c r="B2922" s="1">
        <v>45323</v>
      </c>
      <c r="C2922">
        <v>2024</v>
      </c>
      <c r="D2922">
        <v>2</v>
      </c>
      <c r="E2922" s="2" t="s">
        <v>111</v>
      </c>
      <c r="F2922" s="2" t="s">
        <v>112</v>
      </c>
      <c r="G2922" s="2" t="s">
        <v>80</v>
      </c>
      <c r="H2922" s="2" t="s">
        <v>81</v>
      </c>
      <c r="I2922" s="2" t="s">
        <v>82</v>
      </c>
      <c r="J2922" s="2" t="s">
        <v>24</v>
      </c>
      <c r="K2922">
        <v>0.09</v>
      </c>
      <c r="L2922">
        <v>647444.49</v>
      </c>
      <c r="M2922">
        <v>719382766.66999996</v>
      </c>
      <c r="N2922" s="2" t="s">
        <v>113</v>
      </c>
      <c r="O2922" s="2" t="s">
        <v>114</v>
      </c>
      <c r="P2922" s="2" t="s">
        <v>534</v>
      </c>
      <c r="Q2922" s="2" t="s">
        <v>5218</v>
      </c>
      <c r="R2922" s="2" t="s">
        <v>29</v>
      </c>
      <c r="S2922" s="2" t="s">
        <v>30</v>
      </c>
    </row>
    <row r="2923" spans="1:19">
      <c r="A2923" s="1">
        <v>45323</v>
      </c>
      <c r="B2923" s="1">
        <v>45323</v>
      </c>
      <c r="C2923">
        <v>2024</v>
      </c>
      <c r="D2923">
        <v>2</v>
      </c>
      <c r="E2923" s="2" t="s">
        <v>117</v>
      </c>
      <c r="F2923" s="2" t="s">
        <v>118</v>
      </c>
      <c r="G2923" s="2" t="s">
        <v>80</v>
      </c>
      <c r="H2923" s="2" t="s">
        <v>81</v>
      </c>
      <c r="I2923" s="2" t="s">
        <v>82</v>
      </c>
      <c r="J2923" s="2" t="s">
        <v>59</v>
      </c>
      <c r="K2923">
        <v>3.6</v>
      </c>
      <c r="L2923">
        <v>21907760.210000001</v>
      </c>
      <c r="M2923">
        <v>608548894.72000003</v>
      </c>
      <c r="N2923" s="2" t="s">
        <v>119</v>
      </c>
      <c r="O2923" s="2" t="s">
        <v>120</v>
      </c>
      <c r="P2923" s="2" t="s">
        <v>5219</v>
      </c>
      <c r="Q2923" s="2" t="s">
        <v>5220</v>
      </c>
      <c r="R2923" s="2" t="s">
        <v>29</v>
      </c>
      <c r="S2923" s="2" t="s">
        <v>30</v>
      </c>
    </row>
    <row r="2924" spans="1:19">
      <c r="A2924" s="1">
        <v>45323</v>
      </c>
      <c r="B2924" s="1">
        <v>45323</v>
      </c>
      <c r="C2924">
        <v>2024</v>
      </c>
      <c r="D2924">
        <v>2</v>
      </c>
      <c r="E2924" s="2" t="s">
        <v>123</v>
      </c>
      <c r="F2924" s="2" t="s">
        <v>124</v>
      </c>
      <c r="G2924" s="2" t="s">
        <v>21</v>
      </c>
      <c r="H2924" s="2" t="s">
        <v>22</v>
      </c>
      <c r="I2924" s="2" t="s">
        <v>73</v>
      </c>
      <c r="J2924" s="2" t="s">
        <v>24</v>
      </c>
      <c r="K2924">
        <v>1493.94</v>
      </c>
      <c r="L2924">
        <v>94774.89</v>
      </c>
      <c r="M2924">
        <v>6343.96</v>
      </c>
      <c r="N2924" s="2" t="s">
        <v>125</v>
      </c>
      <c r="O2924" s="2" t="s">
        <v>126</v>
      </c>
      <c r="P2924" s="2" t="s">
        <v>5221</v>
      </c>
      <c r="Q2924" s="2" t="s">
        <v>5222</v>
      </c>
      <c r="R2924" s="2" t="s">
        <v>29</v>
      </c>
      <c r="S2924" s="2" t="s">
        <v>30</v>
      </c>
    </row>
    <row r="2925" spans="1:19">
      <c r="A2925" s="1">
        <v>45323</v>
      </c>
      <c r="B2925" s="1">
        <v>45323</v>
      </c>
      <c r="C2925">
        <v>2024</v>
      </c>
      <c r="D2925">
        <v>2</v>
      </c>
      <c r="E2925" s="2" t="s">
        <v>129</v>
      </c>
      <c r="F2925" s="2" t="s">
        <v>130</v>
      </c>
      <c r="G2925" s="2" t="s">
        <v>21</v>
      </c>
      <c r="H2925" s="2" t="s">
        <v>22</v>
      </c>
      <c r="I2925" s="2" t="s">
        <v>73</v>
      </c>
      <c r="J2925" s="2" t="s">
        <v>24</v>
      </c>
      <c r="K2925">
        <v>1618.5</v>
      </c>
      <c r="L2925">
        <v>54431.48</v>
      </c>
      <c r="M2925">
        <v>3363.08</v>
      </c>
      <c r="N2925" s="2" t="s">
        <v>131</v>
      </c>
      <c r="O2925" s="2" t="s">
        <v>132</v>
      </c>
      <c r="P2925" s="2" t="s">
        <v>5223</v>
      </c>
      <c r="Q2925" s="2" t="s">
        <v>5224</v>
      </c>
      <c r="R2925" s="2" t="s">
        <v>29</v>
      </c>
      <c r="S2925" s="2" t="s">
        <v>30</v>
      </c>
    </row>
    <row r="2926" spans="1:19">
      <c r="A2926" s="1">
        <v>45323</v>
      </c>
      <c r="B2926" s="1">
        <v>45323</v>
      </c>
      <c r="C2926">
        <v>2024</v>
      </c>
      <c r="D2926">
        <v>2</v>
      </c>
      <c r="E2926" s="2" t="s">
        <v>135</v>
      </c>
      <c r="F2926" s="2" t="s">
        <v>136</v>
      </c>
      <c r="G2926" s="2" t="s">
        <v>21</v>
      </c>
      <c r="H2926" s="2" t="s">
        <v>22</v>
      </c>
      <c r="I2926" s="2" t="s">
        <v>73</v>
      </c>
      <c r="J2926" s="2" t="s">
        <v>101</v>
      </c>
      <c r="K2926">
        <v>3112.44</v>
      </c>
      <c r="L2926">
        <v>149206.37</v>
      </c>
      <c r="M2926">
        <v>4793.87</v>
      </c>
      <c r="N2926" s="2" t="s">
        <v>137</v>
      </c>
      <c r="O2926" s="2" t="s">
        <v>138</v>
      </c>
      <c r="P2926" s="2" t="s">
        <v>5225</v>
      </c>
      <c r="Q2926" s="2" t="s">
        <v>5226</v>
      </c>
      <c r="R2926" s="2" t="s">
        <v>29</v>
      </c>
      <c r="S2926" s="2" t="s">
        <v>30</v>
      </c>
    </row>
    <row r="2927" spans="1:19">
      <c r="A2927" s="1">
        <v>45323</v>
      </c>
      <c r="B2927" s="1">
        <v>45323</v>
      </c>
      <c r="C2927">
        <v>2024</v>
      </c>
      <c r="D2927">
        <v>2</v>
      </c>
      <c r="E2927" s="2" t="s">
        <v>141</v>
      </c>
      <c r="F2927" s="2" t="s">
        <v>142</v>
      </c>
      <c r="G2927" s="2" t="s">
        <v>21</v>
      </c>
      <c r="H2927" s="2" t="s">
        <v>22</v>
      </c>
      <c r="I2927" s="2" t="s">
        <v>73</v>
      </c>
      <c r="J2927" s="2" t="s">
        <v>24</v>
      </c>
      <c r="K2927">
        <v>413.51</v>
      </c>
      <c r="L2927">
        <v>13533.99</v>
      </c>
      <c r="M2927">
        <v>3272.95</v>
      </c>
      <c r="N2927" s="2" t="s">
        <v>143</v>
      </c>
      <c r="O2927" s="2" t="s">
        <v>144</v>
      </c>
      <c r="P2927" s="2" t="s">
        <v>5227</v>
      </c>
      <c r="Q2927" s="2" t="s">
        <v>5228</v>
      </c>
      <c r="R2927" s="2" t="s">
        <v>29</v>
      </c>
      <c r="S2927" s="2" t="s">
        <v>30</v>
      </c>
    </row>
    <row r="2928" spans="1:19">
      <c r="A2928" s="1">
        <v>45323</v>
      </c>
      <c r="B2928" s="1">
        <v>45323</v>
      </c>
      <c r="C2928">
        <v>2024</v>
      </c>
      <c r="D2928">
        <v>2</v>
      </c>
      <c r="E2928" s="2" t="s">
        <v>147</v>
      </c>
      <c r="F2928" s="2" t="s">
        <v>148</v>
      </c>
      <c r="G2928" s="2" t="s">
        <v>21</v>
      </c>
      <c r="H2928" s="2" t="s">
        <v>22</v>
      </c>
      <c r="I2928" s="2" t="s">
        <v>73</v>
      </c>
      <c r="J2928" s="2" t="s">
        <v>24</v>
      </c>
      <c r="K2928">
        <v>1108.96</v>
      </c>
      <c r="L2928">
        <v>27918.080000000002</v>
      </c>
      <c r="M2928">
        <v>2517.5</v>
      </c>
      <c r="N2928" s="2" t="s">
        <v>149</v>
      </c>
      <c r="O2928" s="2" t="s">
        <v>150</v>
      </c>
      <c r="P2928" s="2" t="s">
        <v>5229</v>
      </c>
      <c r="Q2928" s="2" t="s">
        <v>5230</v>
      </c>
      <c r="R2928" s="2" t="s">
        <v>29</v>
      </c>
      <c r="S2928" s="2" t="s">
        <v>30</v>
      </c>
    </row>
    <row r="2929" spans="1:19">
      <c r="A2929" s="1">
        <v>45323</v>
      </c>
      <c r="B2929" s="1">
        <v>45323</v>
      </c>
      <c r="C2929">
        <v>2024</v>
      </c>
      <c r="D2929">
        <v>2</v>
      </c>
      <c r="E2929" s="2" t="s">
        <v>153</v>
      </c>
      <c r="F2929" s="2" t="s">
        <v>154</v>
      </c>
      <c r="G2929" s="2" t="s">
        <v>21</v>
      </c>
      <c r="H2929" s="2" t="s">
        <v>22</v>
      </c>
      <c r="I2929" s="2" t="s">
        <v>73</v>
      </c>
      <c r="J2929" s="2" t="s">
        <v>101</v>
      </c>
      <c r="K2929">
        <v>1522.47</v>
      </c>
      <c r="L2929">
        <v>41452.07</v>
      </c>
      <c r="M2929">
        <v>2722.69</v>
      </c>
      <c r="N2929" s="2" t="s">
        <v>155</v>
      </c>
      <c r="O2929" s="2" t="s">
        <v>156</v>
      </c>
      <c r="P2929" s="2" t="s">
        <v>5231</v>
      </c>
      <c r="Q2929" s="2" t="s">
        <v>5232</v>
      </c>
      <c r="R2929" s="2" t="s">
        <v>29</v>
      </c>
      <c r="S2929" s="2" t="s">
        <v>30</v>
      </c>
    </row>
    <row r="2930" spans="1:19">
      <c r="A2930" s="1">
        <v>45323</v>
      </c>
      <c r="B2930" s="1">
        <v>45323</v>
      </c>
      <c r="C2930">
        <v>2024</v>
      </c>
      <c r="D2930">
        <v>2</v>
      </c>
      <c r="E2930" s="2" t="s">
        <v>159</v>
      </c>
      <c r="F2930" s="2" t="s">
        <v>160</v>
      </c>
      <c r="G2930" s="2" t="s">
        <v>21</v>
      </c>
      <c r="H2930" s="2" t="s">
        <v>22</v>
      </c>
      <c r="I2930" s="2" t="s">
        <v>66</v>
      </c>
      <c r="J2930" s="2" t="s">
        <v>59</v>
      </c>
      <c r="K2930">
        <v>1611.25</v>
      </c>
      <c r="L2930">
        <v>153734.13</v>
      </c>
      <c r="M2930">
        <v>9541.2999999999993</v>
      </c>
      <c r="N2930" s="2" t="s">
        <v>161</v>
      </c>
      <c r="O2930" s="2" t="s">
        <v>162</v>
      </c>
      <c r="P2930" s="2" t="s">
        <v>5233</v>
      </c>
      <c r="Q2930" s="2" t="s">
        <v>5234</v>
      </c>
      <c r="R2930" s="2" t="s">
        <v>29</v>
      </c>
      <c r="S2930" s="2" t="s">
        <v>30</v>
      </c>
    </row>
    <row r="2931" spans="1:19">
      <c r="A2931" s="1">
        <v>45323</v>
      </c>
      <c r="B2931" s="1">
        <v>45323</v>
      </c>
      <c r="C2931">
        <v>2024</v>
      </c>
      <c r="D2931">
        <v>2</v>
      </c>
      <c r="E2931" s="2" t="s">
        <v>165</v>
      </c>
      <c r="F2931" s="2" t="s">
        <v>166</v>
      </c>
      <c r="G2931" s="2" t="s">
        <v>21</v>
      </c>
      <c r="H2931" s="2" t="s">
        <v>22</v>
      </c>
      <c r="I2931" s="2" t="s">
        <v>23</v>
      </c>
      <c r="J2931" s="2" t="s">
        <v>24</v>
      </c>
      <c r="N2931" s="2" t="s">
        <v>167</v>
      </c>
      <c r="O2931" s="2" t="s">
        <v>168</v>
      </c>
      <c r="P2931" s="2" t="s">
        <v>175</v>
      </c>
      <c r="Q2931" s="2" t="s">
        <v>175</v>
      </c>
      <c r="R2931" s="2" t="s">
        <v>640</v>
      </c>
      <c r="S2931" s="2" t="s">
        <v>641</v>
      </c>
    </row>
    <row r="2932" spans="1:19">
      <c r="A2932" s="1">
        <v>45323</v>
      </c>
      <c r="B2932" s="1">
        <v>45323</v>
      </c>
      <c r="C2932">
        <v>2024</v>
      </c>
      <c r="D2932">
        <v>2</v>
      </c>
      <c r="E2932" s="2" t="s">
        <v>171</v>
      </c>
      <c r="F2932" s="2" t="s">
        <v>172</v>
      </c>
      <c r="G2932" s="2" t="s">
        <v>21</v>
      </c>
      <c r="H2932" s="2" t="s">
        <v>22</v>
      </c>
      <c r="I2932" s="2" t="s">
        <v>66</v>
      </c>
      <c r="J2932" s="2" t="s">
        <v>24</v>
      </c>
      <c r="N2932" s="2" t="s">
        <v>173</v>
      </c>
      <c r="O2932" s="2" t="s">
        <v>174</v>
      </c>
      <c r="P2932" s="2" t="s">
        <v>175</v>
      </c>
      <c r="Q2932" s="2" t="s">
        <v>175</v>
      </c>
      <c r="R2932" s="2" t="s">
        <v>640</v>
      </c>
      <c r="S2932" s="2" t="s">
        <v>641</v>
      </c>
    </row>
    <row r="2933" spans="1:19">
      <c r="A2933" s="1">
        <v>45323</v>
      </c>
      <c r="B2933" s="1">
        <v>45323</v>
      </c>
      <c r="C2933">
        <v>2024</v>
      </c>
      <c r="D2933">
        <v>2</v>
      </c>
      <c r="E2933" s="2" t="s">
        <v>177</v>
      </c>
      <c r="F2933" s="2" t="s">
        <v>178</v>
      </c>
      <c r="G2933" s="2" t="s">
        <v>21</v>
      </c>
      <c r="H2933" s="2" t="s">
        <v>22</v>
      </c>
      <c r="I2933" s="2" t="s">
        <v>23</v>
      </c>
      <c r="J2933" s="2" t="s">
        <v>24</v>
      </c>
      <c r="K2933">
        <v>5346.35</v>
      </c>
      <c r="L2933">
        <v>568091.81000000006</v>
      </c>
      <c r="M2933">
        <v>10625.79</v>
      </c>
      <c r="N2933" s="2" t="s">
        <v>179</v>
      </c>
      <c r="O2933" s="2" t="s">
        <v>180</v>
      </c>
      <c r="P2933" s="2" t="s">
        <v>5235</v>
      </c>
      <c r="Q2933" s="2" t="s">
        <v>5236</v>
      </c>
      <c r="R2933" s="2" t="s">
        <v>29</v>
      </c>
      <c r="S2933" s="2" t="s">
        <v>30</v>
      </c>
    </row>
    <row r="2934" spans="1:19">
      <c r="A2934" s="1">
        <v>45323</v>
      </c>
      <c r="B2934" s="1">
        <v>45323</v>
      </c>
      <c r="C2934">
        <v>2024</v>
      </c>
      <c r="D2934">
        <v>2</v>
      </c>
      <c r="E2934" s="2" t="s">
        <v>183</v>
      </c>
      <c r="F2934" s="2" t="s">
        <v>184</v>
      </c>
      <c r="G2934" s="2" t="s">
        <v>185</v>
      </c>
      <c r="H2934" s="2" t="s">
        <v>22</v>
      </c>
      <c r="I2934" s="2" t="s">
        <v>186</v>
      </c>
      <c r="J2934" s="2" t="s">
        <v>24</v>
      </c>
      <c r="K2934">
        <v>2792.31</v>
      </c>
      <c r="L2934">
        <v>4327508.37</v>
      </c>
      <c r="M2934">
        <v>154979.51</v>
      </c>
      <c r="N2934" s="2" t="s">
        <v>187</v>
      </c>
      <c r="O2934" s="2" t="s">
        <v>188</v>
      </c>
      <c r="P2934" s="2" t="s">
        <v>5237</v>
      </c>
      <c r="Q2934" s="2" t="s">
        <v>5238</v>
      </c>
      <c r="R2934" s="2" t="s">
        <v>29</v>
      </c>
      <c r="S2934" s="2" t="s">
        <v>30</v>
      </c>
    </row>
    <row r="2935" spans="1:19">
      <c r="A2935" s="1">
        <v>45323</v>
      </c>
      <c r="B2935" s="1">
        <v>45323</v>
      </c>
      <c r="C2935">
        <v>2024</v>
      </c>
      <c r="D2935">
        <v>2</v>
      </c>
      <c r="E2935" s="2" t="s">
        <v>191</v>
      </c>
      <c r="F2935" s="2" t="s">
        <v>192</v>
      </c>
      <c r="G2935" s="2" t="s">
        <v>185</v>
      </c>
      <c r="H2935" s="2" t="s">
        <v>22</v>
      </c>
      <c r="I2935" s="2" t="s">
        <v>186</v>
      </c>
      <c r="J2935" s="2" t="s">
        <v>24</v>
      </c>
      <c r="K2935">
        <v>1008.05</v>
      </c>
      <c r="L2935">
        <v>4540082.5599999996</v>
      </c>
      <c r="M2935">
        <v>450382.68</v>
      </c>
      <c r="N2935" s="2" t="s">
        <v>193</v>
      </c>
      <c r="O2935" s="2" t="s">
        <v>194</v>
      </c>
      <c r="P2935" s="2" t="s">
        <v>5239</v>
      </c>
      <c r="Q2935" s="2" t="s">
        <v>5240</v>
      </c>
      <c r="R2935" s="2" t="s">
        <v>29</v>
      </c>
      <c r="S2935" s="2" t="s">
        <v>30</v>
      </c>
    </row>
    <row r="2936" spans="1:19">
      <c r="A2936" s="1">
        <v>45323</v>
      </c>
      <c r="B2936" s="1">
        <v>45323</v>
      </c>
      <c r="C2936">
        <v>2024</v>
      </c>
      <c r="D2936">
        <v>2</v>
      </c>
      <c r="E2936" s="2" t="s">
        <v>197</v>
      </c>
      <c r="F2936" s="2" t="s">
        <v>198</v>
      </c>
      <c r="G2936" s="2" t="s">
        <v>185</v>
      </c>
      <c r="H2936" s="2" t="s">
        <v>22</v>
      </c>
      <c r="I2936" s="2" t="s">
        <v>186</v>
      </c>
      <c r="J2936" s="2" t="s">
        <v>59</v>
      </c>
      <c r="K2936">
        <v>3800.36</v>
      </c>
      <c r="L2936">
        <v>8867590.9399999995</v>
      </c>
      <c r="M2936">
        <v>233335.55</v>
      </c>
      <c r="N2936" s="2" t="s">
        <v>199</v>
      </c>
      <c r="O2936" s="2" t="s">
        <v>200</v>
      </c>
      <c r="P2936" s="2" t="s">
        <v>5241</v>
      </c>
      <c r="Q2936" s="2" t="s">
        <v>5242</v>
      </c>
      <c r="R2936" s="2" t="s">
        <v>29</v>
      </c>
      <c r="S2936" s="2" t="s">
        <v>30</v>
      </c>
    </row>
    <row r="2937" spans="1:19">
      <c r="A2937" s="1">
        <v>45323</v>
      </c>
      <c r="B2937" s="1">
        <v>45323</v>
      </c>
      <c r="C2937">
        <v>2024</v>
      </c>
      <c r="D2937">
        <v>2</v>
      </c>
      <c r="E2937" s="2" t="s">
        <v>203</v>
      </c>
      <c r="F2937" s="2" t="s">
        <v>204</v>
      </c>
      <c r="G2937" s="2" t="s">
        <v>39</v>
      </c>
      <c r="H2937" s="2" t="s">
        <v>22</v>
      </c>
      <c r="I2937" s="2" t="s">
        <v>40</v>
      </c>
      <c r="J2937" s="2" t="s">
        <v>24</v>
      </c>
      <c r="K2937">
        <v>812.15</v>
      </c>
      <c r="L2937">
        <v>21543.26</v>
      </c>
      <c r="M2937">
        <v>2652.62</v>
      </c>
      <c r="N2937" s="2" t="s">
        <v>205</v>
      </c>
      <c r="O2937" s="2" t="s">
        <v>206</v>
      </c>
      <c r="P2937" s="2" t="s">
        <v>5243</v>
      </c>
      <c r="Q2937" s="2" t="s">
        <v>5244</v>
      </c>
      <c r="R2937" s="2" t="s">
        <v>29</v>
      </c>
      <c r="S2937" s="2" t="s">
        <v>30</v>
      </c>
    </row>
    <row r="2938" spans="1:19">
      <c r="A2938" s="1">
        <v>45323</v>
      </c>
      <c r="B2938" s="1">
        <v>45323</v>
      </c>
      <c r="C2938">
        <v>2024</v>
      </c>
      <c r="D2938">
        <v>2</v>
      </c>
      <c r="E2938" s="2" t="s">
        <v>209</v>
      </c>
      <c r="F2938" s="2" t="s">
        <v>210</v>
      </c>
      <c r="G2938" s="2" t="s">
        <v>39</v>
      </c>
      <c r="H2938" s="2" t="s">
        <v>22</v>
      </c>
      <c r="I2938" s="2" t="s">
        <v>40</v>
      </c>
      <c r="J2938" s="2" t="s">
        <v>59</v>
      </c>
      <c r="K2938">
        <v>812.15</v>
      </c>
      <c r="L2938">
        <v>21543.26</v>
      </c>
      <c r="M2938">
        <v>2652.62</v>
      </c>
      <c r="N2938" s="2" t="s">
        <v>211</v>
      </c>
      <c r="O2938" s="2" t="s">
        <v>212</v>
      </c>
      <c r="P2938" s="2" t="s">
        <v>5243</v>
      </c>
      <c r="Q2938" s="2" t="s">
        <v>5244</v>
      </c>
      <c r="R2938" s="2" t="s">
        <v>29</v>
      </c>
      <c r="S2938" s="2" t="s">
        <v>30</v>
      </c>
    </row>
    <row r="2939" spans="1:19">
      <c r="A2939" s="1">
        <v>45323</v>
      </c>
      <c r="B2939" s="1">
        <v>45323</v>
      </c>
      <c r="C2939">
        <v>2024</v>
      </c>
      <c r="D2939">
        <v>2</v>
      </c>
      <c r="E2939" s="2" t="s">
        <v>213</v>
      </c>
      <c r="F2939" s="2" t="s">
        <v>214</v>
      </c>
      <c r="G2939" s="2" t="s">
        <v>185</v>
      </c>
      <c r="H2939" s="2" t="s">
        <v>22</v>
      </c>
      <c r="I2939" s="2" t="s">
        <v>215</v>
      </c>
      <c r="J2939" s="2" t="s">
        <v>24</v>
      </c>
      <c r="K2939">
        <v>109500.07</v>
      </c>
      <c r="L2939">
        <v>2297275.1</v>
      </c>
      <c r="M2939">
        <v>2097.9699999999998</v>
      </c>
      <c r="N2939" s="2" t="s">
        <v>216</v>
      </c>
      <c r="O2939" s="2" t="s">
        <v>217</v>
      </c>
      <c r="P2939" s="2" t="s">
        <v>5245</v>
      </c>
      <c r="Q2939" s="2" t="s">
        <v>5246</v>
      </c>
      <c r="R2939" s="2" t="s">
        <v>29</v>
      </c>
      <c r="S2939" s="2" t="s">
        <v>30</v>
      </c>
    </row>
    <row r="2940" spans="1:19">
      <c r="A2940" s="1">
        <v>45323</v>
      </c>
      <c r="B2940" s="1">
        <v>45323</v>
      </c>
      <c r="C2940">
        <v>2024</v>
      </c>
      <c r="D2940">
        <v>2</v>
      </c>
      <c r="E2940" s="2" t="s">
        <v>220</v>
      </c>
      <c r="F2940" s="2" t="s">
        <v>221</v>
      </c>
      <c r="G2940" s="2" t="s">
        <v>185</v>
      </c>
      <c r="H2940" s="2" t="s">
        <v>22</v>
      </c>
      <c r="I2940" s="2" t="s">
        <v>215</v>
      </c>
      <c r="J2940" s="2" t="s">
        <v>24</v>
      </c>
      <c r="K2940">
        <v>7774.97</v>
      </c>
      <c r="L2940">
        <v>530844.94999999995</v>
      </c>
      <c r="M2940">
        <v>6827.61</v>
      </c>
      <c r="N2940" s="2" t="s">
        <v>222</v>
      </c>
      <c r="O2940" s="2" t="s">
        <v>223</v>
      </c>
      <c r="P2940" s="2" t="s">
        <v>5247</v>
      </c>
      <c r="Q2940" s="2" t="s">
        <v>5248</v>
      </c>
      <c r="R2940" s="2" t="s">
        <v>29</v>
      </c>
      <c r="S2940" s="2" t="s">
        <v>30</v>
      </c>
    </row>
    <row r="2941" spans="1:19">
      <c r="A2941" s="1">
        <v>45323</v>
      </c>
      <c r="B2941" s="1">
        <v>45323</v>
      </c>
      <c r="C2941">
        <v>2024</v>
      </c>
      <c r="D2941">
        <v>2</v>
      </c>
      <c r="E2941" s="2" t="s">
        <v>226</v>
      </c>
      <c r="F2941" s="2" t="s">
        <v>227</v>
      </c>
      <c r="G2941" s="2" t="s">
        <v>185</v>
      </c>
      <c r="H2941" s="2" t="s">
        <v>22</v>
      </c>
      <c r="I2941" s="2" t="s">
        <v>215</v>
      </c>
      <c r="J2941" s="2" t="s">
        <v>59</v>
      </c>
      <c r="K2941">
        <v>117275.04</v>
      </c>
      <c r="L2941">
        <v>2828120.05</v>
      </c>
      <c r="M2941">
        <v>2411.5300000000002</v>
      </c>
      <c r="N2941" s="2" t="s">
        <v>228</v>
      </c>
      <c r="O2941" s="2" t="s">
        <v>229</v>
      </c>
      <c r="P2941" s="2" t="s">
        <v>5249</v>
      </c>
      <c r="Q2941" s="2" t="s">
        <v>5250</v>
      </c>
      <c r="R2941" s="2" t="s">
        <v>29</v>
      </c>
      <c r="S2941" s="2" t="s">
        <v>30</v>
      </c>
    </row>
    <row r="2942" spans="1:19">
      <c r="A2942" s="1">
        <v>45323</v>
      </c>
      <c r="B2942" s="1">
        <v>45323</v>
      </c>
      <c r="C2942">
        <v>2024</v>
      </c>
      <c r="D2942">
        <v>2</v>
      </c>
      <c r="E2942" s="2" t="s">
        <v>232</v>
      </c>
      <c r="F2942" s="2" t="s">
        <v>233</v>
      </c>
      <c r="G2942" s="2" t="s">
        <v>21</v>
      </c>
      <c r="H2942" s="2" t="s">
        <v>22</v>
      </c>
      <c r="I2942" s="2" t="s">
        <v>23</v>
      </c>
      <c r="J2942" s="2" t="s">
        <v>24</v>
      </c>
      <c r="K2942">
        <v>1504.81</v>
      </c>
      <c r="L2942">
        <v>123886.89</v>
      </c>
      <c r="M2942">
        <v>8232.73</v>
      </c>
      <c r="N2942" s="2" t="s">
        <v>234</v>
      </c>
      <c r="O2942" s="2" t="s">
        <v>235</v>
      </c>
      <c r="P2942" s="2" t="s">
        <v>5251</v>
      </c>
      <c r="Q2942" s="2" t="s">
        <v>5252</v>
      </c>
      <c r="R2942" s="2" t="s">
        <v>29</v>
      </c>
      <c r="S2942" s="2" t="s">
        <v>30</v>
      </c>
    </row>
    <row r="2943" spans="1:19">
      <c r="A2943" s="1">
        <v>45323</v>
      </c>
      <c r="B2943" s="1">
        <v>45323</v>
      </c>
      <c r="C2943">
        <v>2024</v>
      </c>
      <c r="D2943">
        <v>2</v>
      </c>
      <c r="E2943" s="2" t="s">
        <v>238</v>
      </c>
      <c r="F2943" s="2" t="s">
        <v>239</v>
      </c>
      <c r="G2943" s="2" t="s">
        <v>21</v>
      </c>
      <c r="H2943" s="2" t="s">
        <v>22</v>
      </c>
      <c r="I2943" s="2" t="s">
        <v>66</v>
      </c>
      <c r="J2943" s="2" t="s">
        <v>24</v>
      </c>
      <c r="K2943">
        <v>1464.78</v>
      </c>
      <c r="L2943">
        <v>153173.45000000001</v>
      </c>
      <c r="M2943">
        <v>10457.1</v>
      </c>
      <c r="N2943" s="2" t="s">
        <v>240</v>
      </c>
      <c r="O2943" s="2" t="s">
        <v>241</v>
      </c>
      <c r="P2943" s="2" t="s">
        <v>5253</v>
      </c>
      <c r="Q2943" s="2" t="s">
        <v>5254</v>
      </c>
      <c r="R2943" s="2" t="s">
        <v>29</v>
      </c>
      <c r="S2943" s="2" t="s">
        <v>30</v>
      </c>
    </row>
    <row r="2944" spans="1:19">
      <c r="A2944" s="1">
        <v>45323</v>
      </c>
      <c r="B2944" s="1">
        <v>45323</v>
      </c>
      <c r="C2944">
        <v>2024</v>
      </c>
      <c r="D2944">
        <v>2</v>
      </c>
      <c r="E2944" s="2" t="s">
        <v>244</v>
      </c>
      <c r="F2944" s="2" t="s">
        <v>245</v>
      </c>
      <c r="G2944" s="2" t="s">
        <v>21</v>
      </c>
      <c r="H2944" s="2" t="s">
        <v>22</v>
      </c>
      <c r="I2944" s="2" t="s">
        <v>23</v>
      </c>
      <c r="J2944" s="2" t="s">
        <v>24</v>
      </c>
      <c r="K2944">
        <v>6889.23</v>
      </c>
      <c r="L2944">
        <v>3471494.54</v>
      </c>
      <c r="M2944">
        <v>50390.17</v>
      </c>
      <c r="N2944" s="2" t="s">
        <v>246</v>
      </c>
      <c r="O2944" s="2" t="s">
        <v>247</v>
      </c>
      <c r="P2944" s="2" t="s">
        <v>5255</v>
      </c>
      <c r="Q2944" s="2" t="s">
        <v>5256</v>
      </c>
      <c r="R2944" s="2" t="s">
        <v>29</v>
      </c>
      <c r="S2944" s="2" t="s">
        <v>30</v>
      </c>
    </row>
    <row r="2945" spans="1:19">
      <c r="A2945" s="1">
        <v>45323</v>
      </c>
      <c r="B2945" s="1">
        <v>45323</v>
      </c>
      <c r="C2945">
        <v>2024</v>
      </c>
      <c r="D2945">
        <v>2</v>
      </c>
      <c r="E2945" s="2" t="s">
        <v>250</v>
      </c>
      <c r="F2945" s="2" t="s">
        <v>251</v>
      </c>
      <c r="G2945" s="2" t="s">
        <v>21</v>
      </c>
      <c r="H2945" s="2" t="s">
        <v>22</v>
      </c>
      <c r="I2945" s="2" t="s">
        <v>66</v>
      </c>
      <c r="J2945" s="2" t="s">
        <v>24</v>
      </c>
      <c r="K2945">
        <v>131.04</v>
      </c>
      <c r="L2945">
        <v>184.5</v>
      </c>
      <c r="M2945">
        <v>140.80000000000001</v>
      </c>
      <c r="N2945" s="2" t="s">
        <v>252</v>
      </c>
      <c r="O2945" s="2" t="s">
        <v>253</v>
      </c>
      <c r="P2945" s="2" t="s">
        <v>5257</v>
      </c>
      <c r="Q2945" s="2" t="s">
        <v>5258</v>
      </c>
      <c r="R2945" s="2" t="s">
        <v>29</v>
      </c>
      <c r="S2945" s="2" t="s">
        <v>30</v>
      </c>
    </row>
    <row r="2946" spans="1:19">
      <c r="A2946" s="1">
        <v>45323</v>
      </c>
      <c r="B2946" s="1">
        <v>45323</v>
      </c>
      <c r="C2946">
        <v>2024</v>
      </c>
      <c r="D2946">
        <v>2</v>
      </c>
      <c r="E2946" s="2" t="s">
        <v>256</v>
      </c>
      <c r="F2946" s="2" t="s">
        <v>257</v>
      </c>
      <c r="G2946" s="2" t="s">
        <v>21</v>
      </c>
      <c r="H2946" s="2" t="s">
        <v>22</v>
      </c>
      <c r="I2946" s="2" t="s">
        <v>258</v>
      </c>
      <c r="J2946" s="2" t="s">
        <v>24</v>
      </c>
      <c r="K2946">
        <v>541.88</v>
      </c>
      <c r="L2946">
        <v>602629.64</v>
      </c>
      <c r="M2946">
        <v>111210.9</v>
      </c>
      <c r="N2946" s="2" t="s">
        <v>259</v>
      </c>
      <c r="O2946" s="2" t="s">
        <v>260</v>
      </c>
      <c r="P2946" s="2" t="s">
        <v>5259</v>
      </c>
      <c r="Q2946" s="2" t="s">
        <v>5260</v>
      </c>
      <c r="R2946" s="2" t="s">
        <v>29</v>
      </c>
      <c r="S2946" s="2" t="s">
        <v>30</v>
      </c>
    </row>
    <row r="2947" spans="1:19">
      <c r="A2947" s="1">
        <v>45323</v>
      </c>
      <c r="B2947" s="1">
        <v>45323</v>
      </c>
      <c r="C2947">
        <v>2024</v>
      </c>
      <c r="D2947">
        <v>2</v>
      </c>
      <c r="E2947" s="2" t="s">
        <v>263</v>
      </c>
      <c r="F2947" s="2" t="s">
        <v>264</v>
      </c>
      <c r="G2947" s="2" t="s">
        <v>21</v>
      </c>
      <c r="H2947" s="2" t="s">
        <v>22</v>
      </c>
      <c r="I2947" s="2" t="s">
        <v>258</v>
      </c>
      <c r="J2947" s="2" t="s">
        <v>24</v>
      </c>
      <c r="K2947">
        <v>0</v>
      </c>
      <c r="L2947">
        <v>0</v>
      </c>
      <c r="N2947" s="2" t="s">
        <v>265</v>
      </c>
      <c r="O2947" s="2" t="s">
        <v>266</v>
      </c>
      <c r="P2947" s="2" t="s">
        <v>639</v>
      </c>
      <c r="Q2947" s="2" t="s">
        <v>639</v>
      </c>
      <c r="R2947" s="2" t="s">
        <v>29</v>
      </c>
      <c r="S2947" s="2" t="s">
        <v>30</v>
      </c>
    </row>
    <row r="2948" spans="1:19">
      <c r="A2948" s="1">
        <v>45323</v>
      </c>
      <c r="B2948" s="1">
        <v>45323</v>
      </c>
      <c r="C2948">
        <v>2024</v>
      </c>
      <c r="D2948">
        <v>2</v>
      </c>
      <c r="E2948" s="2" t="s">
        <v>269</v>
      </c>
      <c r="F2948" s="2" t="s">
        <v>270</v>
      </c>
      <c r="G2948" s="2" t="s">
        <v>21</v>
      </c>
      <c r="H2948" s="2" t="s">
        <v>22</v>
      </c>
      <c r="I2948" s="2" t="s">
        <v>258</v>
      </c>
      <c r="J2948" s="2" t="s">
        <v>59</v>
      </c>
      <c r="K2948">
        <v>541.88</v>
      </c>
      <c r="L2948">
        <v>602629.64</v>
      </c>
      <c r="M2948">
        <v>111210.9</v>
      </c>
      <c r="N2948" s="2" t="s">
        <v>271</v>
      </c>
      <c r="O2948" s="2" t="s">
        <v>272</v>
      </c>
      <c r="P2948" s="2" t="s">
        <v>5259</v>
      </c>
      <c r="Q2948" s="2" t="s">
        <v>5260</v>
      </c>
      <c r="R2948" s="2" t="s">
        <v>29</v>
      </c>
      <c r="S2948" s="2" t="s">
        <v>30</v>
      </c>
    </row>
    <row r="2949" spans="1:19">
      <c r="A2949" s="1">
        <v>45323</v>
      </c>
      <c r="B2949" s="1">
        <v>45323</v>
      </c>
      <c r="C2949">
        <v>2024</v>
      </c>
      <c r="D2949">
        <v>2</v>
      </c>
      <c r="E2949" s="2" t="s">
        <v>275</v>
      </c>
      <c r="F2949" s="2" t="s">
        <v>276</v>
      </c>
      <c r="G2949" s="2" t="s">
        <v>39</v>
      </c>
      <c r="H2949" s="2" t="s">
        <v>22</v>
      </c>
      <c r="I2949" s="2" t="s">
        <v>40</v>
      </c>
      <c r="J2949" s="2" t="s">
        <v>24</v>
      </c>
      <c r="K2949">
        <v>0.53</v>
      </c>
      <c r="L2949">
        <v>5.07</v>
      </c>
      <c r="M2949">
        <v>956.6</v>
      </c>
      <c r="N2949" s="2" t="s">
        <v>277</v>
      </c>
      <c r="O2949" s="2" t="s">
        <v>278</v>
      </c>
      <c r="P2949" s="2" t="s">
        <v>5261</v>
      </c>
      <c r="Q2949" s="2" t="s">
        <v>5262</v>
      </c>
      <c r="R2949" s="2" t="s">
        <v>29</v>
      </c>
      <c r="S2949" s="2" t="s">
        <v>30</v>
      </c>
    </row>
    <row r="2950" spans="1:19">
      <c r="A2950" s="1">
        <v>45323</v>
      </c>
      <c r="B2950" s="1">
        <v>45323</v>
      </c>
      <c r="C2950">
        <v>2024</v>
      </c>
      <c r="D2950">
        <v>2</v>
      </c>
      <c r="E2950" s="2" t="s">
        <v>281</v>
      </c>
      <c r="F2950" s="2" t="s">
        <v>282</v>
      </c>
      <c r="G2950" s="2" t="s">
        <v>39</v>
      </c>
      <c r="H2950" s="2" t="s">
        <v>22</v>
      </c>
      <c r="I2950" s="2" t="s">
        <v>40</v>
      </c>
      <c r="J2950" s="2" t="s">
        <v>24</v>
      </c>
      <c r="K2950">
        <v>0.01</v>
      </c>
      <c r="L2950">
        <v>0.11</v>
      </c>
      <c r="M2950">
        <v>1100</v>
      </c>
      <c r="N2950" s="2" t="s">
        <v>283</v>
      </c>
      <c r="O2950" s="2" t="s">
        <v>284</v>
      </c>
      <c r="P2950" s="2" t="s">
        <v>832</v>
      </c>
      <c r="Q2950" s="2" t="s">
        <v>1291</v>
      </c>
      <c r="R2950" s="2" t="s">
        <v>29</v>
      </c>
      <c r="S2950" s="2" t="s">
        <v>30</v>
      </c>
    </row>
    <row r="2951" spans="1:19">
      <c r="A2951" s="1">
        <v>45323</v>
      </c>
      <c r="B2951" s="1">
        <v>45323</v>
      </c>
      <c r="C2951">
        <v>2024</v>
      </c>
      <c r="D2951">
        <v>2</v>
      </c>
      <c r="E2951" s="2" t="s">
        <v>287</v>
      </c>
      <c r="F2951" s="2" t="s">
        <v>288</v>
      </c>
      <c r="G2951" s="2" t="s">
        <v>39</v>
      </c>
      <c r="H2951" s="2" t="s">
        <v>22</v>
      </c>
      <c r="I2951" s="2" t="s">
        <v>40</v>
      </c>
      <c r="J2951" s="2" t="s">
        <v>59</v>
      </c>
      <c r="K2951">
        <v>0.55000000000000004</v>
      </c>
      <c r="L2951">
        <v>5.19</v>
      </c>
      <c r="M2951">
        <v>943.64</v>
      </c>
      <c r="N2951" s="2" t="s">
        <v>289</v>
      </c>
      <c r="O2951" s="2" t="s">
        <v>290</v>
      </c>
      <c r="P2951" s="2" t="s">
        <v>2613</v>
      </c>
      <c r="Q2951" s="2" t="s">
        <v>5263</v>
      </c>
      <c r="R2951" s="2" t="s">
        <v>29</v>
      </c>
      <c r="S2951" s="2" t="s">
        <v>30</v>
      </c>
    </row>
    <row r="2952" spans="1:19">
      <c r="A2952" s="1">
        <v>45323</v>
      </c>
      <c r="B2952" s="1">
        <v>45323</v>
      </c>
      <c r="C2952">
        <v>2024</v>
      </c>
      <c r="D2952">
        <v>2</v>
      </c>
      <c r="E2952" s="2" t="s">
        <v>293</v>
      </c>
      <c r="F2952" s="2" t="s">
        <v>294</v>
      </c>
      <c r="G2952" s="2" t="s">
        <v>21</v>
      </c>
      <c r="H2952" s="2" t="s">
        <v>22</v>
      </c>
      <c r="I2952" s="2" t="s">
        <v>295</v>
      </c>
      <c r="J2952" s="2" t="s">
        <v>24</v>
      </c>
      <c r="K2952">
        <v>556.58000000000004</v>
      </c>
      <c r="L2952">
        <v>3320.63</v>
      </c>
      <c r="M2952">
        <v>596.61</v>
      </c>
      <c r="N2952" s="2" t="s">
        <v>296</v>
      </c>
      <c r="O2952" s="2" t="s">
        <v>297</v>
      </c>
      <c r="P2952" s="2" t="s">
        <v>5264</v>
      </c>
      <c r="Q2952" s="2" t="s">
        <v>5265</v>
      </c>
      <c r="R2952" s="2" t="s">
        <v>29</v>
      </c>
      <c r="S2952" s="2" t="s">
        <v>30</v>
      </c>
    </row>
    <row r="2953" spans="1:19">
      <c r="A2953" s="1">
        <v>45323</v>
      </c>
      <c r="B2953" s="1">
        <v>45323</v>
      </c>
      <c r="C2953">
        <v>2024</v>
      </c>
      <c r="D2953">
        <v>2</v>
      </c>
      <c r="E2953" s="2" t="s">
        <v>300</v>
      </c>
      <c r="F2953" s="2" t="s">
        <v>301</v>
      </c>
      <c r="G2953" s="2" t="s">
        <v>21</v>
      </c>
      <c r="H2953" s="2" t="s">
        <v>22</v>
      </c>
      <c r="I2953" s="2" t="s">
        <v>295</v>
      </c>
      <c r="J2953" s="2" t="s">
        <v>24</v>
      </c>
      <c r="K2953">
        <v>702.41</v>
      </c>
      <c r="L2953">
        <v>918.99</v>
      </c>
      <c r="M2953">
        <v>130.83000000000001</v>
      </c>
      <c r="N2953" s="2" t="s">
        <v>302</v>
      </c>
      <c r="O2953" s="2" t="s">
        <v>303</v>
      </c>
      <c r="P2953" s="2" t="s">
        <v>5266</v>
      </c>
      <c r="Q2953" s="2" t="s">
        <v>5267</v>
      </c>
      <c r="R2953" s="2" t="s">
        <v>29</v>
      </c>
      <c r="S2953" s="2" t="s">
        <v>30</v>
      </c>
    </row>
    <row r="2954" spans="1:19">
      <c r="A2954" s="1">
        <v>45323</v>
      </c>
      <c r="B2954" s="1">
        <v>45323</v>
      </c>
      <c r="C2954">
        <v>2024</v>
      </c>
      <c r="D2954">
        <v>2</v>
      </c>
      <c r="E2954" s="2" t="s">
        <v>306</v>
      </c>
      <c r="F2954" s="2" t="s">
        <v>307</v>
      </c>
      <c r="G2954" s="2" t="s">
        <v>21</v>
      </c>
      <c r="H2954" s="2" t="s">
        <v>22</v>
      </c>
      <c r="I2954" s="2" t="s">
        <v>295</v>
      </c>
      <c r="J2954" s="2" t="s">
        <v>101</v>
      </c>
      <c r="K2954">
        <v>1259</v>
      </c>
      <c r="L2954">
        <v>4239.62</v>
      </c>
      <c r="M2954">
        <v>336.75</v>
      </c>
      <c r="N2954" s="2" t="s">
        <v>308</v>
      </c>
      <c r="O2954" s="2" t="s">
        <v>309</v>
      </c>
      <c r="P2954" s="2" t="s">
        <v>5268</v>
      </c>
      <c r="Q2954" s="2" t="s">
        <v>5269</v>
      </c>
      <c r="R2954" s="2" t="s">
        <v>29</v>
      </c>
      <c r="S2954" s="2" t="s">
        <v>30</v>
      </c>
    </row>
    <row r="2955" spans="1:19">
      <c r="A2955" s="1">
        <v>45323</v>
      </c>
      <c r="B2955" s="1">
        <v>45323</v>
      </c>
      <c r="C2955">
        <v>2024</v>
      </c>
      <c r="D2955">
        <v>2</v>
      </c>
      <c r="E2955" s="2" t="s">
        <v>312</v>
      </c>
      <c r="F2955" s="2" t="s">
        <v>313</v>
      </c>
      <c r="G2955" s="2" t="s">
        <v>21</v>
      </c>
      <c r="H2955" s="2" t="s">
        <v>22</v>
      </c>
      <c r="I2955" s="2" t="s">
        <v>295</v>
      </c>
      <c r="J2955" s="2" t="s">
        <v>59</v>
      </c>
      <c r="K2955">
        <v>6470.84</v>
      </c>
      <c r="L2955">
        <v>22673.75</v>
      </c>
      <c r="M2955">
        <v>350.4</v>
      </c>
      <c r="N2955" s="2" t="s">
        <v>314</v>
      </c>
      <c r="O2955" s="2" t="s">
        <v>315</v>
      </c>
      <c r="P2955" s="2" t="s">
        <v>5270</v>
      </c>
      <c r="Q2955" s="2" t="s">
        <v>5271</v>
      </c>
      <c r="R2955" s="2" t="s">
        <v>29</v>
      </c>
      <c r="S2955" s="2" t="s">
        <v>30</v>
      </c>
    </row>
    <row r="2956" spans="1:19">
      <c r="A2956" s="1">
        <v>45323</v>
      </c>
      <c r="B2956" s="1">
        <v>45323</v>
      </c>
      <c r="C2956">
        <v>2024</v>
      </c>
      <c r="D2956">
        <v>2</v>
      </c>
      <c r="E2956" s="2" t="s">
        <v>318</v>
      </c>
      <c r="F2956" s="2" t="s">
        <v>319</v>
      </c>
      <c r="G2956" s="2" t="s">
        <v>21</v>
      </c>
      <c r="H2956" s="2" t="s">
        <v>22</v>
      </c>
      <c r="I2956" s="2" t="s">
        <v>295</v>
      </c>
      <c r="J2956" s="2" t="s">
        <v>24</v>
      </c>
      <c r="K2956">
        <v>5211.8500000000004</v>
      </c>
      <c r="L2956">
        <v>18434.14</v>
      </c>
      <c r="M2956">
        <v>353.7</v>
      </c>
      <c r="N2956" s="2" t="s">
        <v>320</v>
      </c>
      <c r="O2956" s="2" t="s">
        <v>321</v>
      </c>
      <c r="P2956" s="2" t="s">
        <v>5272</v>
      </c>
      <c r="Q2956" s="2" t="s">
        <v>5273</v>
      </c>
      <c r="R2956" s="2" t="s">
        <v>29</v>
      </c>
      <c r="S2956" s="2" t="s">
        <v>30</v>
      </c>
    </row>
    <row r="2957" spans="1:19">
      <c r="A2957" s="1">
        <v>45323</v>
      </c>
      <c r="B2957" s="1">
        <v>45323</v>
      </c>
      <c r="C2957">
        <v>2024</v>
      </c>
      <c r="D2957">
        <v>2</v>
      </c>
      <c r="E2957" s="2" t="s">
        <v>324</v>
      </c>
      <c r="F2957" s="2" t="s">
        <v>325</v>
      </c>
      <c r="G2957" s="2" t="s">
        <v>21</v>
      </c>
      <c r="H2957" s="2" t="s">
        <v>22</v>
      </c>
      <c r="I2957" s="2" t="s">
        <v>23</v>
      </c>
      <c r="J2957" s="2" t="s">
        <v>59</v>
      </c>
      <c r="K2957">
        <v>137733.21</v>
      </c>
      <c r="L2957">
        <v>6039675.3700000001</v>
      </c>
      <c r="M2957">
        <v>4385.05</v>
      </c>
      <c r="N2957" s="2" t="s">
        <v>326</v>
      </c>
      <c r="O2957" s="2" t="s">
        <v>327</v>
      </c>
      <c r="P2957" s="2" t="s">
        <v>5274</v>
      </c>
      <c r="Q2957" s="2" t="s">
        <v>5275</v>
      </c>
      <c r="R2957" s="2" t="s">
        <v>29</v>
      </c>
      <c r="S2957" s="2" t="s">
        <v>30</v>
      </c>
    </row>
    <row r="2958" spans="1:19">
      <c r="A2958" s="1">
        <v>45323</v>
      </c>
      <c r="B2958" s="1">
        <v>45323</v>
      </c>
      <c r="C2958">
        <v>2024</v>
      </c>
      <c r="D2958">
        <v>2</v>
      </c>
      <c r="E2958" s="2" t="s">
        <v>330</v>
      </c>
      <c r="F2958" s="2" t="s">
        <v>331</v>
      </c>
      <c r="G2958" s="2" t="s">
        <v>21</v>
      </c>
      <c r="H2958" s="2" t="s">
        <v>332</v>
      </c>
      <c r="I2958" s="2" t="s">
        <v>333</v>
      </c>
      <c r="J2958" s="2" t="s">
        <v>24</v>
      </c>
      <c r="K2958">
        <v>237.09</v>
      </c>
      <c r="L2958">
        <v>13083464.01</v>
      </c>
      <c r="M2958">
        <v>5518353.3700000001</v>
      </c>
      <c r="N2958" s="2" t="s">
        <v>334</v>
      </c>
      <c r="O2958" s="2" t="s">
        <v>335</v>
      </c>
      <c r="P2958" s="2" t="s">
        <v>5276</v>
      </c>
      <c r="Q2958" s="2" t="s">
        <v>5277</v>
      </c>
      <c r="R2958" s="2" t="s">
        <v>29</v>
      </c>
      <c r="S2958" s="2" t="s">
        <v>30</v>
      </c>
    </row>
    <row r="2959" spans="1:19">
      <c r="A2959" s="1">
        <v>45323</v>
      </c>
      <c r="B2959" s="1">
        <v>45323</v>
      </c>
      <c r="C2959">
        <v>2024</v>
      </c>
      <c r="D2959">
        <v>2</v>
      </c>
      <c r="E2959" s="2" t="s">
        <v>338</v>
      </c>
      <c r="F2959" s="2" t="s">
        <v>339</v>
      </c>
      <c r="G2959" s="2" t="s">
        <v>21</v>
      </c>
      <c r="H2959" s="2" t="s">
        <v>332</v>
      </c>
      <c r="I2959" s="2" t="s">
        <v>333</v>
      </c>
      <c r="J2959" s="2" t="s">
        <v>24</v>
      </c>
      <c r="K2959">
        <v>1.17</v>
      </c>
      <c r="L2959">
        <v>1530832.77</v>
      </c>
      <c r="M2959">
        <v>130840407.69</v>
      </c>
      <c r="N2959" s="2" t="s">
        <v>340</v>
      </c>
      <c r="O2959" s="2" t="s">
        <v>341</v>
      </c>
      <c r="P2959" s="2" t="s">
        <v>618</v>
      </c>
      <c r="Q2959" s="2" t="s">
        <v>5278</v>
      </c>
      <c r="R2959" s="2" t="s">
        <v>29</v>
      </c>
      <c r="S2959" s="2" t="s">
        <v>30</v>
      </c>
    </row>
    <row r="2960" spans="1:19">
      <c r="A2960" s="1">
        <v>45323</v>
      </c>
      <c r="B2960" s="1">
        <v>45323</v>
      </c>
      <c r="C2960">
        <v>2024</v>
      </c>
      <c r="D2960">
        <v>2</v>
      </c>
      <c r="E2960" s="2" t="s">
        <v>344</v>
      </c>
      <c r="F2960" s="2" t="s">
        <v>345</v>
      </c>
      <c r="G2960" s="2" t="s">
        <v>21</v>
      </c>
      <c r="H2960" s="2" t="s">
        <v>332</v>
      </c>
      <c r="I2960" s="2" t="s">
        <v>333</v>
      </c>
      <c r="J2960" s="2" t="s">
        <v>59</v>
      </c>
      <c r="K2960">
        <v>238.26</v>
      </c>
      <c r="L2960">
        <v>14614296.779999999</v>
      </c>
      <c r="M2960">
        <v>6133760.0899999999</v>
      </c>
      <c r="N2960" s="2" t="s">
        <v>346</v>
      </c>
      <c r="O2960" s="2" t="s">
        <v>347</v>
      </c>
      <c r="P2960" s="2" t="s">
        <v>5279</v>
      </c>
      <c r="Q2960" s="2" t="s">
        <v>5280</v>
      </c>
      <c r="R2960" s="2" t="s">
        <v>29</v>
      </c>
      <c r="S2960" s="2" t="s">
        <v>30</v>
      </c>
    </row>
    <row r="2961" spans="1:19">
      <c r="A2961" s="1">
        <v>45323</v>
      </c>
      <c r="B2961" s="1">
        <v>45323</v>
      </c>
      <c r="C2961">
        <v>2024</v>
      </c>
      <c r="D2961">
        <v>2</v>
      </c>
      <c r="E2961" s="2" t="s">
        <v>350</v>
      </c>
      <c r="F2961" s="2" t="s">
        <v>351</v>
      </c>
      <c r="G2961" s="2" t="s">
        <v>21</v>
      </c>
      <c r="H2961" s="2" t="s">
        <v>22</v>
      </c>
      <c r="I2961" s="2" t="s">
        <v>352</v>
      </c>
      <c r="J2961" s="2" t="s">
        <v>353</v>
      </c>
      <c r="K2961">
        <v>150688.49</v>
      </c>
      <c r="L2961">
        <v>21021038.469999999</v>
      </c>
      <c r="M2961">
        <v>13950</v>
      </c>
      <c r="N2961" s="2" t="s">
        <v>354</v>
      </c>
      <c r="O2961" s="2" t="s">
        <v>355</v>
      </c>
      <c r="P2961" s="2" t="s">
        <v>5281</v>
      </c>
      <c r="Q2961" s="2" t="s">
        <v>5282</v>
      </c>
      <c r="R2961" s="2" t="s">
        <v>29</v>
      </c>
      <c r="S2961" s="2" t="s">
        <v>30</v>
      </c>
    </row>
    <row r="2962" spans="1:19">
      <c r="A2962" s="1">
        <v>45323</v>
      </c>
      <c r="B2962" s="1">
        <v>45323</v>
      </c>
      <c r="C2962">
        <v>2024</v>
      </c>
      <c r="D2962">
        <v>2</v>
      </c>
      <c r="E2962" s="2" t="s">
        <v>358</v>
      </c>
      <c r="F2962" s="2" t="s">
        <v>359</v>
      </c>
      <c r="G2962" s="2" t="s">
        <v>21</v>
      </c>
      <c r="H2962" s="2" t="s">
        <v>22</v>
      </c>
      <c r="I2962" s="2" t="s">
        <v>352</v>
      </c>
      <c r="J2962" s="2" t="s">
        <v>353</v>
      </c>
      <c r="K2962">
        <v>151230.37</v>
      </c>
      <c r="L2962">
        <v>21623668.109999999</v>
      </c>
      <c r="M2962">
        <v>14298.5</v>
      </c>
      <c r="N2962" s="2" t="s">
        <v>360</v>
      </c>
      <c r="O2962" s="2" t="s">
        <v>361</v>
      </c>
      <c r="P2962" s="2" t="s">
        <v>5283</v>
      </c>
      <c r="Q2962" s="2" t="s">
        <v>5284</v>
      </c>
      <c r="R2962" s="2" t="s">
        <v>29</v>
      </c>
      <c r="S2962" s="2" t="s">
        <v>30</v>
      </c>
    </row>
    <row r="2963" spans="1:19">
      <c r="A2963" s="1">
        <v>45323</v>
      </c>
      <c r="B2963" s="1">
        <v>45323</v>
      </c>
      <c r="C2963">
        <v>2024</v>
      </c>
      <c r="D2963">
        <v>2</v>
      </c>
      <c r="E2963" s="2" t="s">
        <v>364</v>
      </c>
      <c r="F2963" s="2" t="s">
        <v>365</v>
      </c>
      <c r="G2963" s="2" t="s">
        <v>21</v>
      </c>
      <c r="H2963" s="2" t="s">
        <v>22</v>
      </c>
      <c r="I2963" s="2" t="s">
        <v>352</v>
      </c>
      <c r="J2963" s="2" t="s">
        <v>353</v>
      </c>
      <c r="K2963">
        <v>150992.10999999999</v>
      </c>
      <c r="L2963">
        <v>7009371.3300000001</v>
      </c>
      <c r="M2963">
        <v>4642.21</v>
      </c>
      <c r="N2963" s="2" t="s">
        <v>366</v>
      </c>
      <c r="O2963" s="2" t="s">
        <v>367</v>
      </c>
      <c r="P2963" s="2" t="s">
        <v>5285</v>
      </c>
      <c r="Q2963" s="2" t="s">
        <v>5286</v>
      </c>
      <c r="R2963" s="2" t="s">
        <v>29</v>
      </c>
      <c r="S2963" s="2" t="s">
        <v>30</v>
      </c>
    </row>
    <row r="2964" spans="1:19">
      <c r="A2964" s="1">
        <v>45323</v>
      </c>
      <c r="B2964" s="1">
        <v>45323</v>
      </c>
      <c r="C2964">
        <v>2024</v>
      </c>
      <c r="D2964">
        <v>2</v>
      </c>
      <c r="E2964" s="2" t="s">
        <v>370</v>
      </c>
      <c r="F2964" s="2" t="s">
        <v>371</v>
      </c>
      <c r="G2964" s="2" t="s">
        <v>21</v>
      </c>
      <c r="H2964" s="2" t="s">
        <v>22</v>
      </c>
      <c r="I2964" s="2" t="s">
        <v>23</v>
      </c>
      <c r="J2964" s="2" t="s">
        <v>24</v>
      </c>
      <c r="K2964">
        <v>121026.73</v>
      </c>
      <c r="L2964">
        <v>1827869.35</v>
      </c>
      <c r="M2964">
        <v>1510.3</v>
      </c>
      <c r="N2964" s="2" t="s">
        <v>372</v>
      </c>
      <c r="O2964" s="2" t="s">
        <v>373</v>
      </c>
      <c r="P2964" s="2" t="s">
        <v>5287</v>
      </c>
      <c r="Q2964" s="2" t="s">
        <v>5288</v>
      </c>
      <c r="R2964" s="2" t="s">
        <v>29</v>
      </c>
      <c r="S2964" s="2" t="s">
        <v>30</v>
      </c>
    </row>
    <row r="2965" spans="1:19">
      <c r="A2965" s="1">
        <v>45323</v>
      </c>
      <c r="B2965" s="1">
        <v>45323</v>
      </c>
      <c r="C2965">
        <v>2024</v>
      </c>
      <c r="D2965">
        <v>2</v>
      </c>
      <c r="E2965" s="2" t="s">
        <v>376</v>
      </c>
      <c r="F2965" s="2" t="s">
        <v>377</v>
      </c>
      <c r="G2965" s="2" t="s">
        <v>21</v>
      </c>
      <c r="H2965" s="2" t="s">
        <v>22</v>
      </c>
      <c r="I2965" s="2" t="s">
        <v>23</v>
      </c>
      <c r="J2965" s="2" t="s">
        <v>378</v>
      </c>
      <c r="K2965">
        <v>1.66</v>
      </c>
      <c r="L2965">
        <v>19.02</v>
      </c>
      <c r="M2965">
        <v>1145.78</v>
      </c>
      <c r="N2965" s="2" t="s">
        <v>379</v>
      </c>
      <c r="O2965" s="2" t="s">
        <v>380</v>
      </c>
      <c r="P2965" s="2" t="s">
        <v>5289</v>
      </c>
      <c r="Q2965" s="2" t="s">
        <v>5290</v>
      </c>
      <c r="R2965" s="2" t="s">
        <v>29</v>
      </c>
      <c r="S2965" s="2" t="s">
        <v>30</v>
      </c>
    </row>
    <row r="2966" spans="1:19">
      <c r="A2966" s="1">
        <v>45352</v>
      </c>
      <c r="B2966" s="1">
        <v>45352</v>
      </c>
      <c r="C2966">
        <v>2024</v>
      </c>
      <c r="D2966">
        <v>3</v>
      </c>
      <c r="E2966" s="2" t="s">
        <v>19</v>
      </c>
      <c r="F2966" s="2" t="s">
        <v>20</v>
      </c>
      <c r="G2966" s="2" t="s">
        <v>21</v>
      </c>
      <c r="H2966" s="2" t="s">
        <v>22</v>
      </c>
      <c r="I2966" s="2" t="s">
        <v>23</v>
      </c>
      <c r="J2966" s="2" t="s">
        <v>24</v>
      </c>
      <c r="K2966">
        <v>0.34</v>
      </c>
      <c r="L2966">
        <v>21.91</v>
      </c>
      <c r="M2966">
        <v>6444.12</v>
      </c>
      <c r="N2966" s="2" t="s">
        <v>25</v>
      </c>
      <c r="O2966" s="2" t="s">
        <v>26</v>
      </c>
      <c r="P2966" s="2" t="s">
        <v>3373</v>
      </c>
      <c r="Q2966" s="2" t="s">
        <v>5291</v>
      </c>
      <c r="R2966" s="2" t="s">
        <v>29</v>
      </c>
      <c r="S2966" s="2" t="s">
        <v>30</v>
      </c>
    </row>
    <row r="2967" spans="1:19">
      <c r="A2967" s="1">
        <v>45352</v>
      </c>
      <c r="B2967" s="1">
        <v>45352</v>
      </c>
      <c r="C2967">
        <v>2024</v>
      </c>
      <c r="D2967">
        <v>3</v>
      </c>
      <c r="E2967" s="2" t="s">
        <v>31</v>
      </c>
      <c r="F2967" s="2" t="s">
        <v>32</v>
      </c>
      <c r="G2967" s="2" t="s">
        <v>21</v>
      </c>
      <c r="H2967" s="2" t="s">
        <v>22</v>
      </c>
      <c r="I2967" s="2" t="s">
        <v>23</v>
      </c>
      <c r="J2967" s="2" t="s">
        <v>24</v>
      </c>
      <c r="K2967">
        <v>3014.53</v>
      </c>
      <c r="L2967">
        <v>44707.35</v>
      </c>
      <c r="M2967">
        <v>1483.06</v>
      </c>
      <c r="N2967" s="2" t="s">
        <v>33</v>
      </c>
      <c r="O2967" s="2" t="s">
        <v>34</v>
      </c>
      <c r="P2967" s="2" t="s">
        <v>5292</v>
      </c>
      <c r="Q2967" s="2" t="s">
        <v>5293</v>
      </c>
      <c r="R2967" s="2" t="s">
        <v>29</v>
      </c>
      <c r="S2967" s="2" t="s">
        <v>30</v>
      </c>
    </row>
    <row r="2968" spans="1:19">
      <c r="A2968" s="1">
        <v>45352</v>
      </c>
      <c r="B2968" s="1">
        <v>45352</v>
      </c>
      <c r="C2968">
        <v>2024</v>
      </c>
      <c r="D2968">
        <v>3</v>
      </c>
      <c r="E2968" s="2" t="s">
        <v>37</v>
      </c>
      <c r="F2968" s="2" t="s">
        <v>38</v>
      </c>
      <c r="G2968" s="2" t="s">
        <v>39</v>
      </c>
      <c r="H2968" s="2" t="s">
        <v>22</v>
      </c>
      <c r="I2968" s="2" t="s">
        <v>40</v>
      </c>
      <c r="J2968" s="2" t="s">
        <v>24</v>
      </c>
      <c r="K2968">
        <v>8.83</v>
      </c>
      <c r="L2968">
        <v>445.66</v>
      </c>
      <c r="M2968">
        <v>5047.1099999999997</v>
      </c>
      <c r="N2968" s="2" t="s">
        <v>41</v>
      </c>
      <c r="O2968" s="2" t="s">
        <v>42</v>
      </c>
      <c r="P2968" s="2" t="s">
        <v>5294</v>
      </c>
      <c r="Q2968" s="2" t="s">
        <v>5295</v>
      </c>
      <c r="R2968" s="2" t="s">
        <v>29</v>
      </c>
      <c r="S2968" s="2" t="s">
        <v>30</v>
      </c>
    </row>
    <row r="2969" spans="1:19">
      <c r="A2969" s="1">
        <v>45352</v>
      </c>
      <c r="B2969" s="1">
        <v>45352</v>
      </c>
      <c r="C2969">
        <v>2024</v>
      </c>
      <c r="D2969">
        <v>3</v>
      </c>
      <c r="E2969" s="2" t="s">
        <v>45</v>
      </c>
      <c r="F2969" s="2" t="s">
        <v>46</v>
      </c>
      <c r="G2969" s="2" t="s">
        <v>39</v>
      </c>
      <c r="H2969" s="2" t="s">
        <v>22</v>
      </c>
      <c r="I2969" s="2" t="s">
        <v>40</v>
      </c>
      <c r="J2969" s="2" t="s">
        <v>24</v>
      </c>
      <c r="K2969">
        <v>5528.63</v>
      </c>
      <c r="L2969">
        <v>276713.84000000003</v>
      </c>
      <c r="M2969">
        <v>5005.1099999999997</v>
      </c>
      <c r="N2969" s="2" t="s">
        <v>47</v>
      </c>
      <c r="O2969" s="2" t="s">
        <v>48</v>
      </c>
      <c r="P2969" s="2" t="s">
        <v>5296</v>
      </c>
      <c r="Q2969" s="2" t="s">
        <v>5297</v>
      </c>
      <c r="R2969" s="2" t="s">
        <v>29</v>
      </c>
      <c r="S2969" s="2" t="s">
        <v>30</v>
      </c>
    </row>
    <row r="2970" spans="1:19">
      <c r="A2970" s="1">
        <v>45352</v>
      </c>
      <c r="B2970" s="1">
        <v>45352</v>
      </c>
      <c r="C2970">
        <v>2024</v>
      </c>
      <c r="D2970">
        <v>3</v>
      </c>
      <c r="E2970" s="2" t="s">
        <v>51</v>
      </c>
      <c r="F2970" s="2" t="s">
        <v>52</v>
      </c>
      <c r="G2970" s="2" t="s">
        <v>39</v>
      </c>
      <c r="H2970" s="2" t="s">
        <v>22</v>
      </c>
      <c r="I2970" s="2" t="s">
        <v>40</v>
      </c>
      <c r="J2970" s="2" t="s">
        <v>24</v>
      </c>
      <c r="K2970">
        <v>26.5</v>
      </c>
      <c r="L2970">
        <v>1111.03</v>
      </c>
      <c r="M2970">
        <v>4192.57</v>
      </c>
      <c r="N2970" s="2" t="s">
        <v>53</v>
      </c>
      <c r="O2970" s="2" t="s">
        <v>54</v>
      </c>
      <c r="P2970" s="2" t="s">
        <v>5298</v>
      </c>
      <c r="Q2970" s="2" t="s">
        <v>5299</v>
      </c>
      <c r="R2970" s="2" t="s">
        <v>29</v>
      </c>
      <c r="S2970" s="2" t="s">
        <v>30</v>
      </c>
    </row>
    <row r="2971" spans="1:19">
      <c r="A2971" s="1">
        <v>45352</v>
      </c>
      <c r="B2971" s="1">
        <v>45352</v>
      </c>
      <c r="C2971">
        <v>2024</v>
      </c>
      <c r="D2971">
        <v>3</v>
      </c>
      <c r="E2971" s="2" t="s">
        <v>57</v>
      </c>
      <c r="F2971" s="2" t="s">
        <v>58</v>
      </c>
      <c r="G2971" s="2" t="s">
        <v>39</v>
      </c>
      <c r="H2971" s="2" t="s">
        <v>22</v>
      </c>
      <c r="I2971" s="2" t="s">
        <v>40</v>
      </c>
      <c r="J2971" s="2" t="s">
        <v>59</v>
      </c>
      <c r="K2971">
        <v>5563.96</v>
      </c>
      <c r="L2971">
        <v>278270.52</v>
      </c>
      <c r="M2971">
        <v>5001.3</v>
      </c>
      <c r="N2971" s="2" t="s">
        <v>60</v>
      </c>
      <c r="O2971" s="2" t="s">
        <v>61</v>
      </c>
      <c r="P2971" s="2" t="s">
        <v>5300</v>
      </c>
      <c r="Q2971" s="2" t="s">
        <v>5301</v>
      </c>
      <c r="R2971" s="2" t="s">
        <v>29</v>
      </c>
      <c r="S2971" s="2" t="s">
        <v>30</v>
      </c>
    </row>
    <row r="2972" spans="1:19">
      <c r="A2972" s="1">
        <v>45352</v>
      </c>
      <c r="B2972" s="1">
        <v>45352</v>
      </c>
      <c r="C2972">
        <v>2024</v>
      </c>
      <c r="D2972">
        <v>3</v>
      </c>
      <c r="E2972" s="2" t="s">
        <v>64</v>
      </c>
      <c r="F2972" s="2" t="s">
        <v>65</v>
      </c>
      <c r="G2972" s="2" t="s">
        <v>21</v>
      </c>
      <c r="H2972" s="2" t="s">
        <v>22</v>
      </c>
      <c r="I2972" s="2" t="s">
        <v>66</v>
      </c>
      <c r="J2972" s="2" t="s">
        <v>24</v>
      </c>
      <c r="K2972">
        <v>22.68</v>
      </c>
      <c r="L2972">
        <v>583.98</v>
      </c>
      <c r="M2972">
        <v>2574.87</v>
      </c>
      <c r="N2972" s="2" t="s">
        <v>67</v>
      </c>
      <c r="O2972" s="2" t="s">
        <v>68</v>
      </c>
      <c r="P2972" s="2" t="s">
        <v>5302</v>
      </c>
      <c r="Q2972" s="2" t="s">
        <v>5303</v>
      </c>
      <c r="R2972" s="2" t="s">
        <v>29</v>
      </c>
      <c r="S2972" s="2" t="s">
        <v>30</v>
      </c>
    </row>
    <row r="2973" spans="1:19">
      <c r="A2973" s="1">
        <v>45352</v>
      </c>
      <c r="B2973" s="1">
        <v>45352</v>
      </c>
      <c r="C2973">
        <v>2024</v>
      </c>
      <c r="D2973">
        <v>3</v>
      </c>
      <c r="E2973" s="2" t="s">
        <v>71</v>
      </c>
      <c r="F2973" s="2" t="s">
        <v>72</v>
      </c>
      <c r="G2973" s="2" t="s">
        <v>21</v>
      </c>
      <c r="H2973" s="2" t="s">
        <v>22</v>
      </c>
      <c r="I2973" s="2" t="s">
        <v>73</v>
      </c>
      <c r="J2973" s="2" t="s">
        <v>59</v>
      </c>
      <c r="K2973">
        <v>5034.13</v>
      </c>
      <c r="L2973">
        <v>209208.02</v>
      </c>
      <c r="M2973">
        <v>4155.79</v>
      </c>
      <c r="N2973" s="2" t="s">
        <v>74</v>
      </c>
      <c r="O2973" s="2" t="s">
        <v>75</v>
      </c>
      <c r="P2973" s="2" t="s">
        <v>5304</v>
      </c>
      <c r="Q2973" s="2" t="s">
        <v>5305</v>
      </c>
      <c r="R2973" s="2" t="s">
        <v>29</v>
      </c>
      <c r="S2973" s="2" t="s">
        <v>30</v>
      </c>
    </row>
    <row r="2974" spans="1:19">
      <c r="A2974" s="1">
        <v>45352</v>
      </c>
      <c r="B2974" s="1">
        <v>45352</v>
      </c>
      <c r="C2974">
        <v>2024</v>
      </c>
      <c r="D2974">
        <v>3</v>
      </c>
      <c r="E2974" s="2" t="s">
        <v>78</v>
      </c>
      <c r="F2974" s="2" t="s">
        <v>79</v>
      </c>
      <c r="G2974" s="2" t="s">
        <v>80</v>
      </c>
      <c r="H2974" s="2" t="s">
        <v>81</v>
      </c>
      <c r="I2974" s="2" t="s">
        <v>82</v>
      </c>
      <c r="J2974" s="2" t="s">
        <v>24</v>
      </c>
      <c r="K2974">
        <v>2.27</v>
      </c>
      <c r="L2974">
        <v>7795104.1399999997</v>
      </c>
      <c r="M2974">
        <v>343396658.14999998</v>
      </c>
      <c r="N2974" s="2" t="s">
        <v>83</v>
      </c>
      <c r="O2974" s="2" t="s">
        <v>84</v>
      </c>
      <c r="P2974" s="2" t="s">
        <v>342</v>
      </c>
      <c r="Q2974" s="2" t="s">
        <v>5306</v>
      </c>
      <c r="R2974" s="2" t="s">
        <v>29</v>
      </c>
      <c r="S2974" s="2" t="s">
        <v>30</v>
      </c>
    </row>
    <row r="2975" spans="1:19">
      <c r="A2975" s="1">
        <v>45352</v>
      </c>
      <c r="B2975" s="1">
        <v>45352</v>
      </c>
      <c r="C2975">
        <v>2024</v>
      </c>
      <c r="D2975">
        <v>3</v>
      </c>
      <c r="E2975" s="2" t="s">
        <v>87</v>
      </c>
      <c r="F2975" s="2" t="s">
        <v>88</v>
      </c>
      <c r="G2975" s="2" t="s">
        <v>80</v>
      </c>
      <c r="H2975" s="2" t="s">
        <v>81</v>
      </c>
      <c r="I2975" s="2" t="s">
        <v>82</v>
      </c>
      <c r="J2975" s="2" t="s">
        <v>24</v>
      </c>
      <c r="K2975">
        <v>0.6</v>
      </c>
      <c r="L2975">
        <v>981057</v>
      </c>
      <c r="M2975">
        <v>163509500</v>
      </c>
      <c r="N2975" s="2" t="s">
        <v>89</v>
      </c>
      <c r="O2975" s="2" t="s">
        <v>90</v>
      </c>
      <c r="P2975" s="2" t="s">
        <v>3936</v>
      </c>
      <c r="Q2975" s="2" t="s">
        <v>5307</v>
      </c>
      <c r="R2975" s="2" t="s">
        <v>29</v>
      </c>
      <c r="S2975" s="2" t="s">
        <v>30</v>
      </c>
    </row>
    <row r="2976" spans="1:19">
      <c r="A2976" s="1">
        <v>45352</v>
      </c>
      <c r="B2976" s="1">
        <v>45352</v>
      </c>
      <c r="C2976">
        <v>2024</v>
      </c>
      <c r="D2976">
        <v>3</v>
      </c>
      <c r="E2976" s="2" t="s">
        <v>93</v>
      </c>
      <c r="F2976" s="2" t="s">
        <v>94</v>
      </c>
      <c r="G2976" s="2" t="s">
        <v>80</v>
      </c>
      <c r="H2976" s="2" t="s">
        <v>81</v>
      </c>
      <c r="I2976" s="2" t="s">
        <v>82</v>
      </c>
      <c r="J2976" s="2" t="s">
        <v>24</v>
      </c>
      <c r="K2976">
        <v>0.35</v>
      </c>
      <c r="L2976">
        <v>6226720.2000000002</v>
      </c>
      <c r="M2976">
        <v>1779062914.29</v>
      </c>
      <c r="N2976" s="2" t="s">
        <v>95</v>
      </c>
      <c r="O2976" s="2" t="s">
        <v>96</v>
      </c>
      <c r="P2976" s="2" t="s">
        <v>4029</v>
      </c>
      <c r="Q2976" s="2" t="s">
        <v>5308</v>
      </c>
      <c r="R2976" s="2" t="s">
        <v>29</v>
      </c>
      <c r="S2976" s="2" t="s">
        <v>30</v>
      </c>
    </row>
    <row r="2977" spans="1:19">
      <c r="A2977" s="1">
        <v>45352</v>
      </c>
      <c r="B2977" s="1">
        <v>45352</v>
      </c>
      <c r="C2977">
        <v>2024</v>
      </c>
      <c r="D2977">
        <v>3</v>
      </c>
      <c r="E2977" s="2" t="s">
        <v>99</v>
      </c>
      <c r="F2977" s="2" t="s">
        <v>100</v>
      </c>
      <c r="G2977" s="2" t="s">
        <v>80</v>
      </c>
      <c r="H2977" s="2" t="s">
        <v>81</v>
      </c>
      <c r="I2977" s="2" t="s">
        <v>82</v>
      </c>
      <c r="J2977" s="2" t="s">
        <v>101</v>
      </c>
      <c r="K2977">
        <v>1.1399999999999999</v>
      </c>
      <c r="L2977">
        <v>13374679.5</v>
      </c>
      <c r="M2977">
        <v>1173217500</v>
      </c>
      <c r="N2977" s="2" t="s">
        <v>102</v>
      </c>
      <c r="O2977" s="2" t="s">
        <v>103</v>
      </c>
      <c r="P2977" s="2" t="s">
        <v>2133</v>
      </c>
      <c r="Q2977" s="2" t="s">
        <v>5309</v>
      </c>
      <c r="R2977" s="2" t="s">
        <v>29</v>
      </c>
      <c r="S2977" s="2" t="s">
        <v>30</v>
      </c>
    </row>
    <row r="2978" spans="1:19">
      <c r="A2978" s="1">
        <v>45352</v>
      </c>
      <c r="B2978" s="1">
        <v>45352</v>
      </c>
      <c r="C2978">
        <v>2024</v>
      </c>
      <c r="D2978">
        <v>3</v>
      </c>
      <c r="E2978" s="2" t="s">
        <v>106</v>
      </c>
      <c r="F2978" s="2" t="s">
        <v>107</v>
      </c>
      <c r="G2978" s="2" t="s">
        <v>80</v>
      </c>
      <c r="H2978" s="2" t="s">
        <v>81</v>
      </c>
      <c r="I2978" s="2" t="s">
        <v>82</v>
      </c>
      <c r="J2978" s="2" t="s">
        <v>24</v>
      </c>
      <c r="K2978">
        <v>0.19</v>
      </c>
      <c r="L2978">
        <v>6166902.2999999998</v>
      </c>
      <c r="M2978">
        <v>3245738052.6300001</v>
      </c>
      <c r="N2978" s="2" t="s">
        <v>108</v>
      </c>
      <c r="O2978" s="2" t="s">
        <v>109</v>
      </c>
      <c r="P2978" s="2" t="s">
        <v>97</v>
      </c>
      <c r="Q2978" s="2" t="s">
        <v>5310</v>
      </c>
      <c r="R2978" s="2" t="s">
        <v>29</v>
      </c>
      <c r="S2978" s="2" t="s">
        <v>30</v>
      </c>
    </row>
    <row r="2979" spans="1:19">
      <c r="A2979" s="1">
        <v>45352</v>
      </c>
      <c r="B2979" s="1">
        <v>45352</v>
      </c>
      <c r="C2979">
        <v>2024</v>
      </c>
      <c r="D2979">
        <v>3</v>
      </c>
      <c r="E2979" s="2" t="s">
        <v>111</v>
      </c>
      <c r="F2979" s="2" t="s">
        <v>112</v>
      </c>
      <c r="G2979" s="2" t="s">
        <v>80</v>
      </c>
      <c r="H2979" s="2" t="s">
        <v>81</v>
      </c>
      <c r="I2979" s="2" t="s">
        <v>82</v>
      </c>
      <c r="J2979" s="2" t="s">
        <v>24</v>
      </c>
      <c r="K2979">
        <v>7.0000000000000007E-2</v>
      </c>
      <c r="L2979">
        <v>457972.7</v>
      </c>
      <c r="M2979">
        <v>654246714.28999996</v>
      </c>
      <c r="N2979" s="2" t="s">
        <v>113</v>
      </c>
      <c r="O2979" s="2" t="s">
        <v>114</v>
      </c>
      <c r="P2979" s="2" t="s">
        <v>2234</v>
      </c>
      <c r="Q2979" s="2" t="s">
        <v>5311</v>
      </c>
      <c r="R2979" s="2" t="s">
        <v>29</v>
      </c>
      <c r="S2979" s="2" t="s">
        <v>30</v>
      </c>
    </row>
    <row r="2980" spans="1:19">
      <c r="A2980" s="1">
        <v>45352</v>
      </c>
      <c r="B2980" s="1">
        <v>45352</v>
      </c>
      <c r="C2980">
        <v>2024</v>
      </c>
      <c r="D2980">
        <v>3</v>
      </c>
      <c r="E2980" s="2" t="s">
        <v>117</v>
      </c>
      <c r="F2980" s="2" t="s">
        <v>118</v>
      </c>
      <c r="G2980" s="2" t="s">
        <v>80</v>
      </c>
      <c r="H2980" s="2" t="s">
        <v>81</v>
      </c>
      <c r="I2980" s="2" t="s">
        <v>82</v>
      </c>
      <c r="J2980" s="2" t="s">
        <v>59</v>
      </c>
      <c r="K2980">
        <v>3.48</v>
      </c>
      <c r="L2980">
        <v>21627756.329999998</v>
      </c>
      <c r="M2980">
        <v>621487250.86000001</v>
      </c>
      <c r="N2980" s="2" t="s">
        <v>119</v>
      </c>
      <c r="O2980" s="2" t="s">
        <v>120</v>
      </c>
      <c r="P2980" s="2" t="s">
        <v>5312</v>
      </c>
      <c r="Q2980" s="2" t="s">
        <v>5313</v>
      </c>
      <c r="R2980" s="2" t="s">
        <v>29</v>
      </c>
      <c r="S2980" s="2" t="s">
        <v>30</v>
      </c>
    </row>
    <row r="2981" spans="1:19">
      <c r="A2981" s="1">
        <v>45352</v>
      </c>
      <c r="B2981" s="1">
        <v>45352</v>
      </c>
      <c r="C2981">
        <v>2024</v>
      </c>
      <c r="D2981">
        <v>3</v>
      </c>
      <c r="E2981" s="2" t="s">
        <v>123</v>
      </c>
      <c r="F2981" s="2" t="s">
        <v>124</v>
      </c>
      <c r="G2981" s="2" t="s">
        <v>21</v>
      </c>
      <c r="H2981" s="2" t="s">
        <v>22</v>
      </c>
      <c r="I2981" s="2" t="s">
        <v>73</v>
      </c>
      <c r="J2981" s="2" t="s">
        <v>24</v>
      </c>
      <c r="K2981">
        <v>1639.34</v>
      </c>
      <c r="L2981">
        <v>104080.92</v>
      </c>
      <c r="M2981">
        <v>6348.95</v>
      </c>
      <c r="N2981" s="2" t="s">
        <v>125</v>
      </c>
      <c r="O2981" s="2" t="s">
        <v>126</v>
      </c>
      <c r="P2981" s="2" t="s">
        <v>5314</v>
      </c>
      <c r="Q2981" s="2" t="s">
        <v>5315</v>
      </c>
      <c r="R2981" s="2" t="s">
        <v>29</v>
      </c>
      <c r="S2981" s="2" t="s">
        <v>30</v>
      </c>
    </row>
    <row r="2982" spans="1:19">
      <c r="A2982" s="1">
        <v>45352</v>
      </c>
      <c r="B2982" s="1">
        <v>45352</v>
      </c>
      <c r="C2982">
        <v>2024</v>
      </c>
      <c r="D2982">
        <v>3</v>
      </c>
      <c r="E2982" s="2" t="s">
        <v>129</v>
      </c>
      <c r="F2982" s="2" t="s">
        <v>130</v>
      </c>
      <c r="G2982" s="2" t="s">
        <v>21</v>
      </c>
      <c r="H2982" s="2" t="s">
        <v>22</v>
      </c>
      <c r="I2982" s="2" t="s">
        <v>73</v>
      </c>
      <c r="J2982" s="2" t="s">
        <v>24</v>
      </c>
      <c r="K2982">
        <v>1800.04</v>
      </c>
      <c r="L2982">
        <v>60378.16</v>
      </c>
      <c r="M2982">
        <v>3354.27</v>
      </c>
      <c r="N2982" s="2" t="s">
        <v>131</v>
      </c>
      <c r="O2982" s="2" t="s">
        <v>132</v>
      </c>
      <c r="P2982" s="2" t="s">
        <v>5316</v>
      </c>
      <c r="Q2982" s="2" t="s">
        <v>5317</v>
      </c>
      <c r="R2982" s="2" t="s">
        <v>29</v>
      </c>
      <c r="S2982" s="2" t="s">
        <v>30</v>
      </c>
    </row>
    <row r="2983" spans="1:19">
      <c r="A2983" s="1">
        <v>45352</v>
      </c>
      <c r="B2983" s="1">
        <v>45352</v>
      </c>
      <c r="C2983">
        <v>2024</v>
      </c>
      <c r="D2983">
        <v>3</v>
      </c>
      <c r="E2983" s="2" t="s">
        <v>135</v>
      </c>
      <c r="F2983" s="2" t="s">
        <v>136</v>
      </c>
      <c r="G2983" s="2" t="s">
        <v>21</v>
      </c>
      <c r="H2983" s="2" t="s">
        <v>22</v>
      </c>
      <c r="I2983" s="2" t="s">
        <v>73</v>
      </c>
      <c r="J2983" s="2" t="s">
        <v>101</v>
      </c>
      <c r="K2983">
        <v>3439.38</v>
      </c>
      <c r="L2983">
        <v>164459.07999999999</v>
      </c>
      <c r="M2983">
        <v>4781.6499999999996</v>
      </c>
      <c r="N2983" s="2" t="s">
        <v>137</v>
      </c>
      <c r="O2983" s="2" t="s">
        <v>138</v>
      </c>
      <c r="P2983" s="2" t="s">
        <v>5318</v>
      </c>
      <c r="Q2983" s="2" t="s">
        <v>5319</v>
      </c>
      <c r="R2983" s="2" t="s">
        <v>29</v>
      </c>
      <c r="S2983" s="2" t="s">
        <v>30</v>
      </c>
    </row>
    <row r="2984" spans="1:19">
      <c r="A2984" s="1">
        <v>45352</v>
      </c>
      <c r="B2984" s="1">
        <v>45352</v>
      </c>
      <c r="C2984">
        <v>2024</v>
      </c>
      <c r="D2984">
        <v>3</v>
      </c>
      <c r="E2984" s="2" t="s">
        <v>141</v>
      </c>
      <c r="F2984" s="2" t="s">
        <v>142</v>
      </c>
      <c r="G2984" s="2" t="s">
        <v>21</v>
      </c>
      <c r="H2984" s="2" t="s">
        <v>22</v>
      </c>
      <c r="I2984" s="2" t="s">
        <v>73</v>
      </c>
      <c r="J2984" s="2" t="s">
        <v>24</v>
      </c>
      <c r="K2984">
        <v>430.98</v>
      </c>
      <c r="L2984">
        <v>15439.94</v>
      </c>
      <c r="M2984">
        <v>3582.52</v>
      </c>
      <c r="N2984" s="2" t="s">
        <v>143</v>
      </c>
      <c r="O2984" s="2" t="s">
        <v>144</v>
      </c>
      <c r="P2984" s="2" t="s">
        <v>5320</v>
      </c>
      <c r="Q2984" s="2" t="s">
        <v>5321</v>
      </c>
      <c r="R2984" s="2" t="s">
        <v>29</v>
      </c>
      <c r="S2984" s="2" t="s">
        <v>30</v>
      </c>
    </row>
    <row r="2985" spans="1:19">
      <c r="A2985" s="1">
        <v>45352</v>
      </c>
      <c r="B2985" s="1">
        <v>45352</v>
      </c>
      <c r="C2985">
        <v>2024</v>
      </c>
      <c r="D2985">
        <v>3</v>
      </c>
      <c r="E2985" s="2" t="s">
        <v>147</v>
      </c>
      <c r="F2985" s="2" t="s">
        <v>148</v>
      </c>
      <c r="G2985" s="2" t="s">
        <v>21</v>
      </c>
      <c r="H2985" s="2" t="s">
        <v>22</v>
      </c>
      <c r="I2985" s="2" t="s">
        <v>73</v>
      </c>
      <c r="J2985" s="2" t="s">
        <v>24</v>
      </c>
      <c r="K2985">
        <v>1163.77</v>
      </c>
      <c r="L2985">
        <v>29309.01</v>
      </c>
      <c r="M2985">
        <v>2518.4499999999998</v>
      </c>
      <c r="N2985" s="2" t="s">
        <v>149</v>
      </c>
      <c r="O2985" s="2" t="s">
        <v>150</v>
      </c>
      <c r="P2985" s="2" t="s">
        <v>5322</v>
      </c>
      <c r="Q2985" s="2" t="s">
        <v>5323</v>
      </c>
      <c r="R2985" s="2" t="s">
        <v>29</v>
      </c>
      <c r="S2985" s="2" t="s">
        <v>30</v>
      </c>
    </row>
    <row r="2986" spans="1:19">
      <c r="A2986" s="1">
        <v>45352</v>
      </c>
      <c r="B2986" s="1">
        <v>45352</v>
      </c>
      <c r="C2986">
        <v>2024</v>
      </c>
      <c r="D2986">
        <v>3</v>
      </c>
      <c r="E2986" s="2" t="s">
        <v>153</v>
      </c>
      <c r="F2986" s="2" t="s">
        <v>154</v>
      </c>
      <c r="G2986" s="2" t="s">
        <v>21</v>
      </c>
      <c r="H2986" s="2" t="s">
        <v>22</v>
      </c>
      <c r="I2986" s="2" t="s">
        <v>73</v>
      </c>
      <c r="J2986" s="2" t="s">
        <v>101</v>
      </c>
      <c r="K2986">
        <v>1594.75</v>
      </c>
      <c r="L2986">
        <v>44748.95</v>
      </c>
      <c r="M2986">
        <v>2806.02</v>
      </c>
      <c r="N2986" s="2" t="s">
        <v>155</v>
      </c>
      <c r="O2986" s="2" t="s">
        <v>156</v>
      </c>
      <c r="P2986" s="2" t="s">
        <v>5324</v>
      </c>
      <c r="Q2986" s="2" t="s">
        <v>5325</v>
      </c>
      <c r="R2986" s="2" t="s">
        <v>29</v>
      </c>
      <c r="S2986" s="2" t="s">
        <v>30</v>
      </c>
    </row>
    <row r="2987" spans="1:19">
      <c r="A2987" s="1">
        <v>45352</v>
      </c>
      <c r="B2987" s="1">
        <v>45352</v>
      </c>
      <c r="C2987">
        <v>2024</v>
      </c>
      <c r="D2987">
        <v>3</v>
      </c>
      <c r="E2987" s="2" t="s">
        <v>159</v>
      </c>
      <c r="F2987" s="2" t="s">
        <v>160</v>
      </c>
      <c r="G2987" s="2" t="s">
        <v>21</v>
      </c>
      <c r="H2987" s="2" t="s">
        <v>22</v>
      </c>
      <c r="I2987" s="2" t="s">
        <v>66</v>
      </c>
      <c r="J2987" s="2" t="s">
        <v>59</v>
      </c>
      <c r="K2987">
        <v>1661</v>
      </c>
      <c r="L2987">
        <v>165046.75</v>
      </c>
      <c r="M2987">
        <v>9936.59</v>
      </c>
      <c r="N2987" s="2" t="s">
        <v>161</v>
      </c>
      <c r="O2987" s="2" t="s">
        <v>162</v>
      </c>
      <c r="P2987" s="2" t="s">
        <v>5326</v>
      </c>
      <c r="Q2987" s="2" t="s">
        <v>5327</v>
      </c>
      <c r="R2987" s="2" t="s">
        <v>29</v>
      </c>
      <c r="S2987" s="2" t="s">
        <v>30</v>
      </c>
    </row>
    <row r="2988" spans="1:19">
      <c r="A2988" s="1">
        <v>45352</v>
      </c>
      <c r="B2988" s="1">
        <v>45352</v>
      </c>
      <c r="C2988">
        <v>2024</v>
      </c>
      <c r="D2988">
        <v>3</v>
      </c>
      <c r="E2988" s="2" t="s">
        <v>165</v>
      </c>
      <c r="F2988" s="2" t="s">
        <v>166</v>
      </c>
      <c r="G2988" s="2" t="s">
        <v>21</v>
      </c>
      <c r="H2988" s="2" t="s">
        <v>22</v>
      </c>
      <c r="I2988" s="2" t="s">
        <v>23</v>
      </c>
      <c r="J2988" s="2" t="s">
        <v>24</v>
      </c>
      <c r="N2988" s="2" t="s">
        <v>167</v>
      </c>
      <c r="O2988" s="2" t="s">
        <v>168</v>
      </c>
      <c r="P2988" s="2" t="s">
        <v>175</v>
      </c>
      <c r="Q2988" s="2" t="s">
        <v>175</v>
      </c>
      <c r="R2988" s="2" t="s">
        <v>640</v>
      </c>
      <c r="S2988" s="2" t="s">
        <v>641</v>
      </c>
    </row>
    <row r="2989" spans="1:19">
      <c r="A2989" s="1">
        <v>45352</v>
      </c>
      <c r="B2989" s="1">
        <v>45352</v>
      </c>
      <c r="C2989">
        <v>2024</v>
      </c>
      <c r="D2989">
        <v>3</v>
      </c>
      <c r="E2989" s="2" t="s">
        <v>171</v>
      </c>
      <c r="F2989" s="2" t="s">
        <v>172</v>
      </c>
      <c r="G2989" s="2" t="s">
        <v>21</v>
      </c>
      <c r="H2989" s="2" t="s">
        <v>22</v>
      </c>
      <c r="I2989" s="2" t="s">
        <v>66</v>
      </c>
      <c r="J2989" s="2" t="s">
        <v>24</v>
      </c>
      <c r="N2989" s="2" t="s">
        <v>173</v>
      </c>
      <c r="O2989" s="2" t="s">
        <v>174</v>
      </c>
      <c r="P2989" s="2" t="s">
        <v>175</v>
      </c>
      <c r="Q2989" s="2" t="s">
        <v>175</v>
      </c>
      <c r="R2989" s="2" t="s">
        <v>640</v>
      </c>
      <c r="S2989" s="2" t="s">
        <v>641</v>
      </c>
    </row>
    <row r="2990" spans="1:19">
      <c r="A2990" s="1">
        <v>45352</v>
      </c>
      <c r="B2990" s="1">
        <v>45352</v>
      </c>
      <c r="C2990">
        <v>2024</v>
      </c>
      <c r="D2990">
        <v>3</v>
      </c>
      <c r="E2990" s="2" t="s">
        <v>177</v>
      </c>
      <c r="F2990" s="2" t="s">
        <v>178</v>
      </c>
      <c r="G2990" s="2" t="s">
        <v>21</v>
      </c>
      <c r="H2990" s="2" t="s">
        <v>22</v>
      </c>
      <c r="I2990" s="2" t="s">
        <v>23</v>
      </c>
      <c r="J2990" s="2" t="s">
        <v>24</v>
      </c>
      <c r="K2990">
        <v>5806.36</v>
      </c>
      <c r="L2990">
        <v>634705.71</v>
      </c>
      <c r="M2990">
        <v>10931.22</v>
      </c>
      <c r="N2990" s="2" t="s">
        <v>179</v>
      </c>
      <c r="O2990" s="2" t="s">
        <v>180</v>
      </c>
      <c r="P2990" s="2" t="s">
        <v>5328</v>
      </c>
      <c r="Q2990" s="2" t="s">
        <v>5329</v>
      </c>
      <c r="R2990" s="2" t="s">
        <v>29</v>
      </c>
      <c r="S2990" s="2" t="s">
        <v>30</v>
      </c>
    </row>
    <row r="2991" spans="1:19">
      <c r="A2991" s="1">
        <v>45352</v>
      </c>
      <c r="B2991" s="1">
        <v>45352</v>
      </c>
      <c r="C2991">
        <v>2024</v>
      </c>
      <c r="D2991">
        <v>3</v>
      </c>
      <c r="E2991" s="2" t="s">
        <v>183</v>
      </c>
      <c r="F2991" s="2" t="s">
        <v>184</v>
      </c>
      <c r="G2991" s="2" t="s">
        <v>185</v>
      </c>
      <c r="H2991" s="2" t="s">
        <v>22</v>
      </c>
      <c r="I2991" s="2" t="s">
        <v>186</v>
      </c>
      <c r="J2991" s="2" t="s">
        <v>24</v>
      </c>
      <c r="K2991">
        <v>3107.55</v>
      </c>
      <c r="L2991">
        <v>5138209.9000000004</v>
      </c>
      <c r="M2991">
        <v>165346.01</v>
      </c>
      <c r="N2991" s="2" t="s">
        <v>187</v>
      </c>
      <c r="O2991" s="2" t="s">
        <v>188</v>
      </c>
      <c r="P2991" s="2" t="s">
        <v>5330</v>
      </c>
      <c r="Q2991" s="2" t="s">
        <v>5331</v>
      </c>
      <c r="R2991" s="2" t="s">
        <v>29</v>
      </c>
      <c r="S2991" s="2" t="s">
        <v>30</v>
      </c>
    </row>
    <row r="2992" spans="1:19">
      <c r="A2992" s="1">
        <v>45352</v>
      </c>
      <c r="B2992" s="1">
        <v>45352</v>
      </c>
      <c r="C2992">
        <v>2024</v>
      </c>
      <c r="D2992">
        <v>3</v>
      </c>
      <c r="E2992" s="2" t="s">
        <v>191</v>
      </c>
      <c r="F2992" s="2" t="s">
        <v>192</v>
      </c>
      <c r="G2992" s="2" t="s">
        <v>185</v>
      </c>
      <c r="H2992" s="2" t="s">
        <v>22</v>
      </c>
      <c r="I2992" s="2" t="s">
        <v>186</v>
      </c>
      <c r="J2992" s="2" t="s">
        <v>24</v>
      </c>
      <c r="K2992">
        <v>1142.99</v>
      </c>
      <c r="L2992">
        <v>5235834.6500000004</v>
      </c>
      <c r="M2992">
        <v>458082.28</v>
      </c>
      <c r="N2992" s="2" t="s">
        <v>193</v>
      </c>
      <c r="O2992" s="2" t="s">
        <v>194</v>
      </c>
      <c r="P2992" s="2" t="s">
        <v>5332</v>
      </c>
      <c r="Q2992" s="2" t="s">
        <v>5333</v>
      </c>
      <c r="R2992" s="2" t="s">
        <v>29</v>
      </c>
      <c r="S2992" s="2" t="s">
        <v>30</v>
      </c>
    </row>
    <row r="2993" spans="1:19">
      <c r="A2993" s="1">
        <v>45352</v>
      </c>
      <c r="B2993" s="1">
        <v>45352</v>
      </c>
      <c r="C2993">
        <v>2024</v>
      </c>
      <c r="D2993">
        <v>3</v>
      </c>
      <c r="E2993" s="2" t="s">
        <v>197</v>
      </c>
      <c r="F2993" s="2" t="s">
        <v>198</v>
      </c>
      <c r="G2993" s="2" t="s">
        <v>185</v>
      </c>
      <c r="H2993" s="2" t="s">
        <v>22</v>
      </c>
      <c r="I2993" s="2" t="s">
        <v>186</v>
      </c>
      <c r="J2993" s="2" t="s">
        <v>59</v>
      </c>
      <c r="K2993">
        <v>4250.54</v>
      </c>
      <c r="L2993">
        <v>10374044.550000001</v>
      </c>
      <c r="M2993">
        <v>244064.16</v>
      </c>
      <c r="N2993" s="2" t="s">
        <v>199</v>
      </c>
      <c r="O2993" s="2" t="s">
        <v>200</v>
      </c>
      <c r="P2993" s="2" t="s">
        <v>5334</v>
      </c>
      <c r="Q2993" s="2" t="s">
        <v>5335</v>
      </c>
      <c r="R2993" s="2" t="s">
        <v>29</v>
      </c>
      <c r="S2993" s="2" t="s">
        <v>30</v>
      </c>
    </row>
    <row r="2994" spans="1:19">
      <c r="A2994" s="1">
        <v>45352</v>
      </c>
      <c r="B2994" s="1">
        <v>45352</v>
      </c>
      <c r="C2994">
        <v>2024</v>
      </c>
      <c r="D2994">
        <v>3</v>
      </c>
      <c r="E2994" s="2" t="s">
        <v>203</v>
      </c>
      <c r="F2994" s="2" t="s">
        <v>204</v>
      </c>
      <c r="G2994" s="2" t="s">
        <v>39</v>
      </c>
      <c r="H2994" s="2" t="s">
        <v>22</v>
      </c>
      <c r="I2994" s="2" t="s">
        <v>40</v>
      </c>
      <c r="J2994" s="2" t="s">
        <v>24</v>
      </c>
      <c r="K2994">
        <v>1059.56</v>
      </c>
      <c r="L2994">
        <v>27303.46</v>
      </c>
      <c r="M2994">
        <v>2576.87</v>
      </c>
      <c r="N2994" s="2" t="s">
        <v>205</v>
      </c>
      <c r="O2994" s="2" t="s">
        <v>206</v>
      </c>
      <c r="P2994" s="2" t="s">
        <v>5336</v>
      </c>
      <c r="Q2994" s="2" t="s">
        <v>5337</v>
      </c>
      <c r="R2994" s="2" t="s">
        <v>29</v>
      </c>
      <c r="S2994" s="2" t="s">
        <v>30</v>
      </c>
    </row>
    <row r="2995" spans="1:19">
      <c r="A2995" s="1">
        <v>45352</v>
      </c>
      <c r="B2995" s="1">
        <v>45352</v>
      </c>
      <c r="C2995">
        <v>2024</v>
      </c>
      <c r="D2995">
        <v>3</v>
      </c>
      <c r="E2995" s="2" t="s">
        <v>209</v>
      </c>
      <c r="F2995" s="2" t="s">
        <v>210</v>
      </c>
      <c r="G2995" s="2" t="s">
        <v>39</v>
      </c>
      <c r="H2995" s="2" t="s">
        <v>22</v>
      </c>
      <c r="I2995" s="2" t="s">
        <v>40</v>
      </c>
      <c r="J2995" s="2" t="s">
        <v>59</v>
      </c>
      <c r="K2995">
        <v>1059.56</v>
      </c>
      <c r="L2995">
        <v>27303.46</v>
      </c>
      <c r="M2995">
        <v>2576.87</v>
      </c>
      <c r="N2995" s="2" t="s">
        <v>211</v>
      </c>
      <c r="O2995" s="2" t="s">
        <v>212</v>
      </c>
      <c r="P2995" s="2" t="s">
        <v>5336</v>
      </c>
      <c r="Q2995" s="2" t="s">
        <v>5337</v>
      </c>
      <c r="R2995" s="2" t="s">
        <v>29</v>
      </c>
      <c r="S2995" s="2" t="s">
        <v>30</v>
      </c>
    </row>
    <row r="2996" spans="1:19">
      <c r="A2996" s="1">
        <v>45352</v>
      </c>
      <c r="B2996" s="1">
        <v>45352</v>
      </c>
      <c r="C2996">
        <v>2024</v>
      </c>
      <c r="D2996">
        <v>3</v>
      </c>
      <c r="E2996" s="2" t="s">
        <v>213</v>
      </c>
      <c r="F2996" s="2" t="s">
        <v>214</v>
      </c>
      <c r="G2996" s="2" t="s">
        <v>185</v>
      </c>
      <c r="H2996" s="2" t="s">
        <v>22</v>
      </c>
      <c r="I2996" s="2" t="s">
        <v>215</v>
      </c>
      <c r="J2996" s="2" t="s">
        <v>24</v>
      </c>
      <c r="K2996">
        <v>119854.54</v>
      </c>
      <c r="L2996">
        <v>2529145.4500000002</v>
      </c>
      <c r="M2996">
        <v>2110.1799999999998</v>
      </c>
      <c r="N2996" s="2" t="s">
        <v>216</v>
      </c>
      <c r="O2996" s="2" t="s">
        <v>217</v>
      </c>
      <c r="P2996" s="2" t="s">
        <v>5338</v>
      </c>
      <c r="Q2996" s="2" t="s">
        <v>5339</v>
      </c>
      <c r="R2996" s="2" t="s">
        <v>29</v>
      </c>
      <c r="S2996" s="2" t="s">
        <v>30</v>
      </c>
    </row>
    <row r="2997" spans="1:19">
      <c r="A2997" s="1">
        <v>45352</v>
      </c>
      <c r="B2997" s="1">
        <v>45352</v>
      </c>
      <c r="C2997">
        <v>2024</v>
      </c>
      <c r="D2997">
        <v>3</v>
      </c>
      <c r="E2997" s="2" t="s">
        <v>220</v>
      </c>
      <c r="F2997" s="2" t="s">
        <v>221</v>
      </c>
      <c r="G2997" s="2" t="s">
        <v>185</v>
      </c>
      <c r="H2997" s="2" t="s">
        <v>22</v>
      </c>
      <c r="I2997" s="2" t="s">
        <v>215</v>
      </c>
      <c r="J2997" s="2" t="s">
        <v>24</v>
      </c>
      <c r="K2997">
        <v>8771.0400000000009</v>
      </c>
      <c r="L2997">
        <v>602815.85</v>
      </c>
      <c r="M2997">
        <v>6872.8</v>
      </c>
      <c r="N2997" s="2" t="s">
        <v>222</v>
      </c>
      <c r="O2997" s="2" t="s">
        <v>223</v>
      </c>
      <c r="P2997" s="2" t="s">
        <v>5340</v>
      </c>
      <c r="Q2997" s="2" t="s">
        <v>5341</v>
      </c>
      <c r="R2997" s="2" t="s">
        <v>29</v>
      </c>
      <c r="S2997" s="2" t="s">
        <v>30</v>
      </c>
    </row>
    <row r="2998" spans="1:19">
      <c r="A2998" s="1">
        <v>45352</v>
      </c>
      <c r="B2998" s="1">
        <v>45352</v>
      </c>
      <c r="C2998">
        <v>2024</v>
      </c>
      <c r="D2998">
        <v>3</v>
      </c>
      <c r="E2998" s="2" t="s">
        <v>226</v>
      </c>
      <c r="F2998" s="2" t="s">
        <v>227</v>
      </c>
      <c r="G2998" s="2" t="s">
        <v>185</v>
      </c>
      <c r="H2998" s="2" t="s">
        <v>22</v>
      </c>
      <c r="I2998" s="2" t="s">
        <v>215</v>
      </c>
      <c r="J2998" s="2" t="s">
        <v>59</v>
      </c>
      <c r="K2998">
        <v>128625.58</v>
      </c>
      <c r="L2998">
        <v>3131961.3</v>
      </c>
      <c r="M2998">
        <v>2434.94</v>
      </c>
      <c r="N2998" s="2" t="s">
        <v>228</v>
      </c>
      <c r="O2998" s="2" t="s">
        <v>229</v>
      </c>
      <c r="P2998" s="2" t="s">
        <v>5342</v>
      </c>
      <c r="Q2998" s="2" t="s">
        <v>5343</v>
      </c>
      <c r="R2998" s="2" t="s">
        <v>29</v>
      </c>
      <c r="S2998" s="2" t="s">
        <v>30</v>
      </c>
    </row>
    <row r="2999" spans="1:19">
      <c r="A2999" s="1">
        <v>45352</v>
      </c>
      <c r="B2999" s="1">
        <v>45352</v>
      </c>
      <c r="C2999">
        <v>2024</v>
      </c>
      <c r="D2999">
        <v>3</v>
      </c>
      <c r="E2999" s="2" t="s">
        <v>232</v>
      </c>
      <c r="F2999" s="2" t="s">
        <v>233</v>
      </c>
      <c r="G2999" s="2" t="s">
        <v>21</v>
      </c>
      <c r="H2999" s="2" t="s">
        <v>22</v>
      </c>
      <c r="I2999" s="2" t="s">
        <v>23</v>
      </c>
      <c r="J2999" s="2" t="s">
        <v>24</v>
      </c>
      <c r="K2999">
        <v>1808.71</v>
      </c>
      <c r="L2999">
        <v>173928.3</v>
      </c>
      <c r="M2999">
        <v>9616.15</v>
      </c>
      <c r="N2999" s="2" t="s">
        <v>234</v>
      </c>
      <c r="O2999" s="2" t="s">
        <v>235</v>
      </c>
      <c r="P2999" s="2" t="s">
        <v>5344</v>
      </c>
      <c r="Q2999" s="2" t="s">
        <v>5345</v>
      </c>
      <c r="R2999" s="2" t="s">
        <v>29</v>
      </c>
      <c r="S2999" s="2" t="s">
        <v>30</v>
      </c>
    </row>
    <row r="3000" spans="1:19">
      <c r="A3000" s="1">
        <v>45352</v>
      </c>
      <c r="B3000" s="1">
        <v>45352</v>
      </c>
      <c r="C3000">
        <v>2024</v>
      </c>
      <c r="D3000">
        <v>3</v>
      </c>
      <c r="E3000" s="2" t="s">
        <v>238</v>
      </c>
      <c r="F3000" s="2" t="s">
        <v>239</v>
      </c>
      <c r="G3000" s="2" t="s">
        <v>21</v>
      </c>
      <c r="H3000" s="2" t="s">
        <v>22</v>
      </c>
      <c r="I3000" s="2" t="s">
        <v>66</v>
      </c>
      <c r="J3000" s="2" t="s">
        <v>24</v>
      </c>
      <c r="K3000">
        <v>1492</v>
      </c>
      <c r="L3000">
        <v>164223.1</v>
      </c>
      <c r="M3000">
        <v>11006.91</v>
      </c>
      <c r="N3000" s="2" t="s">
        <v>240</v>
      </c>
      <c r="O3000" s="2" t="s">
        <v>241</v>
      </c>
      <c r="P3000" s="2" t="s">
        <v>5346</v>
      </c>
      <c r="Q3000" s="2" t="s">
        <v>5347</v>
      </c>
      <c r="R3000" s="2" t="s">
        <v>29</v>
      </c>
      <c r="S3000" s="2" t="s">
        <v>30</v>
      </c>
    </row>
    <row r="3001" spans="1:19">
      <c r="A3001" s="1">
        <v>45352</v>
      </c>
      <c r="B3001" s="1">
        <v>45352</v>
      </c>
      <c r="C3001">
        <v>2024</v>
      </c>
      <c r="D3001">
        <v>3</v>
      </c>
      <c r="E3001" s="2" t="s">
        <v>244</v>
      </c>
      <c r="F3001" s="2" t="s">
        <v>245</v>
      </c>
      <c r="G3001" s="2" t="s">
        <v>21</v>
      </c>
      <c r="H3001" s="2" t="s">
        <v>22</v>
      </c>
      <c r="I3001" s="2" t="s">
        <v>23</v>
      </c>
      <c r="J3001" s="2" t="s">
        <v>24</v>
      </c>
      <c r="K3001">
        <v>7939.1</v>
      </c>
      <c r="L3001">
        <v>4320840.2300000004</v>
      </c>
      <c r="M3001">
        <v>54424.81</v>
      </c>
      <c r="N3001" s="2" t="s">
        <v>246</v>
      </c>
      <c r="O3001" s="2" t="s">
        <v>247</v>
      </c>
      <c r="P3001" s="2" t="s">
        <v>5348</v>
      </c>
      <c r="Q3001" s="2" t="s">
        <v>5349</v>
      </c>
      <c r="R3001" s="2" t="s">
        <v>29</v>
      </c>
      <c r="S3001" s="2" t="s">
        <v>30</v>
      </c>
    </row>
    <row r="3002" spans="1:19">
      <c r="A3002" s="1">
        <v>45352</v>
      </c>
      <c r="B3002" s="1">
        <v>45352</v>
      </c>
      <c r="C3002">
        <v>2024</v>
      </c>
      <c r="D3002">
        <v>3</v>
      </c>
      <c r="E3002" s="2" t="s">
        <v>250</v>
      </c>
      <c r="F3002" s="2" t="s">
        <v>251</v>
      </c>
      <c r="G3002" s="2" t="s">
        <v>21</v>
      </c>
      <c r="H3002" s="2" t="s">
        <v>22</v>
      </c>
      <c r="I3002" s="2" t="s">
        <v>66</v>
      </c>
      <c r="J3002" s="2" t="s">
        <v>24</v>
      </c>
      <c r="K3002">
        <v>146.32</v>
      </c>
      <c r="L3002">
        <v>239.67</v>
      </c>
      <c r="M3002">
        <v>163.80000000000001</v>
      </c>
      <c r="N3002" s="2" t="s">
        <v>252</v>
      </c>
      <c r="O3002" s="2" t="s">
        <v>253</v>
      </c>
      <c r="P3002" s="2" t="s">
        <v>5350</v>
      </c>
      <c r="Q3002" s="2" t="s">
        <v>5351</v>
      </c>
      <c r="R3002" s="2" t="s">
        <v>29</v>
      </c>
      <c r="S3002" s="2" t="s">
        <v>30</v>
      </c>
    </row>
    <row r="3003" spans="1:19">
      <c r="A3003" s="1">
        <v>45352</v>
      </c>
      <c r="B3003" s="1">
        <v>45352</v>
      </c>
      <c r="C3003">
        <v>2024</v>
      </c>
      <c r="D3003">
        <v>3</v>
      </c>
      <c r="E3003" s="2" t="s">
        <v>256</v>
      </c>
      <c r="F3003" s="2" t="s">
        <v>257</v>
      </c>
      <c r="G3003" s="2" t="s">
        <v>21</v>
      </c>
      <c r="H3003" s="2" t="s">
        <v>22</v>
      </c>
      <c r="I3003" s="2" t="s">
        <v>258</v>
      </c>
      <c r="J3003" s="2" t="s">
        <v>24</v>
      </c>
      <c r="K3003">
        <v>585.30999999999995</v>
      </c>
      <c r="L3003">
        <v>688745.35</v>
      </c>
      <c r="M3003">
        <v>117671.89</v>
      </c>
      <c r="N3003" s="2" t="s">
        <v>259</v>
      </c>
      <c r="O3003" s="2" t="s">
        <v>260</v>
      </c>
      <c r="P3003" s="2" t="s">
        <v>5352</v>
      </c>
      <c r="Q3003" s="2" t="s">
        <v>5353</v>
      </c>
      <c r="R3003" s="2" t="s">
        <v>29</v>
      </c>
      <c r="S3003" s="2" t="s">
        <v>30</v>
      </c>
    </row>
    <row r="3004" spans="1:19">
      <c r="A3004" s="1">
        <v>45352</v>
      </c>
      <c r="B3004" s="1">
        <v>45352</v>
      </c>
      <c r="C3004">
        <v>2024</v>
      </c>
      <c r="D3004">
        <v>3</v>
      </c>
      <c r="E3004" s="2" t="s">
        <v>263</v>
      </c>
      <c r="F3004" s="2" t="s">
        <v>264</v>
      </c>
      <c r="G3004" s="2" t="s">
        <v>21</v>
      </c>
      <c r="H3004" s="2" t="s">
        <v>22</v>
      </c>
      <c r="I3004" s="2" t="s">
        <v>258</v>
      </c>
      <c r="J3004" s="2" t="s">
        <v>24</v>
      </c>
      <c r="K3004">
        <v>0</v>
      </c>
      <c r="L3004">
        <v>0</v>
      </c>
      <c r="N3004" s="2" t="s">
        <v>265</v>
      </c>
      <c r="O3004" s="2" t="s">
        <v>266</v>
      </c>
      <c r="P3004" s="2" t="s">
        <v>639</v>
      </c>
      <c r="Q3004" s="2" t="s">
        <v>639</v>
      </c>
      <c r="R3004" s="2" t="s">
        <v>29</v>
      </c>
      <c r="S3004" s="2" t="s">
        <v>30</v>
      </c>
    </row>
    <row r="3005" spans="1:19">
      <c r="A3005" s="1">
        <v>45352</v>
      </c>
      <c r="B3005" s="1">
        <v>45352</v>
      </c>
      <c r="C3005">
        <v>2024</v>
      </c>
      <c r="D3005">
        <v>3</v>
      </c>
      <c r="E3005" s="2" t="s">
        <v>269</v>
      </c>
      <c r="F3005" s="2" t="s">
        <v>270</v>
      </c>
      <c r="G3005" s="2" t="s">
        <v>21</v>
      </c>
      <c r="H3005" s="2" t="s">
        <v>22</v>
      </c>
      <c r="I3005" s="2" t="s">
        <v>258</v>
      </c>
      <c r="J3005" s="2" t="s">
        <v>59</v>
      </c>
      <c r="K3005">
        <v>585.30999999999995</v>
      </c>
      <c r="L3005">
        <v>688745.35</v>
      </c>
      <c r="M3005">
        <v>117671.89</v>
      </c>
      <c r="N3005" s="2" t="s">
        <v>271</v>
      </c>
      <c r="O3005" s="2" t="s">
        <v>272</v>
      </c>
      <c r="P3005" s="2" t="s">
        <v>5352</v>
      </c>
      <c r="Q3005" s="2" t="s">
        <v>5353</v>
      </c>
      <c r="R3005" s="2" t="s">
        <v>29</v>
      </c>
      <c r="S3005" s="2" t="s">
        <v>30</v>
      </c>
    </row>
    <row r="3006" spans="1:19">
      <c r="A3006" s="1">
        <v>45352</v>
      </c>
      <c r="B3006" s="1">
        <v>45352</v>
      </c>
      <c r="C3006">
        <v>2024</v>
      </c>
      <c r="D3006">
        <v>3</v>
      </c>
      <c r="E3006" s="2" t="s">
        <v>275</v>
      </c>
      <c r="F3006" s="2" t="s">
        <v>276</v>
      </c>
      <c r="G3006" s="2" t="s">
        <v>39</v>
      </c>
      <c r="H3006" s="2" t="s">
        <v>22</v>
      </c>
      <c r="I3006" s="2" t="s">
        <v>40</v>
      </c>
      <c r="J3006" s="2" t="s">
        <v>24</v>
      </c>
      <c r="K3006">
        <v>0.51</v>
      </c>
      <c r="L3006">
        <v>4.99</v>
      </c>
      <c r="M3006">
        <v>978.43</v>
      </c>
      <c r="N3006" s="2" t="s">
        <v>277</v>
      </c>
      <c r="O3006" s="2" t="s">
        <v>278</v>
      </c>
      <c r="P3006" s="2" t="s">
        <v>1646</v>
      </c>
      <c r="Q3006" s="2" t="s">
        <v>5354</v>
      </c>
      <c r="R3006" s="2" t="s">
        <v>29</v>
      </c>
      <c r="S3006" s="2" t="s">
        <v>30</v>
      </c>
    </row>
    <row r="3007" spans="1:19">
      <c r="A3007" s="1">
        <v>45352</v>
      </c>
      <c r="B3007" s="1">
        <v>45352</v>
      </c>
      <c r="C3007">
        <v>2024</v>
      </c>
      <c r="D3007">
        <v>3</v>
      </c>
      <c r="E3007" s="2" t="s">
        <v>281</v>
      </c>
      <c r="F3007" s="2" t="s">
        <v>282</v>
      </c>
      <c r="G3007" s="2" t="s">
        <v>39</v>
      </c>
      <c r="H3007" s="2" t="s">
        <v>22</v>
      </c>
      <c r="I3007" s="2" t="s">
        <v>40</v>
      </c>
      <c r="J3007" s="2" t="s">
        <v>24</v>
      </c>
      <c r="K3007">
        <v>0.02</v>
      </c>
      <c r="L3007">
        <v>0.12</v>
      </c>
      <c r="M3007">
        <v>600</v>
      </c>
      <c r="N3007" s="2" t="s">
        <v>283</v>
      </c>
      <c r="O3007" s="2" t="s">
        <v>284</v>
      </c>
      <c r="P3007" s="2" t="s">
        <v>1039</v>
      </c>
      <c r="Q3007" s="2" t="s">
        <v>1547</v>
      </c>
      <c r="R3007" s="2" t="s">
        <v>29</v>
      </c>
      <c r="S3007" s="2" t="s">
        <v>30</v>
      </c>
    </row>
    <row r="3008" spans="1:19">
      <c r="A3008" s="1">
        <v>45352</v>
      </c>
      <c r="B3008" s="1">
        <v>45352</v>
      </c>
      <c r="C3008">
        <v>2024</v>
      </c>
      <c r="D3008">
        <v>3</v>
      </c>
      <c r="E3008" s="2" t="s">
        <v>287</v>
      </c>
      <c r="F3008" s="2" t="s">
        <v>288</v>
      </c>
      <c r="G3008" s="2" t="s">
        <v>39</v>
      </c>
      <c r="H3008" s="2" t="s">
        <v>22</v>
      </c>
      <c r="I3008" s="2" t="s">
        <v>40</v>
      </c>
      <c r="J3008" s="2" t="s">
        <v>59</v>
      </c>
      <c r="K3008">
        <v>0.53</v>
      </c>
      <c r="L3008">
        <v>5.0999999999999996</v>
      </c>
      <c r="M3008">
        <v>962.26</v>
      </c>
      <c r="N3008" s="2" t="s">
        <v>289</v>
      </c>
      <c r="O3008" s="2" t="s">
        <v>290</v>
      </c>
      <c r="P3008" s="2" t="s">
        <v>5261</v>
      </c>
      <c r="Q3008" s="2" t="s">
        <v>1496</v>
      </c>
      <c r="R3008" s="2" t="s">
        <v>29</v>
      </c>
      <c r="S3008" s="2" t="s">
        <v>30</v>
      </c>
    </row>
    <row r="3009" spans="1:19">
      <c r="A3009" s="1">
        <v>45352</v>
      </c>
      <c r="B3009" s="1">
        <v>45352</v>
      </c>
      <c r="C3009">
        <v>2024</v>
      </c>
      <c r="D3009">
        <v>3</v>
      </c>
      <c r="E3009" s="2" t="s">
        <v>293</v>
      </c>
      <c r="F3009" s="2" t="s">
        <v>294</v>
      </c>
      <c r="G3009" s="2" t="s">
        <v>21</v>
      </c>
      <c r="H3009" s="2" t="s">
        <v>22</v>
      </c>
      <c r="I3009" s="2" t="s">
        <v>295</v>
      </c>
      <c r="J3009" s="2" t="s">
        <v>24</v>
      </c>
      <c r="K3009">
        <v>615.95000000000005</v>
      </c>
      <c r="L3009">
        <v>3494.55</v>
      </c>
      <c r="M3009">
        <v>567.34</v>
      </c>
      <c r="N3009" s="2" t="s">
        <v>296</v>
      </c>
      <c r="O3009" s="2" t="s">
        <v>297</v>
      </c>
      <c r="P3009" s="2" t="s">
        <v>5355</v>
      </c>
      <c r="Q3009" s="2" t="s">
        <v>5356</v>
      </c>
      <c r="R3009" s="2" t="s">
        <v>29</v>
      </c>
      <c r="S3009" s="2" t="s">
        <v>30</v>
      </c>
    </row>
    <row r="3010" spans="1:19">
      <c r="A3010" s="1">
        <v>45352</v>
      </c>
      <c r="B3010" s="1">
        <v>45352</v>
      </c>
      <c r="C3010">
        <v>2024</v>
      </c>
      <c r="D3010">
        <v>3</v>
      </c>
      <c r="E3010" s="2" t="s">
        <v>300</v>
      </c>
      <c r="F3010" s="2" t="s">
        <v>301</v>
      </c>
      <c r="G3010" s="2" t="s">
        <v>21</v>
      </c>
      <c r="H3010" s="2" t="s">
        <v>22</v>
      </c>
      <c r="I3010" s="2" t="s">
        <v>295</v>
      </c>
      <c r="J3010" s="2" t="s">
        <v>24</v>
      </c>
      <c r="K3010">
        <v>699.02</v>
      </c>
      <c r="L3010">
        <v>964.31</v>
      </c>
      <c r="M3010">
        <v>137.94999999999999</v>
      </c>
      <c r="N3010" s="2" t="s">
        <v>302</v>
      </c>
      <c r="O3010" s="2" t="s">
        <v>303</v>
      </c>
      <c r="P3010" s="2" t="s">
        <v>5357</v>
      </c>
      <c r="Q3010" s="2" t="s">
        <v>5358</v>
      </c>
      <c r="R3010" s="2" t="s">
        <v>29</v>
      </c>
      <c r="S3010" s="2" t="s">
        <v>30</v>
      </c>
    </row>
    <row r="3011" spans="1:19">
      <c r="A3011" s="1">
        <v>45352</v>
      </c>
      <c r="B3011" s="1">
        <v>45352</v>
      </c>
      <c r="C3011">
        <v>2024</v>
      </c>
      <c r="D3011">
        <v>3</v>
      </c>
      <c r="E3011" s="2" t="s">
        <v>306</v>
      </c>
      <c r="F3011" s="2" t="s">
        <v>307</v>
      </c>
      <c r="G3011" s="2" t="s">
        <v>21</v>
      </c>
      <c r="H3011" s="2" t="s">
        <v>22</v>
      </c>
      <c r="I3011" s="2" t="s">
        <v>295</v>
      </c>
      <c r="J3011" s="2" t="s">
        <v>101</v>
      </c>
      <c r="K3011">
        <v>1314.97</v>
      </c>
      <c r="L3011">
        <v>4458.8599999999997</v>
      </c>
      <c r="M3011">
        <v>339.08</v>
      </c>
      <c r="N3011" s="2" t="s">
        <v>308</v>
      </c>
      <c r="O3011" s="2" t="s">
        <v>309</v>
      </c>
      <c r="P3011" s="2" t="s">
        <v>5359</v>
      </c>
      <c r="Q3011" s="2" t="s">
        <v>5360</v>
      </c>
      <c r="R3011" s="2" t="s">
        <v>29</v>
      </c>
      <c r="S3011" s="2" t="s">
        <v>30</v>
      </c>
    </row>
    <row r="3012" spans="1:19">
      <c r="A3012" s="1">
        <v>45352</v>
      </c>
      <c r="B3012" s="1">
        <v>45352</v>
      </c>
      <c r="C3012">
        <v>2024</v>
      </c>
      <c r="D3012">
        <v>3</v>
      </c>
      <c r="E3012" s="2" t="s">
        <v>312</v>
      </c>
      <c r="F3012" s="2" t="s">
        <v>313</v>
      </c>
      <c r="G3012" s="2" t="s">
        <v>21</v>
      </c>
      <c r="H3012" s="2" t="s">
        <v>22</v>
      </c>
      <c r="I3012" s="2" t="s">
        <v>295</v>
      </c>
      <c r="J3012" s="2" t="s">
        <v>59</v>
      </c>
      <c r="K3012">
        <v>5804.85</v>
      </c>
      <c r="L3012">
        <v>18200.330000000002</v>
      </c>
      <c r="M3012">
        <v>313.54000000000002</v>
      </c>
      <c r="N3012" s="2" t="s">
        <v>314</v>
      </c>
      <c r="O3012" s="2" t="s">
        <v>315</v>
      </c>
      <c r="P3012" s="2" t="s">
        <v>5361</v>
      </c>
      <c r="Q3012" s="2" t="s">
        <v>5362</v>
      </c>
      <c r="R3012" s="2" t="s">
        <v>29</v>
      </c>
      <c r="S3012" s="2" t="s">
        <v>30</v>
      </c>
    </row>
    <row r="3013" spans="1:19">
      <c r="A3013" s="1">
        <v>45352</v>
      </c>
      <c r="B3013" s="1">
        <v>45352</v>
      </c>
      <c r="C3013">
        <v>2024</v>
      </c>
      <c r="D3013">
        <v>3</v>
      </c>
      <c r="E3013" s="2" t="s">
        <v>318</v>
      </c>
      <c r="F3013" s="2" t="s">
        <v>319</v>
      </c>
      <c r="G3013" s="2" t="s">
        <v>21</v>
      </c>
      <c r="H3013" s="2" t="s">
        <v>22</v>
      </c>
      <c r="I3013" s="2" t="s">
        <v>295</v>
      </c>
      <c r="J3013" s="2" t="s">
        <v>24</v>
      </c>
      <c r="K3013">
        <v>4489.88</v>
      </c>
      <c r="L3013">
        <v>13741.47</v>
      </c>
      <c r="M3013">
        <v>306.05</v>
      </c>
      <c r="N3013" s="2" t="s">
        <v>320</v>
      </c>
      <c r="O3013" s="2" t="s">
        <v>321</v>
      </c>
      <c r="P3013" s="2" t="s">
        <v>5363</v>
      </c>
      <c r="Q3013" s="2" t="s">
        <v>5364</v>
      </c>
      <c r="R3013" s="2" t="s">
        <v>29</v>
      </c>
      <c r="S3013" s="2" t="s">
        <v>30</v>
      </c>
    </row>
    <row r="3014" spans="1:19">
      <c r="A3014" s="1">
        <v>45352</v>
      </c>
      <c r="B3014" s="1">
        <v>45352</v>
      </c>
      <c r="C3014">
        <v>2024</v>
      </c>
      <c r="D3014">
        <v>3</v>
      </c>
      <c r="E3014" s="2" t="s">
        <v>324</v>
      </c>
      <c r="F3014" s="2" t="s">
        <v>325</v>
      </c>
      <c r="G3014" s="2" t="s">
        <v>21</v>
      </c>
      <c r="H3014" s="2" t="s">
        <v>22</v>
      </c>
      <c r="I3014" s="2" t="s">
        <v>23</v>
      </c>
      <c r="J3014" s="2" t="s">
        <v>59</v>
      </c>
      <c r="K3014">
        <v>152969.07999999999</v>
      </c>
      <c r="L3014">
        <v>7152556.7300000004</v>
      </c>
      <c r="M3014">
        <v>4675.82</v>
      </c>
      <c r="N3014" s="2" t="s">
        <v>326</v>
      </c>
      <c r="O3014" s="2" t="s">
        <v>327</v>
      </c>
      <c r="P3014" s="2" t="s">
        <v>5365</v>
      </c>
      <c r="Q3014" s="2" t="s">
        <v>5366</v>
      </c>
      <c r="R3014" s="2" t="s">
        <v>29</v>
      </c>
      <c r="S3014" s="2" t="s">
        <v>30</v>
      </c>
    </row>
    <row r="3015" spans="1:19">
      <c r="A3015" s="1">
        <v>45352</v>
      </c>
      <c r="B3015" s="1">
        <v>45352</v>
      </c>
      <c r="C3015">
        <v>2024</v>
      </c>
      <c r="D3015">
        <v>3</v>
      </c>
      <c r="E3015" s="2" t="s">
        <v>330</v>
      </c>
      <c r="F3015" s="2" t="s">
        <v>331</v>
      </c>
      <c r="G3015" s="2" t="s">
        <v>21</v>
      </c>
      <c r="H3015" s="2" t="s">
        <v>332</v>
      </c>
      <c r="I3015" s="2" t="s">
        <v>333</v>
      </c>
      <c r="J3015" s="2" t="s">
        <v>24</v>
      </c>
      <c r="K3015">
        <v>277.25</v>
      </c>
      <c r="L3015">
        <v>16588625.49</v>
      </c>
      <c r="M3015">
        <v>5983273.4000000004</v>
      </c>
      <c r="N3015" s="2" t="s">
        <v>334</v>
      </c>
      <c r="O3015" s="2" t="s">
        <v>335</v>
      </c>
      <c r="P3015" s="2" t="s">
        <v>5367</v>
      </c>
      <c r="Q3015" s="2" t="s">
        <v>5368</v>
      </c>
      <c r="R3015" s="2" t="s">
        <v>29</v>
      </c>
      <c r="S3015" s="2" t="s">
        <v>30</v>
      </c>
    </row>
    <row r="3016" spans="1:19">
      <c r="A3016" s="1">
        <v>45352</v>
      </c>
      <c r="B3016" s="1">
        <v>45352</v>
      </c>
      <c r="C3016">
        <v>2024</v>
      </c>
      <c r="D3016">
        <v>3</v>
      </c>
      <c r="E3016" s="2" t="s">
        <v>338</v>
      </c>
      <c r="F3016" s="2" t="s">
        <v>339</v>
      </c>
      <c r="G3016" s="2" t="s">
        <v>21</v>
      </c>
      <c r="H3016" s="2" t="s">
        <v>332</v>
      </c>
      <c r="I3016" s="2" t="s">
        <v>333</v>
      </c>
      <c r="J3016" s="2" t="s">
        <v>24</v>
      </c>
      <c r="K3016">
        <v>1.22</v>
      </c>
      <c r="L3016">
        <v>1539740.61</v>
      </c>
      <c r="M3016">
        <v>126208246.72</v>
      </c>
      <c r="N3016" s="2" t="s">
        <v>340</v>
      </c>
      <c r="O3016" s="2" t="s">
        <v>341</v>
      </c>
      <c r="P3016" s="2" t="s">
        <v>1140</v>
      </c>
      <c r="Q3016" s="2" t="s">
        <v>5369</v>
      </c>
      <c r="R3016" s="2" t="s">
        <v>29</v>
      </c>
      <c r="S3016" s="2" t="s">
        <v>30</v>
      </c>
    </row>
    <row r="3017" spans="1:19">
      <c r="A3017" s="1">
        <v>45352</v>
      </c>
      <c r="B3017" s="1">
        <v>45352</v>
      </c>
      <c r="C3017">
        <v>2024</v>
      </c>
      <c r="D3017">
        <v>3</v>
      </c>
      <c r="E3017" s="2" t="s">
        <v>344</v>
      </c>
      <c r="F3017" s="2" t="s">
        <v>345</v>
      </c>
      <c r="G3017" s="2" t="s">
        <v>21</v>
      </c>
      <c r="H3017" s="2" t="s">
        <v>332</v>
      </c>
      <c r="I3017" s="2" t="s">
        <v>333</v>
      </c>
      <c r="J3017" s="2" t="s">
        <v>59</v>
      </c>
      <c r="K3017">
        <v>278.47000000000003</v>
      </c>
      <c r="L3017">
        <v>18128366.100000001</v>
      </c>
      <c r="M3017">
        <v>6509988.9000000004</v>
      </c>
      <c r="N3017" s="2" t="s">
        <v>346</v>
      </c>
      <c r="O3017" s="2" t="s">
        <v>347</v>
      </c>
      <c r="P3017" s="2" t="s">
        <v>5370</v>
      </c>
      <c r="Q3017" s="2" t="s">
        <v>5371</v>
      </c>
      <c r="R3017" s="2" t="s">
        <v>29</v>
      </c>
      <c r="S3017" s="2" t="s">
        <v>30</v>
      </c>
    </row>
    <row r="3018" spans="1:19">
      <c r="A3018" s="1">
        <v>45352</v>
      </c>
      <c r="B3018" s="1">
        <v>45352</v>
      </c>
      <c r="C3018">
        <v>2024</v>
      </c>
      <c r="D3018">
        <v>3</v>
      </c>
      <c r="E3018" s="2" t="s">
        <v>350</v>
      </c>
      <c r="F3018" s="2" t="s">
        <v>351</v>
      </c>
      <c r="G3018" s="2" t="s">
        <v>21</v>
      </c>
      <c r="H3018" s="2" t="s">
        <v>22</v>
      </c>
      <c r="I3018" s="2" t="s">
        <v>352</v>
      </c>
      <c r="J3018" s="2" t="s">
        <v>353</v>
      </c>
      <c r="K3018">
        <v>165747.54</v>
      </c>
      <c r="L3018">
        <v>25673377.93</v>
      </c>
      <c r="M3018">
        <v>15489.45</v>
      </c>
      <c r="N3018" s="2" t="s">
        <v>354</v>
      </c>
      <c r="O3018" s="2" t="s">
        <v>355</v>
      </c>
      <c r="P3018" s="2" t="s">
        <v>5372</v>
      </c>
      <c r="Q3018" s="2" t="s">
        <v>5373</v>
      </c>
      <c r="R3018" s="2" t="s">
        <v>29</v>
      </c>
      <c r="S3018" s="2" t="s">
        <v>30</v>
      </c>
    </row>
    <row r="3019" spans="1:19">
      <c r="A3019" s="1">
        <v>45352</v>
      </c>
      <c r="B3019" s="1">
        <v>45352</v>
      </c>
      <c r="C3019">
        <v>2024</v>
      </c>
      <c r="D3019">
        <v>3</v>
      </c>
      <c r="E3019" s="2" t="s">
        <v>358</v>
      </c>
      <c r="F3019" s="2" t="s">
        <v>359</v>
      </c>
      <c r="G3019" s="2" t="s">
        <v>21</v>
      </c>
      <c r="H3019" s="2" t="s">
        <v>22</v>
      </c>
      <c r="I3019" s="2" t="s">
        <v>352</v>
      </c>
      <c r="J3019" s="2" t="s">
        <v>353</v>
      </c>
      <c r="K3019">
        <v>166332.85</v>
      </c>
      <c r="L3019">
        <v>26362123.280000001</v>
      </c>
      <c r="M3019">
        <v>15849.02</v>
      </c>
      <c r="N3019" s="2" t="s">
        <v>360</v>
      </c>
      <c r="O3019" s="2" t="s">
        <v>361</v>
      </c>
      <c r="P3019" s="2" t="s">
        <v>5374</v>
      </c>
      <c r="Q3019" s="2" t="s">
        <v>5375</v>
      </c>
      <c r="R3019" s="2" t="s">
        <v>29</v>
      </c>
      <c r="S3019" s="2" t="s">
        <v>30</v>
      </c>
    </row>
    <row r="3020" spans="1:19">
      <c r="A3020" s="1">
        <v>45352</v>
      </c>
      <c r="B3020" s="1">
        <v>45352</v>
      </c>
      <c r="C3020">
        <v>2024</v>
      </c>
      <c r="D3020">
        <v>3</v>
      </c>
      <c r="E3020" s="2" t="s">
        <v>364</v>
      </c>
      <c r="F3020" s="2" t="s">
        <v>365</v>
      </c>
      <c r="G3020" s="2" t="s">
        <v>21</v>
      </c>
      <c r="H3020" s="2" t="s">
        <v>22</v>
      </c>
      <c r="I3020" s="2" t="s">
        <v>352</v>
      </c>
      <c r="J3020" s="2" t="s">
        <v>353</v>
      </c>
      <c r="K3020">
        <v>166054.37</v>
      </c>
      <c r="L3020">
        <v>8233757.1799999997</v>
      </c>
      <c r="M3020">
        <v>4958.47</v>
      </c>
      <c r="N3020" s="2" t="s">
        <v>366</v>
      </c>
      <c r="O3020" s="2" t="s">
        <v>367</v>
      </c>
      <c r="P3020" s="2" t="s">
        <v>5376</v>
      </c>
      <c r="Q3020" s="2" t="s">
        <v>5377</v>
      </c>
      <c r="R3020" s="2" t="s">
        <v>29</v>
      </c>
      <c r="S3020" s="2" t="s">
        <v>30</v>
      </c>
    </row>
    <row r="3021" spans="1:19">
      <c r="A3021" s="1">
        <v>45352</v>
      </c>
      <c r="B3021" s="1">
        <v>45352</v>
      </c>
      <c r="C3021">
        <v>2024</v>
      </c>
      <c r="D3021">
        <v>3</v>
      </c>
      <c r="E3021" s="2" t="s">
        <v>370</v>
      </c>
      <c r="F3021" s="2" t="s">
        <v>371</v>
      </c>
      <c r="G3021" s="2" t="s">
        <v>21</v>
      </c>
      <c r="H3021" s="2" t="s">
        <v>22</v>
      </c>
      <c r="I3021" s="2" t="s">
        <v>23</v>
      </c>
      <c r="J3021" s="2" t="s">
        <v>24</v>
      </c>
      <c r="K3021">
        <v>134400.04</v>
      </c>
      <c r="L3021">
        <v>1978353.23</v>
      </c>
      <c r="M3021">
        <v>1471.99</v>
      </c>
      <c r="N3021" s="2" t="s">
        <v>372</v>
      </c>
      <c r="O3021" s="2" t="s">
        <v>373</v>
      </c>
      <c r="P3021" s="2" t="s">
        <v>5378</v>
      </c>
      <c r="Q3021" s="2" t="s">
        <v>5379</v>
      </c>
      <c r="R3021" s="2" t="s">
        <v>29</v>
      </c>
      <c r="S3021" s="2" t="s">
        <v>30</v>
      </c>
    </row>
    <row r="3022" spans="1:19">
      <c r="A3022" s="1">
        <v>45352</v>
      </c>
      <c r="B3022" s="1">
        <v>45352</v>
      </c>
      <c r="C3022">
        <v>2024</v>
      </c>
      <c r="D3022">
        <v>3</v>
      </c>
      <c r="E3022" s="2" t="s">
        <v>376</v>
      </c>
      <c r="F3022" s="2" t="s">
        <v>377</v>
      </c>
      <c r="G3022" s="2" t="s">
        <v>21</v>
      </c>
      <c r="H3022" s="2" t="s">
        <v>22</v>
      </c>
      <c r="I3022" s="2" t="s">
        <v>23</v>
      </c>
      <c r="J3022" s="2" t="s">
        <v>378</v>
      </c>
      <c r="K3022">
        <v>1.78</v>
      </c>
      <c r="L3022">
        <v>20.32</v>
      </c>
      <c r="M3022">
        <v>1141.57</v>
      </c>
      <c r="N3022" s="2" t="s">
        <v>379</v>
      </c>
      <c r="O3022" s="2" t="s">
        <v>380</v>
      </c>
      <c r="P3022" s="2" t="s">
        <v>5380</v>
      </c>
      <c r="Q3022" s="2" t="s">
        <v>5381</v>
      </c>
      <c r="R3022" s="2" t="s">
        <v>29</v>
      </c>
      <c r="S3022" s="2" t="s">
        <v>30</v>
      </c>
    </row>
    <row r="3023" spans="1:19">
      <c r="A3023" s="1">
        <v>45383</v>
      </c>
      <c r="B3023" s="1">
        <v>45383</v>
      </c>
      <c r="C3023">
        <v>2024</v>
      </c>
      <c r="D3023">
        <v>4</v>
      </c>
      <c r="E3023" s="2" t="s">
        <v>19</v>
      </c>
      <c r="F3023" s="2" t="s">
        <v>20</v>
      </c>
      <c r="G3023" s="2" t="s">
        <v>21</v>
      </c>
      <c r="H3023" s="2" t="s">
        <v>22</v>
      </c>
      <c r="I3023" s="2" t="s">
        <v>23</v>
      </c>
      <c r="J3023" s="2" t="s">
        <v>24</v>
      </c>
      <c r="K3023">
        <v>0.28999999999999998</v>
      </c>
      <c r="L3023">
        <v>19.25</v>
      </c>
      <c r="M3023">
        <v>6637.93</v>
      </c>
      <c r="N3023" s="2" t="s">
        <v>25</v>
      </c>
      <c r="O3023" s="2" t="s">
        <v>26</v>
      </c>
      <c r="P3023" s="2" t="s">
        <v>1138</v>
      </c>
      <c r="Q3023" s="2" t="s">
        <v>5382</v>
      </c>
      <c r="R3023" s="2" t="s">
        <v>29</v>
      </c>
      <c r="S3023" s="2" t="s">
        <v>30</v>
      </c>
    </row>
    <row r="3024" spans="1:19">
      <c r="A3024" s="1">
        <v>45383</v>
      </c>
      <c r="B3024" s="1">
        <v>45383</v>
      </c>
      <c r="C3024">
        <v>2024</v>
      </c>
      <c r="D3024">
        <v>4</v>
      </c>
      <c r="E3024" s="2" t="s">
        <v>31</v>
      </c>
      <c r="F3024" s="2" t="s">
        <v>32</v>
      </c>
      <c r="G3024" s="2" t="s">
        <v>21</v>
      </c>
      <c r="H3024" s="2" t="s">
        <v>22</v>
      </c>
      <c r="I3024" s="2" t="s">
        <v>23</v>
      </c>
      <c r="J3024" s="2" t="s">
        <v>24</v>
      </c>
      <c r="K3024">
        <v>2535.3200000000002</v>
      </c>
      <c r="L3024">
        <v>36958.94</v>
      </c>
      <c r="M3024">
        <v>1457.76</v>
      </c>
      <c r="N3024" s="2" t="s">
        <v>33</v>
      </c>
      <c r="O3024" s="2" t="s">
        <v>34</v>
      </c>
      <c r="P3024" s="2" t="s">
        <v>5383</v>
      </c>
      <c r="Q3024" s="2" t="s">
        <v>5384</v>
      </c>
      <c r="R3024" s="2" t="s">
        <v>29</v>
      </c>
      <c r="S3024" s="2" t="s">
        <v>30</v>
      </c>
    </row>
    <row r="3025" spans="1:19">
      <c r="A3025" s="1">
        <v>45383</v>
      </c>
      <c r="B3025" s="1">
        <v>45383</v>
      </c>
      <c r="C3025">
        <v>2024</v>
      </c>
      <c r="D3025">
        <v>4</v>
      </c>
      <c r="E3025" s="2" t="s">
        <v>37</v>
      </c>
      <c r="F3025" s="2" t="s">
        <v>38</v>
      </c>
      <c r="G3025" s="2" t="s">
        <v>39</v>
      </c>
      <c r="H3025" s="2" t="s">
        <v>22</v>
      </c>
      <c r="I3025" s="2" t="s">
        <v>40</v>
      </c>
      <c r="J3025" s="2" t="s">
        <v>24</v>
      </c>
      <c r="K3025">
        <v>9.07</v>
      </c>
      <c r="L3025">
        <v>457.71</v>
      </c>
      <c r="M3025">
        <v>5046.42</v>
      </c>
      <c r="N3025" s="2" t="s">
        <v>41</v>
      </c>
      <c r="O3025" s="2" t="s">
        <v>42</v>
      </c>
      <c r="P3025" s="2" t="s">
        <v>5385</v>
      </c>
      <c r="Q3025" s="2" t="s">
        <v>5386</v>
      </c>
      <c r="R3025" s="2" t="s">
        <v>29</v>
      </c>
      <c r="S3025" s="2" t="s">
        <v>30</v>
      </c>
    </row>
    <row r="3026" spans="1:19">
      <c r="A3026" s="1">
        <v>45383</v>
      </c>
      <c r="B3026" s="1">
        <v>45383</v>
      </c>
      <c r="C3026">
        <v>2024</v>
      </c>
      <c r="D3026">
        <v>4</v>
      </c>
      <c r="E3026" s="2" t="s">
        <v>45</v>
      </c>
      <c r="F3026" s="2" t="s">
        <v>46</v>
      </c>
      <c r="G3026" s="2" t="s">
        <v>39</v>
      </c>
      <c r="H3026" s="2" t="s">
        <v>22</v>
      </c>
      <c r="I3026" s="2" t="s">
        <v>40</v>
      </c>
      <c r="J3026" s="2" t="s">
        <v>24</v>
      </c>
      <c r="K3026">
        <v>5207.6000000000004</v>
      </c>
      <c r="L3026">
        <v>264456.73</v>
      </c>
      <c r="M3026">
        <v>5078.28</v>
      </c>
      <c r="N3026" s="2" t="s">
        <v>47</v>
      </c>
      <c r="O3026" s="2" t="s">
        <v>48</v>
      </c>
      <c r="P3026" s="2" t="s">
        <v>5387</v>
      </c>
      <c r="Q3026" s="2" t="s">
        <v>5388</v>
      </c>
      <c r="R3026" s="2" t="s">
        <v>29</v>
      </c>
      <c r="S3026" s="2" t="s">
        <v>30</v>
      </c>
    </row>
    <row r="3027" spans="1:19">
      <c r="A3027" s="1">
        <v>45383</v>
      </c>
      <c r="B3027" s="1">
        <v>45383</v>
      </c>
      <c r="C3027">
        <v>2024</v>
      </c>
      <c r="D3027">
        <v>4</v>
      </c>
      <c r="E3027" s="2" t="s">
        <v>51</v>
      </c>
      <c r="F3027" s="2" t="s">
        <v>52</v>
      </c>
      <c r="G3027" s="2" t="s">
        <v>39</v>
      </c>
      <c r="H3027" s="2" t="s">
        <v>22</v>
      </c>
      <c r="I3027" s="2" t="s">
        <v>40</v>
      </c>
      <c r="J3027" s="2" t="s">
        <v>24</v>
      </c>
      <c r="K3027">
        <v>23.73</v>
      </c>
      <c r="L3027">
        <v>990.48</v>
      </c>
      <c r="M3027">
        <v>4173.96</v>
      </c>
      <c r="N3027" s="2" t="s">
        <v>53</v>
      </c>
      <c r="O3027" s="2" t="s">
        <v>54</v>
      </c>
      <c r="P3027" s="2" t="s">
        <v>5389</v>
      </c>
      <c r="Q3027" s="2" t="s">
        <v>5390</v>
      </c>
      <c r="R3027" s="2" t="s">
        <v>29</v>
      </c>
      <c r="S3027" s="2" t="s">
        <v>30</v>
      </c>
    </row>
    <row r="3028" spans="1:19">
      <c r="A3028" s="1">
        <v>45383</v>
      </c>
      <c r="B3028" s="1">
        <v>45383</v>
      </c>
      <c r="C3028">
        <v>2024</v>
      </c>
      <c r="D3028">
        <v>4</v>
      </c>
      <c r="E3028" s="2" t="s">
        <v>57</v>
      </c>
      <c r="F3028" s="2" t="s">
        <v>58</v>
      </c>
      <c r="G3028" s="2" t="s">
        <v>39</v>
      </c>
      <c r="H3028" s="2" t="s">
        <v>22</v>
      </c>
      <c r="I3028" s="2" t="s">
        <v>40</v>
      </c>
      <c r="J3028" s="2" t="s">
        <v>59</v>
      </c>
      <c r="K3028">
        <v>5240.3999999999996</v>
      </c>
      <c r="L3028">
        <v>265904.92</v>
      </c>
      <c r="M3028">
        <v>5074.13</v>
      </c>
      <c r="N3028" s="2" t="s">
        <v>60</v>
      </c>
      <c r="O3028" s="2" t="s">
        <v>61</v>
      </c>
      <c r="P3028" s="2" t="s">
        <v>5391</v>
      </c>
      <c r="Q3028" s="2" t="s">
        <v>5392</v>
      </c>
      <c r="R3028" s="2" t="s">
        <v>29</v>
      </c>
      <c r="S3028" s="2" t="s">
        <v>30</v>
      </c>
    </row>
    <row r="3029" spans="1:19">
      <c r="A3029" s="1">
        <v>45383</v>
      </c>
      <c r="B3029" s="1">
        <v>45383</v>
      </c>
      <c r="C3029">
        <v>2024</v>
      </c>
      <c r="D3029">
        <v>4</v>
      </c>
      <c r="E3029" s="2" t="s">
        <v>64</v>
      </c>
      <c r="F3029" s="2" t="s">
        <v>65</v>
      </c>
      <c r="G3029" s="2" t="s">
        <v>21</v>
      </c>
      <c r="H3029" s="2" t="s">
        <v>22</v>
      </c>
      <c r="I3029" s="2" t="s">
        <v>66</v>
      </c>
      <c r="J3029" s="2" t="s">
        <v>24</v>
      </c>
      <c r="K3029">
        <v>20.5</v>
      </c>
      <c r="L3029">
        <v>563.16</v>
      </c>
      <c r="M3029">
        <v>2747.12</v>
      </c>
      <c r="N3029" s="2" t="s">
        <v>67</v>
      </c>
      <c r="O3029" s="2" t="s">
        <v>68</v>
      </c>
      <c r="P3029" s="2" t="s">
        <v>5393</v>
      </c>
      <c r="Q3029" s="2" t="s">
        <v>5394</v>
      </c>
      <c r="R3029" s="2" t="s">
        <v>29</v>
      </c>
      <c r="S3029" s="2" t="s">
        <v>30</v>
      </c>
    </row>
    <row r="3030" spans="1:19">
      <c r="A3030" s="1">
        <v>45383</v>
      </c>
      <c r="B3030" s="1">
        <v>45383</v>
      </c>
      <c r="C3030">
        <v>2024</v>
      </c>
      <c r="D3030">
        <v>4</v>
      </c>
      <c r="E3030" s="2" t="s">
        <v>71</v>
      </c>
      <c r="F3030" s="2" t="s">
        <v>72</v>
      </c>
      <c r="G3030" s="2" t="s">
        <v>21</v>
      </c>
      <c r="H3030" s="2" t="s">
        <v>22</v>
      </c>
      <c r="I3030" s="2" t="s">
        <v>73</v>
      </c>
      <c r="J3030" s="2" t="s">
        <v>59</v>
      </c>
      <c r="K3030">
        <v>4960.12</v>
      </c>
      <c r="L3030">
        <v>200409.47</v>
      </c>
      <c r="M3030">
        <v>4040.42</v>
      </c>
      <c r="N3030" s="2" t="s">
        <v>74</v>
      </c>
      <c r="O3030" s="2" t="s">
        <v>75</v>
      </c>
      <c r="P3030" s="2" t="s">
        <v>5395</v>
      </c>
      <c r="Q3030" s="2" t="s">
        <v>5396</v>
      </c>
      <c r="R3030" s="2" t="s">
        <v>29</v>
      </c>
      <c r="S3030" s="2" t="s">
        <v>30</v>
      </c>
    </row>
    <row r="3031" spans="1:19">
      <c r="A3031" s="1">
        <v>45383</v>
      </c>
      <c r="B3031" s="1">
        <v>45383</v>
      </c>
      <c r="C3031">
        <v>2024</v>
      </c>
      <c r="D3031">
        <v>4</v>
      </c>
      <c r="E3031" s="2" t="s">
        <v>78</v>
      </c>
      <c r="F3031" s="2" t="s">
        <v>79</v>
      </c>
      <c r="G3031" s="2" t="s">
        <v>80</v>
      </c>
      <c r="H3031" s="2" t="s">
        <v>81</v>
      </c>
      <c r="I3031" s="2" t="s">
        <v>82</v>
      </c>
      <c r="J3031" s="2" t="s">
        <v>24</v>
      </c>
      <c r="K3031">
        <v>2.17</v>
      </c>
      <c r="L3031">
        <v>7343661.6200000001</v>
      </c>
      <c r="M3031">
        <v>338417586.18000001</v>
      </c>
      <c r="N3031" s="2" t="s">
        <v>83</v>
      </c>
      <c r="O3031" s="2" t="s">
        <v>84</v>
      </c>
      <c r="P3031" s="2" t="s">
        <v>4167</v>
      </c>
      <c r="Q3031" s="2" t="s">
        <v>5397</v>
      </c>
      <c r="R3031" s="2" t="s">
        <v>29</v>
      </c>
      <c r="S3031" s="2" t="s">
        <v>30</v>
      </c>
    </row>
    <row r="3032" spans="1:19">
      <c r="A3032" s="1">
        <v>45383</v>
      </c>
      <c r="B3032" s="1">
        <v>45383</v>
      </c>
      <c r="C3032">
        <v>2024</v>
      </c>
      <c r="D3032">
        <v>4</v>
      </c>
      <c r="E3032" s="2" t="s">
        <v>87</v>
      </c>
      <c r="F3032" s="2" t="s">
        <v>88</v>
      </c>
      <c r="G3032" s="2" t="s">
        <v>80</v>
      </c>
      <c r="H3032" s="2" t="s">
        <v>81</v>
      </c>
      <c r="I3032" s="2" t="s">
        <v>82</v>
      </c>
      <c r="J3032" s="2" t="s">
        <v>24</v>
      </c>
      <c r="K3032">
        <v>0.68</v>
      </c>
      <c r="L3032">
        <v>1023439.39</v>
      </c>
      <c r="M3032">
        <v>150505792.65000001</v>
      </c>
      <c r="N3032" s="2" t="s">
        <v>89</v>
      </c>
      <c r="O3032" s="2" t="s">
        <v>90</v>
      </c>
      <c r="P3032" s="2" t="s">
        <v>808</v>
      </c>
      <c r="Q3032" s="2" t="s">
        <v>5398</v>
      </c>
      <c r="R3032" s="2" t="s">
        <v>29</v>
      </c>
      <c r="S3032" s="2" t="s">
        <v>30</v>
      </c>
    </row>
    <row r="3033" spans="1:19">
      <c r="A3033" s="1">
        <v>45383</v>
      </c>
      <c r="B3033" s="1">
        <v>45383</v>
      </c>
      <c r="C3033">
        <v>2024</v>
      </c>
      <c r="D3033">
        <v>4</v>
      </c>
      <c r="E3033" s="2" t="s">
        <v>93</v>
      </c>
      <c r="F3033" s="2" t="s">
        <v>94</v>
      </c>
      <c r="G3033" s="2" t="s">
        <v>80</v>
      </c>
      <c r="H3033" s="2" t="s">
        <v>81</v>
      </c>
      <c r="I3033" s="2" t="s">
        <v>82</v>
      </c>
      <c r="J3033" s="2" t="s">
        <v>24</v>
      </c>
      <c r="K3033">
        <v>0.38</v>
      </c>
      <c r="L3033">
        <v>6510576.6500000004</v>
      </c>
      <c r="M3033">
        <v>1713309644.74</v>
      </c>
      <c r="N3033" s="2" t="s">
        <v>95</v>
      </c>
      <c r="O3033" s="2" t="s">
        <v>96</v>
      </c>
      <c r="P3033" s="2" t="s">
        <v>827</v>
      </c>
      <c r="Q3033" s="2" t="s">
        <v>5399</v>
      </c>
      <c r="R3033" s="2" t="s">
        <v>29</v>
      </c>
      <c r="S3033" s="2" t="s">
        <v>30</v>
      </c>
    </row>
    <row r="3034" spans="1:19">
      <c r="A3034" s="1">
        <v>45383</v>
      </c>
      <c r="B3034" s="1">
        <v>45383</v>
      </c>
      <c r="C3034">
        <v>2024</v>
      </c>
      <c r="D3034">
        <v>4</v>
      </c>
      <c r="E3034" s="2" t="s">
        <v>99</v>
      </c>
      <c r="F3034" s="2" t="s">
        <v>100</v>
      </c>
      <c r="G3034" s="2" t="s">
        <v>80</v>
      </c>
      <c r="H3034" s="2" t="s">
        <v>81</v>
      </c>
      <c r="I3034" s="2" t="s">
        <v>82</v>
      </c>
      <c r="J3034" s="2" t="s">
        <v>101</v>
      </c>
      <c r="K3034">
        <v>1.25</v>
      </c>
      <c r="L3034">
        <v>14132534.99</v>
      </c>
      <c r="M3034">
        <v>1130602799.2</v>
      </c>
      <c r="N3034" s="2" t="s">
        <v>102</v>
      </c>
      <c r="O3034" s="2" t="s">
        <v>103</v>
      </c>
      <c r="P3034" s="2" t="s">
        <v>4212</v>
      </c>
      <c r="Q3034" s="2" t="s">
        <v>5400</v>
      </c>
      <c r="R3034" s="2" t="s">
        <v>29</v>
      </c>
      <c r="S3034" s="2" t="s">
        <v>30</v>
      </c>
    </row>
    <row r="3035" spans="1:19">
      <c r="A3035" s="1">
        <v>45383</v>
      </c>
      <c r="B3035" s="1">
        <v>45383</v>
      </c>
      <c r="C3035">
        <v>2024</v>
      </c>
      <c r="D3035">
        <v>4</v>
      </c>
      <c r="E3035" s="2" t="s">
        <v>106</v>
      </c>
      <c r="F3035" s="2" t="s">
        <v>107</v>
      </c>
      <c r="G3035" s="2" t="s">
        <v>80</v>
      </c>
      <c r="H3035" s="2" t="s">
        <v>81</v>
      </c>
      <c r="I3035" s="2" t="s">
        <v>82</v>
      </c>
      <c r="J3035" s="2" t="s">
        <v>24</v>
      </c>
      <c r="K3035">
        <v>0.19</v>
      </c>
      <c r="L3035">
        <v>6598518.9500000002</v>
      </c>
      <c r="M3035">
        <v>3472904710.5300002</v>
      </c>
      <c r="N3035" s="2" t="s">
        <v>108</v>
      </c>
      <c r="O3035" s="2" t="s">
        <v>109</v>
      </c>
      <c r="P3035" s="2" t="s">
        <v>97</v>
      </c>
      <c r="Q3035" s="2" t="s">
        <v>5401</v>
      </c>
      <c r="R3035" s="2" t="s">
        <v>29</v>
      </c>
      <c r="S3035" s="2" t="s">
        <v>30</v>
      </c>
    </row>
    <row r="3036" spans="1:19">
      <c r="A3036" s="1">
        <v>45383</v>
      </c>
      <c r="B3036" s="1">
        <v>45383</v>
      </c>
      <c r="C3036">
        <v>2024</v>
      </c>
      <c r="D3036">
        <v>4</v>
      </c>
      <c r="E3036" s="2" t="s">
        <v>111</v>
      </c>
      <c r="F3036" s="2" t="s">
        <v>112</v>
      </c>
      <c r="G3036" s="2" t="s">
        <v>80</v>
      </c>
      <c r="H3036" s="2" t="s">
        <v>81</v>
      </c>
      <c r="I3036" s="2" t="s">
        <v>82</v>
      </c>
      <c r="J3036" s="2" t="s">
        <v>24</v>
      </c>
      <c r="K3036">
        <v>0.11</v>
      </c>
      <c r="L3036">
        <v>638921.6</v>
      </c>
      <c r="M3036">
        <v>580837818.17999995</v>
      </c>
      <c r="N3036" s="2" t="s">
        <v>113</v>
      </c>
      <c r="O3036" s="2" t="s">
        <v>114</v>
      </c>
      <c r="P3036" s="2" t="s">
        <v>1291</v>
      </c>
      <c r="Q3036" s="2" t="s">
        <v>5402</v>
      </c>
      <c r="R3036" s="2" t="s">
        <v>29</v>
      </c>
      <c r="S3036" s="2" t="s">
        <v>30</v>
      </c>
    </row>
    <row r="3037" spans="1:19">
      <c r="A3037" s="1">
        <v>45383</v>
      </c>
      <c r="B3037" s="1">
        <v>45383</v>
      </c>
      <c r="C3037">
        <v>2024</v>
      </c>
      <c r="D3037">
        <v>4</v>
      </c>
      <c r="E3037" s="2" t="s">
        <v>117</v>
      </c>
      <c r="F3037" s="2" t="s">
        <v>118</v>
      </c>
      <c r="G3037" s="2" t="s">
        <v>80</v>
      </c>
      <c r="H3037" s="2" t="s">
        <v>81</v>
      </c>
      <c r="I3037" s="2" t="s">
        <v>82</v>
      </c>
      <c r="J3037" s="2" t="s">
        <v>59</v>
      </c>
      <c r="K3037">
        <v>3.53</v>
      </c>
      <c r="L3037">
        <v>22115118.199999999</v>
      </c>
      <c r="M3037">
        <v>626490600.57000005</v>
      </c>
      <c r="N3037" s="2" t="s">
        <v>119</v>
      </c>
      <c r="O3037" s="2" t="s">
        <v>120</v>
      </c>
      <c r="P3037" s="2" t="s">
        <v>5403</v>
      </c>
      <c r="Q3037" s="2" t="s">
        <v>5404</v>
      </c>
      <c r="R3037" s="2" t="s">
        <v>29</v>
      </c>
      <c r="S3037" s="2" t="s">
        <v>30</v>
      </c>
    </row>
    <row r="3038" spans="1:19">
      <c r="A3038" s="1">
        <v>45383</v>
      </c>
      <c r="B3038" s="1">
        <v>45383</v>
      </c>
      <c r="C3038">
        <v>2024</v>
      </c>
      <c r="D3038">
        <v>4</v>
      </c>
      <c r="E3038" s="2" t="s">
        <v>123</v>
      </c>
      <c r="F3038" s="2" t="s">
        <v>124</v>
      </c>
      <c r="G3038" s="2" t="s">
        <v>21</v>
      </c>
      <c r="H3038" s="2" t="s">
        <v>22</v>
      </c>
      <c r="I3038" s="2" t="s">
        <v>73</v>
      </c>
      <c r="J3038" s="2" t="s">
        <v>24</v>
      </c>
      <c r="K3038">
        <v>1598.15</v>
      </c>
      <c r="L3038">
        <v>94516.37</v>
      </c>
      <c r="M3038">
        <v>5914.11</v>
      </c>
      <c r="N3038" s="2" t="s">
        <v>125</v>
      </c>
      <c r="O3038" s="2" t="s">
        <v>126</v>
      </c>
      <c r="P3038" s="2" t="s">
        <v>5405</v>
      </c>
      <c r="Q3038" s="2" t="s">
        <v>5406</v>
      </c>
      <c r="R3038" s="2" t="s">
        <v>29</v>
      </c>
      <c r="S3038" s="2" t="s">
        <v>30</v>
      </c>
    </row>
    <row r="3039" spans="1:19">
      <c r="A3039" s="1">
        <v>45383</v>
      </c>
      <c r="B3039" s="1">
        <v>45383</v>
      </c>
      <c r="C3039">
        <v>2024</v>
      </c>
      <c r="D3039">
        <v>4</v>
      </c>
      <c r="E3039" s="2" t="s">
        <v>129</v>
      </c>
      <c r="F3039" s="2" t="s">
        <v>130</v>
      </c>
      <c r="G3039" s="2" t="s">
        <v>21</v>
      </c>
      <c r="H3039" s="2" t="s">
        <v>22</v>
      </c>
      <c r="I3039" s="2" t="s">
        <v>73</v>
      </c>
      <c r="J3039" s="2" t="s">
        <v>24</v>
      </c>
      <c r="K3039">
        <v>1843.36</v>
      </c>
      <c r="L3039">
        <v>61982.01</v>
      </c>
      <c r="M3039">
        <v>3362.45</v>
      </c>
      <c r="N3039" s="2" t="s">
        <v>131</v>
      </c>
      <c r="O3039" s="2" t="s">
        <v>132</v>
      </c>
      <c r="P3039" s="2" t="s">
        <v>5407</v>
      </c>
      <c r="Q3039" s="2" t="s">
        <v>5408</v>
      </c>
      <c r="R3039" s="2" t="s">
        <v>29</v>
      </c>
      <c r="S3039" s="2" t="s">
        <v>30</v>
      </c>
    </row>
    <row r="3040" spans="1:19">
      <c r="A3040" s="1">
        <v>45383</v>
      </c>
      <c r="B3040" s="1">
        <v>45383</v>
      </c>
      <c r="C3040">
        <v>2024</v>
      </c>
      <c r="D3040">
        <v>4</v>
      </c>
      <c r="E3040" s="2" t="s">
        <v>135</v>
      </c>
      <c r="F3040" s="2" t="s">
        <v>136</v>
      </c>
      <c r="G3040" s="2" t="s">
        <v>21</v>
      </c>
      <c r="H3040" s="2" t="s">
        <v>22</v>
      </c>
      <c r="I3040" s="2" t="s">
        <v>73</v>
      </c>
      <c r="J3040" s="2" t="s">
        <v>101</v>
      </c>
      <c r="K3040">
        <v>3441.51</v>
      </c>
      <c r="L3040">
        <v>156498.38</v>
      </c>
      <c r="M3040">
        <v>4547.38</v>
      </c>
      <c r="N3040" s="2" t="s">
        <v>137</v>
      </c>
      <c r="O3040" s="2" t="s">
        <v>138</v>
      </c>
      <c r="P3040" s="2" t="s">
        <v>5409</v>
      </c>
      <c r="Q3040" s="2" t="s">
        <v>5410</v>
      </c>
      <c r="R3040" s="2" t="s">
        <v>29</v>
      </c>
      <c r="S3040" s="2" t="s">
        <v>30</v>
      </c>
    </row>
    <row r="3041" spans="1:19">
      <c r="A3041" s="1">
        <v>45383</v>
      </c>
      <c r="B3041" s="1">
        <v>45383</v>
      </c>
      <c r="C3041">
        <v>2024</v>
      </c>
      <c r="D3041">
        <v>4</v>
      </c>
      <c r="E3041" s="2" t="s">
        <v>141</v>
      </c>
      <c r="F3041" s="2" t="s">
        <v>142</v>
      </c>
      <c r="G3041" s="2" t="s">
        <v>21</v>
      </c>
      <c r="H3041" s="2" t="s">
        <v>22</v>
      </c>
      <c r="I3041" s="2" t="s">
        <v>73</v>
      </c>
      <c r="J3041" s="2" t="s">
        <v>24</v>
      </c>
      <c r="K3041">
        <v>392.3</v>
      </c>
      <c r="L3041">
        <v>13888.89</v>
      </c>
      <c r="M3041">
        <v>3540.37</v>
      </c>
      <c r="N3041" s="2" t="s">
        <v>143</v>
      </c>
      <c r="O3041" s="2" t="s">
        <v>144</v>
      </c>
      <c r="P3041" s="2" t="s">
        <v>5411</v>
      </c>
      <c r="Q3041" s="2" t="s">
        <v>5412</v>
      </c>
      <c r="R3041" s="2" t="s">
        <v>29</v>
      </c>
      <c r="S3041" s="2" t="s">
        <v>30</v>
      </c>
    </row>
    <row r="3042" spans="1:19">
      <c r="A3042" s="1">
        <v>45383</v>
      </c>
      <c r="B3042" s="1">
        <v>45383</v>
      </c>
      <c r="C3042">
        <v>2024</v>
      </c>
      <c r="D3042">
        <v>4</v>
      </c>
      <c r="E3042" s="2" t="s">
        <v>147</v>
      </c>
      <c r="F3042" s="2" t="s">
        <v>148</v>
      </c>
      <c r="G3042" s="2" t="s">
        <v>21</v>
      </c>
      <c r="H3042" s="2" t="s">
        <v>22</v>
      </c>
      <c r="I3042" s="2" t="s">
        <v>73</v>
      </c>
      <c r="J3042" s="2" t="s">
        <v>24</v>
      </c>
      <c r="K3042">
        <v>1126.31</v>
      </c>
      <c r="L3042">
        <v>30022.21</v>
      </c>
      <c r="M3042">
        <v>2665.54</v>
      </c>
      <c r="N3042" s="2" t="s">
        <v>149</v>
      </c>
      <c r="O3042" s="2" t="s">
        <v>150</v>
      </c>
      <c r="P3042" s="2" t="s">
        <v>5413</v>
      </c>
      <c r="Q3042" s="2" t="s">
        <v>5414</v>
      </c>
      <c r="R3042" s="2" t="s">
        <v>29</v>
      </c>
      <c r="S3042" s="2" t="s">
        <v>30</v>
      </c>
    </row>
    <row r="3043" spans="1:19">
      <c r="A3043" s="1">
        <v>45383</v>
      </c>
      <c r="B3043" s="1">
        <v>45383</v>
      </c>
      <c r="C3043">
        <v>2024</v>
      </c>
      <c r="D3043">
        <v>4</v>
      </c>
      <c r="E3043" s="2" t="s">
        <v>153</v>
      </c>
      <c r="F3043" s="2" t="s">
        <v>154</v>
      </c>
      <c r="G3043" s="2" t="s">
        <v>21</v>
      </c>
      <c r="H3043" s="2" t="s">
        <v>22</v>
      </c>
      <c r="I3043" s="2" t="s">
        <v>73</v>
      </c>
      <c r="J3043" s="2" t="s">
        <v>101</v>
      </c>
      <c r="K3043">
        <v>1518.61</v>
      </c>
      <c r="L3043">
        <v>43911.09</v>
      </c>
      <c r="M3043">
        <v>2891.53</v>
      </c>
      <c r="N3043" s="2" t="s">
        <v>155</v>
      </c>
      <c r="O3043" s="2" t="s">
        <v>156</v>
      </c>
      <c r="P3043" s="2" t="s">
        <v>5415</v>
      </c>
      <c r="Q3043" s="2" t="s">
        <v>5416</v>
      </c>
      <c r="R3043" s="2" t="s">
        <v>29</v>
      </c>
      <c r="S3043" s="2" t="s">
        <v>30</v>
      </c>
    </row>
    <row r="3044" spans="1:19">
      <c r="A3044" s="1">
        <v>45383</v>
      </c>
      <c r="B3044" s="1">
        <v>45383</v>
      </c>
      <c r="C3044">
        <v>2024</v>
      </c>
      <c r="D3044">
        <v>4</v>
      </c>
      <c r="E3044" s="2" t="s">
        <v>159</v>
      </c>
      <c r="F3044" s="2" t="s">
        <v>160</v>
      </c>
      <c r="G3044" s="2" t="s">
        <v>21</v>
      </c>
      <c r="H3044" s="2" t="s">
        <v>22</v>
      </c>
      <c r="I3044" s="2" t="s">
        <v>66</v>
      </c>
      <c r="J3044" s="2" t="s">
        <v>59</v>
      </c>
      <c r="K3044">
        <v>1644.1</v>
      </c>
      <c r="L3044">
        <v>159006.34</v>
      </c>
      <c r="M3044">
        <v>9671.33</v>
      </c>
      <c r="N3044" s="2" t="s">
        <v>161</v>
      </c>
      <c r="O3044" s="2" t="s">
        <v>162</v>
      </c>
      <c r="P3044" s="2" t="s">
        <v>5417</v>
      </c>
      <c r="Q3044" s="2" t="s">
        <v>5418</v>
      </c>
      <c r="R3044" s="2" t="s">
        <v>29</v>
      </c>
      <c r="S3044" s="2" t="s">
        <v>30</v>
      </c>
    </row>
    <row r="3045" spans="1:19">
      <c r="A3045" s="1">
        <v>45383</v>
      </c>
      <c r="B3045" s="1">
        <v>45383</v>
      </c>
      <c r="C3045">
        <v>2024</v>
      </c>
      <c r="D3045">
        <v>4</v>
      </c>
      <c r="E3045" s="2" t="s">
        <v>165</v>
      </c>
      <c r="F3045" s="2" t="s">
        <v>166</v>
      </c>
      <c r="G3045" s="2" t="s">
        <v>21</v>
      </c>
      <c r="H3045" s="2" t="s">
        <v>22</v>
      </c>
      <c r="I3045" s="2" t="s">
        <v>23</v>
      </c>
      <c r="J3045" s="2" t="s">
        <v>24</v>
      </c>
      <c r="N3045" s="2" t="s">
        <v>167</v>
      </c>
      <c r="O3045" s="2" t="s">
        <v>168</v>
      </c>
      <c r="P3045" s="2" t="s">
        <v>175</v>
      </c>
      <c r="Q3045" s="2" t="s">
        <v>175</v>
      </c>
      <c r="R3045" s="2" t="s">
        <v>640</v>
      </c>
      <c r="S3045" s="2" t="s">
        <v>641</v>
      </c>
    </row>
    <row r="3046" spans="1:19">
      <c r="A3046" s="1">
        <v>45383</v>
      </c>
      <c r="B3046" s="1">
        <v>45383</v>
      </c>
      <c r="C3046">
        <v>2024</v>
      </c>
      <c r="D3046">
        <v>4</v>
      </c>
      <c r="E3046" s="2" t="s">
        <v>171</v>
      </c>
      <c r="F3046" s="2" t="s">
        <v>172</v>
      </c>
      <c r="G3046" s="2" t="s">
        <v>21</v>
      </c>
      <c r="H3046" s="2" t="s">
        <v>22</v>
      </c>
      <c r="I3046" s="2" t="s">
        <v>66</v>
      </c>
      <c r="J3046" s="2" t="s">
        <v>24</v>
      </c>
      <c r="N3046" s="2" t="s">
        <v>173</v>
      </c>
      <c r="O3046" s="2" t="s">
        <v>174</v>
      </c>
      <c r="P3046" s="2" t="s">
        <v>175</v>
      </c>
      <c r="Q3046" s="2" t="s">
        <v>175</v>
      </c>
      <c r="R3046" s="2" t="s">
        <v>640</v>
      </c>
      <c r="S3046" s="2" t="s">
        <v>641</v>
      </c>
    </row>
    <row r="3047" spans="1:19">
      <c r="A3047" s="1">
        <v>45383</v>
      </c>
      <c r="B3047" s="1">
        <v>45383</v>
      </c>
      <c r="C3047">
        <v>2024</v>
      </c>
      <c r="D3047">
        <v>4</v>
      </c>
      <c r="E3047" s="2" t="s">
        <v>177</v>
      </c>
      <c r="F3047" s="2" t="s">
        <v>178</v>
      </c>
      <c r="G3047" s="2" t="s">
        <v>21</v>
      </c>
      <c r="H3047" s="2" t="s">
        <v>22</v>
      </c>
      <c r="I3047" s="2" t="s">
        <v>23</v>
      </c>
      <c r="J3047" s="2" t="s">
        <v>24</v>
      </c>
      <c r="K3047">
        <v>5503.65</v>
      </c>
      <c r="L3047">
        <v>592278.85</v>
      </c>
      <c r="M3047">
        <v>10761.56</v>
      </c>
      <c r="N3047" s="2" t="s">
        <v>179</v>
      </c>
      <c r="O3047" s="2" t="s">
        <v>180</v>
      </c>
      <c r="P3047" s="2" t="s">
        <v>5419</v>
      </c>
      <c r="Q3047" s="2" t="s">
        <v>5420</v>
      </c>
      <c r="R3047" s="2" t="s">
        <v>29</v>
      </c>
      <c r="S3047" s="2" t="s">
        <v>30</v>
      </c>
    </row>
    <row r="3048" spans="1:19">
      <c r="A3048" s="1">
        <v>45383</v>
      </c>
      <c r="B3048" s="1">
        <v>45383</v>
      </c>
      <c r="C3048">
        <v>2024</v>
      </c>
      <c r="D3048">
        <v>4</v>
      </c>
      <c r="E3048" s="2" t="s">
        <v>183</v>
      </c>
      <c r="F3048" s="2" t="s">
        <v>184</v>
      </c>
      <c r="G3048" s="2" t="s">
        <v>185</v>
      </c>
      <c r="H3048" s="2" t="s">
        <v>22</v>
      </c>
      <c r="I3048" s="2" t="s">
        <v>186</v>
      </c>
      <c r="J3048" s="2" t="s">
        <v>24</v>
      </c>
      <c r="K3048">
        <v>2830.5</v>
      </c>
      <c r="L3048">
        <v>4548331.75</v>
      </c>
      <c r="M3048">
        <v>160690.04999999999</v>
      </c>
      <c r="N3048" s="2" t="s">
        <v>187</v>
      </c>
      <c r="O3048" s="2" t="s">
        <v>188</v>
      </c>
      <c r="P3048" s="2" t="s">
        <v>5421</v>
      </c>
      <c r="Q3048" s="2" t="s">
        <v>5422</v>
      </c>
      <c r="R3048" s="2" t="s">
        <v>29</v>
      </c>
      <c r="S3048" s="2" t="s">
        <v>30</v>
      </c>
    </row>
    <row r="3049" spans="1:19">
      <c r="A3049" s="1">
        <v>45383</v>
      </c>
      <c r="B3049" s="1">
        <v>45383</v>
      </c>
      <c r="C3049">
        <v>2024</v>
      </c>
      <c r="D3049">
        <v>4</v>
      </c>
      <c r="E3049" s="2" t="s">
        <v>191</v>
      </c>
      <c r="F3049" s="2" t="s">
        <v>192</v>
      </c>
      <c r="G3049" s="2" t="s">
        <v>185</v>
      </c>
      <c r="H3049" s="2" t="s">
        <v>22</v>
      </c>
      <c r="I3049" s="2" t="s">
        <v>186</v>
      </c>
      <c r="J3049" s="2" t="s">
        <v>24</v>
      </c>
      <c r="K3049">
        <v>966.25</v>
      </c>
      <c r="L3049">
        <v>5089148.67</v>
      </c>
      <c r="M3049">
        <v>526690.68000000005</v>
      </c>
      <c r="N3049" s="2" t="s">
        <v>193</v>
      </c>
      <c r="O3049" s="2" t="s">
        <v>194</v>
      </c>
      <c r="P3049" s="2" t="s">
        <v>5423</v>
      </c>
      <c r="Q3049" s="2" t="s">
        <v>5424</v>
      </c>
      <c r="R3049" s="2" t="s">
        <v>29</v>
      </c>
      <c r="S3049" s="2" t="s">
        <v>30</v>
      </c>
    </row>
    <row r="3050" spans="1:19">
      <c r="A3050" s="1">
        <v>45383</v>
      </c>
      <c r="B3050" s="1">
        <v>45383</v>
      </c>
      <c r="C3050">
        <v>2024</v>
      </c>
      <c r="D3050">
        <v>4</v>
      </c>
      <c r="E3050" s="2" t="s">
        <v>197</v>
      </c>
      <c r="F3050" s="2" t="s">
        <v>198</v>
      </c>
      <c r="G3050" s="2" t="s">
        <v>185</v>
      </c>
      <c r="H3050" s="2" t="s">
        <v>22</v>
      </c>
      <c r="I3050" s="2" t="s">
        <v>186</v>
      </c>
      <c r="J3050" s="2" t="s">
        <v>59</v>
      </c>
      <c r="K3050">
        <v>3796.75</v>
      </c>
      <c r="L3050">
        <v>9637480.4199999999</v>
      </c>
      <c r="M3050">
        <v>253835</v>
      </c>
      <c r="N3050" s="2" t="s">
        <v>199</v>
      </c>
      <c r="O3050" s="2" t="s">
        <v>200</v>
      </c>
      <c r="P3050" s="2" t="s">
        <v>5425</v>
      </c>
      <c r="Q3050" s="2" t="s">
        <v>5426</v>
      </c>
      <c r="R3050" s="2" t="s">
        <v>29</v>
      </c>
      <c r="S3050" s="2" t="s">
        <v>30</v>
      </c>
    </row>
    <row r="3051" spans="1:19">
      <c r="A3051" s="1">
        <v>45383</v>
      </c>
      <c r="B3051" s="1">
        <v>45383</v>
      </c>
      <c r="C3051">
        <v>2024</v>
      </c>
      <c r="D3051">
        <v>4</v>
      </c>
      <c r="E3051" s="2" t="s">
        <v>203</v>
      </c>
      <c r="F3051" s="2" t="s">
        <v>204</v>
      </c>
      <c r="G3051" s="2" t="s">
        <v>39</v>
      </c>
      <c r="H3051" s="2" t="s">
        <v>22</v>
      </c>
      <c r="I3051" s="2" t="s">
        <v>40</v>
      </c>
      <c r="J3051" s="2" t="s">
        <v>24</v>
      </c>
      <c r="K3051">
        <v>919.05</v>
      </c>
      <c r="L3051">
        <v>24502.25</v>
      </c>
      <c r="M3051">
        <v>2666.04</v>
      </c>
      <c r="N3051" s="2" t="s">
        <v>205</v>
      </c>
      <c r="O3051" s="2" t="s">
        <v>206</v>
      </c>
      <c r="P3051" s="2" t="s">
        <v>5427</v>
      </c>
      <c r="Q3051" s="2" t="s">
        <v>5428</v>
      </c>
      <c r="R3051" s="2" t="s">
        <v>29</v>
      </c>
      <c r="S3051" s="2" t="s">
        <v>30</v>
      </c>
    </row>
    <row r="3052" spans="1:19">
      <c r="A3052" s="1">
        <v>45383</v>
      </c>
      <c r="B3052" s="1">
        <v>45383</v>
      </c>
      <c r="C3052">
        <v>2024</v>
      </c>
      <c r="D3052">
        <v>4</v>
      </c>
      <c r="E3052" s="2" t="s">
        <v>209</v>
      </c>
      <c r="F3052" s="2" t="s">
        <v>210</v>
      </c>
      <c r="G3052" s="2" t="s">
        <v>39</v>
      </c>
      <c r="H3052" s="2" t="s">
        <v>22</v>
      </c>
      <c r="I3052" s="2" t="s">
        <v>40</v>
      </c>
      <c r="J3052" s="2" t="s">
        <v>59</v>
      </c>
      <c r="K3052">
        <v>919.05</v>
      </c>
      <c r="L3052">
        <v>24502.25</v>
      </c>
      <c r="M3052">
        <v>2666.04</v>
      </c>
      <c r="N3052" s="2" t="s">
        <v>211</v>
      </c>
      <c r="O3052" s="2" t="s">
        <v>212</v>
      </c>
      <c r="P3052" s="2" t="s">
        <v>5427</v>
      </c>
      <c r="Q3052" s="2" t="s">
        <v>5428</v>
      </c>
      <c r="R3052" s="2" t="s">
        <v>29</v>
      </c>
      <c r="S3052" s="2" t="s">
        <v>30</v>
      </c>
    </row>
    <row r="3053" spans="1:19">
      <c r="A3053" s="1">
        <v>45383</v>
      </c>
      <c r="B3053" s="1">
        <v>45383</v>
      </c>
      <c r="C3053">
        <v>2024</v>
      </c>
      <c r="D3053">
        <v>4</v>
      </c>
      <c r="E3053" s="2" t="s">
        <v>213</v>
      </c>
      <c r="F3053" s="2" t="s">
        <v>214</v>
      </c>
      <c r="G3053" s="2" t="s">
        <v>185</v>
      </c>
      <c r="H3053" s="2" t="s">
        <v>22</v>
      </c>
      <c r="I3053" s="2" t="s">
        <v>215</v>
      </c>
      <c r="J3053" s="2" t="s">
        <v>24</v>
      </c>
      <c r="K3053">
        <v>118928.53</v>
      </c>
      <c r="L3053">
        <v>2410217.71</v>
      </c>
      <c r="M3053">
        <v>2026.61</v>
      </c>
      <c r="N3053" s="2" t="s">
        <v>216</v>
      </c>
      <c r="O3053" s="2" t="s">
        <v>217</v>
      </c>
      <c r="P3053" s="2" t="s">
        <v>5429</v>
      </c>
      <c r="Q3053" s="2" t="s">
        <v>5430</v>
      </c>
      <c r="R3053" s="2" t="s">
        <v>29</v>
      </c>
      <c r="S3053" s="2" t="s">
        <v>30</v>
      </c>
    </row>
    <row r="3054" spans="1:19">
      <c r="A3054" s="1">
        <v>45383</v>
      </c>
      <c r="B3054" s="1">
        <v>45383</v>
      </c>
      <c r="C3054">
        <v>2024</v>
      </c>
      <c r="D3054">
        <v>4</v>
      </c>
      <c r="E3054" s="2" t="s">
        <v>220</v>
      </c>
      <c r="F3054" s="2" t="s">
        <v>221</v>
      </c>
      <c r="G3054" s="2" t="s">
        <v>185</v>
      </c>
      <c r="H3054" s="2" t="s">
        <v>22</v>
      </c>
      <c r="I3054" s="2" t="s">
        <v>215</v>
      </c>
      <c r="J3054" s="2" t="s">
        <v>24</v>
      </c>
      <c r="K3054">
        <v>8373.7800000000007</v>
      </c>
      <c r="L3054">
        <v>552043.97</v>
      </c>
      <c r="M3054">
        <v>6592.53</v>
      </c>
      <c r="N3054" s="2" t="s">
        <v>222</v>
      </c>
      <c r="O3054" s="2" t="s">
        <v>223</v>
      </c>
      <c r="P3054" s="2" t="s">
        <v>5431</v>
      </c>
      <c r="Q3054" s="2" t="s">
        <v>5432</v>
      </c>
      <c r="R3054" s="2" t="s">
        <v>29</v>
      </c>
      <c r="S3054" s="2" t="s">
        <v>30</v>
      </c>
    </row>
    <row r="3055" spans="1:19">
      <c r="A3055" s="1">
        <v>45383</v>
      </c>
      <c r="B3055" s="1">
        <v>45383</v>
      </c>
      <c r="C3055">
        <v>2024</v>
      </c>
      <c r="D3055">
        <v>4</v>
      </c>
      <c r="E3055" s="2" t="s">
        <v>226</v>
      </c>
      <c r="F3055" s="2" t="s">
        <v>227</v>
      </c>
      <c r="G3055" s="2" t="s">
        <v>185</v>
      </c>
      <c r="H3055" s="2" t="s">
        <v>22</v>
      </c>
      <c r="I3055" s="2" t="s">
        <v>215</v>
      </c>
      <c r="J3055" s="2" t="s">
        <v>59</v>
      </c>
      <c r="K3055">
        <v>127302.31</v>
      </c>
      <c r="L3055">
        <v>2962261.68</v>
      </c>
      <c r="M3055">
        <v>2326.9499999999998</v>
      </c>
      <c r="N3055" s="2" t="s">
        <v>228</v>
      </c>
      <c r="O3055" s="2" t="s">
        <v>229</v>
      </c>
      <c r="P3055" s="2" t="s">
        <v>5433</v>
      </c>
      <c r="Q3055" s="2" t="s">
        <v>5434</v>
      </c>
      <c r="R3055" s="2" t="s">
        <v>29</v>
      </c>
      <c r="S3055" s="2" t="s">
        <v>30</v>
      </c>
    </row>
    <row r="3056" spans="1:19">
      <c r="A3056" s="1">
        <v>45383</v>
      </c>
      <c r="B3056" s="1">
        <v>45383</v>
      </c>
      <c r="C3056">
        <v>2024</v>
      </c>
      <c r="D3056">
        <v>4</v>
      </c>
      <c r="E3056" s="2" t="s">
        <v>232</v>
      </c>
      <c r="F3056" s="2" t="s">
        <v>233</v>
      </c>
      <c r="G3056" s="2" t="s">
        <v>21</v>
      </c>
      <c r="H3056" s="2" t="s">
        <v>22</v>
      </c>
      <c r="I3056" s="2" t="s">
        <v>23</v>
      </c>
      <c r="J3056" s="2" t="s">
        <v>24</v>
      </c>
      <c r="K3056">
        <v>964.06</v>
      </c>
      <c r="L3056">
        <v>121718.27</v>
      </c>
      <c r="M3056">
        <v>12625.59</v>
      </c>
      <c r="N3056" s="2" t="s">
        <v>234</v>
      </c>
      <c r="O3056" s="2" t="s">
        <v>235</v>
      </c>
      <c r="P3056" s="2" t="s">
        <v>5435</v>
      </c>
      <c r="Q3056" s="2" t="s">
        <v>5436</v>
      </c>
      <c r="R3056" s="2" t="s">
        <v>29</v>
      </c>
      <c r="S3056" s="2" t="s">
        <v>30</v>
      </c>
    </row>
    <row r="3057" spans="1:19">
      <c r="A3057" s="1">
        <v>45383</v>
      </c>
      <c r="B3057" s="1">
        <v>45383</v>
      </c>
      <c r="C3057">
        <v>2024</v>
      </c>
      <c r="D3057">
        <v>4</v>
      </c>
      <c r="E3057" s="2" t="s">
        <v>238</v>
      </c>
      <c r="F3057" s="2" t="s">
        <v>239</v>
      </c>
      <c r="G3057" s="2" t="s">
        <v>21</v>
      </c>
      <c r="H3057" s="2" t="s">
        <v>22</v>
      </c>
      <c r="I3057" s="2" t="s">
        <v>66</v>
      </c>
      <c r="J3057" s="2" t="s">
        <v>24</v>
      </c>
      <c r="K3057">
        <v>1494.37</v>
      </c>
      <c r="L3057">
        <v>158223.38</v>
      </c>
      <c r="M3057">
        <v>10587.97</v>
      </c>
      <c r="N3057" s="2" t="s">
        <v>240</v>
      </c>
      <c r="O3057" s="2" t="s">
        <v>241</v>
      </c>
      <c r="P3057" s="2" t="s">
        <v>5437</v>
      </c>
      <c r="Q3057" s="2" t="s">
        <v>5438</v>
      </c>
      <c r="R3057" s="2" t="s">
        <v>29</v>
      </c>
      <c r="S3057" s="2" t="s">
        <v>30</v>
      </c>
    </row>
    <row r="3058" spans="1:19">
      <c r="A3058" s="1">
        <v>45383</v>
      </c>
      <c r="B3058" s="1">
        <v>45383</v>
      </c>
      <c r="C3058">
        <v>2024</v>
      </c>
      <c r="D3058">
        <v>4</v>
      </c>
      <c r="E3058" s="2" t="s">
        <v>244</v>
      </c>
      <c r="F3058" s="2" t="s">
        <v>245</v>
      </c>
      <c r="G3058" s="2" t="s">
        <v>21</v>
      </c>
      <c r="H3058" s="2" t="s">
        <v>22</v>
      </c>
      <c r="I3058" s="2" t="s">
        <v>23</v>
      </c>
      <c r="J3058" s="2" t="s">
        <v>24</v>
      </c>
      <c r="K3058">
        <v>7040.03</v>
      </c>
      <c r="L3058">
        <v>3230549.49</v>
      </c>
      <c r="M3058">
        <v>45888.29</v>
      </c>
      <c r="N3058" s="2" t="s">
        <v>246</v>
      </c>
      <c r="O3058" s="2" t="s">
        <v>247</v>
      </c>
      <c r="P3058" s="2" t="s">
        <v>5439</v>
      </c>
      <c r="Q3058" s="2" t="s">
        <v>5440</v>
      </c>
      <c r="R3058" s="2" t="s">
        <v>29</v>
      </c>
      <c r="S3058" s="2" t="s">
        <v>30</v>
      </c>
    </row>
    <row r="3059" spans="1:19">
      <c r="A3059" s="1">
        <v>45383</v>
      </c>
      <c r="B3059" s="1">
        <v>45383</v>
      </c>
      <c r="C3059">
        <v>2024</v>
      </c>
      <c r="D3059">
        <v>4</v>
      </c>
      <c r="E3059" s="2" t="s">
        <v>250</v>
      </c>
      <c r="F3059" s="2" t="s">
        <v>251</v>
      </c>
      <c r="G3059" s="2" t="s">
        <v>21</v>
      </c>
      <c r="H3059" s="2" t="s">
        <v>22</v>
      </c>
      <c r="I3059" s="2" t="s">
        <v>66</v>
      </c>
      <c r="J3059" s="2" t="s">
        <v>24</v>
      </c>
      <c r="K3059">
        <v>129.22999999999999</v>
      </c>
      <c r="L3059">
        <v>219.8</v>
      </c>
      <c r="M3059">
        <v>170.08</v>
      </c>
      <c r="N3059" s="2" t="s">
        <v>252</v>
      </c>
      <c r="O3059" s="2" t="s">
        <v>253</v>
      </c>
      <c r="P3059" s="2" t="s">
        <v>5441</v>
      </c>
      <c r="Q3059" s="2" t="s">
        <v>5442</v>
      </c>
      <c r="R3059" s="2" t="s">
        <v>29</v>
      </c>
      <c r="S3059" s="2" t="s">
        <v>30</v>
      </c>
    </row>
    <row r="3060" spans="1:19">
      <c r="A3060" s="1">
        <v>45383</v>
      </c>
      <c r="B3060" s="1">
        <v>45383</v>
      </c>
      <c r="C3060">
        <v>2024</v>
      </c>
      <c r="D3060">
        <v>4</v>
      </c>
      <c r="E3060" s="2" t="s">
        <v>256</v>
      </c>
      <c r="F3060" s="2" t="s">
        <v>257</v>
      </c>
      <c r="G3060" s="2" t="s">
        <v>21</v>
      </c>
      <c r="H3060" s="2" t="s">
        <v>22</v>
      </c>
      <c r="I3060" s="2" t="s">
        <v>258</v>
      </c>
      <c r="J3060" s="2" t="s">
        <v>24</v>
      </c>
      <c r="K3060">
        <v>525.73</v>
      </c>
      <c r="L3060">
        <v>667829.16</v>
      </c>
      <c r="M3060">
        <v>127028.92</v>
      </c>
      <c r="N3060" s="2" t="s">
        <v>259</v>
      </c>
      <c r="O3060" s="2" t="s">
        <v>260</v>
      </c>
      <c r="P3060" s="2" t="s">
        <v>5443</v>
      </c>
      <c r="Q3060" s="2" t="s">
        <v>5444</v>
      </c>
      <c r="R3060" s="2" t="s">
        <v>29</v>
      </c>
      <c r="S3060" s="2" t="s">
        <v>30</v>
      </c>
    </row>
    <row r="3061" spans="1:19">
      <c r="A3061" s="1">
        <v>45383</v>
      </c>
      <c r="B3061" s="1">
        <v>45383</v>
      </c>
      <c r="C3061">
        <v>2024</v>
      </c>
      <c r="D3061">
        <v>4</v>
      </c>
      <c r="E3061" s="2" t="s">
        <v>263</v>
      </c>
      <c r="F3061" s="2" t="s">
        <v>264</v>
      </c>
      <c r="G3061" s="2" t="s">
        <v>21</v>
      </c>
      <c r="H3061" s="2" t="s">
        <v>22</v>
      </c>
      <c r="I3061" s="2" t="s">
        <v>258</v>
      </c>
      <c r="J3061" s="2" t="s">
        <v>24</v>
      </c>
      <c r="K3061">
        <v>0</v>
      </c>
      <c r="L3061">
        <v>0</v>
      </c>
      <c r="N3061" s="2" t="s">
        <v>265</v>
      </c>
      <c r="O3061" s="2" t="s">
        <v>266</v>
      </c>
      <c r="P3061" s="2" t="s">
        <v>639</v>
      </c>
      <c r="Q3061" s="2" t="s">
        <v>639</v>
      </c>
      <c r="R3061" s="2" t="s">
        <v>29</v>
      </c>
      <c r="S3061" s="2" t="s">
        <v>30</v>
      </c>
    </row>
    <row r="3062" spans="1:19">
      <c r="A3062" s="1">
        <v>45383</v>
      </c>
      <c r="B3062" s="1">
        <v>45383</v>
      </c>
      <c r="C3062">
        <v>2024</v>
      </c>
      <c r="D3062">
        <v>4</v>
      </c>
      <c r="E3062" s="2" t="s">
        <v>269</v>
      </c>
      <c r="F3062" s="2" t="s">
        <v>270</v>
      </c>
      <c r="G3062" s="2" t="s">
        <v>21</v>
      </c>
      <c r="H3062" s="2" t="s">
        <v>22</v>
      </c>
      <c r="I3062" s="2" t="s">
        <v>258</v>
      </c>
      <c r="J3062" s="2" t="s">
        <v>59</v>
      </c>
      <c r="K3062">
        <v>525.73</v>
      </c>
      <c r="L3062">
        <v>667829.16</v>
      </c>
      <c r="M3062">
        <v>127028.92</v>
      </c>
      <c r="N3062" s="2" t="s">
        <v>271</v>
      </c>
      <c r="O3062" s="2" t="s">
        <v>272</v>
      </c>
      <c r="P3062" s="2" t="s">
        <v>5443</v>
      </c>
      <c r="Q3062" s="2" t="s">
        <v>5444</v>
      </c>
      <c r="R3062" s="2" t="s">
        <v>29</v>
      </c>
      <c r="S3062" s="2" t="s">
        <v>30</v>
      </c>
    </row>
    <row r="3063" spans="1:19">
      <c r="A3063" s="1">
        <v>45383</v>
      </c>
      <c r="B3063" s="1">
        <v>45383</v>
      </c>
      <c r="C3063">
        <v>2024</v>
      </c>
      <c r="D3063">
        <v>4</v>
      </c>
      <c r="E3063" s="2" t="s">
        <v>275</v>
      </c>
      <c r="F3063" s="2" t="s">
        <v>276</v>
      </c>
      <c r="G3063" s="2" t="s">
        <v>39</v>
      </c>
      <c r="H3063" s="2" t="s">
        <v>22</v>
      </c>
      <c r="I3063" s="2" t="s">
        <v>40</v>
      </c>
      <c r="J3063" s="2" t="s">
        <v>24</v>
      </c>
      <c r="K3063">
        <v>0.5</v>
      </c>
      <c r="L3063">
        <v>5.0199999999999996</v>
      </c>
      <c r="M3063">
        <v>1004</v>
      </c>
      <c r="N3063" s="2" t="s">
        <v>277</v>
      </c>
      <c r="O3063" s="2" t="s">
        <v>278</v>
      </c>
      <c r="P3063" s="2" t="s">
        <v>2323</v>
      </c>
      <c r="Q3063" s="2" t="s">
        <v>2408</v>
      </c>
      <c r="R3063" s="2" t="s">
        <v>29</v>
      </c>
      <c r="S3063" s="2" t="s">
        <v>30</v>
      </c>
    </row>
    <row r="3064" spans="1:19">
      <c r="A3064" s="1">
        <v>45383</v>
      </c>
      <c r="B3064" s="1">
        <v>45383</v>
      </c>
      <c r="C3064">
        <v>2024</v>
      </c>
      <c r="D3064">
        <v>4</v>
      </c>
      <c r="E3064" s="2" t="s">
        <v>281</v>
      </c>
      <c r="F3064" s="2" t="s">
        <v>282</v>
      </c>
      <c r="G3064" s="2" t="s">
        <v>39</v>
      </c>
      <c r="H3064" s="2" t="s">
        <v>22</v>
      </c>
      <c r="I3064" s="2" t="s">
        <v>40</v>
      </c>
      <c r="J3064" s="2" t="s">
        <v>24</v>
      </c>
      <c r="K3064">
        <v>0.02</v>
      </c>
      <c r="L3064">
        <v>0.15</v>
      </c>
      <c r="M3064">
        <v>750</v>
      </c>
      <c r="N3064" s="2" t="s">
        <v>283</v>
      </c>
      <c r="O3064" s="2" t="s">
        <v>284</v>
      </c>
      <c r="P3064" s="2" t="s">
        <v>1039</v>
      </c>
      <c r="Q3064" s="2" t="s">
        <v>5445</v>
      </c>
      <c r="R3064" s="2" t="s">
        <v>29</v>
      </c>
      <c r="S3064" s="2" t="s">
        <v>30</v>
      </c>
    </row>
    <row r="3065" spans="1:19">
      <c r="A3065" s="1">
        <v>45383</v>
      </c>
      <c r="B3065" s="1">
        <v>45383</v>
      </c>
      <c r="C3065">
        <v>2024</v>
      </c>
      <c r="D3065">
        <v>4</v>
      </c>
      <c r="E3065" s="2" t="s">
        <v>287</v>
      </c>
      <c r="F3065" s="2" t="s">
        <v>288</v>
      </c>
      <c r="G3065" s="2" t="s">
        <v>39</v>
      </c>
      <c r="H3065" s="2" t="s">
        <v>22</v>
      </c>
      <c r="I3065" s="2" t="s">
        <v>40</v>
      </c>
      <c r="J3065" s="2" t="s">
        <v>59</v>
      </c>
      <c r="K3065">
        <v>0.52</v>
      </c>
      <c r="L3065">
        <v>5.17</v>
      </c>
      <c r="M3065">
        <v>994.23</v>
      </c>
      <c r="N3065" s="2" t="s">
        <v>289</v>
      </c>
      <c r="O3065" s="2" t="s">
        <v>290</v>
      </c>
      <c r="P3065" s="2" t="s">
        <v>1241</v>
      </c>
      <c r="Q3065" s="2" t="s">
        <v>5446</v>
      </c>
      <c r="R3065" s="2" t="s">
        <v>29</v>
      </c>
      <c r="S3065" s="2" t="s">
        <v>30</v>
      </c>
    </row>
    <row r="3066" spans="1:19">
      <c r="A3066" s="1">
        <v>45383</v>
      </c>
      <c r="B3066" s="1">
        <v>45383</v>
      </c>
      <c r="C3066">
        <v>2024</v>
      </c>
      <c r="D3066">
        <v>4</v>
      </c>
      <c r="E3066" s="2" t="s">
        <v>293</v>
      </c>
      <c r="F3066" s="2" t="s">
        <v>294</v>
      </c>
      <c r="G3066" s="2" t="s">
        <v>21</v>
      </c>
      <c r="H3066" s="2" t="s">
        <v>22</v>
      </c>
      <c r="I3066" s="2" t="s">
        <v>295</v>
      </c>
      <c r="J3066" s="2" t="s">
        <v>24</v>
      </c>
      <c r="K3066">
        <v>600.37</v>
      </c>
      <c r="L3066">
        <v>3495.17</v>
      </c>
      <c r="M3066">
        <v>582.16999999999996</v>
      </c>
      <c r="N3066" s="2" t="s">
        <v>296</v>
      </c>
      <c r="O3066" s="2" t="s">
        <v>297</v>
      </c>
      <c r="P3066" s="2" t="s">
        <v>5447</v>
      </c>
      <c r="Q3066" s="2" t="s">
        <v>5448</v>
      </c>
      <c r="R3066" s="2" t="s">
        <v>29</v>
      </c>
      <c r="S3066" s="2" t="s">
        <v>30</v>
      </c>
    </row>
    <row r="3067" spans="1:19">
      <c r="A3067" s="1">
        <v>45383</v>
      </c>
      <c r="B3067" s="1">
        <v>45383</v>
      </c>
      <c r="C3067">
        <v>2024</v>
      </c>
      <c r="D3067">
        <v>4</v>
      </c>
      <c r="E3067" s="2" t="s">
        <v>300</v>
      </c>
      <c r="F3067" s="2" t="s">
        <v>301</v>
      </c>
      <c r="G3067" s="2" t="s">
        <v>21</v>
      </c>
      <c r="H3067" s="2" t="s">
        <v>22</v>
      </c>
      <c r="I3067" s="2" t="s">
        <v>295</v>
      </c>
      <c r="J3067" s="2" t="s">
        <v>24</v>
      </c>
      <c r="K3067">
        <v>695.13</v>
      </c>
      <c r="L3067">
        <v>961.71</v>
      </c>
      <c r="M3067">
        <v>138.35</v>
      </c>
      <c r="N3067" s="2" t="s">
        <v>302</v>
      </c>
      <c r="O3067" s="2" t="s">
        <v>303</v>
      </c>
      <c r="P3067" s="2" t="s">
        <v>5449</v>
      </c>
      <c r="Q3067" s="2" t="s">
        <v>5450</v>
      </c>
      <c r="R3067" s="2" t="s">
        <v>29</v>
      </c>
      <c r="S3067" s="2" t="s">
        <v>30</v>
      </c>
    </row>
    <row r="3068" spans="1:19">
      <c r="A3068" s="1">
        <v>45383</v>
      </c>
      <c r="B3068" s="1">
        <v>45383</v>
      </c>
      <c r="C3068">
        <v>2024</v>
      </c>
      <c r="D3068">
        <v>4</v>
      </c>
      <c r="E3068" s="2" t="s">
        <v>306</v>
      </c>
      <c r="F3068" s="2" t="s">
        <v>307</v>
      </c>
      <c r="G3068" s="2" t="s">
        <v>21</v>
      </c>
      <c r="H3068" s="2" t="s">
        <v>22</v>
      </c>
      <c r="I3068" s="2" t="s">
        <v>295</v>
      </c>
      <c r="J3068" s="2" t="s">
        <v>101</v>
      </c>
      <c r="K3068">
        <v>1295.49</v>
      </c>
      <c r="L3068">
        <v>4456.88</v>
      </c>
      <c r="M3068">
        <v>344.03</v>
      </c>
      <c r="N3068" s="2" t="s">
        <v>308</v>
      </c>
      <c r="O3068" s="2" t="s">
        <v>309</v>
      </c>
      <c r="P3068" s="2" t="s">
        <v>5451</v>
      </c>
      <c r="Q3068" s="2" t="s">
        <v>5452</v>
      </c>
      <c r="R3068" s="2" t="s">
        <v>29</v>
      </c>
      <c r="S3068" s="2" t="s">
        <v>30</v>
      </c>
    </row>
    <row r="3069" spans="1:19">
      <c r="A3069" s="1">
        <v>45383</v>
      </c>
      <c r="B3069" s="1">
        <v>45383</v>
      </c>
      <c r="C3069">
        <v>2024</v>
      </c>
      <c r="D3069">
        <v>4</v>
      </c>
      <c r="E3069" s="2" t="s">
        <v>312</v>
      </c>
      <c r="F3069" s="2" t="s">
        <v>313</v>
      </c>
      <c r="G3069" s="2" t="s">
        <v>21</v>
      </c>
      <c r="H3069" s="2" t="s">
        <v>22</v>
      </c>
      <c r="I3069" s="2" t="s">
        <v>295</v>
      </c>
      <c r="J3069" s="2" t="s">
        <v>59</v>
      </c>
      <c r="K3069">
        <v>5288.79</v>
      </c>
      <c r="L3069">
        <v>14963.51</v>
      </c>
      <c r="M3069">
        <v>282.93</v>
      </c>
      <c r="N3069" s="2" t="s">
        <v>314</v>
      </c>
      <c r="O3069" s="2" t="s">
        <v>315</v>
      </c>
      <c r="P3069" s="2" t="s">
        <v>5453</v>
      </c>
      <c r="Q3069" s="2" t="s">
        <v>5454</v>
      </c>
      <c r="R3069" s="2" t="s">
        <v>29</v>
      </c>
      <c r="S3069" s="2" t="s">
        <v>30</v>
      </c>
    </row>
    <row r="3070" spans="1:19">
      <c r="A3070" s="1">
        <v>45383</v>
      </c>
      <c r="B3070" s="1">
        <v>45383</v>
      </c>
      <c r="C3070">
        <v>2024</v>
      </c>
      <c r="D3070">
        <v>4</v>
      </c>
      <c r="E3070" s="2" t="s">
        <v>318</v>
      </c>
      <c r="F3070" s="2" t="s">
        <v>319</v>
      </c>
      <c r="G3070" s="2" t="s">
        <v>21</v>
      </c>
      <c r="H3070" s="2" t="s">
        <v>22</v>
      </c>
      <c r="I3070" s="2" t="s">
        <v>295</v>
      </c>
      <c r="J3070" s="2" t="s">
        <v>24</v>
      </c>
      <c r="K3070">
        <v>3993.29</v>
      </c>
      <c r="L3070">
        <v>10506.63</v>
      </c>
      <c r="M3070">
        <v>263.11</v>
      </c>
      <c r="N3070" s="2" t="s">
        <v>320</v>
      </c>
      <c r="O3070" s="2" t="s">
        <v>321</v>
      </c>
      <c r="P3070" s="2" t="s">
        <v>5455</v>
      </c>
      <c r="Q3070" s="2" t="s">
        <v>5456</v>
      </c>
      <c r="R3070" s="2" t="s">
        <v>29</v>
      </c>
      <c r="S3070" s="2" t="s">
        <v>30</v>
      </c>
    </row>
    <row r="3071" spans="1:19">
      <c r="A3071" s="1">
        <v>45383</v>
      </c>
      <c r="B3071" s="1">
        <v>45383</v>
      </c>
      <c r="C3071">
        <v>2024</v>
      </c>
      <c r="D3071">
        <v>4</v>
      </c>
      <c r="E3071" s="2" t="s">
        <v>324</v>
      </c>
      <c r="F3071" s="2" t="s">
        <v>325</v>
      </c>
      <c r="G3071" s="2" t="s">
        <v>21</v>
      </c>
      <c r="H3071" s="2" t="s">
        <v>22</v>
      </c>
      <c r="I3071" s="2" t="s">
        <v>23</v>
      </c>
      <c r="J3071" s="2" t="s">
        <v>59</v>
      </c>
      <c r="K3071">
        <v>149083.29</v>
      </c>
      <c r="L3071">
        <v>5945989.3200000003</v>
      </c>
      <c r="M3071">
        <v>3988.37</v>
      </c>
      <c r="N3071" s="2" t="s">
        <v>326</v>
      </c>
      <c r="O3071" s="2" t="s">
        <v>327</v>
      </c>
      <c r="P3071" s="2" t="s">
        <v>5457</v>
      </c>
      <c r="Q3071" s="2" t="s">
        <v>5458</v>
      </c>
      <c r="R3071" s="2" t="s">
        <v>29</v>
      </c>
      <c r="S3071" s="2" t="s">
        <v>30</v>
      </c>
    </row>
    <row r="3072" spans="1:19">
      <c r="A3072" s="1">
        <v>45383</v>
      </c>
      <c r="B3072" s="1">
        <v>45383</v>
      </c>
      <c r="C3072">
        <v>2024</v>
      </c>
      <c r="D3072">
        <v>4</v>
      </c>
      <c r="E3072" s="2" t="s">
        <v>330</v>
      </c>
      <c r="F3072" s="2" t="s">
        <v>331</v>
      </c>
      <c r="G3072" s="2" t="s">
        <v>21</v>
      </c>
      <c r="H3072" s="2" t="s">
        <v>332</v>
      </c>
      <c r="I3072" s="2" t="s">
        <v>333</v>
      </c>
      <c r="J3072" s="2" t="s">
        <v>24</v>
      </c>
      <c r="K3072">
        <v>234.46</v>
      </c>
      <c r="L3072">
        <v>12800746.32</v>
      </c>
      <c r="M3072">
        <v>5459671.7199999997</v>
      </c>
      <c r="N3072" s="2" t="s">
        <v>334</v>
      </c>
      <c r="O3072" s="2" t="s">
        <v>335</v>
      </c>
      <c r="P3072" s="2" t="s">
        <v>5459</v>
      </c>
      <c r="Q3072" s="2" t="s">
        <v>5460</v>
      </c>
      <c r="R3072" s="2" t="s">
        <v>29</v>
      </c>
      <c r="S3072" s="2" t="s">
        <v>30</v>
      </c>
    </row>
    <row r="3073" spans="1:19">
      <c r="A3073" s="1">
        <v>45383</v>
      </c>
      <c r="B3073" s="1">
        <v>45383</v>
      </c>
      <c r="C3073">
        <v>2024</v>
      </c>
      <c r="D3073">
        <v>4</v>
      </c>
      <c r="E3073" s="2" t="s">
        <v>338</v>
      </c>
      <c r="F3073" s="2" t="s">
        <v>339</v>
      </c>
      <c r="G3073" s="2" t="s">
        <v>21</v>
      </c>
      <c r="H3073" s="2" t="s">
        <v>332</v>
      </c>
      <c r="I3073" s="2" t="s">
        <v>333</v>
      </c>
      <c r="J3073" s="2" t="s">
        <v>24</v>
      </c>
      <c r="K3073">
        <v>1.1200000000000001</v>
      </c>
      <c r="L3073">
        <v>1632549.89</v>
      </c>
      <c r="M3073">
        <v>145763383.03999999</v>
      </c>
      <c r="N3073" s="2" t="s">
        <v>340</v>
      </c>
      <c r="O3073" s="2" t="s">
        <v>341</v>
      </c>
      <c r="P3073" s="2" t="s">
        <v>2887</v>
      </c>
      <c r="Q3073" s="2" t="s">
        <v>5461</v>
      </c>
      <c r="R3073" s="2" t="s">
        <v>29</v>
      </c>
      <c r="S3073" s="2" t="s">
        <v>30</v>
      </c>
    </row>
    <row r="3074" spans="1:19">
      <c r="A3074" s="1">
        <v>45383</v>
      </c>
      <c r="B3074" s="1">
        <v>45383</v>
      </c>
      <c r="C3074">
        <v>2024</v>
      </c>
      <c r="D3074">
        <v>4</v>
      </c>
      <c r="E3074" s="2" t="s">
        <v>344</v>
      </c>
      <c r="F3074" s="2" t="s">
        <v>345</v>
      </c>
      <c r="G3074" s="2" t="s">
        <v>21</v>
      </c>
      <c r="H3074" s="2" t="s">
        <v>332</v>
      </c>
      <c r="I3074" s="2" t="s">
        <v>333</v>
      </c>
      <c r="J3074" s="2" t="s">
        <v>59</v>
      </c>
      <c r="K3074">
        <v>235.59</v>
      </c>
      <c r="L3074">
        <v>14433296.210000001</v>
      </c>
      <c r="M3074">
        <v>6126446.8799999999</v>
      </c>
      <c r="N3074" s="2" t="s">
        <v>346</v>
      </c>
      <c r="O3074" s="2" t="s">
        <v>347</v>
      </c>
      <c r="P3074" s="2" t="s">
        <v>5462</v>
      </c>
      <c r="Q3074" s="2" t="s">
        <v>5463</v>
      </c>
      <c r="R3074" s="2" t="s">
        <v>29</v>
      </c>
      <c r="S3074" s="2" t="s">
        <v>30</v>
      </c>
    </row>
    <row r="3075" spans="1:19">
      <c r="A3075" s="1">
        <v>45383</v>
      </c>
      <c r="B3075" s="1">
        <v>45383</v>
      </c>
      <c r="C3075">
        <v>2024</v>
      </c>
      <c r="D3075">
        <v>4</v>
      </c>
      <c r="E3075" s="2" t="s">
        <v>350</v>
      </c>
      <c r="F3075" s="2" t="s">
        <v>351</v>
      </c>
      <c r="G3075" s="2" t="s">
        <v>21</v>
      </c>
      <c r="H3075" s="2" t="s">
        <v>22</v>
      </c>
      <c r="I3075" s="2" t="s">
        <v>352</v>
      </c>
      <c r="J3075" s="2" t="s">
        <v>353</v>
      </c>
      <c r="K3075">
        <v>161211.88</v>
      </c>
      <c r="L3075">
        <v>20753664.850000001</v>
      </c>
      <c r="M3075">
        <v>12873.53</v>
      </c>
      <c r="N3075" s="2" t="s">
        <v>354</v>
      </c>
      <c r="O3075" s="2" t="s">
        <v>355</v>
      </c>
      <c r="P3075" s="2" t="s">
        <v>5464</v>
      </c>
      <c r="Q3075" s="2" t="s">
        <v>5465</v>
      </c>
      <c r="R3075" s="2" t="s">
        <v>29</v>
      </c>
      <c r="S3075" s="2" t="s">
        <v>30</v>
      </c>
    </row>
    <row r="3076" spans="1:19">
      <c r="A3076" s="1">
        <v>45383</v>
      </c>
      <c r="B3076" s="1">
        <v>45383</v>
      </c>
      <c r="C3076">
        <v>2024</v>
      </c>
      <c r="D3076">
        <v>4</v>
      </c>
      <c r="E3076" s="2" t="s">
        <v>358</v>
      </c>
      <c r="F3076" s="2" t="s">
        <v>359</v>
      </c>
      <c r="G3076" s="2" t="s">
        <v>21</v>
      </c>
      <c r="H3076" s="2" t="s">
        <v>22</v>
      </c>
      <c r="I3076" s="2" t="s">
        <v>352</v>
      </c>
      <c r="J3076" s="2" t="s">
        <v>353</v>
      </c>
      <c r="K3076">
        <v>161737.60999999999</v>
      </c>
      <c r="L3076">
        <v>21421494.010000002</v>
      </c>
      <c r="M3076">
        <v>13244.6</v>
      </c>
      <c r="N3076" s="2" t="s">
        <v>360</v>
      </c>
      <c r="O3076" s="2" t="s">
        <v>361</v>
      </c>
      <c r="P3076" s="2" t="s">
        <v>5466</v>
      </c>
      <c r="Q3076" s="2" t="s">
        <v>5467</v>
      </c>
      <c r="R3076" s="2" t="s">
        <v>29</v>
      </c>
      <c r="S3076" s="2" t="s">
        <v>30</v>
      </c>
    </row>
    <row r="3077" spans="1:19">
      <c r="A3077" s="1">
        <v>45383</v>
      </c>
      <c r="B3077" s="1">
        <v>45383</v>
      </c>
      <c r="C3077">
        <v>2024</v>
      </c>
      <c r="D3077">
        <v>4</v>
      </c>
      <c r="E3077" s="2" t="s">
        <v>364</v>
      </c>
      <c r="F3077" s="2" t="s">
        <v>365</v>
      </c>
      <c r="G3077" s="2" t="s">
        <v>21</v>
      </c>
      <c r="H3077" s="2" t="s">
        <v>22</v>
      </c>
      <c r="I3077" s="2" t="s">
        <v>352</v>
      </c>
      <c r="J3077" s="2" t="s">
        <v>353</v>
      </c>
      <c r="K3077">
        <v>161502.01999999999</v>
      </c>
      <c r="L3077">
        <v>6988197.8099999996</v>
      </c>
      <c r="M3077">
        <v>4327</v>
      </c>
      <c r="N3077" s="2" t="s">
        <v>366</v>
      </c>
      <c r="O3077" s="2" t="s">
        <v>367</v>
      </c>
      <c r="P3077" s="2" t="s">
        <v>5468</v>
      </c>
      <c r="Q3077" s="2" t="s">
        <v>5469</v>
      </c>
      <c r="R3077" s="2" t="s">
        <v>29</v>
      </c>
      <c r="S3077" s="2" t="s">
        <v>30</v>
      </c>
    </row>
    <row r="3078" spans="1:19">
      <c r="A3078" s="1">
        <v>45383</v>
      </c>
      <c r="B3078" s="1">
        <v>45383</v>
      </c>
      <c r="C3078">
        <v>2024</v>
      </c>
      <c r="D3078">
        <v>4</v>
      </c>
      <c r="E3078" s="2" t="s">
        <v>370</v>
      </c>
      <c r="F3078" s="2" t="s">
        <v>371</v>
      </c>
      <c r="G3078" s="2" t="s">
        <v>21</v>
      </c>
      <c r="H3078" s="2" t="s">
        <v>22</v>
      </c>
      <c r="I3078" s="2" t="s">
        <v>23</v>
      </c>
      <c r="J3078" s="2" t="s">
        <v>24</v>
      </c>
      <c r="K3078">
        <v>133039.94</v>
      </c>
      <c r="L3078">
        <v>1964464.52</v>
      </c>
      <c r="M3078">
        <v>1476.6</v>
      </c>
      <c r="N3078" s="2" t="s">
        <v>372</v>
      </c>
      <c r="O3078" s="2" t="s">
        <v>373</v>
      </c>
      <c r="P3078" s="2" t="s">
        <v>5470</v>
      </c>
      <c r="Q3078" s="2" t="s">
        <v>5471</v>
      </c>
      <c r="R3078" s="2" t="s">
        <v>29</v>
      </c>
      <c r="S3078" s="2" t="s">
        <v>30</v>
      </c>
    </row>
    <row r="3079" spans="1:19">
      <c r="A3079" s="1">
        <v>45383</v>
      </c>
      <c r="B3079" s="1">
        <v>45383</v>
      </c>
      <c r="C3079">
        <v>2024</v>
      </c>
      <c r="D3079">
        <v>4</v>
      </c>
      <c r="E3079" s="2" t="s">
        <v>376</v>
      </c>
      <c r="F3079" s="2" t="s">
        <v>377</v>
      </c>
      <c r="G3079" s="2" t="s">
        <v>21</v>
      </c>
      <c r="H3079" s="2" t="s">
        <v>22</v>
      </c>
      <c r="I3079" s="2" t="s">
        <v>23</v>
      </c>
      <c r="J3079" s="2" t="s">
        <v>378</v>
      </c>
      <c r="K3079">
        <v>1.52</v>
      </c>
      <c r="L3079">
        <v>17.55</v>
      </c>
      <c r="M3079">
        <v>1154.6099999999999</v>
      </c>
      <c r="N3079" s="2" t="s">
        <v>379</v>
      </c>
      <c r="O3079" s="2" t="s">
        <v>380</v>
      </c>
      <c r="P3079" s="2" t="s">
        <v>2904</v>
      </c>
      <c r="Q3079" s="2" t="s">
        <v>5472</v>
      </c>
      <c r="R3079" s="2" t="s">
        <v>29</v>
      </c>
      <c r="S3079" s="2" t="s">
        <v>30</v>
      </c>
    </row>
    <row r="3080" spans="1:19">
      <c r="A3080" s="1">
        <v>45413</v>
      </c>
      <c r="B3080" s="1">
        <v>45413</v>
      </c>
      <c r="C3080">
        <v>2024</v>
      </c>
      <c r="D3080">
        <v>5</v>
      </c>
      <c r="E3080" s="2" t="s">
        <v>19</v>
      </c>
      <c r="F3080" s="2" t="s">
        <v>20</v>
      </c>
      <c r="G3080" s="2" t="s">
        <v>21</v>
      </c>
      <c r="H3080" s="2" t="s">
        <v>22</v>
      </c>
      <c r="I3080" s="2" t="s">
        <v>23</v>
      </c>
      <c r="J3080" s="2" t="s">
        <v>24</v>
      </c>
      <c r="K3080">
        <v>0.31</v>
      </c>
      <c r="L3080">
        <v>17.52</v>
      </c>
      <c r="M3080">
        <v>5651.61</v>
      </c>
      <c r="N3080" s="2" t="s">
        <v>25</v>
      </c>
      <c r="O3080" s="2" t="s">
        <v>26</v>
      </c>
      <c r="P3080" s="2" t="s">
        <v>2811</v>
      </c>
      <c r="Q3080" s="2" t="s">
        <v>5473</v>
      </c>
      <c r="R3080" s="2" t="s">
        <v>29</v>
      </c>
      <c r="S3080" s="2" t="s">
        <v>30</v>
      </c>
    </row>
    <row r="3081" spans="1:19">
      <c r="A3081" s="1">
        <v>45413</v>
      </c>
      <c r="B3081" s="1">
        <v>45413</v>
      </c>
      <c r="C3081">
        <v>2024</v>
      </c>
      <c r="D3081">
        <v>5</v>
      </c>
      <c r="E3081" s="2" t="s">
        <v>31</v>
      </c>
      <c r="F3081" s="2" t="s">
        <v>32</v>
      </c>
      <c r="G3081" s="2" t="s">
        <v>21</v>
      </c>
      <c r="H3081" s="2" t="s">
        <v>22</v>
      </c>
      <c r="I3081" s="2" t="s">
        <v>23</v>
      </c>
      <c r="J3081" s="2" t="s">
        <v>24</v>
      </c>
      <c r="K3081">
        <v>2295.5</v>
      </c>
      <c r="L3081">
        <v>37498.660000000003</v>
      </c>
      <c r="M3081">
        <v>1633.57</v>
      </c>
      <c r="N3081" s="2" t="s">
        <v>33</v>
      </c>
      <c r="O3081" s="2" t="s">
        <v>34</v>
      </c>
      <c r="P3081" s="2" t="s">
        <v>5474</v>
      </c>
      <c r="Q3081" s="2" t="s">
        <v>5475</v>
      </c>
      <c r="R3081" s="2" t="s">
        <v>29</v>
      </c>
      <c r="S3081" s="2" t="s">
        <v>30</v>
      </c>
    </row>
    <row r="3082" spans="1:19">
      <c r="A3082" s="1">
        <v>45413</v>
      </c>
      <c r="B3082" s="1">
        <v>45413</v>
      </c>
      <c r="C3082">
        <v>2024</v>
      </c>
      <c r="D3082">
        <v>5</v>
      </c>
      <c r="E3082" s="2" t="s">
        <v>37</v>
      </c>
      <c r="F3082" s="2" t="s">
        <v>38</v>
      </c>
      <c r="G3082" s="2" t="s">
        <v>39</v>
      </c>
      <c r="H3082" s="2" t="s">
        <v>22</v>
      </c>
      <c r="I3082" s="2" t="s">
        <v>40</v>
      </c>
      <c r="J3082" s="2" t="s">
        <v>24</v>
      </c>
      <c r="K3082">
        <v>8.6300000000000008</v>
      </c>
      <c r="L3082">
        <v>440.83</v>
      </c>
      <c r="M3082">
        <v>5108.1099999999997</v>
      </c>
      <c r="N3082" s="2" t="s">
        <v>41</v>
      </c>
      <c r="O3082" s="2" t="s">
        <v>42</v>
      </c>
      <c r="P3082" s="2" t="s">
        <v>5476</v>
      </c>
      <c r="Q3082" s="2" t="s">
        <v>5477</v>
      </c>
      <c r="R3082" s="2" t="s">
        <v>29</v>
      </c>
      <c r="S3082" s="2" t="s">
        <v>30</v>
      </c>
    </row>
    <row r="3083" spans="1:19">
      <c r="A3083" s="1">
        <v>45413</v>
      </c>
      <c r="B3083" s="1">
        <v>45413</v>
      </c>
      <c r="C3083">
        <v>2024</v>
      </c>
      <c r="D3083">
        <v>5</v>
      </c>
      <c r="E3083" s="2" t="s">
        <v>45</v>
      </c>
      <c r="F3083" s="2" t="s">
        <v>46</v>
      </c>
      <c r="G3083" s="2" t="s">
        <v>39</v>
      </c>
      <c r="H3083" s="2" t="s">
        <v>22</v>
      </c>
      <c r="I3083" s="2" t="s">
        <v>40</v>
      </c>
      <c r="J3083" s="2" t="s">
        <v>24</v>
      </c>
      <c r="K3083">
        <v>5133.5200000000004</v>
      </c>
      <c r="L3083">
        <v>258784.98</v>
      </c>
      <c r="M3083">
        <v>5041.08</v>
      </c>
      <c r="N3083" s="2" t="s">
        <v>47</v>
      </c>
      <c r="O3083" s="2" t="s">
        <v>48</v>
      </c>
      <c r="P3083" s="2" t="s">
        <v>5478</v>
      </c>
      <c r="Q3083" s="2" t="s">
        <v>5479</v>
      </c>
      <c r="R3083" s="2" t="s">
        <v>29</v>
      </c>
      <c r="S3083" s="2" t="s">
        <v>30</v>
      </c>
    </row>
    <row r="3084" spans="1:19">
      <c r="A3084" s="1">
        <v>45413</v>
      </c>
      <c r="B3084" s="1">
        <v>45413</v>
      </c>
      <c r="C3084">
        <v>2024</v>
      </c>
      <c r="D3084">
        <v>5</v>
      </c>
      <c r="E3084" s="2" t="s">
        <v>51</v>
      </c>
      <c r="F3084" s="2" t="s">
        <v>52</v>
      </c>
      <c r="G3084" s="2" t="s">
        <v>39</v>
      </c>
      <c r="H3084" s="2" t="s">
        <v>22</v>
      </c>
      <c r="I3084" s="2" t="s">
        <v>40</v>
      </c>
      <c r="J3084" s="2" t="s">
        <v>24</v>
      </c>
      <c r="K3084">
        <v>24.26</v>
      </c>
      <c r="L3084">
        <v>1014.39</v>
      </c>
      <c r="M3084">
        <v>4181.33</v>
      </c>
      <c r="N3084" s="2" t="s">
        <v>53</v>
      </c>
      <c r="O3084" s="2" t="s">
        <v>54</v>
      </c>
      <c r="P3084" s="2" t="s">
        <v>5480</v>
      </c>
      <c r="Q3084" s="2" t="s">
        <v>5481</v>
      </c>
      <c r="R3084" s="2" t="s">
        <v>29</v>
      </c>
      <c r="S3084" s="2" t="s">
        <v>30</v>
      </c>
    </row>
    <row r="3085" spans="1:19">
      <c r="A3085" s="1">
        <v>45413</v>
      </c>
      <c r="B3085" s="1">
        <v>45413</v>
      </c>
      <c r="C3085">
        <v>2024</v>
      </c>
      <c r="D3085">
        <v>5</v>
      </c>
      <c r="E3085" s="2" t="s">
        <v>57</v>
      </c>
      <c r="F3085" s="2" t="s">
        <v>58</v>
      </c>
      <c r="G3085" s="2" t="s">
        <v>39</v>
      </c>
      <c r="H3085" s="2" t="s">
        <v>22</v>
      </c>
      <c r="I3085" s="2" t="s">
        <v>40</v>
      </c>
      <c r="J3085" s="2" t="s">
        <v>59</v>
      </c>
      <c r="K3085">
        <v>5166.41</v>
      </c>
      <c r="L3085">
        <v>260240.21</v>
      </c>
      <c r="M3085">
        <v>5037.16</v>
      </c>
      <c r="N3085" s="2" t="s">
        <v>60</v>
      </c>
      <c r="O3085" s="2" t="s">
        <v>61</v>
      </c>
      <c r="P3085" s="2" t="s">
        <v>5482</v>
      </c>
      <c r="Q3085" s="2" t="s">
        <v>5483</v>
      </c>
      <c r="R3085" s="2" t="s">
        <v>29</v>
      </c>
      <c r="S3085" s="2" t="s">
        <v>30</v>
      </c>
    </row>
    <row r="3086" spans="1:19">
      <c r="A3086" s="1">
        <v>45413</v>
      </c>
      <c r="B3086" s="1">
        <v>45413</v>
      </c>
      <c r="C3086">
        <v>2024</v>
      </c>
      <c r="D3086">
        <v>5</v>
      </c>
      <c r="E3086" s="2" t="s">
        <v>64</v>
      </c>
      <c r="F3086" s="2" t="s">
        <v>65</v>
      </c>
      <c r="G3086" s="2" t="s">
        <v>21</v>
      </c>
      <c r="H3086" s="2" t="s">
        <v>22</v>
      </c>
      <c r="I3086" s="2" t="s">
        <v>66</v>
      </c>
      <c r="J3086" s="2" t="s">
        <v>24</v>
      </c>
      <c r="K3086">
        <v>19.329999999999998</v>
      </c>
      <c r="L3086">
        <v>505.68</v>
      </c>
      <c r="M3086">
        <v>2616.04</v>
      </c>
      <c r="N3086" s="2" t="s">
        <v>67</v>
      </c>
      <c r="O3086" s="2" t="s">
        <v>68</v>
      </c>
      <c r="P3086" s="2" t="s">
        <v>5484</v>
      </c>
      <c r="Q3086" s="2" t="s">
        <v>5485</v>
      </c>
      <c r="R3086" s="2" t="s">
        <v>29</v>
      </c>
      <c r="S3086" s="2" t="s">
        <v>30</v>
      </c>
    </row>
    <row r="3087" spans="1:19">
      <c r="A3087" s="1">
        <v>45413</v>
      </c>
      <c r="B3087" s="1">
        <v>45413</v>
      </c>
      <c r="C3087">
        <v>2024</v>
      </c>
      <c r="D3087">
        <v>5</v>
      </c>
      <c r="E3087" s="2" t="s">
        <v>71</v>
      </c>
      <c r="F3087" s="2" t="s">
        <v>72</v>
      </c>
      <c r="G3087" s="2" t="s">
        <v>21</v>
      </c>
      <c r="H3087" s="2" t="s">
        <v>22</v>
      </c>
      <c r="I3087" s="2" t="s">
        <v>73</v>
      </c>
      <c r="J3087" s="2" t="s">
        <v>59</v>
      </c>
      <c r="K3087">
        <v>5105.17</v>
      </c>
      <c r="L3087">
        <v>208520.23</v>
      </c>
      <c r="M3087">
        <v>4084.49</v>
      </c>
      <c r="N3087" s="2" t="s">
        <v>74</v>
      </c>
      <c r="O3087" s="2" t="s">
        <v>75</v>
      </c>
      <c r="P3087" s="2" t="s">
        <v>5486</v>
      </c>
      <c r="Q3087" s="2" t="s">
        <v>5487</v>
      </c>
      <c r="R3087" s="2" t="s">
        <v>29</v>
      </c>
      <c r="S3087" s="2" t="s">
        <v>30</v>
      </c>
    </row>
    <row r="3088" spans="1:19">
      <c r="A3088" s="1">
        <v>45413</v>
      </c>
      <c r="B3088" s="1">
        <v>45413</v>
      </c>
      <c r="C3088">
        <v>2024</v>
      </c>
      <c r="D3088">
        <v>5</v>
      </c>
      <c r="E3088" s="2" t="s">
        <v>78</v>
      </c>
      <c r="F3088" s="2" t="s">
        <v>79</v>
      </c>
      <c r="G3088" s="2" t="s">
        <v>80</v>
      </c>
      <c r="H3088" s="2" t="s">
        <v>81</v>
      </c>
      <c r="I3088" s="2" t="s">
        <v>82</v>
      </c>
      <c r="J3088" s="2" t="s">
        <v>24</v>
      </c>
      <c r="K3088">
        <v>2.37</v>
      </c>
      <c r="L3088">
        <v>6780828.9699999997</v>
      </c>
      <c r="M3088">
        <v>286110927</v>
      </c>
      <c r="N3088" s="2" t="s">
        <v>83</v>
      </c>
      <c r="O3088" s="2" t="s">
        <v>84</v>
      </c>
      <c r="P3088" s="2" t="s">
        <v>3984</v>
      </c>
      <c r="Q3088" s="2" t="s">
        <v>5488</v>
      </c>
      <c r="R3088" s="2" t="s">
        <v>29</v>
      </c>
      <c r="S3088" s="2" t="s">
        <v>30</v>
      </c>
    </row>
    <row r="3089" spans="1:19">
      <c r="A3089" s="1">
        <v>45413</v>
      </c>
      <c r="B3089" s="1">
        <v>45413</v>
      </c>
      <c r="C3089">
        <v>2024</v>
      </c>
      <c r="D3089">
        <v>5</v>
      </c>
      <c r="E3089" s="2" t="s">
        <v>87</v>
      </c>
      <c r="F3089" s="2" t="s">
        <v>88</v>
      </c>
      <c r="G3089" s="2" t="s">
        <v>80</v>
      </c>
      <c r="H3089" s="2" t="s">
        <v>81</v>
      </c>
      <c r="I3089" s="2" t="s">
        <v>82</v>
      </c>
      <c r="J3089" s="2" t="s">
        <v>24</v>
      </c>
      <c r="K3089">
        <v>0.98</v>
      </c>
      <c r="L3089">
        <v>1363202.98</v>
      </c>
      <c r="M3089">
        <v>139102344.90000001</v>
      </c>
      <c r="N3089" s="2" t="s">
        <v>89</v>
      </c>
      <c r="O3089" s="2" t="s">
        <v>90</v>
      </c>
      <c r="P3089" s="2" t="s">
        <v>2326</v>
      </c>
      <c r="Q3089" s="2" t="s">
        <v>5489</v>
      </c>
      <c r="R3089" s="2" t="s">
        <v>29</v>
      </c>
      <c r="S3089" s="2" t="s">
        <v>30</v>
      </c>
    </row>
    <row r="3090" spans="1:19">
      <c r="A3090" s="1">
        <v>45413</v>
      </c>
      <c r="B3090" s="1">
        <v>45413</v>
      </c>
      <c r="C3090">
        <v>2024</v>
      </c>
      <c r="D3090">
        <v>5</v>
      </c>
      <c r="E3090" s="2" t="s">
        <v>93</v>
      </c>
      <c r="F3090" s="2" t="s">
        <v>94</v>
      </c>
      <c r="G3090" s="2" t="s">
        <v>80</v>
      </c>
      <c r="H3090" s="2" t="s">
        <v>81</v>
      </c>
      <c r="I3090" s="2" t="s">
        <v>82</v>
      </c>
      <c r="J3090" s="2" t="s">
        <v>24</v>
      </c>
      <c r="K3090">
        <v>0.43</v>
      </c>
      <c r="L3090">
        <v>6669492.6399999997</v>
      </c>
      <c r="M3090">
        <v>1551044800</v>
      </c>
      <c r="N3090" s="2" t="s">
        <v>95</v>
      </c>
      <c r="O3090" s="2" t="s">
        <v>96</v>
      </c>
      <c r="P3090" s="2" t="s">
        <v>5121</v>
      </c>
      <c r="Q3090" s="2" t="s">
        <v>5490</v>
      </c>
      <c r="R3090" s="2" t="s">
        <v>29</v>
      </c>
      <c r="S3090" s="2" t="s">
        <v>30</v>
      </c>
    </row>
    <row r="3091" spans="1:19">
      <c r="A3091" s="1">
        <v>45413</v>
      </c>
      <c r="B3091" s="1">
        <v>45413</v>
      </c>
      <c r="C3091">
        <v>2024</v>
      </c>
      <c r="D3091">
        <v>5</v>
      </c>
      <c r="E3091" s="2" t="s">
        <v>99</v>
      </c>
      <c r="F3091" s="2" t="s">
        <v>100</v>
      </c>
      <c r="G3091" s="2" t="s">
        <v>80</v>
      </c>
      <c r="H3091" s="2" t="s">
        <v>81</v>
      </c>
      <c r="I3091" s="2" t="s">
        <v>82</v>
      </c>
      <c r="J3091" s="2" t="s">
        <v>101</v>
      </c>
      <c r="K3091">
        <v>1.6</v>
      </c>
      <c r="L3091">
        <v>14632647.82</v>
      </c>
      <c r="M3091">
        <v>914540488.75</v>
      </c>
      <c r="N3091" s="2" t="s">
        <v>102</v>
      </c>
      <c r="O3091" s="2" t="s">
        <v>103</v>
      </c>
      <c r="P3091" s="2" t="s">
        <v>1089</v>
      </c>
      <c r="Q3091" s="2" t="s">
        <v>5491</v>
      </c>
      <c r="R3091" s="2" t="s">
        <v>29</v>
      </c>
      <c r="S3091" s="2" t="s">
        <v>30</v>
      </c>
    </row>
    <row r="3092" spans="1:19">
      <c r="A3092" s="1">
        <v>45413</v>
      </c>
      <c r="B3092" s="1">
        <v>45413</v>
      </c>
      <c r="C3092">
        <v>2024</v>
      </c>
      <c r="D3092">
        <v>5</v>
      </c>
      <c r="E3092" s="2" t="s">
        <v>106</v>
      </c>
      <c r="F3092" s="2" t="s">
        <v>107</v>
      </c>
      <c r="G3092" s="2" t="s">
        <v>80</v>
      </c>
      <c r="H3092" s="2" t="s">
        <v>81</v>
      </c>
      <c r="I3092" s="2" t="s">
        <v>82</v>
      </c>
      <c r="J3092" s="2" t="s">
        <v>24</v>
      </c>
      <c r="K3092">
        <v>0.19</v>
      </c>
      <c r="L3092">
        <v>6599952.2000000002</v>
      </c>
      <c r="M3092">
        <v>3473659052.6300001</v>
      </c>
      <c r="N3092" s="2" t="s">
        <v>108</v>
      </c>
      <c r="O3092" s="2" t="s">
        <v>109</v>
      </c>
      <c r="P3092" s="2" t="s">
        <v>97</v>
      </c>
      <c r="Q3092" s="2" t="s">
        <v>5492</v>
      </c>
      <c r="R3092" s="2" t="s">
        <v>29</v>
      </c>
      <c r="S3092" s="2" t="s">
        <v>30</v>
      </c>
    </row>
    <row r="3093" spans="1:19">
      <c r="A3093" s="1">
        <v>45413</v>
      </c>
      <c r="B3093" s="1">
        <v>45413</v>
      </c>
      <c r="C3093">
        <v>2024</v>
      </c>
      <c r="D3093">
        <v>5</v>
      </c>
      <c r="E3093" s="2" t="s">
        <v>111</v>
      </c>
      <c r="F3093" s="2" t="s">
        <v>112</v>
      </c>
      <c r="G3093" s="2" t="s">
        <v>80</v>
      </c>
      <c r="H3093" s="2" t="s">
        <v>81</v>
      </c>
      <c r="I3093" s="2" t="s">
        <v>82</v>
      </c>
      <c r="J3093" s="2" t="s">
        <v>24</v>
      </c>
      <c r="K3093">
        <v>0.1</v>
      </c>
      <c r="L3093">
        <v>605436.09</v>
      </c>
      <c r="M3093">
        <v>605436090</v>
      </c>
      <c r="N3093" s="2" t="s">
        <v>113</v>
      </c>
      <c r="O3093" s="2" t="s">
        <v>114</v>
      </c>
      <c r="P3093" s="2" t="s">
        <v>425</v>
      </c>
      <c r="Q3093" s="2" t="s">
        <v>5493</v>
      </c>
      <c r="R3093" s="2" t="s">
        <v>29</v>
      </c>
      <c r="S3093" s="2" t="s">
        <v>30</v>
      </c>
    </row>
    <row r="3094" spans="1:19">
      <c r="A3094" s="1">
        <v>45413</v>
      </c>
      <c r="B3094" s="1">
        <v>45413</v>
      </c>
      <c r="C3094">
        <v>2024</v>
      </c>
      <c r="D3094">
        <v>5</v>
      </c>
      <c r="E3094" s="2" t="s">
        <v>117</v>
      </c>
      <c r="F3094" s="2" t="s">
        <v>118</v>
      </c>
      <c r="G3094" s="2" t="s">
        <v>80</v>
      </c>
      <c r="H3094" s="2" t="s">
        <v>81</v>
      </c>
      <c r="I3094" s="2" t="s">
        <v>82</v>
      </c>
      <c r="J3094" s="2" t="s">
        <v>59</v>
      </c>
      <c r="K3094">
        <v>4.07</v>
      </c>
      <c r="L3094">
        <v>22018912.879999999</v>
      </c>
      <c r="M3094">
        <v>541005230.47000003</v>
      </c>
      <c r="N3094" s="2" t="s">
        <v>119</v>
      </c>
      <c r="O3094" s="2" t="s">
        <v>120</v>
      </c>
      <c r="P3094" s="2" t="s">
        <v>5494</v>
      </c>
      <c r="Q3094" s="2" t="s">
        <v>5495</v>
      </c>
      <c r="R3094" s="2" t="s">
        <v>29</v>
      </c>
      <c r="S3094" s="2" t="s">
        <v>30</v>
      </c>
    </row>
    <row r="3095" spans="1:19">
      <c r="A3095" s="1">
        <v>45413</v>
      </c>
      <c r="B3095" s="1">
        <v>45413</v>
      </c>
      <c r="C3095">
        <v>2024</v>
      </c>
      <c r="D3095">
        <v>5</v>
      </c>
      <c r="E3095" s="2" t="s">
        <v>123</v>
      </c>
      <c r="F3095" s="2" t="s">
        <v>124</v>
      </c>
      <c r="G3095" s="2" t="s">
        <v>21</v>
      </c>
      <c r="H3095" s="2" t="s">
        <v>22</v>
      </c>
      <c r="I3095" s="2" t="s">
        <v>73</v>
      </c>
      <c r="J3095" s="2" t="s">
        <v>24</v>
      </c>
      <c r="K3095">
        <v>1694.78</v>
      </c>
      <c r="L3095">
        <v>101124.1</v>
      </c>
      <c r="M3095">
        <v>5966.8</v>
      </c>
      <c r="N3095" s="2" t="s">
        <v>125</v>
      </c>
      <c r="O3095" s="2" t="s">
        <v>126</v>
      </c>
      <c r="P3095" s="2" t="s">
        <v>5496</v>
      </c>
      <c r="Q3095" s="2" t="s">
        <v>5497</v>
      </c>
      <c r="R3095" s="2" t="s">
        <v>29</v>
      </c>
      <c r="S3095" s="2" t="s">
        <v>30</v>
      </c>
    </row>
    <row r="3096" spans="1:19">
      <c r="A3096" s="1">
        <v>45413</v>
      </c>
      <c r="B3096" s="1">
        <v>45413</v>
      </c>
      <c r="C3096">
        <v>2024</v>
      </c>
      <c r="D3096">
        <v>5</v>
      </c>
      <c r="E3096" s="2" t="s">
        <v>129</v>
      </c>
      <c r="F3096" s="2" t="s">
        <v>130</v>
      </c>
      <c r="G3096" s="2" t="s">
        <v>21</v>
      </c>
      <c r="H3096" s="2" t="s">
        <v>22</v>
      </c>
      <c r="I3096" s="2" t="s">
        <v>73</v>
      </c>
      <c r="J3096" s="2" t="s">
        <v>24</v>
      </c>
      <c r="K3096">
        <v>1906.58</v>
      </c>
      <c r="L3096">
        <v>63831.17</v>
      </c>
      <c r="M3096">
        <v>3347.94</v>
      </c>
      <c r="N3096" s="2" t="s">
        <v>131</v>
      </c>
      <c r="O3096" s="2" t="s">
        <v>132</v>
      </c>
      <c r="P3096" s="2" t="s">
        <v>5498</v>
      </c>
      <c r="Q3096" s="2" t="s">
        <v>5499</v>
      </c>
      <c r="R3096" s="2" t="s">
        <v>29</v>
      </c>
      <c r="S3096" s="2" t="s">
        <v>30</v>
      </c>
    </row>
    <row r="3097" spans="1:19">
      <c r="A3097" s="1">
        <v>45413</v>
      </c>
      <c r="B3097" s="1">
        <v>45413</v>
      </c>
      <c r="C3097">
        <v>2024</v>
      </c>
      <c r="D3097">
        <v>5</v>
      </c>
      <c r="E3097" s="2" t="s">
        <v>135</v>
      </c>
      <c r="F3097" s="2" t="s">
        <v>136</v>
      </c>
      <c r="G3097" s="2" t="s">
        <v>21</v>
      </c>
      <c r="H3097" s="2" t="s">
        <v>22</v>
      </c>
      <c r="I3097" s="2" t="s">
        <v>73</v>
      </c>
      <c r="J3097" s="2" t="s">
        <v>101</v>
      </c>
      <c r="K3097">
        <v>3601.36</v>
      </c>
      <c r="L3097">
        <v>164955.26</v>
      </c>
      <c r="M3097">
        <v>4580.3599999999997</v>
      </c>
      <c r="N3097" s="2" t="s">
        <v>137</v>
      </c>
      <c r="O3097" s="2" t="s">
        <v>138</v>
      </c>
      <c r="P3097" s="2" t="s">
        <v>5500</v>
      </c>
      <c r="Q3097" s="2" t="s">
        <v>5501</v>
      </c>
      <c r="R3097" s="2" t="s">
        <v>29</v>
      </c>
      <c r="S3097" s="2" t="s">
        <v>30</v>
      </c>
    </row>
    <row r="3098" spans="1:19">
      <c r="A3098" s="1">
        <v>45413</v>
      </c>
      <c r="B3098" s="1">
        <v>45413</v>
      </c>
      <c r="C3098">
        <v>2024</v>
      </c>
      <c r="D3098">
        <v>5</v>
      </c>
      <c r="E3098" s="2" t="s">
        <v>141</v>
      </c>
      <c r="F3098" s="2" t="s">
        <v>142</v>
      </c>
      <c r="G3098" s="2" t="s">
        <v>21</v>
      </c>
      <c r="H3098" s="2" t="s">
        <v>22</v>
      </c>
      <c r="I3098" s="2" t="s">
        <v>73</v>
      </c>
      <c r="J3098" s="2" t="s">
        <v>24</v>
      </c>
      <c r="K3098">
        <v>389.47</v>
      </c>
      <c r="L3098">
        <v>13793.25</v>
      </c>
      <c r="M3098">
        <v>3541.54</v>
      </c>
      <c r="N3098" s="2" t="s">
        <v>143</v>
      </c>
      <c r="O3098" s="2" t="s">
        <v>144</v>
      </c>
      <c r="P3098" s="2" t="s">
        <v>5502</v>
      </c>
      <c r="Q3098" s="2" t="s">
        <v>5503</v>
      </c>
      <c r="R3098" s="2" t="s">
        <v>29</v>
      </c>
      <c r="S3098" s="2" t="s">
        <v>30</v>
      </c>
    </row>
    <row r="3099" spans="1:19">
      <c r="A3099" s="1">
        <v>45413</v>
      </c>
      <c r="B3099" s="1">
        <v>45413</v>
      </c>
      <c r="C3099">
        <v>2024</v>
      </c>
      <c r="D3099">
        <v>5</v>
      </c>
      <c r="E3099" s="2" t="s">
        <v>147</v>
      </c>
      <c r="F3099" s="2" t="s">
        <v>148</v>
      </c>
      <c r="G3099" s="2" t="s">
        <v>21</v>
      </c>
      <c r="H3099" s="2" t="s">
        <v>22</v>
      </c>
      <c r="I3099" s="2" t="s">
        <v>73</v>
      </c>
      <c r="J3099" s="2" t="s">
        <v>24</v>
      </c>
      <c r="K3099">
        <v>1114.3499999999999</v>
      </c>
      <c r="L3099">
        <v>29771.71</v>
      </c>
      <c r="M3099">
        <v>2671.67</v>
      </c>
      <c r="N3099" s="2" t="s">
        <v>149</v>
      </c>
      <c r="O3099" s="2" t="s">
        <v>150</v>
      </c>
      <c r="P3099" s="2" t="s">
        <v>5504</v>
      </c>
      <c r="Q3099" s="2" t="s">
        <v>5505</v>
      </c>
      <c r="R3099" s="2" t="s">
        <v>29</v>
      </c>
      <c r="S3099" s="2" t="s">
        <v>30</v>
      </c>
    </row>
    <row r="3100" spans="1:19">
      <c r="A3100" s="1">
        <v>45413</v>
      </c>
      <c r="B3100" s="1">
        <v>45413</v>
      </c>
      <c r="C3100">
        <v>2024</v>
      </c>
      <c r="D3100">
        <v>5</v>
      </c>
      <c r="E3100" s="2" t="s">
        <v>153</v>
      </c>
      <c r="F3100" s="2" t="s">
        <v>154</v>
      </c>
      <c r="G3100" s="2" t="s">
        <v>21</v>
      </c>
      <c r="H3100" s="2" t="s">
        <v>22</v>
      </c>
      <c r="I3100" s="2" t="s">
        <v>73</v>
      </c>
      <c r="J3100" s="2" t="s">
        <v>101</v>
      </c>
      <c r="K3100">
        <v>1503.82</v>
      </c>
      <c r="L3100">
        <v>43564.97</v>
      </c>
      <c r="M3100">
        <v>2896.95</v>
      </c>
      <c r="N3100" s="2" t="s">
        <v>155</v>
      </c>
      <c r="O3100" s="2" t="s">
        <v>156</v>
      </c>
      <c r="P3100" s="2" t="s">
        <v>5506</v>
      </c>
      <c r="Q3100" s="2" t="s">
        <v>5507</v>
      </c>
      <c r="R3100" s="2" t="s">
        <v>29</v>
      </c>
      <c r="S3100" s="2" t="s">
        <v>30</v>
      </c>
    </row>
    <row r="3101" spans="1:19">
      <c r="A3101" s="1">
        <v>45413</v>
      </c>
      <c r="B3101" s="1">
        <v>45413</v>
      </c>
      <c r="C3101">
        <v>2024</v>
      </c>
      <c r="D3101">
        <v>5</v>
      </c>
      <c r="E3101" s="2" t="s">
        <v>159</v>
      </c>
      <c r="F3101" s="2" t="s">
        <v>160</v>
      </c>
      <c r="G3101" s="2" t="s">
        <v>21</v>
      </c>
      <c r="H3101" s="2" t="s">
        <v>22</v>
      </c>
      <c r="I3101" s="2" t="s">
        <v>66</v>
      </c>
      <c r="J3101" s="2" t="s">
        <v>59</v>
      </c>
      <c r="K3101">
        <v>1698.67</v>
      </c>
      <c r="L3101">
        <v>167035.49</v>
      </c>
      <c r="M3101">
        <v>9833.31</v>
      </c>
      <c r="N3101" s="2" t="s">
        <v>161</v>
      </c>
      <c r="O3101" s="2" t="s">
        <v>162</v>
      </c>
      <c r="P3101" s="2" t="s">
        <v>5508</v>
      </c>
      <c r="Q3101" s="2" t="s">
        <v>5509</v>
      </c>
      <c r="R3101" s="2" t="s">
        <v>29</v>
      </c>
      <c r="S3101" s="2" t="s">
        <v>30</v>
      </c>
    </row>
    <row r="3102" spans="1:19">
      <c r="A3102" s="1">
        <v>45413</v>
      </c>
      <c r="B3102" s="1">
        <v>45413</v>
      </c>
      <c r="C3102">
        <v>2024</v>
      </c>
      <c r="D3102">
        <v>5</v>
      </c>
      <c r="E3102" s="2" t="s">
        <v>165</v>
      </c>
      <c r="F3102" s="2" t="s">
        <v>166</v>
      </c>
      <c r="G3102" s="2" t="s">
        <v>21</v>
      </c>
      <c r="H3102" s="2" t="s">
        <v>22</v>
      </c>
      <c r="I3102" s="2" t="s">
        <v>23</v>
      </c>
      <c r="J3102" s="2" t="s">
        <v>24</v>
      </c>
      <c r="N3102" s="2" t="s">
        <v>167</v>
      </c>
      <c r="O3102" s="2" t="s">
        <v>168</v>
      </c>
      <c r="P3102" s="2" t="s">
        <v>175</v>
      </c>
      <c r="Q3102" s="2" t="s">
        <v>175</v>
      </c>
      <c r="R3102" s="2" t="s">
        <v>640</v>
      </c>
      <c r="S3102" s="2" t="s">
        <v>641</v>
      </c>
    </row>
    <row r="3103" spans="1:19">
      <c r="A3103" s="1">
        <v>45413</v>
      </c>
      <c r="B3103" s="1">
        <v>45413</v>
      </c>
      <c r="C3103">
        <v>2024</v>
      </c>
      <c r="D3103">
        <v>5</v>
      </c>
      <c r="E3103" s="2" t="s">
        <v>171</v>
      </c>
      <c r="F3103" s="2" t="s">
        <v>172</v>
      </c>
      <c r="G3103" s="2" t="s">
        <v>21</v>
      </c>
      <c r="H3103" s="2" t="s">
        <v>22</v>
      </c>
      <c r="I3103" s="2" t="s">
        <v>66</v>
      </c>
      <c r="J3103" s="2" t="s">
        <v>24</v>
      </c>
      <c r="N3103" s="2" t="s">
        <v>173</v>
      </c>
      <c r="O3103" s="2" t="s">
        <v>174</v>
      </c>
      <c r="P3103" s="2" t="s">
        <v>175</v>
      </c>
      <c r="Q3103" s="2" t="s">
        <v>175</v>
      </c>
      <c r="R3103" s="2" t="s">
        <v>640</v>
      </c>
      <c r="S3103" s="2" t="s">
        <v>641</v>
      </c>
    </row>
    <row r="3104" spans="1:19">
      <c r="A3104" s="1">
        <v>45413</v>
      </c>
      <c r="B3104" s="1">
        <v>45413</v>
      </c>
      <c r="C3104">
        <v>2024</v>
      </c>
      <c r="D3104">
        <v>5</v>
      </c>
      <c r="E3104" s="2" t="s">
        <v>177</v>
      </c>
      <c r="F3104" s="2" t="s">
        <v>178</v>
      </c>
      <c r="G3104" s="2" t="s">
        <v>21</v>
      </c>
      <c r="H3104" s="2" t="s">
        <v>22</v>
      </c>
      <c r="I3104" s="2" t="s">
        <v>23</v>
      </c>
      <c r="J3104" s="2" t="s">
        <v>24</v>
      </c>
      <c r="K3104">
        <v>5576.99</v>
      </c>
      <c r="L3104">
        <v>606166.78</v>
      </c>
      <c r="M3104">
        <v>10869.07</v>
      </c>
      <c r="N3104" s="2" t="s">
        <v>179</v>
      </c>
      <c r="O3104" s="2" t="s">
        <v>180</v>
      </c>
      <c r="P3104" s="2" t="s">
        <v>5510</v>
      </c>
      <c r="Q3104" s="2" t="s">
        <v>5511</v>
      </c>
      <c r="R3104" s="2" t="s">
        <v>29</v>
      </c>
      <c r="S3104" s="2" t="s">
        <v>30</v>
      </c>
    </row>
    <row r="3105" spans="1:19">
      <c r="A3105" s="1">
        <v>45413</v>
      </c>
      <c r="B3105" s="1">
        <v>45413</v>
      </c>
      <c r="C3105">
        <v>2024</v>
      </c>
      <c r="D3105">
        <v>5</v>
      </c>
      <c r="E3105" s="2" t="s">
        <v>183</v>
      </c>
      <c r="F3105" s="2" t="s">
        <v>184</v>
      </c>
      <c r="G3105" s="2" t="s">
        <v>185</v>
      </c>
      <c r="H3105" s="2" t="s">
        <v>22</v>
      </c>
      <c r="I3105" s="2" t="s">
        <v>186</v>
      </c>
      <c r="J3105" s="2" t="s">
        <v>24</v>
      </c>
      <c r="K3105">
        <v>2800.25</v>
      </c>
      <c r="L3105">
        <v>4689082.3</v>
      </c>
      <c r="M3105">
        <v>167452.26999999999</v>
      </c>
      <c r="N3105" s="2" t="s">
        <v>187</v>
      </c>
      <c r="O3105" s="2" t="s">
        <v>188</v>
      </c>
      <c r="P3105" s="2" t="s">
        <v>5512</v>
      </c>
      <c r="Q3105" s="2" t="s">
        <v>5513</v>
      </c>
      <c r="R3105" s="2" t="s">
        <v>29</v>
      </c>
      <c r="S3105" s="2" t="s">
        <v>30</v>
      </c>
    </row>
    <row r="3106" spans="1:19">
      <c r="A3106" s="1">
        <v>45413</v>
      </c>
      <c r="B3106" s="1">
        <v>45413</v>
      </c>
      <c r="C3106">
        <v>2024</v>
      </c>
      <c r="D3106">
        <v>5</v>
      </c>
      <c r="E3106" s="2" t="s">
        <v>191</v>
      </c>
      <c r="F3106" s="2" t="s">
        <v>192</v>
      </c>
      <c r="G3106" s="2" t="s">
        <v>185</v>
      </c>
      <c r="H3106" s="2" t="s">
        <v>22</v>
      </c>
      <c r="I3106" s="2" t="s">
        <v>186</v>
      </c>
      <c r="J3106" s="2" t="s">
        <v>24</v>
      </c>
      <c r="K3106">
        <v>1012.11</v>
      </c>
      <c r="L3106">
        <v>4905986.97</v>
      </c>
      <c r="M3106">
        <v>484728.63</v>
      </c>
      <c r="N3106" s="2" t="s">
        <v>193</v>
      </c>
      <c r="O3106" s="2" t="s">
        <v>194</v>
      </c>
      <c r="P3106" s="2" t="s">
        <v>5514</v>
      </c>
      <c r="Q3106" s="2" t="s">
        <v>5515</v>
      </c>
      <c r="R3106" s="2" t="s">
        <v>29</v>
      </c>
      <c r="S3106" s="2" t="s">
        <v>30</v>
      </c>
    </row>
    <row r="3107" spans="1:19">
      <c r="A3107" s="1">
        <v>45413</v>
      </c>
      <c r="B3107" s="1">
        <v>45413</v>
      </c>
      <c r="C3107">
        <v>2024</v>
      </c>
      <c r="D3107">
        <v>5</v>
      </c>
      <c r="E3107" s="2" t="s">
        <v>197</v>
      </c>
      <c r="F3107" s="2" t="s">
        <v>198</v>
      </c>
      <c r="G3107" s="2" t="s">
        <v>185</v>
      </c>
      <c r="H3107" s="2" t="s">
        <v>22</v>
      </c>
      <c r="I3107" s="2" t="s">
        <v>186</v>
      </c>
      <c r="J3107" s="2" t="s">
        <v>59</v>
      </c>
      <c r="K3107">
        <v>3812.36</v>
      </c>
      <c r="L3107">
        <v>9595069.2699999996</v>
      </c>
      <c r="M3107">
        <v>251683.19</v>
      </c>
      <c r="N3107" s="2" t="s">
        <v>199</v>
      </c>
      <c r="O3107" s="2" t="s">
        <v>200</v>
      </c>
      <c r="P3107" s="2" t="s">
        <v>5516</v>
      </c>
      <c r="Q3107" s="2" t="s">
        <v>5517</v>
      </c>
      <c r="R3107" s="2" t="s">
        <v>29</v>
      </c>
      <c r="S3107" s="2" t="s">
        <v>30</v>
      </c>
    </row>
    <row r="3108" spans="1:19">
      <c r="A3108" s="1">
        <v>45413</v>
      </c>
      <c r="B3108" s="1">
        <v>45413</v>
      </c>
      <c r="C3108">
        <v>2024</v>
      </c>
      <c r="D3108">
        <v>5</v>
      </c>
      <c r="E3108" s="2" t="s">
        <v>203</v>
      </c>
      <c r="F3108" s="2" t="s">
        <v>204</v>
      </c>
      <c r="G3108" s="2" t="s">
        <v>39</v>
      </c>
      <c r="H3108" s="2" t="s">
        <v>22</v>
      </c>
      <c r="I3108" s="2" t="s">
        <v>40</v>
      </c>
      <c r="J3108" s="2" t="s">
        <v>24</v>
      </c>
      <c r="K3108">
        <v>879.79</v>
      </c>
      <c r="L3108">
        <v>22803.98</v>
      </c>
      <c r="M3108">
        <v>2591.98</v>
      </c>
      <c r="N3108" s="2" t="s">
        <v>205</v>
      </c>
      <c r="O3108" s="2" t="s">
        <v>206</v>
      </c>
      <c r="P3108" s="2" t="s">
        <v>5518</v>
      </c>
      <c r="Q3108" s="2" t="s">
        <v>5519</v>
      </c>
      <c r="R3108" s="2" t="s">
        <v>29</v>
      </c>
      <c r="S3108" s="2" t="s">
        <v>30</v>
      </c>
    </row>
    <row r="3109" spans="1:19">
      <c r="A3109" s="1">
        <v>45413</v>
      </c>
      <c r="B3109" s="1">
        <v>45413</v>
      </c>
      <c r="C3109">
        <v>2024</v>
      </c>
      <c r="D3109">
        <v>5</v>
      </c>
      <c r="E3109" s="2" t="s">
        <v>209</v>
      </c>
      <c r="F3109" s="2" t="s">
        <v>210</v>
      </c>
      <c r="G3109" s="2" t="s">
        <v>39</v>
      </c>
      <c r="H3109" s="2" t="s">
        <v>22</v>
      </c>
      <c r="I3109" s="2" t="s">
        <v>40</v>
      </c>
      <c r="J3109" s="2" t="s">
        <v>59</v>
      </c>
      <c r="K3109">
        <v>879.79</v>
      </c>
      <c r="L3109">
        <v>22803.98</v>
      </c>
      <c r="M3109">
        <v>2591.98</v>
      </c>
      <c r="N3109" s="2" t="s">
        <v>211</v>
      </c>
      <c r="O3109" s="2" t="s">
        <v>212</v>
      </c>
      <c r="P3109" s="2" t="s">
        <v>5518</v>
      </c>
      <c r="Q3109" s="2" t="s">
        <v>5519</v>
      </c>
      <c r="R3109" s="2" t="s">
        <v>29</v>
      </c>
      <c r="S3109" s="2" t="s">
        <v>30</v>
      </c>
    </row>
    <row r="3110" spans="1:19">
      <c r="A3110" s="1">
        <v>45413</v>
      </c>
      <c r="B3110" s="1">
        <v>45413</v>
      </c>
      <c r="C3110">
        <v>2024</v>
      </c>
      <c r="D3110">
        <v>5</v>
      </c>
      <c r="E3110" s="2" t="s">
        <v>213</v>
      </c>
      <c r="F3110" s="2" t="s">
        <v>214</v>
      </c>
      <c r="G3110" s="2" t="s">
        <v>185</v>
      </c>
      <c r="H3110" s="2" t="s">
        <v>22</v>
      </c>
      <c r="I3110" s="2" t="s">
        <v>215</v>
      </c>
      <c r="J3110" s="2" t="s">
        <v>24</v>
      </c>
      <c r="K3110">
        <v>124380.84</v>
      </c>
      <c r="L3110">
        <v>2521832.4</v>
      </c>
      <c r="M3110">
        <v>2027.51</v>
      </c>
      <c r="N3110" s="2" t="s">
        <v>216</v>
      </c>
      <c r="O3110" s="2" t="s">
        <v>217</v>
      </c>
      <c r="P3110" s="2" t="s">
        <v>5520</v>
      </c>
      <c r="Q3110" s="2" t="s">
        <v>5521</v>
      </c>
      <c r="R3110" s="2" t="s">
        <v>29</v>
      </c>
      <c r="S3110" s="2" t="s">
        <v>30</v>
      </c>
    </row>
    <row r="3111" spans="1:19">
      <c r="A3111" s="1">
        <v>45413</v>
      </c>
      <c r="B3111" s="1">
        <v>45413</v>
      </c>
      <c r="C3111">
        <v>2024</v>
      </c>
      <c r="D3111">
        <v>5</v>
      </c>
      <c r="E3111" s="2" t="s">
        <v>220</v>
      </c>
      <c r="F3111" s="2" t="s">
        <v>221</v>
      </c>
      <c r="G3111" s="2" t="s">
        <v>185</v>
      </c>
      <c r="H3111" s="2" t="s">
        <v>22</v>
      </c>
      <c r="I3111" s="2" t="s">
        <v>215</v>
      </c>
      <c r="J3111" s="2" t="s">
        <v>24</v>
      </c>
      <c r="K3111">
        <v>8851.5</v>
      </c>
      <c r="L3111">
        <v>571075.31000000006</v>
      </c>
      <c r="M3111">
        <v>6451.73</v>
      </c>
      <c r="N3111" s="2" t="s">
        <v>222</v>
      </c>
      <c r="O3111" s="2" t="s">
        <v>223</v>
      </c>
      <c r="P3111" s="2" t="s">
        <v>5522</v>
      </c>
      <c r="Q3111" s="2" t="s">
        <v>5523</v>
      </c>
      <c r="R3111" s="2" t="s">
        <v>29</v>
      </c>
      <c r="S3111" s="2" t="s">
        <v>30</v>
      </c>
    </row>
    <row r="3112" spans="1:19">
      <c r="A3112" s="1">
        <v>45413</v>
      </c>
      <c r="B3112" s="1">
        <v>45413</v>
      </c>
      <c r="C3112">
        <v>2024</v>
      </c>
      <c r="D3112">
        <v>5</v>
      </c>
      <c r="E3112" s="2" t="s">
        <v>226</v>
      </c>
      <c r="F3112" s="2" t="s">
        <v>227</v>
      </c>
      <c r="G3112" s="2" t="s">
        <v>185</v>
      </c>
      <c r="H3112" s="2" t="s">
        <v>22</v>
      </c>
      <c r="I3112" s="2" t="s">
        <v>215</v>
      </c>
      <c r="J3112" s="2" t="s">
        <v>59</v>
      </c>
      <c r="K3112">
        <v>133232.32999999999</v>
      </c>
      <c r="L3112">
        <v>3092907.72</v>
      </c>
      <c r="M3112">
        <v>2321.44</v>
      </c>
      <c r="N3112" s="2" t="s">
        <v>228</v>
      </c>
      <c r="O3112" s="2" t="s">
        <v>229</v>
      </c>
      <c r="P3112" s="2" t="s">
        <v>5524</v>
      </c>
      <c r="Q3112" s="2" t="s">
        <v>5525</v>
      </c>
      <c r="R3112" s="2" t="s">
        <v>29</v>
      </c>
      <c r="S3112" s="2" t="s">
        <v>30</v>
      </c>
    </row>
    <row r="3113" spans="1:19">
      <c r="A3113" s="1">
        <v>45413</v>
      </c>
      <c r="B3113" s="1">
        <v>45413</v>
      </c>
      <c r="C3113">
        <v>2024</v>
      </c>
      <c r="D3113">
        <v>5</v>
      </c>
      <c r="E3113" s="2" t="s">
        <v>232</v>
      </c>
      <c r="F3113" s="2" t="s">
        <v>233</v>
      </c>
      <c r="G3113" s="2" t="s">
        <v>21</v>
      </c>
      <c r="H3113" s="2" t="s">
        <v>22</v>
      </c>
      <c r="I3113" s="2" t="s">
        <v>23</v>
      </c>
      <c r="J3113" s="2" t="s">
        <v>24</v>
      </c>
      <c r="K3113">
        <v>1074.6099999999999</v>
      </c>
      <c r="L3113">
        <v>132403.68</v>
      </c>
      <c r="M3113">
        <v>12321.09</v>
      </c>
      <c r="N3113" s="2" t="s">
        <v>234</v>
      </c>
      <c r="O3113" s="2" t="s">
        <v>235</v>
      </c>
      <c r="P3113" s="2" t="s">
        <v>5526</v>
      </c>
      <c r="Q3113" s="2" t="s">
        <v>5527</v>
      </c>
      <c r="R3113" s="2" t="s">
        <v>29</v>
      </c>
      <c r="S3113" s="2" t="s">
        <v>30</v>
      </c>
    </row>
    <row r="3114" spans="1:19">
      <c r="A3114" s="1">
        <v>45413</v>
      </c>
      <c r="B3114" s="1">
        <v>45413</v>
      </c>
      <c r="C3114">
        <v>2024</v>
      </c>
      <c r="D3114">
        <v>5</v>
      </c>
      <c r="E3114" s="2" t="s">
        <v>238</v>
      </c>
      <c r="F3114" s="2" t="s">
        <v>239</v>
      </c>
      <c r="G3114" s="2" t="s">
        <v>21</v>
      </c>
      <c r="H3114" s="2" t="s">
        <v>22</v>
      </c>
      <c r="I3114" s="2" t="s">
        <v>66</v>
      </c>
      <c r="J3114" s="2" t="s">
        <v>24</v>
      </c>
      <c r="K3114">
        <v>1539.23</v>
      </c>
      <c r="L3114">
        <v>166305.04999999999</v>
      </c>
      <c r="M3114">
        <v>10804.43</v>
      </c>
      <c r="N3114" s="2" t="s">
        <v>240</v>
      </c>
      <c r="O3114" s="2" t="s">
        <v>241</v>
      </c>
      <c r="P3114" s="2" t="s">
        <v>5528</v>
      </c>
      <c r="Q3114" s="2" t="s">
        <v>5529</v>
      </c>
      <c r="R3114" s="2" t="s">
        <v>29</v>
      </c>
      <c r="S3114" s="2" t="s">
        <v>30</v>
      </c>
    </row>
    <row r="3115" spans="1:19">
      <c r="A3115" s="1">
        <v>45413</v>
      </c>
      <c r="B3115" s="1">
        <v>45413</v>
      </c>
      <c r="C3115">
        <v>2024</v>
      </c>
      <c r="D3115">
        <v>5</v>
      </c>
      <c r="E3115" s="2" t="s">
        <v>244</v>
      </c>
      <c r="F3115" s="2" t="s">
        <v>245</v>
      </c>
      <c r="G3115" s="2" t="s">
        <v>21</v>
      </c>
      <c r="H3115" s="2" t="s">
        <v>22</v>
      </c>
      <c r="I3115" s="2" t="s">
        <v>23</v>
      </c>
      <c r="J3115" s="2" t="s">
        <v>24</v>
      </c>
      <c r="K3115">
        <v>7467.75</v>
      </c>
      <c r="L3115">
        <v>3457994.85</v>
      </c>
      <c r="M3115">
        <v>46305.71</v>
      </c>
      <c r="N3115" s="2" t="s">
        <v>246</v>
      </c>
      <c r="O3115" s="2" t="s">
        <v>247</v>
      </c>
      <c r="P3115" s="2" t="s">
        <v>5530</v>
      </c>
      <c r="Q3115" s="2" t="s">
        <v>5531</v>
      </c>
      <c r="R3115" s="2" t="s">
        <v>29</v>
      </c>
      <c r="S3115" s="2" t="s">
        <v>30</v>
      </c>
    </row>
    <row r="3116" spans="1:19">
      <c r="A3116" s="1">
        <v>45413</v>
      </c>
      <c r="B3116" s="1">
        <v>45413</v>
      </c>
      <c r="C3116">
        <v>2024</v>
      </c>
      <c r="D3116">
        <v>5</v>
      </c>
      <c r="E3116" s="2" t="s">
        <v>250</v>
      </c>
      <c r="F3116" s="2" t="s">
        <v>251</v>
      </c>
      <c r="G3116" s="2" t="s">
        <v>21</v>
      </c>
      <c r="H3116" s="2" t="s">
        <v>22</v>
      </c>
      <c r="I3116" s="2" t="s">
        <v>66</v>
      </c>
      <c r="J3116" s="2" t="s">
        <v>24</v>
      </c>
      <c r="K3116">
        <v>140.11000000000001</v>
      </c>
      <c r="L3116">
        <v>224.76</v>
      </c>
      <c r="M3116">
        <v>160.41999999999999</v>
      </c>
      <c r="N3116" s="2" t="s">
        <v>252</v>
      </c>
      <c r="O3116" s="2" t="s">
        <v>253</v>
      </c>
      <c r="P3116" s="2" t="s">
        <v>5532</v>
      </c>
      <c r="Q3116" s="2" t="s">
        <v>5533</v>
      </c>
      <c r="R3116" s="2" t="s">
        <v>29</v>
      </c>
      <c r="S3116" s="2" t="s">
        <v>30</v>
      </c>
    </row>
    <row r="3117" spans="1:19">
      <c r="A3117" s="1">
        <v>45413</v>
      </c>
      <c r="B3117" s="1">
        <v>45413</v>
      </c>
      <c r="C3117">
        <v>2024</v>
      </c>
      <c r="D3117">
        <v>5</v>
      </c>
      <c r="E3117" s="2" t="s">
        <v>256</v>
      </c>
      <c r="F3117" s="2" t="s">
        <v>257</v>
      </c>
      <c r="G3117" s="2" t="s">
        <v>21</v>
      </c>
      <c r="H3117" s="2" t="s">
        <v>22</v>
      </c>
      <c r="I3117" s="2" t="s">
        <v>258</v>
      </c>
      <c r="J3117" s="2" t="s">
        <v>24</v>
      </c>
      <c r="K3117">
        <v>524.39</v>
      </c>
      <c r="L3117">
        <v>611518.31999999995</v>
      </c>
      <c r="M3117">
        <v>116615.18</v>
      </c>
      <c r="N3117" s="2" t="s">
        <v>259</v>
      </c>
      <c r="O3117" s="2" t="s">
        <v>260</v>
      </c>
      <c r="P3117" s="2" t="s">
        <v>5534</v>
      </c>
      <c r="Q3117" s="2" t="s">
        <v>5535</v>
      </c>
      <c r="R3117" s="2" t="s">
        <v>29</v>
      </c>
      <c r="S3117" s="2" t="s">
        <v>30</v>
      </c>
    </row>
    <row r="3118" spans="1:19">
      <c r="A3118" s="1">
        <v>45413</v>
      </c>
      <c r="B3118" s="1">
        <v>45413</v>
      </c>
      <c r="C3118">
        <v>2024</v>
      </c>
      <c r="D3118">
        <v>5</v>
      </c>
      <c r="E3118" s="2" t="s">
        <v>263</v>
      </c>
      <c r="F3118" s="2" t="s">
        <v>264</v>
      </c>
      <c r="G3118" s="2" t="s">
        <v>21</v>
      </c>
      <c r="H3118" s="2" t="s">
        <v>22</v>
      </c>
      <c r="I3118" s="2" t="s">
        <v>258</v>
      </c>
      <c r="J3118" s="2" t="s">
        <v>24</v>
      </c>
      <c r="K3118">
        <v>0</v>
      </c>
      <c r="L3118">
        <v>0</v>
      </c>
      <c r="N3118" s="2" t="s">
        <v>265</v>
      </c>
      <c r="O3118" s="2" t="s">
        <v>266</v>
      </c>
      <c r="P3118" s="2" t="s">
        <v>639</v>
      </c>
      <c r="Q3118" s="2" t="s">
        <v>639</v>
      </c>
      <c r="R3118" s="2" t="s">
        <v>29</v>
      </c>
      <c r="S3118" s="2" t="s">
        <v>30</v>
      </c>
    </row>
    <row r="3119" spans="1:19">
      <c r="A3119" s="1">
        <v>45413</v>
      </c>
      <c r="B3119" s="1">
        <v>45413</v>
      </c>
      <c r="C3119">
        <v>2024</v>
      </c>
      <c r="D3119">
        <v>5</v>
      </c>
      <c r="E3119" s="2" t="s">
        <v>269</v>
      </c>
      <c r="F3119" s="2" t="s">
        <v>270</v>
      </c>
      <c r="G3119" s="2" t="s">
        <v>21</v>
      </c>
      <c r="H3119" s="2" t="s">
        <v>22</v>
      </c>
      <c r="I3119" s="2" t="s">
        <v>258</v>
      </c>
      <c r="J3119" s="2" t="s">
        <v>59</v>
      </c>
      <c r="K3119">
        <v>524.39</v>
      </c>
      <c r="L3119">
        <v>611518.31999999995</v>
      </c>
      <c r="M3119">
        <v>116615.18</v>
      </c>
      <c r="N3119" s="2" t="s">
        <v>271</v>
      </c>
      <c r="O3119" s="2" t="s">
        <v>272</v>
      </c>
      <c r="P3119" s="2" t="s">
        <v>5534</v>
      </c>
      <c r="Q3119" s="2" t="s">
        <v>5535</v>
      </c>
      <c r="R3119" s="2" t="s">
        <v>29</v>
      </c>
      <c r="S3119" s="2" t="s">
        <v>30</v>
      </c>
    </row>
    <row r="3120" spans="1:19">
      <c r="A3120" s="1">
        <v>45413</v>
      </c>
      <c r="B3120" s="1">
        <v>45413</v>
      </c>
      <c r="C3120">
        <v>2024</v>
      </c>
      <c r="D3120">
        <v>5</v>
      </c>
      <c r="E3120" s="2" t="s">
        <v>275</v>
      </c>
      <c r="F3120" s="2" t="s">
        <v>276</v>
      </c>
      <c r="G3120" s="2" t="s">
        <v>39</v>
      </c>
      <c r="H3120" s="2" t="s">
        <v>22</v>
      </c>
      <c r="I3120" s="2" t="s">
        <v>40</v>
      </c>
      <c r="J3120" s="2" t="s">
        <v>24</v>
      </c>
      <c r="K3120">
        <v>0.31</v>
      </c>
      <c r="L3120">
        <v>3.02</v>
      </c>
      <c r="M3120">
        <v>974.19</v>
      </c>
      <c r="N3120" s="2" t="s">
        <v>277</v>
      </c>
      <c r="O3120" s="2" t="s">
        <v>278</v>
      </c>
      <c r="P3120" s="2" t="s">
        <v>2811</v>
      </c>
      <c r="Q3120" s="2" t="s">
        <v>5536</v>
      </c>
      <c r="R3120" s="2" t="s">
        <v>29</v>
      </c>
      <c r="S3120" s="2" t="s">
        <v>30</v>
      </c>
    </row>
    <row r="3121" spans="1:19">
      <c r="A3121" s="1">
        <v>45413</v>
      </c>
      <c r="B3121" s="1">
        <v>45413</v>
      </c>
      <c r="C3121">
        <v>2024</v>
      </c>
      <c r="D3121">
        <v>5</v>
      </c>
      <c r="E3121" s="2" t="s">
        <v>281</v>
      </c>
      <c r="F3121" s="2" t="s">
        <v>282</v>
      </c>
      <c r="G3121" s="2" t="s">
        <v>39</v>
      </c>
      <c r="H3121" s="2" t="s">
        <v>22</v>
      </c>
      <c r="I3121" s="2" t="s">
        <v>40</v>
      </c>
      <c r="J3121" s="2" t="s">
        <v>24</v>
      </c>
      <c r="K3121">
        <v>0.02</v>
      </c>
      <c r="L3121">
        <v>0.14000000000000001</v>
      </c>
      <c r="M3121">
        <v>700</v>
      </c>
      <c r="N3121" s="2" t="s">
        <v>283</v>
      </c>
      <c r="O3121" s="2" t="s">
        <v>284</v>
      </c>
      <c r="P3121" s="2" t="s">
        <v>1039</v>
      </c>
      <c r="Q3121" s="2" t="s">
        <v>1187</v>
      </c>
      <c r="R3121" s="2" t="s">
        <v>29</v>
      </c>
      <c r="S3121" s="2" t="s">
        <v>30</v>
      </c>
    </row>
    <row r="3122" spans="1:19">
      <c r="A3122" s="1">
        <v>45413</v>
      </c>
      <c r="B3122" s="1">
        <v>45413</v>
      </c>
      <c r="C3122">
        <v>2024</v>
      </c>
      <c r="D3122">
        <v>5</v>
      </c>
      <c r="E3122" s="2" t="s">
        <v>287</v>
      </c>
      <c r="F3122" s="2" t="s">
        <v>288</v>
      </c>
      <c r="G3122" s="2" t="s">
        <v>39</v>
      </c>
      <c r="H3122" s="2" t="s">
        <v>22</v>
      </c>
      <c r="I3122" s="2" t="s">
        <v>40</v>
      </c>
      <c r="J3122" s="2" t="s">
        <v>59</v>
      </c>
      <c r="K3122">
        <v>0.33</v>
      </c>
      <c r="L3122">
        <v>3.16</v>
      </c>
      <c r="M3122">
        <v>957.58</v>
      </c>
      <c r="N3122" s="2" t="s">
        <v>289</v>
      </c>
      <c r="O3122" s="2" t="s">
        <v>290</v>
      </c>
      <c r="P3122" s="2" t="s">
        <v>773</v>
      </c>
      <c r="Q3122" s="2" t="s">
        <v>5537</v>
      </c>
      <c r="R3122" s="2" t="s">
        <v>29</v>
      </c>
      <c r="S3122" s="2" t="s">
        <v>30</v>
      </c>
    </row>
    <row r="3123" spans="1:19">
      <c r="A3123" s="1">
        <v>45413</v>
      </c>
      <c r="B3123" s="1">
        <v>45413</v>
      </c>
      <c r="C3123">
        <v>2024</v>
      </c>
      <c r="D3123">
        <v>5</v>
      </c>
      <c r="E3123" s="2" t="s">
        <v>293</v>
      </c>
      <c r="F3123" s="2" t="s">
        <v>294</v>
      </c>
      <c r="G3123" s="2" t="s">
        <v>21</v>
      </c>
      <c r="H3123" s="2" t="s">
        <v>22</v>
      </c>
      <c r="I3123" s="2" t="s">
        <v>295</v>
      </c>
      <c r="J3123" s="2" t="s">
        <v>24</v>
      </c>
      <c r="K3123">
        <v>601.57000000000005</v>
      </c>
      <c r="L3123">
        <v>4103.8599999999997</v>
      </c>
      <c r="M3123">
        <v>682.19</v>
      </c>
      <c r="N3123" s="2" t="s">
        <v>296</v>
      </c>
      <c r="O3123" s="2" t="s">
        <v>297</v>
      </c>
      <c r="P3123" s="2" t="s">
        <v>5538</v>
      </c>
      <c r="Q3123" s="2" t="s">
        <v>5539</v>
      </c>
      <c r="R3123" s="2" t="s">
        <v>29</v>
      </c>
      <c r="S3123" s="2" t="s">
        <v>30</v>
      </c>
    </row>
    <row r="3124" spans="1:19">
      <c r="A3124" s="1">
        <v>45413</v>
      </c>
      <c r="B3124" s="1">
        <v>45413</v>
      </c>
      <c r="C3124">
        <v>2024</v>
      </c>
      <c r="D3124">
        <v>5</v>
      </c>
      <c r="E3124" s="2" t="s">
        <v>300</v>
      </c>
      <c r="F3124" s="2" t="s">
        <v>301</v>
      </c>
      <c r="G3124" s="2" t="s">
        <v>21</v>
      </c>
      <c r="H3124" s="2" t="s">
        <v>22</v>
      </c>
      <c r="I3124" s="2" t="s">
        <v>295</v>
      </c>
      <c r="J3124" s="2" t="s">
        <v>24</v>
      </c>
      <c r="K3124">
        <v>689.94</v>
      </c>
      <c r="L3124">
        <v>1026.8499999999999</v>
      </c>
      <c r="M3124">
        <v>148.83000000000001</v>
      </c>
      <c r="N3124" s="2" t="s">
        <v>302</v>
      </c>
      <c r="O3124" s="2" t="s">
        <v>303</v>
      </c>
      <c r="P3124" s="2" t="s">
        <v>5540</v>
      </c>
      <c r="Q3124" s="2" t="s">
        <v>5541</v>
      </c>
      <c r="R3124" s="2" t="s">
        <v>29</v>
      </c>
      <c r="S3124" s="2" t="s">
        <v>30</v>
      </c>
    </row>
    <row r="3125" spans="1:19">
      <c r="A3125" s="1">
        <v>45413</v>
      </c>
      <c r="B3125" s="1">
        <v>45413</v>
      </c>
      <c r="C3125">
        <v>2024</v>
      </c>
      <c r="D3125">
        <v>5</v>
      </c>
      <c r="E3125" s="2" t="s">
        <v>306</v>
      </c>
      <c r="F3125" s="2" t="s">
        <v>307</v>
      </c>
      <c r="G3125" s="2" t="s">
        <v>21</v>
      </c>
      <c r="H3125" s="2" t="s">
        <v>22</v>
      </c>
      <c r="I3125" s="2" t="s">
        <v>295</v>
      </c>
      <c r="J3125" s="2" t="s">
        <v>101</v>
      </c>
      <c r="K3125">
        <v>1291.51</v>
      </c>
      <c r="L3125">
        <v>5130.71</v>
      </c>
      <c r="M3125">
        <v>397.26</v>
      </c>
      <c r="N3125" s="2" t="s">
        <v>308</v>
      </c>
      <c r="O3125" s="2" t="s">
        <v>309</v>
      </c>
      <c r="P3125" s="2" t="s">
        <v>5542</v>
      </c>
      <c r="Q3125" s="2" t="s">
        <v>5543</v>
      </c>
      <c r="R3125" s="2" t="s">
        <v>29</v>
      </c>
      <c r="S3125" s="2" t="s">
        <v>30</v>
      </c>
    </row>
    <row r="3126" spans="1:19">
      <c r="A3126" s="1">
        <v>45413</v>
      </c>
      <c r="B3126" s="1">
        <v>45413</v>
      </c>
      <c r="C3126">
        <v>2024</v>
      </c>
      <c r="D3126">
        <v>5</v>
      </c>
      <c r="E3126" s="2" t="s">
        <v>312</v>
      </c>
      <c r="F3126" s="2" t="s">
        <v>313</v>
      </c>
      <c r="G3126" s="2" t="s">
        <v>21</v>
      </c>
      <c r="H3126" s="2" t="s">
        <v>22</v>
      </c>
      <c r="I3126" s="2" t="s">
        <v>295</v>
      </c>
      <c r="J3126" s="2" t="s">
        <v>59</v>
      </c>
      <c r="K3126">
        <v>5496</v>
      </c>
      <c r="L3126">
        <v>16696.89</v>
      </c>
      <c r="M3126">
        <v>303.8</v>
      </c>
      <c r="N3126" s="2" t="s">
        <v>314</v>
      </c>
      <c r="O3126" s="2" t="s">
        <v>315</v>
      </c>
      <c r="P3126" s="2" t="s">
        <v>5544</v>
      </c>
      <c r="Q3126" s="2" t="s">
        <v>5545</v>
      </c>
      <c r="R3126" s="2" t="s">
        <v>29</v>
      </c>
      <c r="S3126" s="2" t="s">
        <v>30</v>
      </c>
    </row>
    <row r="3127" spans="1:19">
      <c r="A3127" s="1">
        <v>45413</v>
      </c>
      <c r="B3127" s="1">
        <v>45413</v>
      </c>
      <c r="C3127">
        <v>2024</v>
      </c>
      <c r="D3127">
        <v>5</v>
      </c>
      <c r="E3127" s="2" t="s">
        <v>318</v>
      </c>
      <c r="F3127" s="2" t="s">
        <v>319</v>
      </c>
      <c r="G3127" s="2" t="s">
        <v>21</v>
      </c>
      <c r="H3127" s="2" t="s">
        <v>22</v>
      </c>
      <c r="I3127" s="2" t="s">
        <v>295</v>
      </c>
      <c r="J3127" s="2" t="s">
        <v>24</v>
      </c>
      <c r="K3127">
        <v>4204.49</v>
      </c>
      <c r="L3127">
        <v>11566.18</v>
      </c>
      <c r="M3127">
        <v>275.08999999999997</v>
      </c>
      <c r="N3127" s="2" t="s">
        <v>320</v>
      </c>
      <c r="O3127" s="2" t="s">
        <v>321</v>
      </c>
      <c r="P3127" s="2" t="s">
        <v>5546</v>
      </c>
      <c r="Q3127" s="2" t="s">
        <v>5547</v>
      </c>
      <c r="R3127" s="2" t="s">
        <v>29</v>
      </c>
      <c r="S3127" s="2" t="s">
        <v>30</v>
      </c>
    </row>
    <row r="3128" spans="1:19">
      <c r="A3128" s="1">
        <v>45413</v>
      </c>
      <c r="B3128" s="1">
        <v>45413</v>
      </c>
      <c r="C3128">
        <v>2024</v>
      </c>
      <c r="D3128">
        <v>5</v>
      </c>
      <c r="E3128" s="2" t="s">
        <v>324</v>
      </c>
      <c r="F3128" s="2" t="s">
        <v>325</v>
      </c>
      <c r="G3128" s="2" t="s">
        <v>21</v>
      </c>
      <c r="H3128" s="2" t="s">
        <v>22</v>
      </c>
      <c r="I3128" s="2" t="s">
        <v>23</v>
      </c>
      <c r="J3128" s="2" t="s">
        <v>59</v>
      </c>
      <c r="K3128">
        <v>156773.59</v>
      </c>
      <c r="L3128">
        <v>6279018.54</v>
      </c>
      <c r="M3128">
        <v>4005.15</v>
      </c>
      <c r="N3128" s="2" t="s">
        <v>326</v>
      </c>
      <c r="O3128" s="2" t="s">
        <v>327</v>
      </c>
      <c r="P3128" s="2" t="s">
        <v>5548</v>
      </c>
      <c r="Q3128" s="2" t="s">
        <v>5549</v>
      </c>
      <c r="R3128" s="2" t="s">
        <v>29</v>
      </c>
      <c r="S3128" s="2" t="s">
        <v>30</v>
      </c>
    </row>
    <row r="3129" spans="1:19">
      <c r="A3129" s="1">
        <v>45413</v>
      </c>
      <c r="B3129" s="1">
        <v>45413</v>
      </c>
      <c r="C3129">
        <v>2024</v>
      </c>
      <c r="D3129">
        <v>5</v>
      </c>
      <c r="E3129" s="2" t="s">
        <v>330</v>
      </c>
      <c r="F3129" s="2" t="s">
        <v>331</v>
      </c>
      <c r="G3129" s="2" t="s">
        <v>21</v>
      </c>
      <c r="H3129" s="2" t="s">
        <v>332</v>
      </c>
      <c r="I3129" s="2" t="s">
        <v>333</v>
      </c>
      <c r="J3129" s="2" t="s">
        <v>24</v>
      </c>
      <c r="K3129">
        <v>248.49</v>
      </c>
      <c r="L3129">
        <v>13559606.439999999</v>
      </c>
      <c r="M3129">
        <v>5456801.6600000001</v>
      </c>
      <c r="N3129" s="2" t="s">
        <v>334</v>
      </c>
      <c r="O3129" s="2" t="s">
        <v>335</v>
      </c>
      <c r="P3129" s="2" t="s">
        <v>5550</v>
      </c>
      <c r="Q3129" s="2" t="s">
        <v>5551</v>
      </c>
      <c r="R3129" s="2" t="s">
        <v>29</v>
      </c>
      <c r="S3129" s="2" t="s">
        <v>30</v>
      </c>
    </row>
    <row r="3130" spans="1:19">
      <c r="A3130" s="1">
        <v>45413</v>
      </c>
      <c r="B3130" s="1">
        <v>45413</v>
      </c>
      <c r="C3130">
        <v>2024</v>
      </c>
      <c r="D3130">
        <v>5</v>
      </c>
      <c r="E3130" s="2" t="s">
        <v>338</v>
      </c>
      <c r="F3130" s="2" t="s">
        <v>339</v>
      </c>
      <c r="G3130" s="2" t="s">
        <v>21</v>
      </c>
      <c r="H3130" s="2" t="s">
        <v>332</v>
      </c>
      <c r="I3130" s="2" t="s">
        <v>333</v>
      </c>
      <c r="J3130" s="2" t="s">
        <v>24</v>
      </c>
      <c r="K3130">
        <v>1.22</v>
      </c>
      <c r="L3130">
        <v>1627340.19</v>
      </c>
      <c r="M3130">
        <v>133388540.16</v>
      </c>
      <c r="N3130" s="2" t="s">
        <v>340</v>
      </c>
      <c r="O3130" s="2" t="s">
        <v>341</v>
      </c>
      <c r="P3130" s="2" t="s">
        <v>1140</v>
      </c>
      <c r="Q3130" s="2" t="s">
        <v>5552</v>
      </c>
      <c r="R3130" s="2" t="s">
        <v>29</v>
      </c>
      <c r="S3130" s="2" t="s">
        <v>30</v>
      </c>
    </row>
    <row r="3131" spans="1:19">
      <c r="A3131" s="1">
        <v>45413</v>
      </c>
      <c r="B3131" s="1">
        <v>45413</v>
      </c>
      <c r="C3131">
        <v>2024</v>
      </c>
      <c r="D3131">
        <v>5</v>
      </c>
      <c r="E3131" s="2" t="s">
        <v>344</v>
      </c>
      <c r="F3131" s="2" t="s">
        <v>345</v>
      </c>
      <c r="G3131" s="2" t="s">
        <v>21</v>
      </c>
      <c r="H3131" s="2" t="s">
        <v>332</v>
      </c>
      <c r="I3131" s="2" t="s">
        <v>333</v>
      </c>
      <c r="J3131" s="2" t="s">
        <v>59</v>
      </c>
      <c r="K3131">
        <v>249.71</v>
      </c>
      <c r="L3131">
        <v>15186946.630000001</v>
      </c>
      <c r="M3131">
        <v>6081833.5800000001</v>
      </c>
      <c r="N3131" s="2" t="s">
        <v>346</v>
      </c>
      <c r="O3131" s="2" t="s">
        <v>347</v>
      </c>
      <c r="P3131" s="2" t="s">
        <v>5553</v>
      </c>
      <c r="Q3131" s="2" t="s">
        <v>5554</v>
      </c>
      <c r="R3131" s="2" t="s">
        <v>29</v>
      </c>
      <c r="S3131" s="2" t="s">
        <v>30</v>
      </c>
    </row>
    <row r="3132" spans="1:19">
      <c r="A3132" s="1">
        <v>45413</v>
      </c>
      <c r="B3132" s="1">
        <v>45413</v>
      </c>
      <c r="C3132">
        <v>2024</v>
      </c>
      <c r="D3132">
        <v>5</v>
      </c>
      <c r="E3132" s="2" t="s">
        <v>350</v>
      </c>
      <c r="F3132" s="2" t="s">
        <v>351</v>
      </c>
      <c r="G3132" s="2" t="s">
        <v>21</v>
      </c>
      <c r="H3132" s="2" t="s">
        <v>22</v>
      </c>
      <c r="I3132" s="2" t="s">
        <v>352</v>
      </c>
      <c r="J3132" s="2" t="s">
        <v>353</v>
      </c>
      <c r="K3132">
        <v>169323.14</v>
      </c>
      <c r="L3132">
        <v>21858217.780000001</v>
      </c>
      <c r="M3132">
        <v>12909.17</v>
      </c>
      <c r="N3132" s="2" t="s">
        <v>354</v>
      </c>
      <c r="O3132" s="2" t="s">
        <v>355</v>
      </c>
      <c r="P3132" s="2" t="s">
        <v>5555</v>
      </c>
      <c r="Q3132" s="2" t="s">
        <v>5556</v>
      </c>
      <c r="R3132" s="2" t="s">
        <v>29</v>
      </c>
      <c r="S3132" s="2" t="s">
        <v>30</v>
      </c>
    </row>
    <row r="3133" spans="1:19">
      <c r="A3133" s="1">
        <v>45413</v>
      </c>
      <c r="B3133" s="1">
        <v>45413</v>
      </c>
      <c r="C3133">
        <v>2024</v>
      </c>
      <c r="D3133">
        <v>5</v>
      </c>
      <c r="E3133" s="2" t="s">
        <v>358</v>
      </c>
      <c r="F3133" s="2" t="s">
        <v>359</v>
      </c>
      <c r="G3133" s="2" t="s">
        <v>21</v>
      </c>
      <c r="H3133" s="2" t="s">
        <v>22</v>
      </c>
      <c r="I3133" s="2" t="s">
        <v>352</v>
      </c>
      <c r="J3133" s="2" t="s">
        <v>353</v>
      </c>
      <c r="K3133">
        <v>169847.53</v>
      </c>
      <c r="L3133">
        <v>22469736.100000001</v>
      </c>
      <c r="M3133">
        <v>13229.36</v>
      </c>
      <c r="N3133" s="2" t="s">
        <v>360</v>
      </c>
      <c r="O3133" s="2" t="s">
        <v>361</v>
      </c>
      <c r="P3133" s="2" t="s">
        <v>5557</v>
      </c>
      <c r="Q3133" s="2" t="s">
        <v>5558</v>
      </c>
      <c r="R3133" s="2" t="s">
        <v>29</v>
      </c>
      <c r="S3133" s="2" t="s">
        <v>30</v>
      </c>
    </row>
    <row r="3134" spans="1:19">
      <c r="A3134" s="1">
        <v>45413</v>
      </c>
      <c r="B3134" s="1">
        <v>45413</v>
      </c>
      <c r="C3134">
        <v>2024</v>
      </c>
      <c r="D3134">
        <v>5</v>
      </c>
      <c r="E3134" s="2" t="s">
        <v>364</v>
      </c>
      <c r="F3134" s="2" t="s">
        <v>365</v>
      </c>
      <c r="G3134" s="2" t="s">
        <v>21</v>
      </c>
      <c r="H3134" s="2" t="s">
        <v>22</v>
      </c>
      <c r="I3134" s="2" t="s">
        <v>352</v>
      </c>
      <c r="J3134" s="2" t="s">
        <v>353</v>
      </c>
      <c r="K3134">
        <v>169597.82</v>
      </c>
      <c r="L3134">
        <v>7282789.4699999997</v>
      </c>
      <c r="M3134">
        <v>4294.1499999999996</v>
      </c>
      <c r="N3134" s="2" t="s">
        <v>366</v>
      </c>
      <c r="O3134" s="2" t="s">
        <v>367</v>
      </c>
      <c r="P3134" s="2" t="s">
        <v>5559</v>
      </c>
      <c r="Q3134" s="2" t="s">
        <v>5560</v>
      </c>
      <c r="R3134" s="2" t="s">
        <v>29</v>
      </c>
      <c r="S3134" s="2" t="s">
        <v>30</v>
      </c>
    </row>
    <row r="3135" spans="1:19">
      <c r="A3135" s="1">
        <v>45413</v>
      </c>
      <c r="B3135" s="1">
        <v>45413</v>
      </c>
      <c r="C3135">
        <v>2024</v>
      </c>
      <c r="D3135">
        <v>5</v>
      </c>
      <c r="E3135" s="2" t="s">
        <v>370</v>
      </c>
      <c r="F3135" s="2" t="s">
        <v>371</v>
      </c>
      <c r="G3135" s="2" t="s">
        <v>21</v>
      </c>
      <c r="H3135" s="2" t="s">
        <v>22</v>
      </c>
      <c r="I3135" s="2" t="s">
        <v>23</v>
      </c>
      <c r="J3135" s="2" t="s">
        <v>24</v>
      </c>
      <c r="K3135">
        <v>140358.43</v>
      </c>
      <c r="L3135">
        <v>2044937.05</v>
      </c>
      <c r="M3135">
        <v>1456.94</v>
      </c>
      <c r="N3135" s="2" t="s">
        <v>372</v>
      </c>
      <c r="O3135" s="2" t="s">
        <v>373</v>
      </c>
      <c r="P3135" s="2" t="s">
        <v>5561</v>
      </c>
      <c r="Q3135" s="2" t="s">
        <v>5562</v>
      </c>
      <c r="R3135" s="2" t="s">
        <v>29</v>
      </c>
      <c r="S3135" s="2" t="s">
        <v>30</v>
      </c>
    </row>
    <row r="3136" spans="1:19">
      <c r="A3136" s="1">
        <v>45413</v>
      </c>
      <c r="B3136" s="1">
        <v>45413</v>
      </c>
      <c r="C3136">
        <v>2024</v>
      </c>
      <c r="D3136">
        <v>5</v>
      </c>
      <c r="E3136" s="2" t="s">
        <v>376</v>
      </c>
      <c r="F3136" s="2" t="s">
        <v>377</v>
      </c>
      <c r="G3136" s="2" t="s">
        <v>21</v>
      </c>
      <c r="H3136" s="2" t="s">
        <v>22</v>
      </c>
      <c r="I3136" s="2" t="s">
        <v>23</v>
      </c>
      <c r="J3136" s="2" t="s">
        <v>378</v>
      </c>
      <c r="K3136">
        <v>1.62</v>
      </c>
      <c r="L3136">
        <v>16.61</v>
      </c>
      <c r="M3136">
        <v>1025.31</v>
      </c>
      <c r="N3136" s="2" t="s">
        <v>379</v>
      </c>
      <c r="O3136" s="2" t="s">
        <v>380</v>
      </c>
      <c r="P3136" s="2" t="s">
        <v>3545</v>
      </c>
      <c r="Q3136" s="2" t="s">
        <v>5563</v>
      </c>
      <c r="R3136" s="2" t="s">
        <v>29</v>
      </c>
      <c r="S3136" s="2" t="s">
        <v>30</v>
      </c>
    </row>
    <row r="3137" spans="1:19">
      <c r="A3137" s="1">
        <v>45444</v>
      </c>
      <c r="B3137" s="1">
        <v>45444</v>
      </c>
      <c r="C3137">
        <v>2024</v>
      </c>
      <c r="D3137">
        <v>6</v>
      </c>
      <c r="E3137" s="2" t="s">
        <v>19</v>
      </c>
      <c r="F3137" s="2" t="s">
        <v>20</v>
      </c>
      <c r="G3137" s="2" t="s">
        <v>21</v>
      </c>
      <c r="H3137" s="2" t="s">
        <v>22</v>
      </c>
      <c r="I3137" s="2" t="s">
        <v>23</v>
      </c>
      <c r="J3137" s="2" t="s">
        <v>24</v>
      </c>
      <c r="K3137">
        <v>0.3</v>
      </c>
      <c r="L3137">
        <v>15.97</v>
      </c>
      <c r="M3137">
        <v>5323.33</v>
      </c>
      <c r="N3137" s="2" t="s">
        <v>25</v>
      </c>
      <c r="O3137" s="2" t="s">
        <v>26</v>
      </c>
      <c r="P3137" s="2" t="s">
        <v>2807</v>
      </c>
      <c r="Q3137" s="2" t="s">
        <v>5564</v>
      </c>
      <c r="R3137" s="2" t="s">
        <v>29</v>
      </c>
      <c r="S3137" s="2" t="s">
        <v>30</v>
      </c>
    </row>
    <row r="3138" spans="1:19">
      <c r="A3138" s="1">
        <v>45444</v>
      </c>
      <c r="B3138" s="1">
        <v>45444</v>
      </c>
      <c r="C3138">
        <v>2024</v>
      </c>
      <c r="D3138">
        <v>6</v>
      </c>
      <c r="E3138" s="2" t="s">
        <v>31</v>
      </c>
      <c r="F3138" s="2" t="s">
        <v>32</v>
      </c>
      <c r="G3138" s="2" t="s">
        <v>21</v>
      </c>
      <c r="H3138" s="2" t="s">
        <v>22</v>
      </c>
      <c r="I3138" s="2" t="s">
        <v>23</v>
      </c>
      <c r="J3138" s="2" t="s">
        <v>24</v>
      </c>
      <c r="K3138">
        <v>2929.34</v>
      </c>
      <c r="L3138">
        <v>43676.43</v>
      </c>
      <c r="M3138">
        <v>1491</v>
      </c>
      <c r="N3138" s="2" t="s">
        <v>33</v>
      </c>
      <c r="O3138" s="2" t="s">
        <v>34</v>
      </c>
      <c r="P3138" s="2" t="s">
        <v>5565</v>
      </c>
      <c r="Q3138" s="2" t="s">
        <v>5566</v>
      </c>
      <c r="R3138" s="2" t="s">
        <v>29</v>
      </c>
      <c r="S3138" s="2" t="s">
        <v>30</v>
      </c>
    </row>
    <row r="3139" spans="1:19">
      <c r="A3139" s="1">
        <v>45444</v>
      </c>
      <c r="B3139" s="1">
        <v>45444</v>
      </c>
      <c r="C3139">
        <v>2024</v>
      </c>
      <c r="D3139">
        <v>6</v>
      </c>
      <c r="E3139" s="2" t="s">
        <v>37</v>
      </c>
      <c r="F3139" s="2" t="s">
        <v>38</v>
      </c>
      <c r="G3139" s="2" t="s">
        <v>39</v>
      </c>
      <c r="H3139" s="2" t="s">
        <v>22</v>
      </c>
      <c r="I3139" s="2" t="s">
        <v>40</v>
      </c>
      <c r="J3139" s="2" t="s">
        <v>24</v>
      </c>
      <c r="K3139">
        <v>8.2899999999999991</v>
      </c>
      <c r="L3139">
        <v>425.59</v>
      </c>
      <c r="M3139">
        <v>5133.78</v>
      </c>
      <c r="N3139" s="2" t="s">
        <v>41</v>
      </c>
      <c r="O3139" s="2" t="s">
        <v>42</v>
      </c>
      <c r="P3139" s="2" t="s">
        <v>4893</v>
      </c>
      <c r="Q3139" s="2" t="s">
        <v>5567</v>
      </c>
      <c r="R3139" s="2" t="s">
        <v>29</v>
      </c>
      <c r="S3139" s="2" t="s">
        <v>30</v>
      </c>
    </row>
    <row r="3140" spans="1:19">
      <c r="A3140" s="1">
        <v>45444</v>
      </c>
      <c r="B3140" s="1">
        <v>45444</v>
      </c>
      <c r="C3140">
        <v>2024</v>
      </c>
      <c r="D3140">
        <v>6</v>
      </c>
      <c r="E3140" s="2" t="s">
        <v>45</v>
      </c>
      <c r="F3140" s="2" t="s">
        <v>46</v>
      </c>
      <c r="G3140" s="2" t="s">
        <v>39</v>
      </c>
      <c r="H3140" s="2" t="s">
        <v>22</v>
      </c>
      <c r="I3140" s="2" t="s">
        <v>40</v>
      </c>
      <c r="J3140" s="2" t="s">
        <v>24</v>
      </c>
      <c r="K3140">
        <v>5045.8100000000004</v>
      </c>
      <c r="L3140">
        <v>253843.9</v>
      </c>
      <c r="M3140">
        <v>5030.79</v>
      </c>
      <c r="N3140" s="2" t="s">
        <v>47</v>
      </c>
      <c r="O3140" s="2" t="s">
        <v>48</v>
      </c>
      <c r="P3140" s="2" t="s">
        <v>5568</v>
      </c>
      <c r="Q3140" s="2" t="s">
        <v>5569</v>
      </c>
      <c r="R3140" s="2" t="s">
        <v>29</v>
      </c>
      <c r="S3140" s="2" t="s">
        <v>30</v>
      </c>
    </row>
    <row r="3141" spans="1:19">
      <c r="A3141" s="1">
        <v>45444</v>
      </c>
      <c r="B3141" s="1">
        <v>45444</v>
      </c>
      <c r="C3141">
        <v>2024</v>
      </c>
      <c r="D3141">
        <v>6</v>
      </c>
      <c r="E3141" s="2" t="s">
        <v>51</v>
      </c>
      <c r="F3141" s="2" t="s">
        <v>52</v>
      </c>
      <c r="G3141" s="2" t="s">
        <v>39</v>
      </c>
      <c r="H3141" s="2" t="s">
        <v>22</v>
      </c>
      <c r="I3141" s="2" t="s">
        <v>40</v>
      </c>
      <c r="J3141" s="2" t="s">
        <v>24</v>
      </c>
      <c r="K3141">
        <v>22.47</v>
      </c>
      <c r="L3141">
        <v>959.23</v>
      </c>
      <c r="M3141">
        <v>4268.9399999999996</v>
      </c>
      <c r="N3141" s="2" t="s">
        <v>53</v>
      </c>
      <c r="O3141" s="2" t="s">
        <v>54</v>
      </c>
      <c r="P3141" s="2" t="s">
        <v>5570</v>
      </c>
      <c r="Q3141" s="2" t="s">
        <v>5571</v>
      </c>
      <c r="R3141" s="2" t="s">
        <v>29</v>
      </c>
      <c r="S3141" s="2" t="s">
        <v>30</v>
      </c>
    </row>
    <row r="3142" spans="1:19">
      <c r="A3142" s="1">
        <v>45444</v>
      </c>
      <c r="B3142" s="1">
        <v>45444</v>
      </c>
      <c r="C3142">
        <v>2024</v>
      </c>
      <c r="D3142">
        <v>6</v>
      </c>
      <c r="E3142" s="2" t="s">
        <v>57</v>
      </c>
      <c r="F3142" s="2" t="s">
        <v>58</v>
      </c>
      <c r="G3142" s="2" t="s">
        <v>39</v>
      </c>
      <c r="H3142" s="2" t="s">
        <v>22</v>
      </c>
      <c r="I3142" s="2" t="s">
        <v>40</v>
      </c>
      <c r="J3142" s="2" t="s">
        <v>59</v>
      </c>
      <c r="K3142">
        <v>5076.57</v>
      </c>
      <c r="L3142">
        <v>255228.72</v>
      </c>
      <c r="M3142">
        <v>5027.58</v>
      </c>
      <c r="N3142" s="2" t="s">
        <v>60</v>
      </c>
      <c r="O3142" s="2" t="s">
        <v>61</v>
      </c>
      <c r="P3142" s="2" t="s">
        <v>5572</v>
      </c>
      <c r="Q3142" s="2" t="s">
        <v>5573</v>
      </c>
      <c r="R3142" s="2" t="s">
        <v>29</v>
      </c>
      <c r="S3142" s="2" t="s">
        <v>30</v>
      </c>
    </row>
    <row r="3143" spans="1:19">
      <c r="A3143" s="1">
        <v>45444</v>
      </c>
      <c r="B3143" s="1">
        <v>45444</v>
      </c>
      <c r="C3143">
        <v>2024</v>
      </c>
      <c r="D3143">
        <v>6</v>
      </c>
      <c r="E3143" s="2" t="s">
        <v>64</v>
      </c>
      <c r="F3143" s="2" t="s">
        <v>65</v>
      </c>
      <c r="G3143" s="2" t="s">
        <v>21</v>
      </c>
      <c r="H3143" s="2" t="s">
        <v>22</v>
      </c>
      <c r="I3143" s="2" t="s">
        <v>66</v>
      </c>
      <c r="J3143" s="2" t="s">
        <v>24</v>
      </c>
      <c r="K3143">
        <v>21.07</v>
      </c>
      <c r="L3143">
        <v>580.55999999999995</v>
      </c>
      <c r="M3143">
        <v>2755.39</v>
      </c>
      <c r="N3143" s="2" t="s">
        <v>67</v>
      </c>
      <c r="O3143" s="2" t="s">
        <v>68</v>
      </c>
      <c r="P3143" s="2" t="s">
        <v>5574</v>
      </c>
      <c r="Q3143" s="2" t="s">
        <v>5575</v>
      </c>
      <c r="R3143" s="2" t="s">
        <v>29</v>
      </c>
      <c r="S3143" s="2" t="s">
        <v>30</v>
      </c>
    </row>
    <row r="3144" spans="1:19">
      <c r="A3144" s="1">
        <v>45444</v>
      </c>
      <c r="B3144" s="1">
        <v>45444</v>
      </c>
      <c r="C3144">
        <v>2024</v>
      </c>
      <c r="D3144">
        <v>6</v>
      </c>
      <c r="E3144" s="2" t="s">
        <v>71</v>
      </c>
      <c r="F3144" s="2" t="s">
        <v>72</v>
      </c>
      <c r="G3144" s="2" t="s">
        <v>21</v>
      </c>
      <c r="H3144" s="2" t="s">
        <v>22</v>
      </c>
      <c r="I3144" s="2" t="s">
        <v>73</v>
      </c>
      <c r="J3144" s="2" t="s">
        <v>59</v>
      </c>
      <c r="K3144">
        <v>5003.43</v>
      </c>
      <c r="L3144">
        <v>200080.96</v>
      </c>
      <c r="M3144">
        <v>3998.88</v>
      </c>
      <c r="N3144" s="2" t="s">
        <v>74</v>
      </c>
      <c r="O3144" s="2" t="s">
        <v>75</v>
      </c>
      <c r="P3144" s="2" t="s">
        <v>5576</v>
      </c>
      <c r="Q3144" s="2" t="s">
        <v>5577</v>
      </c>
      <c r="R3144" s="2" t="s">
        <v>29</v>
      </c>
      <c r="S3144" s="2" t="s">
        <v>30</v>
      </c>
    </row>
    <row r="3145" spans="1:19">
      <c r="A3145" s="1">
        <v>45444</v>
      </c>
      <c r="B3145" s="1">
        <v>45444</v>
      </c>
      <c r="C3145">
        <v>2024</v>
      </c>
      <c r="D3145">
        <v>6</v>
      </c>
      <c r="E3145" s="2" t="s">
        <v>78</v>
      </c>
      <c r="F3145" s="2" t="s">
        <v>79</v>
      </c>
      <c r="G3145" s="2" t="s">
        <v>80</v>
      </c>
      <c r="H3145" s="2" t="s">
        <v>81</v>
      </c>
      <c r="I3145" s="2" t="s">
        <v>82</v>
      </c>
      <c r="J3145" s="2" t="s">
        <v>24</v>
      </c>
      <c r="K3145">
        <v>2.67</v>
      </c>
      <c r="L3145">
        <v>6953168.8700000001</v>
      </c>
      <c r="M3145">
        <v>260418309.74000001</v>
      </c>
      <c r="N3145" s="2" t="s">
        <v>83</v>
      </c>
      <c r="O3145" s="2" t="s">
        <v>84</v>
      </c>
      <c r="P3145" s="2" t="s">
        <v>3705</v>
      </c>
      <c r="Q3145" s="2" t="s">
        <v>5578</v>
      </c>
      <c r="R3145" s="2" t="s">
        <v>29</v>
      </c>
      <c r="S3145" s="2" t="s">
        <v>30</v>
      </c>
    </row>
    <row r="3146" spans="1:19">
      <c r="A3146" s="1">
        <v>45444</v>
      </c>
      <c r="B3146" s="1">
        <v>45444</v>
      </c>
      <c r="C3146">
        <v>2024</v>
      </c>
      <c r="D3146">
        <v>6</v>
      </c>
      <c r="E3146" s="2" t="s">
        <v>87</v>
      </c>
      <c r="F3146" s="2" t="s">
        <v>88</v>
      </c>
      <c r="G3146" s="2" t="s">
        <v>80</v>
      </c>
      <c r="H3146" s="2" t="s">
        <v>81</v>
      </c>
      <c r="I3146" s="2" t="s">
        <v>82</v>
      </c>
      <c r="J3146" s="2" t="s">
        <v>24</v>
      </c>
      <c r="K3146">
        <v>0.97</v>
      </c>
      <c r="L3146">
        <v>1372786.05</v>
      </c>
      <c r="M3146">
        <v>141524335.05000001</v>
      </c>
      <c r="N3146" s="2" t="s">
        <v>89</v>
      </c>
      <c r="O3146" s="2" t="s">
        <v>90</v>
      </c>
      <c r="P3146" s="2" t="s">
        <v>1525</v>
      </c>
      <c r="Q3146" s="2" t="s">
        <v>5579</v>
      </c>
      <c r="R3146" s="2" t="s">
        <v>29</v>
      </c>
      <c r="S3146" s="2" t="s">
        <v>30</v>
      </c>
    </row>
    <row r="3147" spans="1:19">
      <c r="A3147" s="1">
        <v>45444</v>
      </c>
      <c r="B3147" s="1">
        <v>45444</v>
      </c>
      <c r="C3147">
        <v>2024</v>
      </c>
      <c r="D3147">
        <v>6</v>
      </c>
      <c r="E3147" s="2" t="s">
        <v>93</v>
      </c>
      <c r="F3147" s="2" t="s">
        <v>94</v>
      </c>
      <c r="G3147" s="2" t="s">
        <v>80</v>
      </c>
      <c r="H3147" s="2" t="s">
        <v>81</v>
      </c>
      <c r="I3147" s="2" t="s">
        <v>82</v>
      </c>
      <c r="J3147" s="2" t="s">
        <v>24</v>
      </c>
      <c r="K3147">
        <v>0.42</v>
      </c>
      <c r="L3147">
        <v>6414226.4400000004</v>
      </c>
      <c r="M3147">
        <v>1527196771.4300001</v>
      </c>
      <c r="N3147" s="2" t="s">
        <v>95</v>
      </c>
      <c r="O3147" s="2" t="s">
        <v>96</v>
      </c>
      <c r="P3147" s="2" t="s">
        <v>1939</v>
      </c>
      <c r="Q3147" s="2" t="s">
        <v>5580</v>
      </c>
      <c r="R3147" s="2" t="s">
        <v>29</v>
      </c>
      <c r="S3147" s="2" t="s">
        <v>30</v>
      </c>
    </row>
    <row r="3148" spans="1:19">
      <c r="A3148" s="1">
        <v>45444</v>
      </c>
      <c r="B3148" s="1">
        <v>45444</v>
      </c>
      <c r="C3148">
        <v>2024</v>
      </c>
      <c r="D3148">
        <v>6</v>
      </c>
      <c r="E3148" s="2" t="s">
        <v>99</v>
      </c>
      <c r="F3148" s="2" t="s">
        <v>100</v>
      </c>
      <c r="G3148" s="2" t="s">
        <v>80</v>
      </c>
      <c r="H3148" s="2" t="s">
        <v>81</v>
      </c>
      <c r="I3148" s="2" t="s">
        <v>82</v>
      </c>
      <c r="J3148" s="2" t="s">
        <v>101</v>
      </c>
      <c r="K3148">
        <v>1.6</v>
      </c>
      <c r="L3148">
        <v>15107943.09</v>
      </c>
      <c r="M3148">
        <v>944246443.12</v>
      </c>
      <c r="N3148" s="2" t="s">
        <v>102</v>
      </c>
      <c r="O3148" s="2" t="s">
        <v>103</v>
      </c>
      <c r="P3148" s="2" t="s">
        <v>1089</v>
      </c>
      <c r="Q3148" s="2" t="s">
        <v>5581</v>
      </c>
      <c r="R3148" s="2" t="s">
        <v>29</v>
      </c>
      <c r="S3148" s="2" t="s">
        <v>30</v>
      </c>
    </row>
    <row r="3149" spans="1:19">
      <c r="A3149" s="1">
        <v>45444</v>
      </c>
      <c r="B3149" s="1">
        <v>45444</v>
      </c>
      <c r="C3149">
        <v>2024</v>
      </c>
      <c r="D3149">
        <v>6</v>
      </c>
      <c r="E3149" s="2" t="s">
        <v>106</v>
      </c>
      <c r="F3149" s="2" t="s">
        <v>107</v>
      </c>
      <c r="G3149" s="2" t="s">
        <v>80</v>
      </c>
      <c r="H3149" s="2" t="s">
        <v>81</v>
      </c>
      <c r="I3149" s="2" t="s">
        <v>82</v>
      </c>
      <c r="J3149" s="2" t="s">
        <v>24</v>
      </c>
      <c r="K3149">
        <v>0.21</v>
      </c>
      <c r="L3149">
        <v>7320930.5999999996</v>
      </c>
      <c r="M3149">
        <v>3486157428.5700002</v>
      </c>
      <c r="N3149" s="2" t="s">
        <v>108</v>
      </c>
      <c r="O3149" s="2" t="s">
        <v>109</v>
      </c>
      <c r="P3149" s="2" t="s">
        <v>403</v>
      </c>
      <c r="Q3149" s="2" t="s">
        <v>5582</v>
      </c>
      <c r="R3149" s="2" t="s">
        <v>29</v>
      </c>
      <c r="S3149" s="2" t="s">
        <v>30</v>
      </c>
    </row>
    <row r="3150" spans="1:19">
      <c r="A3150" s="1">
        <v>45444</v>
      </c>
      <c r="B3150" s="1">
        <v>45444</v>
      </c>
      <c r="C3150">
        <v>2024</v>
      </c>
      <c r="D3150">
        <v>6</v>
      </c>
      <c r="E3150" s="2" t="s">
        <v>111</v>
      </c>
      <c r="F3150" s="2" t="s">
        <v>112</v>
      </c>
      <c r="G3150" s="2" t="s">
        <v>80</v>
      </c>
      <c r="H3150" s="2" t="s">
        <v>81</v>
      </c>
      <c r="I3150" s="2" t="s">
        <v>82</v>
      </c>
      <c r="J3150" s="2" t="s">
        <v>24</v>
      </c>
      <c r="K3150">
        <v>0.09</v>
      </c>
      <c r="L3150">
        <v>518982.06</v>
      </c>
      <c r="M3150">
        <v>576646733.33000004</v>
      </c>
      <c r="N3150" s="2" t="s">
        <v>113</v>
      </c>
      <c r="O3150" s="2" t="s">
        <v>114</v>
      </c>
      <c r="P3150" s="2" t="s">
        <v>534</v>
      </c>
      <c r="Q3150" s="2" t="s">
        <v>5583</v>
      </c>
      <c r="R3150" s="2" t="s">
        <v>29</v>
      </c>
      <c r="S3150" s="2" t="s">
        <v>30</v>
      </c>
    </row>
    <row r="3151" spans="1:19">
      <c r="A3151" s="1">
        <v>45444</v>
      </c>
      <c r="B3151" s="1">
        <v>45444</v>
      </c>
      <c r="C3151">
        <v>2024</v>
      </c>
      <c r="D3151">
        <v>6</v>
      </c>
      <c r="E3151" s="2" t="s">
        <v>117</v>
      </c>
      <c r="F3151" s="2" t="s">
        <v>118</v>
      </c>
      <c r="G3151" s="2" t="s">
        <v>80</v>
      </c>
      <c r="H3151" s="2" t="s">
        <v>81</v>
      </c>
      <c r="I3151" s="2" t="s">
        <v>82</v>
      </c>
      <c r="J3151" s="2" t="s">
        <v>59</v>
      </c>
      <c r="K3151">
        <v>4.3600000000000003</v>
      </c>
      <c r="L3151">
        <v>22580094.02</v>
      </c>
      <c r="M3151">
        <v>517892064.68000001</v>
      </c>
      <c r="N3151" s="2" t="s">
        <v>119</v>
      </c>
      <c r="O3151" s="2" t="s">
        <v>120</v>
      </c>
      <c r="P3151" s="2" t="s">
        <v>1332</v>
      </c>
      <c r="Q3151" s="2" t="s">
        <v>5584</v>
      </c>
      <c r="R3151" s="2" t="s">
        <v>29</v>
      </c>
      <c r="S3151" s="2" t="s">
        <v>30</v>
      </c>
    </row>
    <row r="3152" spans="1:19">
      <c r="A3152" s="1">
        <v>45444</v>
      </c>
      <c r="B3152" s="1">
        <v>45444</v>
      </c>
      <c r="C3152">
        <v>2024</v>
      </c>
      <c r="D3152">
        <v>6</v>
      </c>
      <c r="E3152" s="2" t="s">
        <v>123</v>
      </c>
      <c r="F3152" s="2" t="s">
        <v>124</v>
      </c>
      <c r="G3152" s="2" t="s">
        <v>21</v>
      </c>
      <c r="H3152" s="2" t="s">
        <v>22</v>
      </c>
      <c r="I3152" s="2" t="s">
        <v>73</v>
      </c>
      <c r="J3152" s="2" t="s">
        <v>24</v>
      </c>
      <c r="K3152">
        <v>1684.1</v>
      </c>
      <c r="L3152">
        <v>99404.91</v>
      </c>
      <c r="M3152">
        <v>5902.55</v>
      </c>
      <c r="N3152" s="2" t="s">
        <v>125</v>
      </c>
      <c r="O3152" s="2" t="s">
        <v>126</v>
      </c>
      <c r="P3152" s="2" t="s">
        <v>5585</v>
      </c>
      <c r="Q3152" s="2" t="s">
        <v>5586</v>
      </c>
      <c r="R3152" s="2" t="s">
        <v>29</v>
      </c>
      <c r="S3152" s="2" t="s">
        <v>30</v>
      </c>
    </row>
    <row r="3153" spans="1:19">
      <c r="A3153" s="1">
        <v>45444</v>
      </c>
      <c r="B3153" s="1">
        <v>45444</v>
      </c>
      <c r="C3153">
        <v>2024</v>
      </c>
      <c r="D3153">
        <v>6</v>
      </c>
      <c r="E3153" s="2" t="s">
        <v>129</v>
      </c>
      <c r="F3153" s="2" t="s">
        <v>130</v>
      </c>
      <c r="G3153" s="2" t="s">
        <v>21</v>
      </c>
      <c r="H3153" s="2" t="s">
        <v>22</v>
      </c>
      <c r="I3153" s="2" t="s">
        <v>73</v>
      </c>
      <c r="J3153" s="2" t="s">
        <v>24</v>
      </c>
      <c r="K3153">
        <v>1895.4</v>
      </c>
      <c r="L3153">
        <v>59417.19</v>
      </c>
      <c r="M3153">
        <v>3134.81</v>
      </c>
      <c r="N3153" s="2" t="s">
        <v>131</v>
      </c>
      <c r="O3153" s="2" t="s">
        <v>132</v>
      </c>
      <c r="P3153" s="2" t="s">
        <v>5587</v>
      </c>
      <c r="Q3153" s="2" t="s">
        <v>5588</v>
      </c>
      <c r="R3153" s="2" t="s">
        <v>29</v>
      </c>
      <c r="S3153" s="2" t="s">
        <v>30</v>
      </c>
    </row>
    <row r="3154" spans="1:19">
      <c r="A3154" s="1">
        <v>45444</v>
      </c>
      <c r="B3154" s="1">
        <v>45444</v>
      </c>
      <c r="C3154">
        <v>2024</v>
      </c>
      <c r="D3154">
        <v>6</v>
      </c>
      <c r="E3154" s="2" t="s">
        <v>135</v>
      </c>
      <c r="F3154" s="2" t="s">
        <v>136</v>
      </c>
      <c r="G3154" s="2" t="s">
        <v>21</v>
      </c>
      <c r="H3154" s="2" t="s">
        <v>22</v>
      </c>
      <c r="I3154" s="2" t="s">
        <v>73</v>
      </c>
      <c r="J3154" s="2" t="s">
        <v>101</v>
      </c>
      <c r="K3154">
        <v>3579.49</v>
      </c>
      <c r="L3154">
        <v>158822.1</v>
      </c>
      <c r="M3154">
        <v>4437</v>
      </c>
      <c r="N3154" s="2" t="s">
        <v>137</v>
      </c>
      <c r="O3154" s="2" t="s">
        <v>138</v>
      </c>
      <c r="P3154" s="2" t="s">
        <v>5589</v>
      </c>
      <c r="Q3154" s="2" t="s">
        <v>5590</v>
      </c>
      <c r="R3154" s="2" t="s">
        <v>29</v>
      </c>
      <c r="S3154" s="2" t="s">
        <v>30</v>
      </c>
    </row>
    <row r="3155" spans="1:19">
      <c r="A3155" s="1">
        <v>45444</v>
      </c>
      <c r="B3155" s="1">
        <v>45444</v>
      </c>
      <c r="C3155">
        <v>2024</v>
      </c>
      <c r="D3155">
        <v>6</v>
      </c>
      <c r="E3155" s="2" t="s">
        <v>141</v>
      </c>
      <c r="F3155" s="2" t="s">
        <v>142</v>
      </c>
      <c r="G3155" s="2" t="s">
        <v>21</v>
      </c>
      <c r="H3155" s="2" t="s">
        <v>22</v>
      </c>
      <c r="I3155" s="2" t="s">
        <v>73</v>
      </c>
      <c r="J3155" s="2" t="s">
        <v>24</v>
      </c>
      <c r="K3155">
        <v>360.36</v>
      </c>
      <c r="L3155">
        <v>13629.37</v>
      </c>
      <c r="M3155">
        <v>3782.15</v>
      </c>
      <c r="N3155" s="2" t="s">
        <v>143</v>
      </c>
      <c r="O3155" s="2" t="s">
        <v>144</v>
      </c>
      <c r="P3155" s="2" t="s">
        <v>5591</v>
      </c>
      <c r="Q3155" s="2" t="s">
        <v>5592</v>
      </c>
      <c r="R3155" s="2" t="s">
        <v>29</v>
      </c>
      <c r="S3155" s="2" t="s">
        <v>30</v>
      </c>
    </row>
    <row r="3156" spans="1:19">
      <c r="A3156" s="1">
        <v>45444</v>
      </c>
      <c r="B3156" s="1">
        <v>45444</v>
      </c>
      <c r="C3156">
        <v>2024</v>
      </c>
      <c r="D3156">
        <v>6</v>
      </c>
      <c r="E3156" s="2" t="s">
        <v>147</v>
      </c>
      <c r="F3156" s="2" t="s">
        <v>148</v>
      </c>
      <c r="G3156" s="2" t="s">
        <v>21</v>
      </c>
      <c r="H3156" s="2" t="s">
        <v>22</v>
      </c>
      <c r="I3156" s="2" t="s">
        <v>73</v>
      </c>
      <c r="J3156" s="2" t="s">
        <v>24</v>
      </c>
      <c r="K3156">
        <v>1063.58</v>
      </c>
      <c r="L3156">
        <v>27629.5</v>
      </c>
      <c r="M3156">
        <v>2597.7800000000002</v>
      </c>
      <c r="N3156" s="2" t="s">
        <v>149</v>
      </c>
      <c r="O3156" s="2" t="s">
        <v>150</v>
      </c>
      <c r="P3156" s="2" t="s">
        <v>5593</v>
      </c>
      <c r="Q3156" s="2" t="s">
        <v>5594</v>
      </c>
      <c r="R3156" s="2" t="s">
        <v>29</v>
      </c>
      <c r="S3156" s="2" t="s">
        <v>30</v>
      </c>
    </row>
    <row r="3157" spans="1:19">
      <c r="A3157" s="1">
        <v>45444</v>
      </c>
      <c r="B3157" s="1">
        <v>45444</v>
      </c>
      <c r="C3157">
        <v>2024</v>
      </c>
      <c r="D3157">
        <v>6</v>
      </c>
      <c r="E3157" s="2" t="s">
        <v>153</v>
      </c>
      <c r="F3157" s="2" t="s">
        <v>154</v>
      </c>
      <c r="G3157" s="2" t="s">
        <v>21</v>
      </c>
      <c r="H3157" s="2" t="s">
        <v>22</v>
      </c>
      <c r="I3157" s="2" t="s">
        <v>73</v>
      </c>
      <c r="J3157" s="2" t="s">
        <v>101</v>
      </c>
      <c r="K3157">
        <v>1423.94</v>
      </c>
      <c r="L3157">
        <v>41258.86</v>
      </c>
      <c r="M3157">
        <v>2897.51</v>
      </c>
      <c r="N3157" s="2" t="s">
        <v>155</v>
      </c>
      <c r="O3157" s="2" t="s">
        <v>156</v>
      </c>
      <c r="P3157" s="2" t="s">
        <v>5595</v>
      </c>
      <c r="Q3157" s="2" t="s">
        <v>5596</v>
      </c>
      <c r="R3157" s="2" t="s">
        <v>29</v>
      </c>
      <c r="S3157" s="2" t="s">
        <v>30</v>
      </c>
    </row>
    <row r="3158" spans="1:19">
      <c r="A3158" s="1">
        <v>45444</v>
      </c>
      <c r="B3158" s="1">
        <v>45444</v>
      </c>
      <c r="C3158">
        <v>2024</v>
      </c>
      <c r="D3158">
        <v>6</v>
      </c>
      <c r="E3158" s="2" t="s">
        <v>159</v>
      </c>
      <c r="F3158" s="2" t="s">
        <v>160</v>
      </c>
      <c r="G3158" s="2" t="s">
        <v>21</v>
      </c>
      <c r="H3158" s="2" t="s">
        <v>22</v>
      </c>
      <c r="I3158" s="2" t="s">
        <v>66</v>
      </c>
      <c r="J3158" s="2" t="s">
        <v>59</v>
      </c>
      <c r="K3158">
        <v>1697.73</v>
      </c>
      <c r="L3158">
        <v>171468.98</v>
      </c>
      <c r="M3158">
        <v>10099.9</v>
      </c>
      <c r="N3158" s="2" t="s">
        <v>161</v>
      </c>
      <c r="O3158" s="2" t="s">
        <v>162</v>
      </c>
      <c r="P3158" s="2" t="s">
        <v>5597</v>
      </c>
      <c r="Q3158" s="2" t="s">
        <v>5598</v>
      </c>
      <c r="R3158" s="2" t="s">
        <v>29</v>
      </c>
      <c r="S3158" s="2" t="s">
        <v>30</v>
      </c>
    </row>
    <row r="3159" spans="1:19">
      <c r="A3159" s="1">
        <v>45444</v>
      </c>
      <c r="B3159" s="1">
        <v>45444</v>
      </c>
      <c r="C3159">
        <v>2024</v>
      </c>
      <c r="D3159">
        <v>6</v>
      </c>
      <c r="E3159" s="2" t="s">
        <v>165</v>
      </c>
      <c r="F3159" s="2" t="s">
        <v>166</v>
      </c>
      <c r="G3159" s="2" t="s">
        <v>21</v>
      </c>
      <c r="H3159" s="2" t="s">
        <v>22</v>
      </c>
      <c r="I3159" s="2" t="s">
        <v>23</v>
      </c>
      <c r="J3159" s="2" t="s">
        <v>24</v>
      </c>
      <c r="N3159" s="2" t="s">
        <v>167</v>
      </c>
      <c r="O3159" s="2" t="s">
        <v>168</v>
      </c>
      <c r="P3159" s="2" t="s">
        <v>175</v>
      </c>
      <c r="Q3159" s="2" t="s">
        <v>175</v>
      </c>
      <c r="R3159" s="2" t="s">
        <v>640</v>
      </c>
      <c r="S3159" s="2" t="s">
        <v>641</v>
      </c>
    </row>
    <row r="3160" spans="1:19">
      <c r="A3160" s="1">
        <v>45444</v>
      </c>
      <c r="B3160" s="1">
        <v>45444</v>
      </c>
      <c r="C3160">
        <v>2024</v>
      </c>
      <c r="D3160">
        <v>6</v>
      </c>
      <c r="E3160" s="2" t="s">
        <v>171</v>
      </c>
      <c r="F3160" s="2" t="s">
        <v>172</v>
      </c>
      <c r="G3160" s="2" t="s">
        <v>21</v>
      </c>
      <c r="H3160" s="2" t="s">
        <v>22</v>
      </c>
      <c r="I3160" s="2" t="s">
        <v>66</v>
      </c>
      <c r="J3160" s="2" t="s">
        <v>24</v>
      </c>
      <c r="N3160" s="2" t="s">
        <v>173</v>
      </c>
      <c r="O3160" s="2" t="s">
        <v>174</v>
      </c>
      <c r="P3160" s="2" t="s">
        <v>175</v>
      </c>
      <c r="Q3160" s="2" t="s">
        <v>175</v>
      </c>
      <c r="R3160" s="2" t="s">
        <v>640</v>
      </c>
      <c r="S3160" s="2" t="s">
        <v>641</v>
      </c>
    </row>
    <row r="3161" spans="1:19">
      <c r="A3161" s="1">
        <v>45444</v>
      </c>
      <c r="B3161" s="1">
        <v>45444</v>
      </c>
      <c r="C3161">
        <v>2024</v>
      </c>
      <c r="D3161">
        <v>6</v>
      </c>
      <c r="E3161" s="2" t="s">
        <v>177</v>
      </c>
      <c r="F3161" s="2" t="s">
        <v>178</v>
      </c>
      <c r="G3161" s="2" t="s">
        <v>21</v>
      </c>
      <c r="H3161" s="2" t="s">
        <v>22</v>
      </c>
      <c r="I3161" s="2" t="s">
        <v>23</v>
      </c>
      <c r="J3161" s="2" t="s">
        <v>24</v>
      </c>
      <c r="K3161">
        <v>5167.51</v>
      </c>
      <c r="L3161">
        <v>577794.24</v>
      </c>
      <c r="M3161">
        <v>11181.29</v>
      </c>
      <c r="N3161" s="2" t="s">
        <v>179</v>
      </c>
      <c r="O3161" s="2" t="s">
        <v>180</v>
      </c>
      <c r="P3161" s="2" t="s">
        <v>5599</v>
      </c>
      <c r="Q3161" s="2" t="s">
        <v>5600</v>
      </c>
      <c r="R3161" s="2" t="s">
        <v>29</v>
      </c>
      <c r="S3161" s="2" t="s">
        <v>30</v>
      </c>
    </row>
    <row r="3162" spans="1:19">
      <c r="A3162" s="1">
        <v>45444</v>
      </c>
      <c r="B3162" s="1">
        <v>45444</v>
      </c>
      <c r="C3162">
        <v>2024</v>
      </c>
      <c r="D3162">
        <v>6</v>
      </c>
      <c r="E3162" s="2" t="s">
        <v>183</v>
      </c>
      <c r="F3162" s="2" t="s">
        <v>184</v>
      </c>
      <c r="G3162" s="2" t="s">
        <v>185</v>
      </c>
      <c r="H3162" s="2" t="s">
        <v>22</v>
      </c>
      <c r="I3162" s="2" t="s">
        <v>186</v>
      </c>
      <c r="J3162" s="2" t="s">
        <v>24</v>
      </c>
      <c r="K3162">
        <v>2751.09</v>
      </c>
      <c r="L3162">
        <v>4913144.37</v>
      </c>
      <c r="M3162">
        <v>178589.01</v>
      </c>
      <c r="N3162" s="2" t="s">
        <v>187</v>
      </c>
      <c r="O3162" s="2" t="s">
        <v>188</v>
      </c>
      <c r="P3162" s="2" t="s">
        <v>5601</v>
      </c>
      <c r="Q3162" s="2" t="s">
        <v>5602</v>
      </c>
      <c r="R3162" s="2" t="s">
        <v>29</v>
      </c>
      <c r="S3162" s="2" t="s">
        <v>30</v>
      </c>
    </row>
    <row r="3163" spans="1:19">
      <c r="A3163" s="1">
        <v>45444</v>
      </c>
      <c r="B3163" s="1">
        <v>45444</v>
      </c>
      <c r="C3163">
        <v>2024</v>
      </c>
      <c r="D3163">
        <v>6</v>
      </c>
      <c r="E3163" s="2" t="s">
        <v>191</v>
      </c>
      <c r="F3163" s="2" t="s">
        <v>192</v>
      </c>
      <c r="G3163" s="2" t="s">
        <v>185</v>
      </c>
      <c r="H3163" s="2" t="s">
        <v>22</v>
      </c>
      <c r="I3163" s="2" t="s">
        <v>186</v>
      </c>
      <c r="J3163" s="2" t="s">
        <v>24</v>
      </c>
      <c r="K3163">
        <v>1029.33</v>
      </c>
      <c r="L3163">
        <v>5573973.4299999997</v>
      </c>
      <c r="M3163">
        <v>541514.72</v>
      </c>
      <c r="N3163" s="2" t="s">
        <v>193</v>
      </c>
      <c r="O3163" s="2" t="s">
        <v>194</v>
      </c>
      <c r="P3163" s="2" t="s">
        <v>5603</v>
      </c>
      <c r="Q3163" s="2" t="s">
        <v>5604</v>
      </c>
      <c r="R3163" s="2" t="s">
        <v>29</v>
      </c>
      <c r="S3163" s="2" t="s">
        <v>30</v>
      </c>
    </row>
    <row r="3164" spans="1:19">
      <c r="A3164" s="1">
        <v>45444</v>
      </c>
      <c r="B3164" s="1">
        <v>45444</v>
      </c>
      <c r="C3164">
        <v>2024</v>
      </c>
      <c r="D3164">
        <v>6</v>
      </c>
      <c r="E3164" s="2" t="s">
        <v>197</v>
      </c>
      <c r="F3164" s="2" t="s">
        <v>198</v>
      </c>
      <c r="G3164" s="2" t="s">
        <v>185</v>
      </c>
      <c r="H3164" s="2" t="s">
        <v>22</v>
      </c>
      <c r="I3164" s="2" t="s">
        <v>186</v>
      </c>
      <c r="J3164" s="2" t="s">
        <v>59</v>
      </c>
      <c r="K3164">
        <v>3780.42</v>
      </c>
      <c r="L3164">
        <v>10487117.810000001</v>
      </c>
      <c r="M3164">
        <v>277406.15999999997</v>
      </c>
      <c r="N3164" s="2" t="s">
        <v>199</v>
      </c>
      <c r="O3164" s="2" t="s">
        <v>200</v>
      </c>
      <c r="P3164" s="2" t="s">
        <v>5605</v>
      </c>
      <c r="Q3164" s="2" t="s">
        <v>5606</v>
      </c>
      <c r="R3164" s="2" t="s">
        <v>29</v>
      </c>
      <c r="S3164" s="2" t="s">
        <v>30</v>
      </c>
    </row>
    <row r="3165" spans="1:19">
      <c r="A3165" s="1">
        <v>45444</v>
      </c>
      <c r="B3165" s="1">
        <v>45444</v>
      </c>
      <c r="C3165">
        <v>2024</v>
      </c>
      <c r="D3165">
        <v>6</v>
      </c>
      <c r="E3165" s="2" t="s">
        <v>203</v>
      </c>
      <c r="F3165" s="2" t="s">
        <v>204</v>
      </c>
      <c r="G3165" s="2" t="s">
        <v>39</v>
      </c>
      <c r="H3165" s="2" t="s">
        <v>22</v>
      </c>
      <c r="I3165" s="2" t="s">
        <v>40</v>
      </c>
      <c r="J3165" s="2" t="s">
        <v>24</v>
      </c>
      <c r="K3165">
        <v>973.79</v>
      </c>
      <c r="L3165">
        <v>24426.21</v>
      </c>
      <c r="M3165">
        <v>2508.37</v>
      </c>
      <c r="N3165" s="2" t="s">
        <v>205</v>
      </c>
      <c r="O3165" s="2" t="s">
        <v>206</v>
      </c>
      <c r="P3165" s="2" t="s">
        <v>5607</v>
      </c>
      <c r="Q3165" s="2" t="s">
        <v>5608</v>
      </c>
      <c r="R3165" s="2" t="s">
        <v>29</v>
      </c>
      <c r="S3165" s="2" t="s">
        <v>30</v>
      </c>
    </row>
    <row r="3166" spans="1:19">
      <c r="A3166" s="1">
        <v>45444</v>
      </c>
      <c r="B3166" s="1">
        <v>45444</v>
      </c>
      <c r="C3166">
        <v>2024</v>
      </c>
      <c r="D3166">
        <v>6</v>
      </c>
      <c r="E3166" s="2" t="s">
        <v>209</v>
      </c>
      <c r="F3166" s="2" t="s">
        <v>210</v>
      </c>
      <c r="G3166" s="2" t="s">
        <v>39</v>
      </c>
      <c r="H3166" s="2" t="s">
        <v>22</v>
      </c>
      <c r="I3166" s="2" t="s">
        <v>40</v>
      </c>
      <c r="J3166" s="2" t="s">
        <v>59</v>
      </c>
      <c r="K3166">
        <v>973.79</v>
      </c>
      <c r="L3166">
        <v>24426.21</v>
      </c>
      <c r="M3166">
        <v>2508.37</v>
      </c>
      <c r="N3166" s="2" t="s">
        <v>211</v>
      </c>
      <c r="O3166" s="2" t="s">
        <v>212</v>
      </c>
      <c r="P3166" s="2" t="s">
        <v>5607</v>
      </c>
      <c r="Q3166" s="2" t="s">
        <v>5608</v>
      </c>
      <c r="R3166" s="2" t="s">
        <v>29</v>
      </c>
      <c r="S3166" s="2" t="s">
        <v>30</v>
      </c>
    </row>
    <row r="3167" spans="1:19">
      <c r="A3167" s="1">
        <v>45444</v>
      </c>
      <c r="B3167" s="1">
        <v>45444</v>
      </c>
      <c r="C3167">
        <v>2024</v>
      </c>
      <c r="D3167">
        <v>6</v>
      </c>
      <c r="E3167" s="2" t="s">
        <v>213</v>
      </c>
      <c r="F3167" s="2" t="s">
        <v>214</v>
      </c>
      <c r="G3167" s="2" t="s">
        <v>185</v>
      </c>
      <c r="H3167" s="2" t="s">
        <v>22</v>
      </c>
      <c r="I3167" s="2" t="s">
        <v>215</v>
      </c>
      <c r="J3167" s="2" t="s">
        <v>24</v>
      </c>
      <c r="K3167">
        <v>124061.34</v>
      </c>
      <c r="L3167">
        <v>2471927.0699999998</v>
      </c>
      <c r="M3167">
        <v>1992.5</v>
      </c>
      <c r="N3167" s="2" t="s">
        <v>216</v>
      </c>
      <c r="O3167" s="2" t="s">
        <v>217</v>
      </c>
      <c r="P3167" s="2" t="s">
        <v>5609</v>
      </c>
      <c r="Q3167" s="2" t="s">
        <v>5610</v>
      </c>
      <c r="R3167" s="2" t="s">
        <v>29</v>
      </c>
      <c r="S3167" s="2" t="s">
        <v>30</v>
      </c>
    </row>
    <row r="3168" spans="1:19">
      <c r="A3168" s="1">
        <v>45444</v>
      </c>
      <c r="B3168" s="1">
        <v>45444</v>
      </c>
      <c r="C3168">
        <v>2024</v>
      </c>
      <c r="D3168">
        <v>6</v>
      </c>
      <c r="E3168" s="2" t="s">
        <v>220</v>
      </c>
      <c r="F3168" s="2" t="s">
        <v>221</v>
      </c>
      <c r="G3168" s="2" t="s">
        <v>185</v>
      </c>
      <c r="H3168" s="2" t="s">
        <v>22</v>
      </c>
      <c r="I3168" s="2" t="s">
        <v>215</v>
      </c>
      <c r="J3168" s="2" t="s">
        <v>24</v>
      </c>
      <c r="K3168">
        <v>8784.73</v>
      </c>
      <c r="L3168">
        <v>557265.51</v>
      </c>
      <c r="M3168">
        <v>6343.57</v>
      </c>
      <c r="N3168" s="2" t="s">
        <v>222</v>
      </c>
      <c r="O3168" s="2" t="s">
        <v>223</v>
      </c>
      <c r="P3168" s="2" t="s">
        <v>5611</v>
      </c>
      <c r="Q3168" s="2" t="s">
        <v>5612</v>
      </c>
      <c r="R3168" s="2" t="s">
        <v>29</v>
      </c>
      <c r="S3168" s="2" t="s">
        <v>30</v>
      </c>
    </row>
    <row r="3169" spans="1:19">
      <c r="A3169" s="1">
        <v>45444</v>
      </c>
      <c r="B3169" s="1">
        <v>45444</v>
      </c>
      <c r="C3169">
        <v>2024</v>
      </c>
      <c r="D3169">
        <v>6</v>
      </c>
      <c r="E3169" s="2" t="s">
        <v>226</v>
      </c>
      <c r="F3169" s="2" t="s">
        <v>227</v>
      </c>
      <c r="G3169" s="2" t="s">
        <v>185</v>
      </c>
      <c r="H3169" s="2" t="s">
        <v>22</v>
      </c>
      <c r="I3169" s="2" t="s">
        <v>215</v>
      </c>
      <c r="J3169" s="2" t="s">
        <v>59</v>
      </c>
      <c r="K3169">
        <v>132846.07</v>
      </c>
      <c r="L3169">
        <v>3029192.58</v>
      </c>
      <c r="M3169">
        <v>2280.23</v>
      </c>
      <c r="N3169" s="2" t="s">
        <v>228</v>
      </c>
      <c r="O3169" s="2" t="s">
        <v>229</v>
      </c>
      <c r="P3169" s="2" t="s">
        <v>5613</v>
      </c>
      <c r="Q3169" s="2" t="s">
        <v>5614</v>
      </c>
      <c r="R3169" s="2" t="s">
        <v>29</v>
      </c>
      <c r="S3169" s="2" t="s">
        <v>30</v>
      </c>
    </row>
    <row r="3170" spans="1:19">
      <c r="A3170" s="1">
        <v>45444</v>
      </c>
      <c r="B3170" s="1">
        <v>45444</v>
      </c>
      <c r="C3170">
        <v>2024</v>
      </c>
      <c r="D3170">
        <v>6</v>
      </c>
      <c r="E3170" s="2" t="s">
        <v>232</v>
      </c>
      <c r="F3170" s="2" t="s">
        <v>233</v>
      </c>
      <c r="G3170" s="2" t="s">
        <v>21</v>
      </c>
      <c r="H3170" s="2" t="s">
        <v>22</v>
      </c>
      <c r="I3170" s="2" t="s">
        <v>23</v>
      </c>
      <c r="J3170" s="2" t="s">
        <v>24</v>
      </c>
      <c r="K3170">
        <v>1311.11</v>
      </c>
      <c r="L3170">
        <v>113888.23</v>
      </c>
      <c r="M3170">
        <v>8686.4</v>
      </c>
      <c r="N3170" s="2" t="s">
        <v>234</v>
      </c>
      <c r="O3170" s="2" t="s">
        <v>235</v>
      </c>
      <c r="P3170" s="2" t="s">
        <v>5615</v>
      </c>
      <c r="Q3170" s="2" t="s">
        <v>5616</v>
      </c>
      <c r="R3170" s="2" t="s">
        <v>29</v>
      </c>
      <c r="S3170" s="2" t="s">
        <v>30</v>
      </c>
    </row>
    <row r="3171" spans="1:19">
      <c r="A3171" s="1">
        <v>45444</v>
      </c>
      <c r="B3171" s="1">
        <v>45444</v>
      </c>
      <c r="C3171">
        <v>2024</v>
      </c>
      <c r="D3171">
        <v>6</v>
      </c>
      <c r="E3171" s="2" t="s">
        <v>238</v>
      </c>
      <c r="F3171" s="2" t="s">
        <v>239</v>
      </c>
      <c r="G3171" s="2" t="s">
        <v>21</v>
      </c>
      <c r="H3171" s="2" t="s">
        <v>22</v>
      </c>
      <c r="I3171" s="2" t="s">
        <v>66</v>
      </c>
      <c r="J3171" s="2" t="s">
        <v>24</v>
      </c>
      <c r="K3171">
        <v>1544.59</v>
      </c>
      <c r="L3171">
        <v>170756.35</v>
      </c>
      <c r="M3171">
        <v>11055.12</v>
      </c>
      <c r="N3171" s="2" t="s">
        <v>240</v>
      </c>
      <c r="O3171" s="2" t="s">
        <v>241</v>
      </c>
      <c r="P3171" s="2" t="s">
        <v>5617</v>
      </c>
      <c r="Q3171" s="2" t="s">
        <v>5618</v>
      </c>
      <c r="R3171" s="2" t="s">
        <v>29</v>
      </c>
      <c r="S3171" s="2" t="s">
        <v>30</v>
      </c>
    </row>
    <row r="3172" spans="1:19">
      <c r="A3172" s="1">
        <v>45444</v>
      </c>
      <c r="B3172" s="1">
        <v>45444</v>
      </c>
      <c r="C3172">
        <v>2024</v>
      </c>
      <c r="D3172">
        <v>6</v>
      </c>
      <c r="E3172" s="2" t="s">
        <v>244</v>
      </c>
      <c r="F3172" s="2" t="s">
        <v>245</v>
      </c>
      <c r="G3172" s="2" t="s">
        <v>21</v>
      </c>
      <c r="H3172" s="2" t="s">
        <v>22</v>
      </c>
      <c r="I3172" s="2" t="s">
        <v>23</v>
      </c>
      <c r="J3172" s="2" t="s">
        <v>24</v>
      </c>
      <c r="K3172">
        <v>7307.34</v>
      </c>
      <c r="L3172">
        <v>3331461.27</v>
      </c>
      <c r="M3172">
        <v>45590.62</v>
      </c>
      <c r="N3172" s="2" t="s">
        <v>246</v>
      </c>
      <c r="O3172" s="2" t="s">
        <v>247</v>
      </c>
      <c r="P3172" s="2" t="s">
        <v>5619</v>
      </c>
      <c r="Q3172" s="2" t="s">
        <v>5620</v>
      </c>
      <c r="R3172" s="2" t="s">
        <v>29</v>
      </c>
      <c r="S3172" s="2" t="s">
        <v>30</v>
      </c>
    </row>
    <row r="3173" spans="1:19">
      <c r="A3173" s="1">
        <v>45444</v>
      </c>
      <c r="B3173" s="1">
        <v>45444</v>
      </c>
      <c r="C3173">
        <v>2024</v>
      </c>
      <c r="D3173">
        <v>6</v>
      </c>
      <c r="E3173" s="2" t="s">
        <v>250</v>
      </c>
      <c r="F3173" s="2" t="s">
        <v>251</v>
      </c>
      <c r="G3173" s="2" t="s">
        <v>21</v>
      </c>
      <c r="H3173" s="2" t="s">
        <v>22</v>
      </c>
      <c r="I3173" s="2" t="s">
        <v>66</v>
      </c>
      <c r="J3173" s="2" t="s">
        <v>24</v>
      </c>
      <c r="K3173">
        <v>132.07</v>
      </c>
      <c r="L3173">
        <v>132.07</v>
      </c>
      <c r="M3173">
        <v>100</v>
      </c>
      <c r="N3173" s="2" t="s">
        <v>252</v>
      </c>
      <c r="O3173" s="2" t="s">
        <v>253</v>
      </c>
      <c r="P3173" s="2" t="s">
        <v>5621</v>
      </c>
      <c r="Q3173" s="2" t="s">
        <v>5621</v>
      </c>
      <c r="R3173" s="2" t="s">
        <v>29</v>
      </c>
      <c r="S3173" s="2" t="s">
        <v>30</v>
      </c>
    </row>
    <row r="3174" spans="1:19">
      <c r="A3174" s="1">
        <v>45444</v>
      </c>
      <c r="B3174" s="1">
        <v>45444</v>
      </c>
      <c r="C3174">
        <v>2024</v>
      </c>
      <c r="D3174">
        <v>6</v>
      </c>
      <c r="E3174" s="2" t="s">
        <v>256</v>
      </c>
      <c r="F3174" s="2" t="s">
        <v>257</v>
      </c>
      <c r="G3174" s="2" t="s">
        <v>21</v>
      </c>
      <c r="H3174" s="2" t="s">
        <v>22</v>
      </c>
      <c r="I3174" s="2" t="s">
        <v>258</v>
      </c>
      <c r="J3174" s="2" t="s">
        <v>24</v>
      </c>
      <c r="K3174">
        <v>484.42</v>
      </c>
      <c r="L3174">
        <v>553833.64</v>
      </c>
      <c r="M3174">
        <v>114329.23</v>
      </c>
      <c r="N3174" s="2" t="s">
        <v>259</v>
      </c>
      <c r="O3174" s="2" t="s">
        <v>260</v>
      </c>
      <c r="P3174" s="2" t="s">
        <v>5622</v>
      </c>
      <c r="Q3174" s="2" t="s">
        <v>5623</v>
      </c>
      <c r="R3174" s="2" t="s">
        <v>29</v>
      </c>
      <c r="S3174" s="2" t="s">
        <v>30</v>
      </c>
    </row>
    <row r="3175" spans="1:19">
      <c r="A3175" s="1">
        <v>45444</v>
      </c>
      <c r="B3175" s="1">
        <v>45444</v>
      </c>
      <c r="C3175">
        <v>2024</v>
      </c>
      <c r="D3175">
        <v>6</v>
      </c>
      <c r="E3175" s="2" t="s">
        <v>263</v>
      </c>
      <c r="F3175" s="2" t="s">
        <v>264</v>
      </c>
      <c r="G3175" s="2" t="s">
        <v>21</v>
      </c>
      <c r="H3175" s="2" t="s">
        <v>22</v>
      </c>
      <c r="I3175" s="2" t="s">
        <v>258</v>
      </c>
      <c r="J3175" s="2" t="s">
        <v>24</v>
      </c>
      <c r="K3175">
        <v>0</v>
      </c>
      <c r="L3175">
        <v>0</v>
      </c>
      <c r="N3175" s="2" t="s">
        <v>265</v>
      </c>
      <c r="O3175" s="2" t="s">
        <v>266</v>
      </c>
      <c r="P3175" s="2" t="s">
        <v>639</v>
      </c>
      <c r="Q3175" s="2" t="s">
        <v>639</v>
      </c>
      <c r="R3175" s="2" t="s">
        <v>29</v>
      </c>
      <c r="S3175" s="2" t="s">
        <v>30</v>
      </c>
    </row>
    <row r="3176" spans="1:19">
      <c r="A3176" s="1">
        <v>45444</v>
      </c>
      <c r="B3176" s="1">
        <v>45444</v>
      </c>
      <c r="C3176">
        <v>2024</v>
      </c>
      <c r="D3176">
        <v>6</v>
      </c>
      <c r="E3176" s="2" t="s">
        <v>269</v>
      </c>
      <c r="F3176" s="2" t="s">
        <v>270</v>
      </c>
      <c r="G3176" s="2" t="s">
        <v>21</v>
      </c>
      <c r="H3176" s="2" t="s">
        <v>22</v>
      </c>
      <c r="I3176" s="2" t="s">
        <v>258</v>
      </c>
      <c r="J3176" s="2" t="s">
        <v>59</v>
      </c>
      <c r="K3176">
        <v>484.42</v>
      </c>
      <c r="L3176">
        <v>553833.64</v>
      </c>
      <c r="M3176">
        <v>114329.23</v>
      </c>
      <c r="N3176" s="2" t="s">
        <v>271</v>
      </c>
      <c r="O3176" s="2" t="s">
        <v>272</v>
      </c>
      <c r="P3176" s="2" t="s">
        <v>5622</v>
      </c>
      <c r="Q3176" s="2" t="s">
        <v>5623</v>
      </c>
      <c r="R3176" s="2" t="s">
        <v>29</v>
      </c>
      <c r="S3176" s="2" t="s">
        <v>30</v>
      </c>
    </row>
    <row r="3177" spans="1:19">
      <c r="A3177" s="1">
        <v>45444</v>
      </c>
      <c r="B3177" s="1">
        <v>45444</v>
      </c>
      <c r="C3177">
        <v>2024</v>
      </c>
      <c r="D3177">
        <v>6</v>
      </c>
      <c r="E3177" s="2" t="s">
        <v>275</v>
      </c>
      <c r="F3177" s="2" t="s">
        <v>276</v>
      </c>
      <c r="G3177" s="2" t="s">
        <v>39</v>
      </c>
      <c r="H3177" s="2" t="s">
        <v>22</v>
      </c>
      <c r="I3177" s="2" t="s">
        <v>40</v>
      </c>
      <c r="J3177" s="2" t="s">
        <v>24</v>
      </c>
      <c r="K3177">
        <v>0.27</v>
      </c>
      <c r="L3177">
        <v>2.75</v>
      </c>
      <c r="M3177">
        <v>1018.52</v>
      </c>
      <c r="N3177" s="2" t="s">
        <v>277</v>
      </c>
      <c r="O3177" s="2" t="s">
        <v>278</v>
      </c>
      <c r="P3177" s="2" t="s">
        <v>980</v>
      </c>
      <c r="Q3177" s="2" t="s">
        <v>5624</v>
      </c>
      <c r="R3177" s="2" t="s">
        <v>29</v>
      </c>
      <c r="S3177" s="2" t="s">
        <v>30</v>
      </c>
    </row>
    <row r="3178" spans="1:19">
      <c r="A3178" s="1">
        <v>45444</v>
      </c>
      <c r="B3178" s="1">
        <v>45444</v>
      </c>
      <c r="C3178">
        <v>2024</v>
      </c>
      <c r="D3178">
        <v>6</v>
      </c>
      <c r="E3178" s="2" t="s">
        <v>281</v>
      </c>
      <c r="F3178" s="2" t="s">
        <v>282</v>
      </c>
      <c r="G3178" s="2" t="s">
        <v>39</v>
      </c>
      <c r="H3178" s="2" t="s">
        <v>22</v>
      </c>
      <c r="I3178" s="2" t="s">
        <v>40</v>
      </c>
      <c r="J3178" s="2" t="s">
        <v>24</v>
      </c>
      <c r="K3178">
        <v>0.02</v>
      </c>
      <c r="L3178">
        <v>0.11</v>
      </c>
      <c r="M3178">
        <v>550</v>
      </c>
      <c r="N3178" s="2" t="s">
        <v>283</v>
      </c>
      <c r="O3178" s="2" t="s">
        <v>284</v>
      </c>
      <c r="P3178" s="2" t="s">
        <v>1039</v>
      </c>
      <c r="Q3178" s="2" t="s">
        <v>1291</v>
      </c>
      <c r="R3178" s="2" t="s">
        <v>29</v>
      </c>
      <c r="S3178" s="2" t="s">
        <v>30</v>
      </c>
    </row>
    <row r="3179" spans="1:19">
      <c r="A3179" s="1">
        <v>45444</v>
      </c>
      <c r="B3179" s="1">
        <v>45444</v>
      </c>
      <c r="C3179">
        <v>2024</v>
      </c>
      <c r="D3179">
        <v>6</v>
      </c>
      <c r="E3179" s="2" t="s">
        <v>287</v>
      </c>
      <c r="F3179" s="2" t="s">
        <v>288</v>
      </c>
      <c r="G3179" s="2" t="s">
        <v>39</v>
      </c>
      <c r="H3179" s="2" t="s">
        <v>22</v>
      </c>
      <c r="I3179" s="2" t="s">
        <v>40</v>
      </c>
      <c r="J3179" s="2" t="s">
        <v>59</v>
      </c>
      <c r="K3179">
        <v>0.28000000000000003</v>
      </c>
      <c r="L3179">
        <v>2.87</v>
      </c>
      <c r="M3179">
        <v>1025</v>
      </c>
      <c r="N3179" s="2" t="s">
        <v>289</v>
      </c>
      <c r="O3179" s="2" t="s">
        <v>290</v>
      </c>
      <c r="P3179" s="2" t="s">
        <v>2910</v>
      </c>
      <c r="Q3179" s="2" t="s">
        <v>5625</v>
      </c>
      <c r="R3179" s="2" t="s">
        <v>29</v>
      </c>
      <c r="S3179" s="2" t="s">
        <v>30</v>
      </c>
    </row>
    <row r="3180" spans="1:19">
      <c r="A3180" s="1">
        <v>45444</v>
      </c>
      <c r="B3180" s="1">
        <v>45444</v>
      </c>
      <c r="C3180">
        <v>2024</v>
      </c>
      <c r="D3180">
        <v>6</v>
      </c>
      <c r="E3180" s="2" t="s">
        <v>293</v>
      </c>
      <c r="F3180" s="2" t="s">
        <v>294</v>
      </c>
      <c r="G3180" s="2" t="s">
        <v>21</v>
      </c>
      <c r="H3180" s="2" t="s">
        <v>22</v>
      </c>
      <c r="I3180" s="2" t="s">
        <v>295</v>
      </c>
      <c r="J3180" s="2" t="s">
        <v>24</v>
      </c>
      <c r="K3180">
        <v>547.14</v>
      </c>
      <c r="L3180">
        <v>3653.48</v>
      </c>
      <c r="M3180">
        <v>667.74</v>
      </c>
      <c r="N3180" s="2" t="s">
        <v>296</v>
      </c>
      <c r="O3180" s="2" t="s">
        <v>297</v>
      </c>
      <c r="P3180" s="2" t="s">
        <v>5626</v>
      </c>
      <c r="Q3180" s="2" t="s">
        <v>5627</v>
      </c>
      <c r="R3180" s="2" t="s">
        <v>29</v>
      </c>
      <c r="S3180" s="2" t="s">
        <v>30</v>
      </c>
    </row>
    <row r="3181" spans="1:19">
      <c r="A3181" s="1">
        <v>45444</v>
      </c>
      <c r="B3181" s="1">
        <v>45444</v>
      </c>
      <c r="C3181">
        <v>2024</v>
      </c>
      <c r="D3181">
        <v>6</v>
      </c>
      <c r="E3181" s="2" t="s">
        <v>300</v>
      </c>
      <c r="F3181" s="2" t="s">
        <v>301</v>
      </c>
      <c r="G3181" s="2" t="s">
        <v>21</v>
      </c>
      <c r="H3181" s="2" t="s">
        <v>22</v>
      </c>
      <c r="I3181" s="2" t="s">
        <v>295</v>
      </c>
      <c r="J3181" s="2" t="s">
        <v>24</v>
      </c>
      <c r="K3181">
        <v>650.89</v>
      </c>
      <c r="L3181">
        <v>945.68</v>
      </c>
      <c r="M3181">
        <v>145.29</v>
      </c>
      <c r="N3181" s="2" t="s">
        <v>302</v>
      </c>
      <c r="O3181" s="2" t="s">
        <v>303</v>
      </c>
      <c r="P3181" s="2" t="s">
        <v>5628</v>
      </c>
      <c r="Q3181" s="2" t="s">
        <v>5629</v>
      </c>
      <c r="R3181" s="2" t="s">
        <v>29</v>
      </c>
      <c r="S3181" s="2" t="s">
        <v>30</v>
      </c>
    </row>
    <row r="3182" spans="1:19">
      <c r="A3182" s="1">
        <v>45444</v>
      </c>
      <c r="B3182" s="1">
        <v>45444</v>
      </c>
      <c r="C3182">
        <v>2024</v>
      </c>
      <c r="D3182">
        <v>6</v>
      </c>
      <c r="E3182" s="2" t="s">
        <v>306</v>
      </c>
      <c r="F3182" s="2" t="s">
        <v>307</v>
      </c>
      <c r="G3182" s="2" t="s">
        <v>21</v>
      </c>
      <c r="H3182" s="2" t="s">
        <v>22</v>
      </c>
      <c r="I3182" s="2" t="s">
        <v>295</v>
      </c>
      <c r="J3182" s="2" t="s">
        <v>101</v>
      </c>
      <c r="K3182">
        <v>1198.03</v>
      </c>
      <c r="L3182">
        <v>4599.16</v>
      </c>
      <c r="M3182">
        <v>383.89</v>
      </c>
      <c r="N3182" s="2" t="s">
        <v>308</v>
      </c>
      <c r="O3182" s="2" t="s">
        <v>309</v>
      </c>
      <c r="P3182" s="2" t="s">
        <v>5630</v>
      </c>
      <c r="Q3182" s="2" t="s">
        <v>5631</v>
      </c>
      <c r="R3182" s="2" t="s">
        <v>29</v>
      </c>
      <c r="S3182" s="2" t="s">
        <v>30</v>
      </c>
    </row>
    <row r="3183" spans="1:19">
      <c r="A3183" s="1">
        <v>45444</v>
      </c>
      <c r="B3183" s="1">
        <v>45444</v>
      </c>
      <c r="C3183">
        <v>2024</v>
      </c>
      <c r="D3183">
        <v>6</v>
      </c>
      <c r="E3183" s="2" t="s">
        <v>312</v>
      </c>
      <c r="F3183" s="2" t="s">
        <v>313</v>
      </c>
      <c r="G3183" s="2" t="s">
        <v>21</v>
      </c>
      <c r="H3183" s="2" t="s">
        <v>22</v>
      </c>
      <c r="I3183" s="2" t="s">
        <v>295</v>
      </c>
      <c r="J3183" s="2" t="s">
        <v>59</v>
      </c>
      <c r="K3183">
        <v>5236.08</v>
      </c>
      <c r="L3183">
        <v>15896.98</v>
      </c>
      <c r="M3183">
        <v>303.60000000000002</v>
      </c>
      <c r="N3183" s="2" t="s">
        <v>314</v>
      </c>
      <c r="O3183" s="2" t="s">
        <v>315</v>
      </c>
      <c r="P3183" s="2" t="s">
        <v>5632</v>
      </c>
      <c r="Q3183" s="2" t="s">
        <v>5633</v>
      </c>
      <c r="R3183" s="2" t="s">
        <v>29</v>
      </c>
      <c r="S3183" s="2" t="s">
        <v>30</v>
      </c>
    </row>
    <row r="3184" spans="1:19">
      <c r="A3184" s="1">
        <v>45444</v>
      </c>
      <c r="B3184" s="1">
        <v>45444</v>
      </c>
      <c r="C3184">
        <v>2024</v>
      </c>
      <c r="D3184">
        <v>6</v>
      </c>
      <c r="E3184" s="2" t="s">
        <v>318</v>
      </c>
      <c r="F3184" s="2" t="s">
        <v>319</v>
      </c>
      <c r="G3184" s="2" t="s">
        <v>21</v>
      </c>
      <c r="H3184" s="2" t="s">
        <v>22</v>
      </c>
      <c r="I3184" s="2" t="s">
        <v>295</v>
      </c>
      <c r="J3184" s="2" t="s">
        <v>24</v>
      </c>
      <c r="K3184">
        <v>4038.05</v>
      </c>
      <c r="L3184">
        <v>11297.82</v>
      </c>
      <c r="M3184">
        <v>279.77999999999997</v>
      </c>
      <c r="N3184" s="2" t="s">
        <v>320</v>
      </c>
      <c r="O3184" s="2" t="s">
        <v>321</v>
      </c>
      <c r="P3184" s="2" t="s">
        <v>5634</v>
      </c>
      <c r="Q3184" s="2" t="s">
        <v>5635</v>
      </c>
      <c r="R3184" s="2" t="s">
        <v>29</v>
      </c>
      <c r="S3184" s="2" t="s">
        <v>30</v>
      </c>
    </row>
    <row r="3185" spans="1:19">
      <c r="A3185" s="1">
        <v>45444</v>
      </c>
      <c r="B3185" s="1">
        <v>45444</v>
      </c>
      <c r="C3185">
        <v>2024</v>
      </c>
      <c r="D3185">
        <v>6</v>
      </c>
      <c r="E3185" s="2" t="s">
        <v>324</v>
      </c>
      <c r="F3185" s="2" t="s">
        <v>325</v>
      </c>
      <c r="G3185" s="2" t="s">
        <v>21</v>
      </c>
      <c r="H3185" s="2" t="s">
        <v>22</v>
      </c>
      <c r="I3185" s="2" t="s">
        <v>23</v>
      </c>
      <c r="J3185" s="2" t="s">
        <v>59</v>
      </c>
      <c r="K3185">
        <v>155567.01999999999</v>
      </c>
      <c r="L3185">
        <v>6073917.3399999999</v>
      </c>
      <c r="M3185">
        <v>3904.37</v>
      </c>
      <c r="N3185" s="2" t="s">
        <v>326</v>
      </c>
      <c r="O3185" s="2" t="s">
        <v>327</v>
      </c>
      <c r="P3185" s="2" t="s">
        <v>5636</v>
      </c>
      <c r="Q3185" s="2" t="s">
        <v>5637</v>
      </c>
      <c r="R3185" s="2" t="s">
        <v>29</v>
      </c>
      <c r="S3185" s="2" t="s">
        <v>30</v>
      </c>
    </row>
    <row r="3186" spans="1:19">
      <c r="A3186" s="1">
        <v>45444</v>
      </c>
      <c r="B3186" s="1">
        <v>45444</v>
      </c>
      <c r="C3186">
        <v>2024</v>
      </c>
      <c r="D3186">
        <v>6</v>
      </c>
      <c r="E3186" s="2" t="s">
        <v>330</v>
      </c>
      <c r="F3186" s="2" t="s">
        <v>331</v>
      </c>
      <c r="G3186" s="2" t="s">
        <v>21</v>
      </c>
      <c r="H3186" s="2" t="s">
        <v>332</v>
      </c>
      <c r="I3186" s="2" t="s">
        <v>333</v>
      </c>
      <c r="J3186" s="2" t="s">
        <v>24</v>
      </c>
      <c r="K3186">
        <v>230.72</v>
      </c>
      <c r="L3186">
        <v>14570686.300000001</v>
      </c>
      <c r="M3186">
        <v>6315311.3300000001</v>
      </c>
      <c r="N3186" s="2" t="s">
        <v>334</v>
      </c>
      <c r="O3186" s="2" t="s">
        <v>335</v>
      </c>
      <c r="P3186" s="2" t="s">
        <v>5638</v>
      </c>
      <c r="Q3186" s="2" t="s">
        <v>5639</v>
      </c>
      <c r="R3186" s="2" t="s">
        <v>29</v>
      </c>
      <c r="S3186" s="2" t="s">
        <v>30</v>
      </c>
    </row>
    <row r="3187" spans="1:19">
      <c r="A3187" s="1">
        <v>45444</v>
      </c>
      <c r="B3187" s="1">
        <v>45444</v>
      </c>
      <c r="C3187">
        <v>2024</v>
      </c>
      <c r="D3187">
        <v>6</v>
      </c>
      <c r="E3187" s="2" t="s">
        <v>338</v>
      </c>
      <c r="F3187" s="2" t="s">
        <v>339</v>
      </c>
      <c r="G3187" s="2" t="s">
        <v>21</v>
      </c>
      <c r="H3187" s="2" t="s">
        <v>332</v>
      </c>
      <c r="I3187" s="2" t="s">
        <v>333</v>
      </c>
      <c r="J3187" s="2" t="s">
        <v>24</v>
      </c>
      <c r="K3187">
        <v>1.1200000000000001</v>
      </c>
      <c r="L3187">
        <v>1467007.55</v>
      </c>
      <c r="M3187">
        <v>130982816.95999999</v>
      </c>
      <c r="N3187" s="2" t="s">
        <v>340</v>
      </c>
      <c r="O3187" s="2" t="s">
        <v>341</v>
      </c>
      <c r="P3187" s="2" t="s">
        <v>2887</v>
      </c>
      <c r="Q3187" s="2" t="s">
        <v>5640</v>
      </c>
      <c r="R3187" s="2" t="s">
        <v>29</v>
      </c>
      <c r="S3187" s="2" t="s">
        <v>30</v>
      </c>
    </row>
    <row r="3188" spans="1:19">
      <c r="A3188" s="1">
        <v>45444</v>
      </c>
      <c r="B3188" s="1">
        <v>45444</v>
      </c>
      <c r="C3188">
        <v>2024</v>
      </c>
      <c r="D3188">
        <v>6</v>
      </c>
      <c r="E3188" s="2" t="s">
        <v>344</v>
      </c>
      <c r="F3188" s="2" t="s">
        <v>345</v>
      </c>
      <c r="G3188" s="2" t="s">
        <v>21</v>
      </c>
      <c r="H3188" s="2" t="s">
        <v>332</v>
      </c>
      <c r="I3188" s="2" t="s">
        <v>333</v>
      </c>
      <c r="J3188" s="2" t="s">
        <v>59</v>
      </c>
      <c r="K3188">
        <v>231.84</v>
      </c>
      <c r="L3188">
        <v>16037693.85</v>
      </c>
      <c r="M3188">
        <v>6917569.8099999996</v>
      </c>
      <c r="N3188" s="2" t="s">
        <v>346</v>
      </c>
      <c r="O3188" s="2" t="s">
        <v>347</v>
      </c>
      <c r="P3188" s="2" t="s">
        <v>5641</v>
      </c>
      <c r="Q3188" s="2" t="s">
        <v>5642</v>
      </c>
      <c r="R3188" s="2" t="s">
        <v>29</v>
      </c>
      <c r="S3188" s="2" t="s">
        <v>30</v>
      </c>
    </row>
    <row r="3189" spans="1:19">
      <c r="A3189" s="1">
        <v>45444</v>
      </c>
      <c r="B3189" s="1">
        <v>45444</v>
      </c>
      <c r="C3189">
        <v>2024</v>
      </c>
      <c r="D3189">
        <v>6</v>
      </c>
      <c r="E3189" s="2" t="s">
        <v>350</v>
      </c>
      <c r="F3189" s="2" t="s">
        <v>351</v>
      </c>
      <c r="G3189" s="2" t="s">
        <v>21</v>
      </c>
      <c r="H3189" s="2" t="s">
        <v>22</v>
      </c>
      <c r="I3189" s="2" t="s">
        <v>352</v>
      </c>
      <c r="J3189" s="2" t="s">
        <v>353</v>
      </c>
      <c r="K3189">
        <v>167736.1</v>
      </c>
      <c r="L3189">
        <v>22499058.109999999</v>
      </c>
      <c r="M3189">
        <v>13413.37</v>
      </c>
      <c r="N3189" s="2" t="s">
        <v>354</v>
      </c>
      <c r="O3189" s="2" t="s">
        <v>355</v>
      </c>
      <c r="P3189" s="2" t="s">
        <v>5643</v>
      </c>
      <c r="Q3189" s="2" t="s">
        <v>5644</v>
      </c>
      <c r="R3189" s="2" t="s">
        <v>29</v>
      </c>
      <c r="S3189" s="2" t="s">
        <v>30</v>
      </c>
    </row>
    <row r="3190" spans="1:19">
      <c r="A3190" s="1">
        <v>45444</v>
      </c>
      <c r="B3190" s="1">
        <v>45444</v>
      </c>
      <c r="C3190">
        <v>2024</v>
      </c>
      <c r="D3190">
        <v>6</v>
      </c>
      <c r="E3190" s="2" t="s">
        <v>358</v>
      </c>
      <c r="F3190" s="2" t="s">
        <v>359</v>
      </c>
      <c r="G3190" s="2" t="s">
        <v>21</v>
      </c>
      <c r="H3190" s="2" t="s">
        <v>22</v>
      </c>
      <c r="I3190" s="2" t="s">
        <v>352</v>
      </c>
      <c r="J3190" s="2" t="s">
        <v>353</v>
      </c>
      <c r="K3190">
        <v>168220.52</v>
      </c>
      <c r="L3190">
        <v>23052891.75</v>
      </c>
      <c r="M3190">
        <v>13703.97</v>
      </c>
      <c r="N3190" s="2" t="s">
        <v>360</v>
      </c>
      <c r="O3190" s="2" t="s">
        <v>361</v>
      </c>
      <c r="P3190" s="2" t="s">
        <v>5645</v>
      </c>
      <c r="Q3190" s="2" t="s">
        <v>5646</v>
      </c>
      <c r="R3190" s="2" t="s">
        <v>29</v>
      </c>
      <c r="S3190" s="2" t="s">
        <v>30</v>
      </c>
    </row>
    <row r="3191" spans="1:19">
      <c r="A3191" s="1">
        <v>45444</v>
      </c>
      <c r="B3191" s="1">
        <v>45444</v>
      </c>
      <c r="C3191">
        <v>2024</v>
      </c>
      <c r="D3191">
        <v>6</v>
      </c>
      <c r="E3191" s="2" t="s">
        <v>364</v>
      </c>
      <c r="F3191" s="2" t="s">
        <v>365</v>
      </c>
      <c r="G3191" s="2" t="s">
        <v>21</v>
      </c>
      <c r="H3191" s="2" t="s">
        <v>22</v>
      </c>
      <c r="I3191" s="2" t="s">
        <v>352</v>
      </c>
      <c r="J3191" s="2" t="s">
        <v>353</v>
      </c>
      <c r="K3191">
        <v>167988.69</v>
      </c>
      <c r="L3191">
        <v>7015197.9100000001</v>
      </c>
      <c r="M3191">
        <v>4175.99</v>
      </c>
      <c r="N3191" s="2" t="s">
        <v>366</v>
      </c>
      <c r="O3191" s="2" t="s">
        <v>367</v>
      </c>
      <c r="P3191" s="2" t="s">
        <v>5647</v>
      </c>
      <c r="Q3191" s="2" t="s">
        <v>5648</v>
      </c>
      <c r="R3191" s="2" t="s">
        <v>29</v>
      </c>
      <c r="S3191" s="2" t="s">
        <v>30</v>
      </c>
    </row>
    <row r="3192" spans="1:19">
      <c r="A3192" s="1">
        <v>45444</v>
      </c>
      <c r="B3192" s="1">
        <v>45444</v>
      </c>
      <c r="C3192">
        <v>2024</v>
      </c>
      <c r="D3192">
        <v>6</v>
      </c>
      <c r="E3192" s="2" t="s">
        <v>370</v>
      </c>
      <c r="F3192" s="2" t="s">
        <v>371</v>
      </c>
      <c r="G3192" s="2" t="s">
        <v>21</v>
      </c>
      <c r="H3192" s="2" t="s">
        <v>22</v>
      </c>
      <c r="I3192" s="2" t="s">
        <v>23</v>
      </c>
      <c r="J3192" s="2" t="s">
        <v>24</v>
      </c>
      <c r="K3192">
        <v>138851.42000000001</v>
      </c>
      <c r="L3192">
        <v>2007081.2</v>
      </c>
      <c r="M3192">
        <v>1445.49</v>
      </c>
      <c r="N3192" s="2" t="s">
        <v>372</v>
      </c>
      <c r="O3192" s="2" t="s">
        <v>373</v>
      </c>
      <c r="P3192" s="2" t="s">
        <v>5649</v>
      </c>
      <c r="Q3192" s="2" t="s">
        <v>5650</v>
      </c>
      <c r="R3192" s="2" t="s">
        <v>29</v>
      </c>
      <c r="S3192" s="2" t="s">
        <v>30</v>
      </c>
    </row>
    <row r="3193" spans="1:19">
      <c r="A3193" s="1">
        <v>45444</v>
      </c>
      <c r="B3193" s="1">
        <v>45444</v>
      </c>
      <c r="C3193">
        <v>2024</v>
      </c>
      <c r="D3193">
        <v>6</v>
      </c>
      <c r="E3193" s="2" t="s">
        <v>376</v>
      </c>
      <c r="F3193" s="2" t="s">
        <v>377</v>
      </c>
      <c r="G3193" s="2" t="s">
        <v>21</v>
      </c>
      <c r="H3193" s="2" t="s">
        <v>22</v>
      </c>
      <c r="I3193" s="2" t="s">
        <v>23</v>
      </c>
      <c r="J3193" s="2" t="s">
        <v>378</v>
      </c>
      <c r="K3193">
        <v>1.41</v>
      </c>
      <c r="L3193">
        <v>15.15</v>
      </c>
      <c r="M3193">
        <v>1074.47</v>
      </c>
      <c r="N3193" s="2" t="s">
        <v>379</v>
      </c>
      <c r="O3193" s="2" t="s">
        <v>380</v>
      </c>
      <c r="P3193" s="2" t="s">
        <v>5651</v>
      </c>
      <c r="Q3193" s="2" t="s">
        <v>5652</v>
      </c>
      <c r="R3193" s="2" t="s">
        <v>29</v>
      </c>
      <c r="S3193" s="2" t="s">
        <v>30</v>
      </c>
    </row>
    <row r="3194" spans="1:19">
      <c r="A3194" s="1">
        <v>45474</v>
      </c>
      <c r="B3194" s="1">
        <v>45474</v>
      </c>
      <c r="C3194">
        <v>2024</v>
      </c>
      <c r="D3194">
        <v>7</v>
      </c>
      <c r="E3194" s="2" t="s">
        <v>19</v>
      </c>
      <c r="F3194" s="2" t="s">
        <v>20</v>
      </c>
      <c r="G3194" s="2" t="s">
        <v>21</v>
      </c>
      <c r="H3194" s="2" t="s">
        <v>22</v>
      </c>
      <c r="I3194" s="2" t="s">
        <v>23</v>
      </c>
      <c r="J3194" s="2" t="s">
        <v>24</v>
      </c>
      <c r="K3194">
        <v>0.31</v>
      </c>
      <c r="L3194">
        <v>13.09</v>
      </c>
      <c r="M3194">
        <v>4222.58</v>
      </c>
      <c r="N3194" s="2" t="s">
        <v>25</v>
      </c>
      <c r="O3194" s="2" t="s">
        <v>26</v>
      </c>
      <c r="P3194" s="2" t="s">
        <v>2811</v>
      </c>
      <c r="Q3194" s="2" t="s">
        <v>5653</v>
      </c>
      <c r="R3194" s="2" t="s">
        <v>29</v>
      </c>
      <c r="S3194" s="2" t="s">
        <v>30</v>
      </c>
    </row>
    <row r="3195" spans="1:19">
      <c r="A3195" s="1">
        <v>45474</v>
      </c>
      <c r="B3195" s="1">
        <v>45474</v>
      </c>
      <c r="C3195">
        <v>2024</v>
      </c>
      <c r="D3195">
        <v>7</v>
      </c>
      <c r="E3195" s="2" t="s">
        <v>31</v>
      </c>
      <c r="F3195" s="2" t="s">
        <v>32</v>
      </c>
      <c r="G3195" s="2" t="s">
        <v>21</v>
      </c>
      <c r="H3195" s="2" t="s">
        <v>22</v>
      </c>
      <c r="I3195" s="2" t="s">
        <v>23</v>
      </c>
      <c r="J3195" s="2" t="s">
        <v>24</v>
      </c>
      <c r="K3195">
        <v>2481.39</v>
      </c>
      <c r="L3195">
        <v>28604.65</v>
      </c>
      <c r="M3195">
        <v>1152.77</v>
      </c>
      <c r="N3195" s="2" t="s">
        <v>33</v>
      </c>
      <c r="O3195" s="2" t="s">
        <v>34</v>
      </c>
      <c r="P3195" s="2" t="s">
        <v>5654</v>
      </c>
      <c r="Q3195" s="2" t="s">
        <v>5655</v>
      </c>
      <c r="R3195" s="2" t="s">
        <v>29</v>
      </c>
      <c r="S3195" s="2" t="s">
        <v>30</v>
      </c>
    </row>
    <row r="3196" spans="1:19">
      <c r="A3196" s="1">
        <v>45474</v>
      </c>
      <c r="B3196" s="1">
        <v>45474</v>
      </c>
      <c r="C3196">
        <v>2024</v>
      </c>
      <c r="D3196">
        <v>7</v>
      </c>
      <c r="E3196" s="2" t="s">
        <v>37</v>
      </c>
      <c r="F3196" s="2" t="s">
        <v>38</v>
      </c>
      <c r="G3196" s="2" t="s">
        <v>39</v>
      </c>
      <c r="H3196" s="2" t="s">
        <v>22</v>
      </c>
      <c r="I3196" s="2" t="s">
        <v>40</v>
      </c>
      <c r="J3196" s="2" t="s">
        <v>24</v>
      </c>
      <c r="K3196">
        <v>8.5399999999999991</v>
      </c>
      <c r="L3196">
        <v>433.31</v>
      </c>
      <c r="M3196">
        <v>5073.8900000000003</v>
      </c>
      <c r="N3196" s="2" t="s">
        <v>41</v>
      </c>
      <c r="O3196" s="2" t="s">
        <v>42</v>
      </c>
      <c r="P3196" s="2" t="s">
        <v>4835</v>
      </c>
      <c r="Q3196" s="2" t="s">
        <v>5656</v>
      </c>
      <c r="R3196" s="2" t="s">
        <v>29</v>
      </c>
      <c r="S3196" s="2" t="s">
        <v>30</v>
      </c>
    </row>
    <row r="3197" spans="1:19">
      <c r="A3197" s="1">
        <v>45474</v>
      </c>
      <c r="B3197" s="1">
        <v>45474</v>
      </c>
      <c r="C3197">
        <v>2024</v>
      </c>
      <c r="D3197">
        <v>7</v>
      </c>
      <c r="E3197" s="2" t="s">
        <v>45</v>
      </c>
      <c r="F3197" s="2" t="s">
        <v>46</v>
      </c>
      <c r="G3197" s="2" t="s">
        <v>39</v>
      </c>
      <c r="H3197" s="2" t="s">
        <v>22</v>
      </c>
      <c r="I3197" s="2" t="s">
        <v>40</v>
      </c>
      <c r="J3197" s="2" t="s">
        <v>24</v>
      </c>
      <c r="K3197">
        <v>5040.1400000000003</v>
      </c>
      <c r="L3197">
        <v>248967.7</v>
      </c>
      <c r="M3197">
        <v>4939.7</v>
      </c>
      <c r="N3197" s="2" t="s">
        <v>47</v>
      </c>
      <c r="O3197" s="2" t="s">
        <v>48</v>
      </c>
      <c r="P3197" s="2" t="s">
        <v>5657</v>
      </c>
      <c r="Q3197" s="2" t="s">
        <v>5658</v>
      </c>
      <c r="R3197" s="2" t="s">
        <v>29</v>
      </c>
      <c r="S3197" s="2" t="s">
        <v>30</v>
      </c>
    </row>
    <row r="3198" spans="1:19">
      <c r="A3198" s="1">
        <v>45474</v>
      </c>
      <c r="B3198" s="1">
        <v>45474</v>
      </c>
      <c r="C3198">
        <v>2024</v>
      </c>
      <c r="D3198">
        <v>7</v>
      </c>
      <c r="E3198" s="2" t="s">
        <v>51</v>
      </c>
      <c r="F3198" s="2" t="s">
        <v>52</v>
      </c>
      <c r="G3198" s="2" t="s">
        <v>39</v>
      </c>
      <c r="H3198" s="2" t="s">
        <v>22</v>
      </c>
      <c r="I3198" s="2" t="s">
        <v>40</v>
      </c>
      <c r="J3198" s="2" t="s">
        <v>24</v>
      </c>
      <c r="K3198">
        <v>20.7</v>
      </c>
      <c r="L3198">
        <v>916.53</v>
      </c>
      <c r="M3198">
        <v>4427.68</v>
      </c>
      <c r="N3198" s="2" t="s">
        <v>53</v>
      </c>
      <c r="O3198" s="2" t="s">
        <v>54</v>
      </c>
      <c r="P3198" s="2" t="s">
        <v>5659</v>
      </c>
      <c r="Q3198" s="2" t="s">
        <v>5660</v>
      </c>
      <c r="R3198" s="2" t="s">
        <v>29</v>
      </c>
      <c r="S3198" s="2" t="s">
        <v>30</v>
      </c>
    </row>
    <row r="3199" spans="1:19">
      <c r="A3199" s="1">
        <v>45474</v>
      </c>
      <c r="B3199" s="1">
        <v>45474</v>
      </c>
      <c r="C3199">
        <v>2024</v>
      </c>
      <c r="D3199">
        <v>7</v>
      </c>
      <c r="E3199" s="2" t="s">
        <v>57</v>
      </c>
      <c r="F3199" s="2" t="s">
        <v>58</v>
      </c>
      <c r="G3199" s="2" t="s">
        <v>39</v>
      </c>
      <c r="H3199" s="2" t="s">
        <v>22</v>
      </c>
      <c r="I3199" s="2" t="s">
        <v>40</v>
      </c>
      <c r="J3199" s="2" t="s">
        <v>59</v>
      </c>
      <c r="K3199">
        <v>5069.38</v>
      </c>
      <c r="L3199">
        <v>250317.53</v>
      </c>
      <c r="M3199">
        <v>4937.83</v>
      </c>
      <c r="N3199" s="2" t="s">
        <v>60</v>
      </c>
      <c r="O3199" s="2" t="s">
        <v>61</v>
      </c>
      <c r="P3199" s="2" t="s">
        <v>5661</v>
      </c>
      <c r="Q3199" s="2" t="s">
        <v>5662</v>
      </c>
      <c r="R3199" s="2" t="s">
        <v>29</v>
      </c>
      <c r="S3199" s="2" t="s">
        <v>30</v>
      </c>
    </row>
    <row r="3200" spans="1:19">
      <c r="A3200" s="1">
        <v>45474</v>
      </c>
      <c r="B3200" s="1">
        <v>45474</v>
      </c>
      <c r="C3200">
        <v>2024</v>
      </c>
      <c r="D3200">
        <v>7</v>
      </c>
      <c r="E3200" s="2" t="s">
        <v>64</v>
      </c>
      <c r="F3200" s="2" t="s">
        <v>65</v>
      </c>
      <c r="G3200" s="2" t="s">
        <v>21</v>
      </c>
      <c r="H3200" s="2" t="s">
        <v>22</v>
      </c>
      <c r="I3200" s="2" t="s">
        <v>66</v>
      </c>
      <c r="J3200" s="2" t="s">
        <v>24</v>
      </c>
      <c r="K3200">
        <v>19.25</v>
      </c>
      <c r="L3200">
        <v>575.03</v>
      </c>
      <c r="M3200">
        <v>2987.17</v>
      </c>
      <c r="N3200" s="2" t="s">
        <v>67</v>
      </c>
      <c r="O3200" s="2" t="s">
        <v>68</v>
      </c>
      <c r="P3200" s="2" t="s">
        <v>5382</v>
      </c>
      <c r="Q3200" s="2" t="s">
        <v>5663</v>
      </c>
      <c r="R3200" s="2" t="s">
        <v>29</v>
      </c>
      <c r="S3200" s="2" t="s">
        <v>30</v>
      </c>
    </row>
    <row r="3201" spans="1:19">
      <c r="A3201" s="1">
        <v>45474</v>
      </c>
      <c r="B3201" s="1">
        <v>45474</v>
      </c>
      <c r="C3201">
        <v>2024</v>
      </c>
      <c r="D3201">
        <v>7</v>
      </c>
      <c r="E3201" s="2" t="s">
        <v>71</v>
      </c>
      <c r="F3201" s="2" t="s">
        <v>72</v>
      </c>
      <c r="G3201" s="2" t="s">
        <v>21</v>
      </c>
      <c r="H3201" s="2" t="s">
        <v>22</v>
      </c>
      <c r="I3201" s="2" t="s">
        <v>73</v>
      </c>
      <c r="J3201" s="2" t="s">
        <v>59</v>
      </c>
      <c r="K3201">
        <v>5294.35</v>
      </c>
      <c r="L3201">
        <v>217434.87</v>
      </c>
      <c r="M3201">
        <v>4106.92</v>
      </c>
      <c r="N3201" s="2" t="s">
        <v>74</v>
      </c>
      <c r="O3201" s="2" t="s">
        <v>75</v>
      </c>
      <c r="P3201" s="2" t="s">
        <v>5664</v>
      </c>
      <c r="Q3201" s="2" t="s">
        <v>5665</v>
      </c>
      <c r="R3201" s="2" t="s">
        <v>29</v>
      </c>
      <c r="S3201" s="2" t="s">
        <v>30</v>
      </c>
    </row>
    <row r="3202" spans="1:19">
      <c r="A3202" s="1">
        <v>45474</v>
      </c>
      <c r="B3202" s="1">
        <v>45474</v>
      </c>
      <c r="C3202">
        <v>2024</v>
      </c>
      <c r="D3202">
        <v>7</v>
      </c>
      <c r="E3202" s="2" t="s">
        <v>78</v>
      </c>
      <c r="F3202" s="2" t="s">
        <v>79</v>
      </c>
      <c r="G3202" s="2" t="s">
        <v>80</v>
      </c>
      <c r="H3202" s="2" t="s">
        <v>81</v>
      </c>
      <c r="I3202" s="2" t="s">
        <v>82</v>
      </c>
      <c r="J3202" s="2" t="s">
        <v>24</v>
      </c>
      <c r="K3202">
        <v>2.71</v>
      </c>
      <c r="L3202">
        <v>7417106.0899999999</v>
      </c>
      <c r="M3202">
        <v>273693951.66000003</v>
      </c>
      <c r="N3202" s="2" t="s">
        <v>83</v>
      </c>
      <c r="O3202" s="2" t="s">
        <v>84</v>
      </c>
      <c r="P3202" s="2" t="s">
        <v>3707</v>
      </c>
      <c r="Q3202" s="2" t="s">
        <v>5666</v>
      </c>
      <c r="R3202" s="2" t="s">
        <v>29</v>
      </c>
      <c r="S3202" s="2" t="s">
        <v>30</v>
      </c>
    </row>
    <row r="3203" spans="1:19">
      <c r="A3203" s="1">
        <v>45474</v>
      </c>
      <c r="B3203" s="1">
        <v>45474</v>
      </c>
      <c r="C3203">
        <v>2024</v>
      </c>
      <c r="D3203">
        <v>7</v>
      </c>
      <c r="E3203" s="2" t="s">
        <v>87</v>
      </c>
      <c r="F3203" s="2" t="s">
        <v>88</v>
      </c>
      <c r="G3203" s="2" t="s">
        <v>80</v>
      </c>
      <c r="H3203" s="2" t="s">
        <v>81</v>
      </c>
      <c r="I3203" s="2" t="s">
        <v>82</v>
      </c>
      <c r="J3203" s="2" t="s">
        <v>24</v>
      </c>
      <c r="K3203">
        <v>1.03</v>
      </c>
      <c r="L3203">
        <v>1524120.41</v>
      </c>
      <c r="M3203">
        <v>147972855.34</v>
      </c>
      <c r="N3203" s="2" t="s">
        <v>89</v>
      </c>
      <c r="O3203" s="2" t="s">
        <v>90</v>
      </c>
      <c r="P3203" s="2" t="s">
        <v>1628</v>
      </c>
      <c r="Q3203" s="2" t="s">
        <v>5667</v>
      </c>
      <c r="R3203" s="2" t="s">
        <v>29</v>
      </c>
      <c r="S3203" s="2" t="s">
        <v>30</v>
      </c>
    </row>
    <row r="3204" spans="1:19">
      <c r="A3204" s="1">
        <v>45474</v>
      </c>
      <c r="B3204" s="1">
        <v>45474</v>
      </c>
      <c r="C3204">
        <v>2024</v>
      </c>
      <c r="D3204">
        <v>7</v>
      </c>
      <c r="E3204" s="2" t="s">
        <v>93</v>
      </c>
      <c r="F3204" s="2" t="s">
        <v>94</v>
      </c>
      <c r="G3204" s="2" t="s">
        <v>80</v>
      </c>
      <c r="H3204" s="2" t="s">
        <v>81</v>
      </c>
      <c r="I3204" s="2" t="s">
        <v>82</v>
      </c>
      <c r="J3204" s="2" t="s">
        <v>24</v>
      </c>
      <c r="K3204">
        <v>0.44</v>
      </c>
      <c r="L3204">
        <v>7150905</v>
      </c>
      <c r="M3204">
        <v>1625205681.8199999</v>
      </c>
      <c r="N3204" s="2" t="s">
        <v>95</v>
      </c>
      <c r="O3204" s="2" t="s">
        <v>96</v>
      </c>
      <c r="P3204" s="2" t="s">
        <v>4665</v>
      </c>
      <c r="Q3204" s="2" t="s">
        <v>5668</v>
      </c>
      <c r="R3204" s="2" t="s">
        <v>29</v>
      </c>
      <c r="S3204" s="2" t="s">
        <v>30</v>
      </c>
    </row>
    <row r="3205" spans="1:19">
      <c r="A3205" s="1">
        <v>45474</v>
      </c>
      <c r="B3205" s="1">
        <v>45474</v>
      </c>
      <c r="C3205">
        <v>2024</v>
      </c>
      <c r="D3205">
        <v>7</v>
      </c>
      <c r="E3205" s="2" t="s">
        <v>99</v>
      </c>
      <c r="F3205" s="2" t="s">
        <v>100</v>
      </c>
      <c r="G3205" s="2" t="s">
        <v>80</v>
      </c>
      <c r="H3205" s="2" t="s">
        <v>81</v>
      </c>
      <c r="I3205" s="2" t="s">
        <v>82</v>
      </c>
      <c r="J3205" s="2" t="s">
        <v>101</v>
      </c>
      <c r="K3205">
        <v>1.71</v>
      </c>
      <c r="L3205">
        <v>17139102.309999999</v>
      </c>
      <c r="M3205">
        <v>1002286684.8</v>
      </c>
      <c r="N3205" s="2" t="s">
        <v>102</v>
      </c>
      <c r="O3205" s="2" t="s">
        <v>103</v>
      </c>
      <c r="P3205" s="2" t="s">
        <v>938</v>
      </c>
      <c r="Q3205" s="2" t="s">
        <v>5669</v>
      </c>
      <c r="R3205" s="2" t="s">
        <v>29</v>
      </c>
      <c r="S3205" s="2" t="s">
        <v>30</v>
      </c>
    </row>
    <row r="3206" spans="1:19">
      <c r="A3206" s="1">
        <v>45474</v>
      </c>
      <c r="B3206" s="1">
        <v>45474</v>
      </c>
      <c r="C3206">
        <v>2024</v>
      </c>
      <c r="D3206">
        <v>7</v>
      </c>
      <c r="E3206" s="2" t="s">
        <v>106</v>
      </c>
      <c r="F3206" s="2" t="s">
        <v>107</v>
      </c>
      <c r="G3206" s="2" t="s">
        <v>80</v>
      </c>
      <c r="H3206" s="2" t="s">
        <v>81</v>
      </c>
      <c r="I3206" s="2" t="s">
        <v>82</v>
      </c>
      <c r="J3206" s="2" t="s">
        <v>24</v>
      </c>
      <c r="K3206">
        <v>0.23</v>
      </c>
      <c r="L3206">
        <v>8464076.9000000004</v>
      </c>
      <c r="M3206">
        <v>3680033434.7800002</v>
      </c>
      <c r="N3206" s="2" t="s">
        <v>108</v>
      </c>
      <c r="O3206" s="2" t="s">
        <v>109</v>
      </c>
      <c r="P3206" s="2" t="s">
        <v>725</v>
      </c>
      <c r="Q3206" s="2" t="s">
        <v>5670</v>
      </c>
      <c r="R3206" s="2" t="s">
        <v>29</v>
      </c>
      <c r="S3206" s="2" t="s">
        <v>30</v>
      </c>
    </row>
    <row r="3207" spans="1:19">
      <c r="A3207" s="1">
        <v>45474</v>
      </c>
      <c r="B3207" s="1">
        <v>45474</v>
      </c>
      <c r="C3207">
        <v>2024</v>
      </c>
      <c r="D3207">
        <v>7</v>
      </c>
      <c r="E3207" s="2" t="s">
        <v>111</v>
      </c>
      <c r="F3207" s="2" t="s">
        <v>112</v>
      </c>
      <c r="G3207" s="2" t="s">
        <v>80</v>
      </c>
      <c r="H3207" s="2" t="s">
        <v>81</v>
      </c>
      <c r="I3207" s="2" t="s">
        <v>82</v>
      </c>
      <c r="J3207" s="2" t="s">
        <v>24</v>
      </c>
      <c r="K3207">
        <v>0.12</v>
      </c>
      <c r="L3207">
        <v>724598.35</v>
      </c>
      <c r="M3207">
        <v>603831958.33000004</v>
      </c>
      <c r="N3207" s="2" t="s">
        <v>113</v>
      </c>
      <c r="O3207" s="2" t="s">
        <v>114</v>
      </c>
      <c r="P3207" s="2" t="s">
        <v>1547</v>
      </c>
      <c r="Q3207" s="2" t="s">
        <v>5671</v>
      </c>
      <c r="R3207" s="2" t="s">
        <v>29</v>
      </c>
      <c r="S3207" s="2" t="s">
        <v>30</v>
      </c>
    </row>
    <row r="3208" spans="1:19">
      <c r="A3208" s="1">
        <v>45474</v>
      </c>
      <c r="B3208" s="1">
        <v>45474</v>
      </c>
      <c r="C3208">
        <v>2024</v>
      </c>
      <c r="D3208">
        <v>7</v>
      </c>
      <c r="E3208" s="2" t="s">
        <v>117</v>
      </c>
      <c r="F3208" s="2" t="s">
        <v>118</v>
      </c>
      <c r="G3208" s="2" t="s">
        <v>80</v>
      </c>
      <c r="H3208" s="2" t="s">
        <v>81</v>
      </c>
      <c r="I3208" s="2" t="s">
        <v>82</v>
      </c>
      <c r="J3208" s="2" t="s">
        <v>59</v>
      </c>
      <c r="K3208">
        <v>4.54</v>
      </c>
      <c r="L3208">
        <v>25280806.75</v>
      </c>
      <c r="M3208">
        <v>556845963.65999997</v>
      </c>
      <c r="N3208" s="2" t="s">
        <v>119</v>
      </c>
      <c r="O3208" s="2" t="s">
        <v>120</v>
      </c>
      <c r="P3208" s="2" t="s">
        <v>5672</v>
      </c>
      <c r="Q3208" s="2" t="s">
        <v>5673</v>
      </c>
      <c r="R3208" s="2" t="s">
        <v>29</v>
      </c>
      <c r="S3208" s="2" t="s">
        <v>30</v>
      </c>
    </row>
    <row r="3209" spans="1:19">
      <c r="A3209" s="1">
        <v>45474</v>
      </c>
      <c r="B3209" s="1">
        <v>45474</v>
      </c>
      <c r="C3209">
        <v>2024</v>
      </c>
      <c r="D3209">
        <v>7</v>
      </c>
      <c r="E3209" s="2" t="s">
        <v>123</v>
      </c>
      <c r="F3209" s="2" t="s">
        <v>124</v>
      </c>
      <c r="G3209" s="2" t="s">
        <v>21</v>
      </c>
      <c r="H3209" s="2" t="s">
        <v>22</v>
      </c>
      <c r="I3209" s="2" t="s">
        <v>73</v>
      </c>
      <c r="J3209" s="2" t="s">
        <v>24</v>
      </c>
      <c r="K3209">
        <v>1866.86</v>
      </c>
      <c r="L3209">
        <v>110386.12</v>
      </c>
      <c r="M3209">
        <v>5912.93</v>
      </c>
      <c r="N3209" s="2" t="s">
        <v>125</v>
      </c>
      <c r="O3209" s="2" t="s">
        <v>126</v>
      </c>
      <c r="P3209" s="2" t="s">
        <v>5674</v>
      </c>
      <c r="Q3209" s="2" t="s">
        <v>5675</v>
      </c>
      <c r="R3209" s="2" t="s">
        <v>29</v>
      </c>
      <c r="S3209" s="2" t="s">
        <v>30</v>
      </c>
    </row>
    <row r="3210" spans="1:19">
      <c r="A3210" s="1">
        <v>45474</v>
      </c>
      <c r="B3210" s="1">
        <v>45474</v>
      </c>
      <c r="C3210">
        <v>2024</v>
      </c>
      <c r="D3210">
        <v>7</v>
      </c>
      <c r="E3210" s="2" t="s">
        <v>129</v>
      </c>
      <c r="F3210" s="2" t="s">
        <v>130</v>
      </c>
      <c r="G3210" s="2" t="s">
        <v>21</v>
      </c>
      <c r="H3210" s="2" t="s">
        <v>22</v>
      </c>
      <c r="I3210" s="2" t="s">
        <v>73</v>
      </c>
      <c r="J3210" s="2" t="s">
        <v>24</v>
      </c>
      <c r="K3210">
        <v>1970.94</v>
      </c>
      <c r="L3210">
        <v>62284.09</v>
      </c>
      <c r="M3210">
        <v>3160.12</v>
      </c>
      <c r="N3210" s="2" t="s">
        <v>131</v>
      </c>
      <c r="O3210" s="2" t="s">
        <v>132</v>
      </c>
      <c r="P3210" s="2" t="s">
        <v>5676</v>
      </c>
      <c r="Q3210" s="2" t="s">
        <v>5677</v>
      </c>
      <c r="R3210" s="2" t="s">
        <v>29</v>
      </c>
      <c r="S3210" s="2" t="s">
        <v>30</v>
      </c>
    </row>
    <row r="3211" spans="1:19">
      <c r="A3211" s="1">
        <v>45474</v>
      </c>
      <c r="B3211" s="1">
        <v>45474</v>
      </c>
      <c r="C3211">
        <v>2024</v>
      </c>
      <c r="D3211">
        <v>7</v>
      </c>
      <c r="E3211" s="2" t="s">
        <v>135</v>
      </c>
      <c r="F3211" s="2" t="s">
        <v>136</v>
      </c>
      <c r="G3211" s="2" t="s">
        <v>21</v>
      </c>
      <c r="H3211" s="2" t="s">
        <v>22</v>
      </c>
      <c r="I3211" s="2" t="s">
        <v>73</v>
      </c>
      <c r="J3211" s="2" t="s">
        <v>101</v>
      </c>
      <c r="K3211">
        <v>3837.8</v>
      </c>
      <c r="L3211">
        <v>172670.21</v>
      </c>
      <c r="M3211">
        <v>4499.2</v>
      </c>
      <c r="N3211" s="2" t="s">
        <v>137</v>
      </c>
      <c r="O3211" s="2" t="s">
        <v>138</v>
      </c>
      <c r="P3211" s="2" t="s">
        <v>5678</v>
      </c>
      <c r="Q3211" s="2" t="s">
        <v>5679</v>
      </c>
      <c r="R3211" s="2" t="s">
        <v>29</v>
      </c>
      <c r="S3211" s="2" t="s">
        <v>30</v>
      </c>
    </row>
    <row r="3212" spans="1:19">
      <c r="A3212" s="1">
        <v>45474</v>
      </c>
      <c r="B3212" s="1">
        <v>45474</v>
      </c>
      <c r="C3212">
        <v>2024</v>
      </c>
      <c r="D3212">
        <v>7</v>
      </c>
      <c r="E3212" s="2" t="s">
        <v>141</v>
      </c>
      <c r="F3212" s="2" t="s">
        <v>142</v>
      </c>
      <c r="G3212" s="2" t="s">
        <v>21</v>
      </c>
      <c r="H3212" s="2" t="s">
        <v>22</v>
      </c>
      <c r="I3212" s="2" t="s">
        <v>73</v>
      </c>
      <c r="J3212" s="2" t="s">
        <v>24</v>
      </c>
      <c r="K3212">
        <v>387.98</v>
      </c>
      <c r="L3212">
        <v>16164.91</v>
      </c>
      <c r="M3212">
        <v>4166.43</v>
      </c>
      <c r="N3212" s="2" t="s">
        <v>143</v>
      </c>
      <c r="O3212" s="2" t="s">
        <v>144</v>
      </c>
      <c r="P3212" s="2" t="s">
        <v>5680</v>
      </c>
      <c r="Q3212" s="2" t="s">
        <v>5681</v>
      </c>
      <c r="R3212" s="2" t="s">
        <v>29</v>
      </c>
      <c r="S3212" s="2" t="s">
        <v>30</v>
      </c>
    </row>
    <row r="3213" spans="1:19">
      <c r="A3213" s="1">
        <v>45474</v>
      </c>
      <c r="B3213" s="1">
        <v>45474</v>
      </c>
      <c r="C3213">
        <v>2024</v>
      </c>
      <c r="D3213">
        <v>7</v>
      </c>
      <c r="E3213" s="2" t="s">
        <v>147</v>
      </c>
      <c r="F3213" s="2" t="s">
        <v>148</v>
      </c>
      <c r="G3213" s="2" t="s">
        <v>21</v>
      </c>
      <c r="H3213" s="2" t="s">
        <v>22</v>
      </c>
      <c r="I3213" s="2" t="s">
        <v>73</v>
      </c>
      <c r="J3213" s="2" t="s">
        <v>24</v>
      </c>
      <c r="K3213">
        <v>1068.58</v>
      </c>
      <c r="L3213">
        <v>28599.759999999998</v>
      </c>
      <c r="M3213">
        <v>2676.43</v>
      </c>
      <c r="N3213" s="2" t="s">
        <v>149</v>
      </c>
      <c r="O3213" s="2" t="s">
        <v>150</v>
      </c>
      <c r="P3213" s="2" t="s">
        <v>5682</v>
      </c>
      <c r="Q3213" s="2" t="s">
        <v>5683</v>
      </c>
      <c r="R3213" s="2" t="s">
        <v>29</v>
      </c>
      <c r="S3213" s="2" t="s">
        <v>30</v>
      </c>
    </row>
    <row r="3214" spans="1:19">
      <c r="A3214" s="1">
        <v>45474</v>
      </c>
      <c r="B3214" s="1">
        <v>45474</v>
      </c>
      <c r="C3214">
        <v>2024</v>
      </c>
      <c r="D3214">
        <v>7</v>
      </c>
      <c r="E3214" s="2" t="s">
        <v>153</v>
      </c>
      <c r="F3214" s="2" t="s">
        <v>154</v>
      </c>
      <c r="G3214" s="2" t="s">
        <v>21</v>
      </c>
      <c r="H3214" s="2" t="s">
        <v>22</v>
      </c>
      <c r="I3214" s="2" t="s">
        <v>73</v>
      </c>
      <c r="J3214" s="2" t="s">
        <v>101</v>
      </c>
      <c r="K3214">
        <v>1456.56</v>
      </c>
      <c r="L3214">
        <v>44764.67</v>
      </c>
      <c r="M3214">
        <v>3073.31</v>
      </c>
      <c r="N3214" s="2" t="s">
        <v>155</v>
      </c>
      <c r="O3214" s="2" t="s">
        <v>156</v>
      </c>
      <c r="P3214" s="2" t="s">
        <v>5684</v>
      </c>
      <c r="Q3214" s="2" t="s">
        <v>5685</v>
      </c>
      <c r="R3214" s="2" t="s">
        <v>29</v>
      </c>
      <c r="S3214" s="2" t="s">
        <v>30</v>
      </c>
    </row>
    <row r="3215" spans="1:19">
      <c r="A3215" s="1">
        <v>45474</v>
      </c>
      <c r="B3215" s="1">
        <v>45474</v>
      </c>
      <c r="C3215">
        <v>2024</v>
      </c>
      <c r="D3215">
        <v>7</v>
      </c>
      <c r="E3215" s="2" t="s">
        <v>159</v>
      </c>
      <c r="F3215" s="2" t="s">
        <v>160</v>
      </c>
      <c r="G3215" s="2" t="s">
        <v>21</v>
      </c>
      <c r="H3215" s="2" t="s">
        <v>22</v>
      </c>
      <c r="I3215" s="2" t="s">
        <v>66</v>
      </c>
      <c r="J3215" s="2" t="s">
        <v>59</v>
      </c>
      <c r="K3215">
        <v>1734.76</v>
      </c>
      <c r="L3215">
        <v>175789.01</v>
      </c>
      <c r="M3215">
        <v>10133.33</v>
      </c>
      <c r="N3215" s="2" t="s">
        <v>161</v>
      </c>
      <c r="O3215" s="2" t="s">
        <v>162</v>
      </c>
      <c r="P3215" s="2" t="s">
        <v>5686</v>
      </c>
      <c r="Q3215" s="2" t="s">
        <v>5687</v>
      </c>
      <c r="R3215" s="2" t="s">
        <v>29</v>
      </c>
      <c r="S3215" s="2" t="s">
        <v>30</v>
      </c>
    </row>
    <row r="3216" spans="1:19">
      <c r="A3216" s="1">
        <v>45474</v>
      </c>
      <c r="B3216" s="1">
        <v>45474</v>
      </c>
      <c r="C3216">
        <v>2024</v>
      </c>
      <c r="D3216">
        <v>7</v>
      </c>
      <c r="E3216" s="2" t="s">
        <v>165</v>
      </c>
      <c r="F3216" s="2" t="s">
        <v>166</v>
      </c>
      <c r="G3216" s="2" t="s">
        <v>21</v>
      </c>
      <c r="H3216" s="2" t="s">
        <v>22</v>
      </c>
      <c r="I3216" s="2" t="s">
        <v>23</v>
      </c>
      <c r="J3216" s="2" t="s">
        <v>24</v>
      </c>
      <c r="N3216" s="2" t="s">
        <v>167</v>
      </c>
      <c r="O3216" s="2" t="s">
        <v>168</v>
      </c>
      <c r="P3216" s="2" t="s">
        <v>175</v>
      </c>
      <c r="Q3216" s="2" t="s">
        <v>175</v>
      </c>
      <c r="R3216" s="2" t="s">
        <v>640</v>
      </c>
      <c r="S3216" s="2" t="s">
        <v>641</v>
      </c>
    </row>
    <row r="3217" spans="1:19">
      <c r="A3217" s="1">
        <v>45474</v>
      </c>
      <c r="B3217" s="1">
        <v>45474</v>
      </c>
      <c r="C3217">
        <v>2024</v>
      </c>
      <c r="D3217">
        <v>7</v>
      </c>
      <c r="E3217" s="2" t="s">
        <v>171</v>
      </c>
      <c r="F3217" s="2" t="s">
        <v>172</v>
      </c>
      <c r="G3217" s="2" t="s">
        <v>21</v>
      </c>
      <c r="H3217" s="2" t="s">
        <v>22</v>
      </c>
      <c r="I3217" s="2" t="s">
        <v>66</v>
      </c>
      <c r="J3217" s="2" t="s">
        <v>24</v>
      </c>
      <c r="N3217" s="2" t="s">
        <v>173</v>
      </c>
      <c r="O3217" s="2" t="s">
        <v>174</v>
      </c>
      <c r="P3217" s="2" t="s">
        <v>175</v>
      </c>
      <c r="Q3217" s="2" t="s">
        <v>175</v>
      </c>
      <c r="R3217" s="2" t="s">
        <v>640</v>
      </c>
      <c r="S3217" s="2" t="s">
        <v>641</v>
      </c>
    </row>
    <row r="3218" spans="1:19">
      <c r="A3218" s="1">
        <v>45474</v>
      </c>
      <c r="B3218" s="1">
        <v>45474</v>
      </c>
      <c r="C3218">
        <v>2024</v>
      </c>
      <c r="D3218">
        <v>7</v>
      </c>
      <c r="E3218" s="2" t="s">
        <v>177</v>
      </c>
      <c r="F3218" s="2" t="s">
        <v>178</v>
      </c>
      <c r="G3218" s="2" t="s">
        <v>21</v>
      </c>
      <c r="H3218" s="2" t="s">
        <v>22</v>
      </c>
      <c r="I3218" s="2" t="s">
        <v>23</v>
      </c>
      <c r="J3218" s="2" t="s">
        <v>24</v>
      </c>
      <c r="K3218">
        <v>4902.84</v>
      </c>
      <c r="L3218">
        <v>593176.57999999996</v>
      </c>
      <c r="M3218">
        <v>12098.63</v>
      </c>
      <c r="N3218" s="2" t="s">
        <v>179</v>
      </c>
      <c r="O3218" s="2" t="s">
        <v>180</v>
      </c>
      <c r="P3218" s="2" t="s">
        <v>5688</v>
      </c>
      <c r="Q3218" s="2" t="s">
        <v>5689</v>
      </c>
      <c r="R3218" s="2" t="s">
        <v>29</v>
      </c>
      <c r="S3218" s="2" t="s">
        <v>30</v>
      </c>
    </row>
    <row r="3219" spans="1:19">
      <c r="A3219" s="1">
        <v>45474</v>
      </c>
      <c r="B3219" s="1">
        <v>45474</v>
      </c>
      <c r="C3219">
        <v>2024</v>
      </c>
      <c r="D3219">
        <v>7</v>
      </c>
      <c r="E3219" s="2" t="s">
        <v>183</v>
      </c>
      <c r="F3219" s="2" t="s">
        <v>184</v>
      </c>
      <c r="G3219" s="2" t="s">
        <v>185</v>
      </c>
      <c r="H3219" s="2" t="s">
        <v>22</v>
      </c>
      <c r="I3219" s="2" t="s">
        <v>186</v>
      </c>
      <c r="J3219" s="2" t="s">
        <v>24</v>
      </c>
      <c r="K3219">
        <v>3078.34</v>
      </c>
      <c r="L3219">
        <v>5137736.6900000004</v>
      </c>
      <c r="M3219">
        <v>166899.59</v>
      </c>
      <c r="N3219" s="2" t="s">
        <v>187</v>
      </c>
      <c r="O3219" s="2" t="s">
        <v>188</v>
      </c>
      <c r="P3219" s="2" t="s">
        <v>5690</v>
      </c>
      <c r="Q3219" s="2" t="s">
        <v>5691</v>
      </c>
      <c r="R3219" s="2" t="s">
        <v>29</v>
      </c>
      <c r="S3219" s="2" t="s">
        <v>30</v>
      </c>
    </row>
    <row r="3220" spans="1:19">
      <c r="A3220" s="1">
        <v>45474</v>
      </c>
      <c r="B3220" s="1">
        <v>45474</v>
      </c>
      <c r="C3220">
        <v>2024</v>
      </c>
      <c r="D3220">
        <v>7</v>
      </c>
      <c r="E3220" s="2" t="s">
        <v>191</v>
      </c>
      <c r="F3220" s="2" t="s">
        <v>192</v>
      </c>
      <c r="G3220" s="2" t="s">
        <v>185</v>
      </c>
      <c r="H3220" s="2" t="s">
        <v>22</v>
      </c>
      <c r="I3220" s="2" t="s">
        <v>186</v>
      </c>
      <c r="J3220" s="2" t="s">
        <v>24</v>
      </c>
      <c r="K3220">
        <v>1227.4100000000001</v>
      </c>
      <c r="L3220">
        <v>5820941.7999999998</v>
      </c>
      <c r="M3220">
        <v>474245.92</v>
      </c>
      <c r="N3220" s="2" t="s">
        <v>193</v>
      </c>
      <c r="O3220" s="2" t="s">
        <v>194</v>
      </c>
      <c r="P3220" s="2" t="s">
        <v>5692</v>
      </c>
      <c r="Q3220" s="2" t="s">
        <v>5693</v>
      </c>
      <c r="R3220" s="2" t="s">
        <v>29</v>
      </c>
      <c r="S3220" s="2" t="s">
        <v>30</v>
      </c>
    </row>
    <row r="3221" spans="1:19">
      <c r="A3221" s="1">
        <v>45474</v>
      </c>
      <c r="B3221" s="1">
        <v>45474</v>
      </c>
      <c r="C3221">
        <v>2024</v>
      </c>
      <c r="D3221">
        <v>7</v>
      </c>
      <c r="E3221" s="2" t="s">
        <v>197</v>
      </c>
      <c r="F3221" s="2" t="s">
        <v>198</v>
      </c>
      <c r="G3221" s="2" t="s">
        <v>185</v>
      </c>
      <c r="H3221" s="2" t="s">
        <v>22</v>
      </c>
      <c r="I3221" s="2" t="s">
        <v>186</v>
      </c>
      <c r="J3221" s="2" t="s">
        <v>59</v>
      </c>
      <c r="K3221">
        <v>4305.75</v>
      </c>
      <c r="L3221">
        <v>10958678.49</v>
      </c>
      <c r="M3221">
        <v>254512.65</v>
      </c>
      <c r="N3221" s="2" t="s">
        <v>199</v>
      </c>
      <c r="O3221" s="2" t="s">
        <v>200</v>
      </c>
      <c r="P3221" s="2" t="s">
        <v>5694</v>
      </c>
      <c r="Q3221" s="2" t="s">
        <v>5695</v>
      </c>
      <c r="R3221" s="2" t="s">
        <v>29</v>
      </c>
      <c r="S3221" s="2" t="s">
        <v>30</v>
      </c>
    </row>
    <row r="3222" spans="1:19">
      <c r="A3222" s="1">
        <v>45474</v>
      </c>
      <c r="B3222" s="1">
        <v>45474</v>
      </c>
      <c r="C3222">
        <v>2024</v>
      </c>
      <c r="D3222">
        <v>7</v>
      </c>
      <c r="E3222" s="2" t="s">
        <v>203</v>
      </c>
      <c r="F3222" s="2" t="s">
        <v>204</v>
      </c>
      <c r="G3222" s="2" t="s">
        <v>39</v>
      </c>
      <c r="H3222" s="2" t="s">
        <v>22</v>
      </c>
      <c r="I3222" s="2" t="s">
        <v>40</v>
      </c>
      <c r="J3222" s="2" t="s">
        <v>24</v>
      </c>
      <c r="K3222">
        <v>944.29</v>
      </c>
      <c r="L3222">
        <v>23497.57</v>
      </c>
      <c r="M3222">
        <v>2488.38</v>
      </c>
      <c r="N3222" s="2" t="s">
        <v>205</v>
      </c>
      <c r="O3222" s="2" t="s">
        <v>206</v>
      </c>
      <c r="P3222" s="2" t="s">
        <v>5696</v>
      </c>
      <c r="Q3222" s="2" t="s">
        <v>5697</v>
      </c>
      <c r="R3222" s="2" t="s">
        <v>29</v>
      </c>
      <c r="S3222" s="2" t="s">
        <v>30</v>
      </c>
    </row>
    <row r="3223" spans="1:19">
      <c r="A3223" s="1">
        <v>45474</v>
      </c>
      <c r="B3223" s="1">
        <v>45474</v>
      </c>
      <c r="C3223">
        <v>2024</v>
      </c>
      <c r="D3223">
        <v>7</v>
      </c>
      <c r="E3223" s="2" t="s">
        <v>209</v>
      </c>
      <c r="F3223" s="2" t="s">
        <v>210</v>
      </c>
      <c r="G3223" s="2" t="s">
        <v>39</v>
      </c>
      <c r="H3223" s="2" t="s">
        <v>22</v>
      </c>
      <c r="I3223" s="2" t="s">
        <v>40</v>
      </c>
      <c r="J3223" s="2" t="s">
        <v>59</v>
      </c>
      <c r="K3223">
        <v>944.29</v>
      </c>
      <c r="L3223">
        <v>23497.57</v>
      </c>
      <c r="M3223">
        <v>2488.38</v>
      </c>
      <c r="N3223" s="2" t="s">
        <v>211</v>
      </c>
      <c r="O3223" s="2" t="s">
        <v>212</v>
      </c>
      <c r="P3223" s="2" t="s">
        <v>5696</v>
      </c>
      <c r="Q3223" s="2" t="s">
        <v>5697</v>
      </c>
      <c r="R3223" s="2" t="s">
        <v>29</v>
      </c>
      <c r="S3223" s="2" t="s">
        <v>30</v>
      </c>
    </row>
    <row r="3224" spans="1:19">
      <c r="A3224" s="1">
        <v>45474</v>
      </c>
      <c r="B3224" s="1">
        <v>45474</v>
      </c>
      <c r="C3224">
        <v>2024</v>
      </c>
      <c r="D3224">
        <v>7</v>
      </c>
      <c r="E3224" s="2" t="s">
        <v>213</v>
      </c>
      <c r="F3224" s="2" t="s">
        <v>214</v>
      </c>
      <c r="G3224" s="2" t="s">
        <v>185</v>
      </c>
      <c r="H3224" s="2" t="s">
        <v>22</v>
      </c>
      <c r="I3224" s="2" t="s">
        <v>215</v>
      </c>
      <c r="J3224" s="2" t="s">
        <v>24</v>
      </c>
      <c r="K3224">
        <v>129626.24000000001</v>
      </c>
      <c r="L3224">
        <v>2556572.0699999998</v>
      </c>
      <c r="M3224">
        <v>1972.26</v>
      </c>
      <c r="N3224" s="2" t="s">
        <v>216</v>
      </c>
      <c r="O3224" s="2" t="s">
        <v>217</v>
      </c>
      <c r="P3224" s="2" t="s">
        <v>5698</v>
      </c>
      <c r="Q3224" s="2" t="s">
        <v>5699</v>
      </c>
      <c r="R3224" s="2" t="s">
        <v>29</v>
      </c>
      <c r="S3224" s="2" t="s">
        <v>30</v>
      </c>
    </row>
    <row r="3225" spans="1:19">
      <c r="A3225" s="1">
        <v>45474</v>
      </c>
      <c r="B3225" s="1">
        <v>45474</v>
      </c>
      <c r="C3225">
        <v>2024</v>
      </c>
      <c r="D3225">
        <v>7</v>
      </c>
      <c r="E3225" s="2" t="s">
        <v>220</v>
      </c>
      <c r="F3225" s="2" t="s">
        <v>221</v>
      </c>
      <c r="G3225" s="2" t="s">
        <v>185</v>
      </c>
      <c r="H3225" s="2" t="s">
        <v>22</v>
      </c>
      <c r="I3225" s="2" t="s">
        <v>215</v>
      </c>
      <c r="J3225" s="2" t="s">
        <v>24</v>
      </c>
      <c r="K3225">
        <v>8897.4500000000007</v>
      </c>
      <c r="L3225">
        <v>584668.51</v>
      </c>
      <c r="M3225">
        <v>6571.19</v>
      </c>
      <c r="N3225" s="2" t="s">
        <v>222</v>
      </c>
      <c r="O3225" s="2" t="s">
        <v>223</v>
      </c>
      <c r="P3225" s="2" t="s">
        <v>5700</v>
      </c>
      <c r="Q3225" s="2" t="s">
        <v>5701</v>
      </c>
      <c r="R3225" s="2" t="s">
        <v>29</v>
      </c>
      <c r="S3225" s="2" t="s">
        <v>30</v>
      </c>
    </row>
    <row r="3226" spans="1:19">
      <c r="A3226" s="1">
        <v>45474</v>
      </c>
      <c r="B3226" s="1">
        <v>45474</v>
      </c>
      <c r="C3226">
        <v>2024</v>
      </c>
      <c r="D3226">
        <v>7</v>
      </c>
      <c r="E3226" s="2" t="s">
        <v>226</v>
      </c>
      <c r="F3226" s="2" t="s">
        <v>227</v>
      </c>
      <c r="G3226" s="2" t="s">
        <v>185</v>
      </c>
      <c r="H3226" s="2" t="s">
        <v>22</v>
      </c>
      <c r="I3226" s="2" t="s">
        <v>215</v>
      </c>
      <c r="J3226" s="2" t="s">
        <v>59</v>
      </c>
      <c r="K3226">
        <v>138523.69</v>
      </c>
      <c r="L3226">
        <v>3141240.58</v>
      </c>
      <c r="M3226">
        <v>2267.66</v>
      </c>
      <c r="N3226" s="2" t="s">
        <v>228</v>
      </c>
      <c r="O3226" s="2" t="s">
        <v>229</v>
      </c>
      <c r="P3226" s="2" t="s">
        <v>5702</v>
      </c>
      <c r="Q3226" s="2" t="s">
        <v>5703</v>
      </c>
      <c r="R3226" s="2" t="s">
        <v>29</v>
      </c>
      <c r="S3226" s="2" t="s">
        <v>30</v>
      </c>
    </row>
    <row r="3227" spans="1:19">
      <c r="A3227" s="1">
        <v>45474</v>
      </c>
      <c r="B3227" s="1">
        <v>45474</v>
      </c>
      <c r="C3227">
        <v>2024</v>
      </c>
      <c r="D3227">
        <v>7</v>
      </c>
      <c r="E3227" s="2" t="s">
        <v>232</v>
      </c>
      <c r="F3227" s="2" t="s">
        <v>233</v>
      </c>
      <c r="G3227" s="2" t="s">
        <v>21</v>
      </c>
      <c r="H3227" s="2" t="s">
        <v>22</v>
      </c>
      <c r="I3227" s="2" t="s">
        <v>23</v>
      </c>
      <c r="J3227" s="2" t="s">
        <v>24</v>
      </c>
      <c r="K3227">
        <v>1479.29</v>
      </c>
      <c r="L3227">
        <v>132397.35999999999</v>
      </c>
      <c r="M3227">
        <v>8950.06</v>
      </c>
      <c r="N3227" s="2" t="s">
        <v>234</v>
      </c>
      <c r="O3227" s="2" t="s">
        <v>235</v>
      </c>
      <c r="P3227" s="2" t="s">
        <v>5704</v>
      </c>
      <c r="Q3227" s="2" t="s">
        <v>5705</v>
      </c>
      <c r="R3227" s="2" t="s">
        <v>29</v>
      </c>
      <c r="S3227" s="2" t="s">
        <v>30</v>
      </c>
    </row>
    <row r="3228" spans="1:19">
      <c r="A3228" s="1">
        <v>45474</v>
      </c>
      <c r="B3228" s="1">
        <v>45474</v>
      </c>
      <c r="C3228">
        <v>2024</v>
      </c>
      <c r="D3228">
        <v>7</v>
      </c>
      <c r="E3228" s="2" t="s">
        <v>238</v>
      </c>
      <c r="F3228" s="2" t="s">
        <v>239</v>
      </c>
      <c r="G3228" s="2" t="s">
        <v>21</v>
      </c>
      <c r="H3228" s="2" t="s">
        <v>22</v>
      </c>
      <c r="I3228" s="2" t="s">
        <v>66</v>
      </c>
      <c r="J3228" s="2" t="s">
        <v>24</v>
      </c>
      <c r="K3228">
        <v>1588.11</v>
      </c>
      <c r="L3228">
        <v>175013.96</v>
      </c>
      <c r="M3228">
        <v>11020.27</v>
      </c>
      <c r="N3228" s="2" t="s">
        <v>240</v>
      </c>
      <c r="O3228" s="2" t="s">
        <v>241</v>
      </c>
      <c r="P3228" s="2" t="s">
        <v>5706</v>
      </c>
      <c r="Q3228" s="2" t="s">
        <v>5707</v>
      </c>
      <c r="R3228" s="2" t="s">
        <v>29</v>
      </c>
      <c r="S3228" s="2" t="s">
        <v>30</v>
      </c>
    </row>
    <row r="3229" spans="1:19">
      <c r="A3229" s="1">
        <v>45474</v>
      </c>
      <c r="B3229" s="1">
        <v>45474</v>
      </c>
      <c r="C3229">
        <v>2024</v>
      </c>
      <c r="D3229">
        <v>7</v>
      </c>
      <c r="E3229" s="2" t="s">
        <v>244</v>
      </c>
      <c r="F3229" s="2" t="s">
        <v>245</v>
      </c>
      <c r="G3229" s="2" t="s">
        <v>21</v>
      </c>
      <c r="H3229" s="2" t="s">
        <v>22</v>
      </c>
      <c r="I3229" s="2" t="s">
        <v>23</v>
      </c>
      <c r="J3229" s="2" t="s">
        <v>24</v>
      </c>
      <c r="K3229">
        <v>8006.14</v>
      </c>
      <c r="L3229">
        <v>3662263.72</v>
      </c>
      <c r="M3229">
        <v>45743.19</v>
      </c>
      <c r="N3229" s="2" t="s">
        <v>246</v>
      </c>
      <c r="O3229" s="2" t="s">
        <v>247</v>
      </c>
      <c r="P3229" s="2" t="s">
        <v>5708</v>
      </c>
      <c r="Q3229" s="2" t="s">
        <v>5709</v>
      </c>
      <c r="R3229" s="2" t="s">
        <v>29</v>
      </c>
      <c r="S3229" s="2" t="s">
        <v>30</v>
      </c>
    </row>
    <row r="3230" spans="1:19">
      <c r="A3230" s="1">
        <v>45474</v>
      </c>
      <c r="B3230" s="1">
        <v>45474</v>
      </c>
      <c r="C3230">
        <v>2024</v>
      </c>
      <c r="D3230">
        <v>7</v>
      </c>
      <c r="E3230" s="2" t="s">
        <v>250</v>
      </c>
      <c r="F3230" s="2" t="s">
        <v>251</v>
      </c>
      <c r="G3230" s="2" t="s">
        <v>21</v>
      </c>
      <c r="H3230" s="2" t="s">
        <v>22</v>
      </c>
      <c r="I3230" s="2" t="s">
        <v>66</v>
      </c>
      <c r="J3230" s="2" t="s">
        <v>24</v>
      </c>
      <c r="K3230">
        <v>127.4</v>
      </c>
      <c r="L3230">
        <v>200.02</v>
      </c>
      <c r="M3230">
        <v>157</v>
      </c>
      <c r="N3230" s="2" t="s">
        <v>252</v>
      </c>
      <c r="O3230" s="2" t="s">
        <v>253</v>
      </c>
      <c r="P3230" s="2" t="s">
        <v>5710</v>
      </c>
      <c r="Q3230" s="2" t="s">
        <v>5711</v>
      </c>
      <c r="R3230" s="2" t="s">
        <v>29</v>
      </c>
      <c r="S3230" s="2" t="s">
        <v>30</v>
      </c>
    </row>
    <row r="3231" spans="1:19">
      <c r="A3231" s="1">
        <v>45474</v>
      </c>
      <c r="B3231" s="1">
        <v>45474</v>
      </c>
      <c r="C3231">
        <v>2024</v>
      </c>
      <c r="D3231">
        <v>7</v>
      </c>
      <c r="E3231" s="2" t="s">
        <v>256</v>
      </c>
      <c r="F3231" s="2" t="s">
        <v>257</v>
      </c>
      <c r="G3231" s="2" t="s">
        <v>21</v>
      </c>
      <c r="H3231" s="2" t="s">
        <v>22</v>
      </c>
      <c r="I3231" s="2" t="s">
        <v>258</v>
      </c>
      <c r="J3231" s="2" t="s">
        <v>24</v>
      </c>
      <c r="K3231">
        <v>531</v>
      </c>
      <c r="L3231">
        <v>610685.44999999995</v>
      </c>
      <c r="M3231">
        <v>115006.68</v>
      </c>
      <c r="N3231" s="2" t="s">
        <v>259</v>
      </c>
      <c r="O3231" s="2" t="s">
        <v>260</v>
      </c>
      <c r="P3231" s="2" t="s">
        <v>5712</v>
      </c>
      <c r="Q3231" s="2" t="s">
        <v>5713</v>
      </c>
      <c r="R3231" s="2" t="s">
        <v>29</v>
      </c>
      <c r="S3231" s="2" t="s">
        <v>30</v>
      </c>
    </row>
    <row r="3232" spans="1:19">
      <c r="A3232" s="1">
        <v>45474</v>
      </c>
      <c r="B3232" s="1">
        <v>45474</v>
      </c>
      <c r="C3232">
        <v>2024</v>
      </c>
      <c r="D3232">
        <v>7</v>
      </c>
      <c r="E3232" s="2" t="s">
        <v>263</v>
      </c>
      <c r="F3232" s="2" t="s">
        <v>264</v>
      </c>
      <c r="G3232" s="2" t="s">
        <v>21</v>
      </c>
      <c r="H3232" s="2" t="s">
        <v>22</v>
      </c>
      <c r="I3232" s="2" t="s">
        <v>258</v>
      </c>
      <c r="J3232" s="2" t="s">
        <v>24</v>
      </c>
      <c r="K3232">
        <v>0</v>
      </c>
      <c r="L3232">
        <v>0</v>
      </c>
      <c r="N3232" s="2" t="s">
        <v>265</v>
      </c>
      <c r="O3232" s="2" t="s">
        <v>266</v>
      </c>
      <c r="P3232" s="2" t="s">
        <v>639</v>
      </c>
      <c r="Q3232" s="2" t="s">
        <v>639</v>
      </c>
      <c r="R3232" s="2" t="s">
        <v>29</v>
      </c>
      <c r="S3232" s="2" t="s">
        <v>30</v>
      </c>
    </row>
    <row r="3233" spans="1:19">
      <c r="A3233" s="1">
        <v>45474</v>
      </c>
      <c r="B3233" s="1">
        <v>45474</v>
      </c>
      <c r="C3233">
        <v>2024</v>
      </c>
      <c r="D3233">
        <v>7</v>
      </c>
      <c r="E3233" s="2" t="s">
        <v>269</v>
      </c>
      <c r="F3233" s="2" t="s">
        <v>270</v>
      </c>
      <c r="G3233" s="2" t="s">
        <v>21</v>
      </c>
      <c r="H3233" s="2" t="s">
        <v>22</v>
      </c>
      <c r="I3233" s="2" t="s">
        <v>258</v>
      </c>
      <c r="J3233" s="2" t="s">
        <v>59</v>
      </c>
      <c r="K3233">
        <v>531</v>
      </c>
      <c r="L3233">
        <v>610685.44999999995</v>
      </c>
      <c r="M3233">
        <v>115006.68</v>
      </c>
      <c r="N3233" s="2" t="s">
        <v>271</v>
      </c>
      <c r="O3233" s="2" t="s">
        <v>272</v>
      </c>
      <c r="P3233" s="2" t="s">
        <v>5712</v>
      </c>
      <c r="Q3233" s="2" t="s">
        <v>5713</v>
      </c>
      <c r="R3233" s="2" t="s">
        <v>29</v>
      </c>
      <c r="S3233" s="2" t="s">
        <v>30</v>
      </c>
    </row>
    <row r="3234" spans="1:19">
      <c r="A3234" s="1">
        <v>45474</v>
      </c>
      <c r="B3234" s="1">
        <v>45474</v>
      </c>
      <c r="C3234">
        <v>2024</v>
      </c>
      <c r="D3234">
        <v>7</v>
      </c>
      <c r="E3234" s="2" t="s">
        <v>275</v>
      </c>
      <c r="F3234" s="2" t="s">
        <v>276</v>
      </c>
      <c r="G3234" s="2" t="s">
        <v>39</v>
      </c>
      <c r="H3234" s="2" t="s">
        <v>22</v>
      </c>
      <c r="I3234" s="2" t="s">
        <v>40</v>
      </c>
      <c r="J3234" s="2" t="s">
        <v>24</v>
      </c>
      <c r="K3234">
        <v>0.27</v>
      </c>
      <c r="L3234">
        <v>2.68</v>
      </c>
      <c r="M3234">
        <v>992.59</v>
      </c>
      <c r="N3234" s="2" t="s">
        <v>277</v>
      </c>
      <c r="O3234" s="2" t="s">
        <v>278</v>
      </c>
      <c r="P3234" s="2" t="s">
        <v>980</v>
      </c>
      <c r="Q3234" s="2" t="s">
        <v>2330</v>
      </c>
      <c r="R3234" s="2" t="s">
        <v>29</v>
      </c>
      <c r="S3234" s="2" t="s">
        <v>30</v>
      </c>
    </row>
    <row r="3235" spans="1:19">
      <c r="A3235" s="1">
        <v>45474</v>
      </c>
      <c r="B3235" s="1">
        <v>45474</v>
      </c>
      <c r="C3235">
        <v>2024</v>
      </c>
      <c r="D3235">
        <v>7</v>
      </c>
      <c r="E3235" s="2" t="s">
        <v>281</v>
      </c>
      <c r="F3235" s="2" t="s">
        <v>282</v>
      </c>
      <c r="G3235" s="2" t="s">
        <v>39</v>
      </c>
      <c r="H3235" s="2" t="s">
        <v>22</v>
      </c>
      <c r="I3235" s="2" t="s">
        <v>40</v>
      </c>
      <c r="J3235" s="2" t="s">
        <v>24</v>
      </c>
      <c r="K3235">
        <v>0.02</v>
      </c>
      <c r="L3235">
        <v>0.18</v>
      </c>
      <c r="M3235">
        <v>900</v>
      </c>
      <c r="N3235" s="2" t="s">
        <v>283</v>
      </c>
      <c r="O3235" s="2" t="s">
        <v>284</v>
      </c>
      <c r="P3235" s="2" t="s">
        <v>1039</v>
      </c>
      <c r="Q3235" s="2" t="s">
        <v>935</v>
      </c>
      <c r="R3235" s="2" t="s">
        <v>29</v>
      </c>
      <c r="S3235" s="2" t="s">
        <v>30</v>
      </c>
    </row>
    <row r="3236" spans="1:19">
      <c r="A3236" s="1">
        <v>45474</v>
      </c>
      <c r="B3236" s="1">
        <v>45474</v>
      </c>
      <c r="C3236">
        <v>2024</v>
      </c>
      <c r="D3236">
        <v>7</v>
      </c>
      <c r="E3236" s="2" t="s">
        <v>287</v>
      </c>
      <c r="F3236" s="2" t="s">
        <v>288</v>
      </c>
      <c r="G3236" s="2" t="s">
        <v>39</v>
      </c>
      <c r="H3236" s="2" t="s">
        <v>22</v>
      </c>
      <c r="I3236" s="2" t="s">
        <v>40</v>
      </c>
      <c r="J3236" s="2" t="s">
        <v>59</v>
      </c>
      <c r="K3236">
        <v>0.28999999999999998</v>
      </c>
      <c r="L3236">
        <v>2.86</v>
      </c>
      <c r="M3236">
        <v>986.21</v>
      </c>
      <c r="N3236" s="2" t="s">
        <v>289</v>
      </c>
      <c r="O3236" s="2" t="s">
        <v>290</v>
      </c>
      <c r="P3236" s="2" t="s">
        <v>1138</v>
      </c>
      <c r="Q3236" s="2" t="s">
        <v>5714</v>
      </c>
      <c r="R3236" s="2" t="s">
        <v>29</v>
      </c>
      <c r="S3236" s="2" t="s">
        <v>30</v>
      </c>
    </row>
    <row r="3237" spans="1:19">
      <c r="A3237" s="1">
        <v>45474</v>
      </c>
      <c r="B3237" s="1">
        <v>45474</v>
      </c>
      <c r="C3237">
        <v>2024</v>
      </c>
      <c r="D3237">
        <v>7</v>
      </c>
      <c r="E3237" s="2" t="s">
        <v>293</v>
      </c>
      <c r="F3237" s="2" t="s">
        <v>294</v>
      </c>
      <c r="G3237" s="2" t="s">
        <v>21</v>
      </c>
      <c r="H3237" s="2" t="s">
        <v>22</v>
      </c>
      <c r="I3237" s="2" t="s">
        <v>295</v>
      </c>
      <c r="J3237" s="2" t="s">
        <v>24</v>
      </c>
      <c r="K3237">
        <v>633.04999999999995</v>
      </c>
      <c r="L3237">
        <v>4001.45</v>
      </c>
      <c r="M3237">
        <v>632.09</v>
      </c>
      <c r="N3237" s="2" t="s">
        <v>296</v>
      </c>
      <c r="O3237" s="2" t="s">
        <v>297</v>
      </c>
      <c r="P3237" s="2" t="s">
        <v>5715</v>
      </c>
      <c r="Q3237" s="2" t="s">
        <v>5716</v>
      </c>
      <c r="R3237" s="2" t="s">
        <v>29</v>
      </c>
      <c r="S3237" s="2" t="s">
        <v>30</v>
      </c>
    </row>
    <row r="3238" spans="1:19">
      <c r="A3238" s="1">
        <v>45474</v>
      </c>
      <c r="B3238" s="1">
        <v>45474</v>
      </c>
      <c r="C3238">
        <v>2024</v>
      </c>
      <c r="D3238">
        <v>7</v>
      </c>
      <c r="E3238" s="2" t="s">
        <v>300</v>
      </c>
      <c r="F3238" s="2" t="s">
        <v>301</v>
      </c>
      <c r="G3238" s="2" t="s">
        <v>21</v>
      </c>
      <c r="H3238" s="2" t="s">
        <v>22</v>
      </c>
      <c r="I3238" s="2" t="s">
        <v>295</v>
      </c>
      <c r="J3238" s="2" t="s">
        <v>24</v>
      </c>
      <c r="K3238">
        <v>713.97</v>
      </c>
      <c r="L3238">
        <v>939.97</v>
      </c>
      <c r="M3238">
        <v>131.65</v>
      </c>
      <c r="N3238" s="2" t="s">
        <v>302</v>
      </c>
      <c r="O3238" s="2" t="s">
        <v>303</v>
      </c>
      <c r="P3238" s="2" t="s">
        <v>5717</v>
      </c>
      <c r="Q3238" s="2" t="s">
        <v>5718</v>
      </c>
      <c r="R3238" s="2" t="s">
        <v>29</v>
      </c>
      <c r="S3238" s="2" t="s">
        <v>30</v>
      </c>
    </row>
    <row r="3239" spans="1:19">
      <c r="A3239" s="1">
        <v>45474</v>
      </c>
      <c r="B3239" s="1">
        <v>45474</v>
      </c>
      <c r="C3239">
        <v>2024</v>
      </c>
      <c r="D3239">
        <v>7</v>
      </c>
      <c r="E3239" s="2" t="s">
        <v>306</v>
      </c>
      <c r="F3239" s="2" t="s">
        <v>307</v>
      </c>
      <c r="G3239" s="2" t="s">
        <v>21</v>
      </c>
      <c r="H3239" s="2" t="s">
        <v>22</v>
      </c>
      <c r="I3239" s="2" t="s">
        <v>295</v>
      </c>
      <c r="J3239" s="2" t="s">
        <v>101</v>
      </c>
      <c r="K3239">
        <v>1347.01</v>
      </c>
      <c r="L3239">
        <v>4941.43</v>
      </c>
      <c r="M3239">
        <v>366.84</v>
      </c>
      <c r="N3239" s="2" t="s">
        <v>308</v>
      </c>
      <c r="O3239" s="2" t="s">
        <v>309</v>
      </c>
      <c r="P3239" s="2" t="s">
        <v>5719</v>
      </c>
      <c r="Q3239" s="2" t="s">
        <v>5720</v>
      </c>
      <c r="R3239" s="2" t="s">
        <v>29</v>
      </c>
      <c r="S3239" s="2" t="s">
        <v>30</v>
      </c>
    </row>
    <row r="3240" spans="1:19">
      <c r="A3240" s="1">
        <v>45474</v>
      </c>
      <c r="B3240" s="1">
        <v>45474</v>
      </c>
      <c r="C3240">
        <v>2024</v>
      </c>
      <c r="D3240">
        <v>7</v>
      </c>
      <c r="E3240" s="2" t="s">
        <v>312</v>
      </c>
      <c r="F3240" s="2" t="s">
        <v>313</v>
      </c>
      <c r="G3240" s="2" t="s">
        <v>21</v>
      </c>
      <c r="H3240" s="2" t="s">
        <v>22</v>
      </c>
      <c r="I3240" s="2" t="s">
        <v>295</v>
      </c>
      <c r="J3240" s="2" t="s">
        <v>59</v>
      </c>
      <c r="K3240">
        <v>5356.71</v>
      </c>
      <c r="L3240">
        <v>16327.15</v>
      </c>
      <c r="M3240">
        <v>304.8</v>
      </c>
      <c r="N3240" s="2" t="s">
        <v>314</v>
      </c>
      <c r="O3240" s="2" t="s">
        <v>315</v>
      </c>
      <c r="P3240" s="2" t="s">
        <v>5721</v>
      </c>
      <c r="Q3240" s="2" t="s">
        <v>5722</v>
      </c>
      <c r="R3240" s="2" t="s">
        <v>29</v>
      </c>
      <c r="S3240" s="2" t="s">
        <v>30</v>
      </c>
    </row>
    <row r="3241" spans="1:19">
      <c r="A3241" s="1">
        <v>45474</v>
      </c>
      <c r="B3241" s="1">
        <v>45474</v>
      </c>
      <c r="C3241">
        <v>2024</v>
      </c>
      <c r="D3241">
        <v>7</v>
      </c>
      <c r="E3241" s="2" t="s">
        <v>318</v>
      </c>
      <c r="F3241" s="2" t="s">
        <v>319</v>
      </c>
      <c r="G3241" s="2" t="s">
        <v>21</v>
      </c>
      <c r="H3241" s="2" t="s">
        <v>22</v>
      </c>
      <c r="I3241" s="2" t="s">
        <v>295</v>
      </c>
      <c r="J3241" s="2" t="s">
        <v>24</v>
      </c>
      <c r="K3241">
        <v>4009.69</v>
      </c>
      <c r="L3241">
        <v>11385.73</v>
      </c>
      <c r="M3241">
        <v>283.95999999999998</v>
      </c>
      <c r="N3241" s="2" t="s">
        <v>320</v>
      </c>
      <c r="O3241" s="2" t="s">
        <v>321</v>
      </c>
      <c r="P3241" s="2" t="s">
        <v>5723</v>
      </c>
      <c r="Q3241" s="2" t="s">
        <v>5724</v>
      </c>
      <c r="R3241" s="2" t="s">
        <v>29</v>
      </c>
      <c r="S3241" s="2" t="s">
        <v>30</v>
      </c>
    </row>
    <row r="3242" spans="1:19">
      <c r="A3242" s="1">
        <v>45474</v>
      </c>
      <c r="B3242" s="1">
        <v>45474</v>
      </c>
      <c r="C3242">
        <v>2024</v>
      </c>
      <c r="D3242">
        <v>7</v>
      </c>
      <c r="E3242" s="2" t="s">
        <v>324</v>
      </c>
      <c r="F3242" s="2" t="s">
        <v>325</v>
      </c>
      <c r="G3242" s="2" t="s">
        <v>21</v>
      </c>
      <c r="H3242" s="2" t="s">
        <v>22</v>
      </c>
      <c r="I3242" s="2" t="s">
        <v>23</v>
      </c>
      <c r="J3242" s="2" t="s">
        <v>59</v>
      </c>
      <c r="K3242">
        <v>161225.51</v>
      </c>
      <c r="L3242">
        <v>6480747.8099999996</v>
      </c>
      <c r="M3242">
        <v>4019.68</v>
      </c>
      <c r="N3242" s="2" t="s">
        <v>326</v>
      </c>
      <c r="O3242" s="2" t="s">
        <v>327</v>
      </c>
      <c r="P3242" s="2" t="s">
        <v>5725</v>
      </c>
      <c r="Q3242" s="2" t="s">
        <v>5726</v>
      </c>
      <c r="R3242" s="2" t="s">
        <v>29</v>
      </c>
      <c r="S3242" s="2" t="s">
        <v>30</v>
      </c>
    </row>
    <row r="3243" spans="1:19">
      <c r="A3243" s="1">
        <v>45474</v>
      </c>
      <c r="B3243" s="1">
        <v>45474</v>
      </c>
      <c r="C3243">
        <v>2024</v>
      </c>
      <c r="D3243">
        <v>7</v>
      </c>
      <c r="E3243" s="2" t="s">
        <v>330</v>
      </c>
      <c r="F3243" s="2" t="s">
        <v>331</v>
      </c>
      <c r="G3243" s="2" t="s">
        <v>21</v>
      </c>
      <c r="H3243" s="2" t="s">
        <v>332</v>
      </c>
      <c r="I3243" s="2" t="s">
        <v>333</v>
      </c>
      <c r="J3243" s="2" t="s">
        <v>24</v>
      </c>
      <c r="K3243">
        <v>245.48</v>
      </c>
      <c r="L3243">
        <v>14531533.41</v>
      </c>
      <c r="M3243">
        <v>5919640.46</v>
      </c>
      <c r="N3243" s="2" t="s">
        <v>334</v>
      </c>
      <c r="O3243" s="2" t="s">
        <v>335</v>
      </c>
      <c r="P3243" s="2" t="s">
        <v>5727</v>
      </c>
      <c r="Q3243" s="2" t="s">
        <v>5728</v>
      </c>
      <c r="R3243" s="2" t="s">
        <v>29</v>
      </c>
      <c r="S3243" s="2" t="s">
        <v>30</v>
      </c>
    </row>
    <row r="3244" spans="1:19">
      <c r="A3244" s="1">
        <v>45474</v>
      </c>
      <c r="B3244" s="1">
        <v>45474</v>
      </c>
      <c r="C3244">
        <v>2024</v>
      </c>
      <c r="D3244">
        <v>7</v>
      </c>
      <c r="E3244" s="2" t="s">
        <v>338</v>
      </c>
      <c r="F3244" s="2" t="s">
        <v>339</v>
      </c>
      <c r="G3244" s="2" t="s">
        <v>21</v>
      </c>
      <c r="H3244" s="2" t="s">
        <v>332</v>
      </c>
      <c r="I3244" s="2" t="s">
        <v>333</v>
      </c>
      <c r="J3244" s="2" t="s">
        <v>24</v>
      </c>
      <c r="K3244">
        <v>1.19</v>
      </c>
      <c r="L3244">
        <v>1439147</v>
      </c>
      <c r="M3244">
        <v>120936722.69</v>
      </c>
      <c r="N3244" s="2" t="s">
        <v>340</v>
      </c>
      <c r="O3244" s="2" t="s">
        <v>341</v>
      </c>
      <c r="P3244" s="2" t="s">
        <v>1032</v>
      </c>
      <c r="Q3244" s="2" t="s">
        <v>5729</v>
      </c>
      <c r="R3244" s="2" t="s">
        <v>29</v>
      </c>
      <c r="S3244" s="2" t="s">
        <v>30</v>
      </c>
    </row>
    <row r="3245" spans="1:19">
      <c r="A3245" s="1">
        <v>45474</v>
      </c>
      <c r="B3245" s="1">
        <v>45474</v>
      </c>
      <c r="C3245">
        <v>2024</v>
      </c>
      <c r="D3245">
        <v>7</v>
      </c>
      <c r="E3245" s="2" t="s">
        <v>344</v>
      </c>
      <c r="F3245" s="2" t="s">
        <v>345</v>
      </c>
      <c r="G3245" s="2" t="s">
        <v>21</v>
      </c>
      <c r="H3245" s="2" t="s">
        <v>332</v>
      </c>
      <c r="I3245" s="2" t="s">
        <v>333</v>
      </c>
      <c r="J3245" s="2" t="s">
        <v>59</v>
      </c>
      <c r="K3245">
        <v>246.68</v>
      </c>
      <c r="L3245">
        <v>15970680.41</v>
      </c>
      <c r="M3245">
        <v>6474250.21</v>
      </c>
      <c r="N3245" s="2" t="s">
        <v>346</v>
      </c>
      <c r="O3245" s="2" t="s">
        <v>347</v>
      </c>
      <c r="P3245" s="2" t="s">
        <v>5730</v>
      </c>
      <c r="Q3245" s="2" t="s">
        <v>5731</v>
      </c>
      <c r="R3245" s="2" t="s">
        <v>29</v>
      </c>
      <c r="S3245" s="2" t="s">
        <v>30</v>
      </c>
    </row>
    <row r="3246" spans="1:19">
      <c r="A3246" s="1">
        <v>45474</v>
      </c>
      <c r="B3246" s="1">
        <v>45474</v>
      </c>
      <c r="C3246">
        <v>2024</v>
      </c>
      <c r="D3246">
        <v>7</v>
      </c>
      <c r="E3246" s="2" t="s">
        <v>350</v>
      </c>
      <c r="F3246" s="2" t="s">
        <v>351</v>
      </c>
      <c r="G3246" s="2" t="s">
        <v>21</v>
      </c>
      <c r="H3246" s="2" t="s">
        <v>22</v>
      </c>
      <c r="I3246" s="2" t="s">
        <v>352</v>
      </c>
      <c r="J3246" s="2" t="s">
        <v>353</v>
      </c>
      <c r="K3246">
        <v>173858.01</v>
      </c>
      <c r="L3246">
        <v>22860979.260000002</v>
      </c>
      <c r="M3246">
        <v>13149.22</v>
      </c>
      <c r="N3246" s="2" t="s">
        <v>354</v>
      </c>
      <c r="O3246" s="2" t="s">
        <v>355</v>
      </c>
      <c r="P3246" s="2" t="s">
        <v>5732</v>
      </c>
      <c r="Q3246" s="2" t="s">
        <v>5733</v>
      </c>
      <c r="R3246" s="2" t="s">
        <v>29</v>
      </c>
      <c r="S3246" s="2" t="s">
        <v>30</v>
      </c>
    </row>
    <row r="3247" spans="1:19">
      <c r="A3247" s="1">
        <v>45474</v>
      </c>
      <c r="B3247" s="1">
        <v>45474</v>
      </c>
      <c r="C3247">
        <v>2024</v>
      </c>
      <c r="D3247">
        <v>7</v>
      </c>
      <c r="E3247" s="2" t="s">
        <v>358</v>
      </c>
      <c r="F3247" s="2" t="s">
        <v>359</v>
      </c>
      <c r="G3247" s="2" t="s">
        <v>21</v>
      </c>
      <c r="H3247" s="2" t="s">
        <v>22</v>
      </c>
      <c r="I3247" s="2" t="s">
        <v>352</v>
      </c>
      <c r="J3247" s="2" t="s">
        <v>353</v>
      </c>
      <c r="K3247">
        <v>174389.01</v>
      </c>
      <c r="L3247">
        <v>23471664.710000001</v>
      </c>
      <c r="M3247">
        <v>13459.37</v>
      </c>
      <c r="N3247" s="2" t="s">
        <v>360</v>
      </c>
      <c r="O3247" s="2" t="s">
        <v>361</v>
      </c>
      <c r="P3247" s="2" t="s">
        <v>5734</v>
      </c>
      <c r="Q3247" s="2" t="s">
        <v>5735</v>
      </c>
      <c r="R3247" s="2" t="s">
        <v>29</v>
      </c>
      <c r="S3247" s="2" t="s">
        <v>30</v>
      </c>
    </row>
    <row r="3248" spans="1:19">
      <c r="A3248" s="1">
        <v>45474</v>
      </c>
      <c r="B3248" s="1">
        <v>45474</v>
      </c>
      <c r="C3248">
        <v>2024</v>
      </c>
      <c r="D3248">
        <v>7</v>
      </c>
      <c r="E3248" s="2" t="s">
        <v>364</v>
      </c>
      <c r="F3248" s="2" t="s">
        <v>365</v>
      </c>
      <c r="G3248" s="2" t="s">
        <v>21</v>
      </c>
      <c r="H3248" s="2" t="s">
        <v>22</v>
      </c>
      <c r="I3248" s="2" t="s">
        <v>352</v>
      </c>
      <c r="J3248" s="2" t="s">
        <v>353</v>
      </c>
      <c r="K3248">
        <v>174142.33</v>
      </c>
      <c r="L3248">
        <v>7500984.2999999998</v>
      </c>
      <c r="M3248">
        <v>4307.3900000000003</v>
      </c>
      <c r="N3248" s="2" t="s">
        <v>366</v>
      </c>
      <c r="O3248" s="2" t="s">
        <v>367</v>
      </c>
      <c r="P3248" s="2" t="s">
        <v>5736</v>
      </c>
      <c r="Q3248" s="2" t="s">
        <v>5737</v>
      </c>
      <c r="R3248" s="2" t="s">
        <v>29</v>
      </c>
      <c r="S3248" s="2" t="s">
        <v>30</v>
      </c>
    </row>
    <row r="3249" spans="1:19">
      <c r="A3249" s="1">
        <v>45474</v>
      </c>
      <c r="B3249" s="1">
        <v>45474</v>
      </c>
      <c r="C3249">
        <v>2024</v>
      </c>
      <c r="D3249">
        <v>7</v>
      </c>
      <c r="E3249" s="2" t="s">
        <v>370</v>
      </c>
      <c r="F3249" s="2" t="s">
        <v>371</v>
      </c>
      <c r="G3249" s="2" t="s">
        <v>21</v>
      </c>
      <c r="H3249" s="2" t="s">
        <v>22</v>
      </c>
      <c r="I3249" s="2" t="s">
        <v>23</v>
      </c>
      <c r="J3249" s="2" t="s">
        <v>24</v>
      </c>
      <c r="K3249">
        <v>144355.54</v>
      </c>
      <c r="L3249">
        <v>2064292.41</v>
      </c>
      <c r="M3249">
        <v>1430.01</v>
      </c>
      <c r="N3249" s="2" t="s">
        <v>372</v>
      </c>
      <c r="O3249" s="2" t="s">
        <v>373</v>
      </c>
      <c r="P3249" s="2" t="s">
        <v>5738</v>
      </c>
      <c r="Q3249" s="2" t="s">
        <v>5739</v>
      </c>
      <c r="R3249" s="2" t="s">
        <v>29</v>
      </c>
      <c r="S3249" s="2" t="s">
        <v>30</v>
      </c>
    </row>
    <row r="3250" spans="1:19">
      <c r="A3250" s="1">
        <v>45474</v>
      </c>
      <c r="B3250" s="1">
        <v>45474</v>
      </c>
      <c r="C3250">
        <v>2024</v>
      </c>
      <c r="D3250">
        <v>7</v>
      </c>
      <c r="E3250" s="2" t="s">
        <v>376</v>
      </c>
      <c r="F3250" s="2" t="s">
        <v>377</v>
      </c>
      <c r="G3250" s="2" t="s">
        <v>21</v>
      </c>
      <c r="H3250" s="2" t="s">
        <v>22</v>
      </c>
      <c r="I3250" s="2" t="s">
        <v>23</v>
      </c>
      <c r="J3250" s="2" t="s">
        <v>378</v>
      </c>
      <c r="K3250">
        <v>1.4</v>
      </c>
      <c r="L3250">
        <v>14.93</v>
      </c>
      <c r="M3250">
        <v>1066.43</v>
      </c>
      <c r="N3250" s="2" t="s">
        <v>379</v>
      </c>
      <c r="O3250" s="2" t="s">
        <v>380</v>
      </c>
      <c r="P3250" s="2" t="s">
        <v>5740</v>
      </c>
      <c r="Q3250" s="2" t="s">
        <v>5741</v>
      </c>
      <c r="R3250" s="2" t="s">
        <v>29</v>
      </c>
      <c r="S3250" s="2" t="s">
        <v>30</v>
      </c>
    </row>
    <row r="3251" spans="1:19">
      <c r="A3251" s="1">
        <v>45505</v>
      </c>
      <c r="B3251" s="1">
        <v>45505</v>
      </c>
      <c r="C3251">
        <v>2024</v>
      </c>
      <c r="D3251">
        <v>8</v>
      </c>
      <c r="E3251" s="2" t="s">
        <v>19</v>
      </c>
      <c r="F3251" s="2" t="s">
        <v>20</v>
      </c>
      <c r="G3251" s="2" t="s">
        <v>21</v>
      </c>
      <c r="H3251" s="2" t="s">
        <v>22</v>
      </c>
      <c r="I3251" s="2" t="s">
        <v>23</v>
      </c>
      <c r="J3251" s="2" t="s">
        <v>24</v>
      </c>
      <c r="K3251">
        <v>0.31</v>
      </c>
      <c r="L3251">
        <v>13.2</v>
      </c>
      <c r="M3251">
        <v>4258.0600000000004</v>
      </c>
      <c r="N3251" s="2" t="s">
        <v>25</v>
      </c>
      <c r="O3251" s="2" t="s">
        <v>26</v>
      </c>
      <c r="P3251" s="2" t="s">
        <v>2811</v>
      </c>
      <c r="Q3251" s="2" t="s">
        <v>5742</v>
      </c>
      <c r="R3251" s="2" t="s">
        <v>29</v>
      </c>
      <c r="S3251" s="2" t="s">
        <v>30</v>
      </c>
    </row>
    <row r="3252" spans="1:19">
      <c r="A3252" s="1">
        <v>45505</v>
      </c>
      <c r="B3252" s="1">
        <v>45505</v>
      </c>
      <c r="C3252">
        <v>2024</v>
      </c>
      <c r="D3252">
        <v>8</v>
      </c>
      <c r="E3252" s="2" t="s">
        <v>31</v>
      </c>
      <c r="F3252" s="2" t="s">
        <v>32</v>
      </c>
      <c r="G3252" s="2" t="s">
        <v>21</v>
      </c>
      <c r="H3252" s="2" t="s">
        <v>22</v>
      </c>
      <c r="I3252" s="2" t="s">
        <v>23</v>
      </c>
      <c r="J3252" s="2" t="s">
        <v>24</v>
      </c>
      <c r="K3252">
        <v>2783.25</v>
      </c>
      <c r="L3252">
        <v>35282.81</v>
      </c>
      <c r="M3252">
        <v>1267.68</v>
      </c>
      <c r="N3252" s="2" t="s">
        <v>33</v>
      </c>
      <c r="O3252" s="2" t="s">
        <v>34</v>
      </c>
      <c r="P3252" s="2" t="s">
        <v>5743</v>
      </c>
      <c r="Q3252" s="2" t="s">
        <v>5744</v>
      </c>
      <c r="R3252" s="2" t="s">
        <v>29</v>
      </c>
      <c r="S3252" s="2" t="s">
        <v>30</v>
      </c>
    </row>
    <row r="3253" spans="1:19">
      <c r="A3253" s="1">
        <v>45505</v>
      </c>
      <c r="B3253" s="1">
        <v>45505</v>
      </c>
      <c r="C3253">
        <v>2024</v>
      </c>
      <c r="D3253">
        <v>8</v>
      </c>
      <c r="E3253" s="2" t="s">
        <v>37</v>
      </c>
      <c r="F3253" s="2" t="s">
        <v>38</v>
      </c>
      <c r="G3253" s="2" t="s">
        <v>39</v>
      </c>
      <c r="H3253" s="2" t="s">
        <v>22</v>
      </c>
      <c r="I3253" s="2" t="s">
        <v>40</v>
      </c>
      <c r="J3253" s="2" t="s">
        <v>24</v>
      </c>
      <c r="K3253">
        <v>8.4600000000000009</v>
      </c>
      <c r="L3253">
        <v>433.79</v>
      </c>
      <c r="M3253">
        <v>5127.54</v>
      </c>
      <c r="N3253" s="2" t="s">
        <v>41</v>
      </c>
      <c r="O3253" s="2" t="s">
        <v>42</v>
      </c>
      <c r="P3253" s="2" t="s">
        <v>5745</v>
      </c>
      <c r="Q3253" s="2" t="s">
        <v>5746</v>
      </c>
      <c r="R3253" s="2" t="s">
        <v>29</v>
      </c>
      <c r="S3253" s="2" t="s">
        <v>30</v>
      </c>
    </row>
    <row r="3254" spans="1:19">
      <c r="A3254" s="1">
        <v>45505</v>
      </c>
      <c r="B3254" s="1">
        <v>45505</v>
      </c>
      <c r="C3254">
        <v>2024</v>
      </c>
      <c r="D3254">
        <v>8</v>
      </c>
      <c r="E3254" s="2" t="s">
        <v>45</v>
      </c>
      <c r="F3254" s="2" t="s">
        <v>46</v>
      </c>
      <c r="G3254" s="2" t="s">
        <v>39</v>
      </c>
      <c r="H3254" s="2" t="s">
        <v>22</v>
      </c>
      <c r="I3254" s="2" t="s">
        <v>40</v>
      </c>
      <c r="J3254" s="2" t="s">
        <v>24</v>
      </c>
      <c r="K3254">
        <v>5128.53</v>
      </c>
      <c r="L3254">
        <v>253703.45</v>
      </c>
      <c r="M3254">
        <v>4946.8999999999996</v>
      </c>
      <c r="N3254" s="2" t="s">
        <v>47</v>
      </c>
      <c r="O3254" s="2" t="s">
        <v>48</v>
      </c>
      <c r="P3254" s="2" t="s">
        <v>5747</v>
      </c>
      <c r="Q3254" s="2" t="s">
        <v>5748</v>
      </c>
      <c r="R3254" s="2" t="s">
        <v>29</v>
      </c>
      <c r="S3254" s="2" t="s">
        <v>30</v>
      </c>
    </row>
    <row r="3255" spans="1:19">
      <c r="A3255" s="1">
        <v>45505</v>
      </c>
      <c r="B3255" s="1">
        <v>45505</v>
      </c>
      <c r="C3255">
        <v>2024</v>
      </c>
      <c r="D3255">
        <v>8</v>
      </c>
      <c r="E3255" s="2" t="s">
        <v>51</v>
      </c>
      <c r="F3255" s="2" t="s">
        <v>52</v>
      </c>
      <c r="G3255" s="2" t="s">
        <v>39</v>
      </c>
      <c r="H3255" s="2" t="s">
        <v>22</v>
      </c>
      <c r="I3255" s="2" t="s">
        <v>40</v>
      </c>
      <c r="J3255" s="2" t="s">
        <v>24</v>
      </c>
      <c r="K3255">
        <v>20.2</v>
      </c>
      <c r="L3255">
        <v>883.28</v>
      </c>
      <c r="M3255">
        <v>4372.67</v>
      </c>
      <c r="N3255" s="2" t="s">
        <v>53</v>
      </c>
      <c r="O3255" s="2" t="s">
        <v>54</v>
      </c>
      <c r="P3255" s="2" t="s">
        <v>5749</v>
      </c>
      <c r="Q3255" s="2" t="s">
        <v>5750</v>
      </c>
      <c r="R3255" s="2" t="s">
        <v>29</v>
      </c>
      <c r="S3255" s="2" t="s">
        <v>30</v>
      </c>
    </row>
    <row r="3256" spans="1:19">
      <c r="A3256" s="1">
        <v>45505</v>
      </c>
      <c r="B3256" s="1">
        <v>45505</v>
      </c>
      <c r="C3256">
        <v>2024</v>
      </c>
      <c r="D3256">
        <v>8</v>
      </c>
      <c r="E3256" s="2" t="s">
        <v>57</v>
      </c>
      <c r="F3256" s="2" t="s">
        <v>58</v>
      </c>
      <c r="G3256" s="2" t="s">
        <v>39</v>
      </c>
      <c r="H3256" s="2" t="s">
        <v>22</v>
      </c>
      <c r="I3256" s="2" t="s">
        <v>40</v>
      </c>
      <c r="J3256" s="2" t="s">
        <v>59</v>
      </c>
      <c r="K3256">
        <v>5157.2</v>
      </c>
      <c r="L3256">
        <v>255020.52</v>
      </c>
      <c r="M3256">
        <v>4944.9399999999996</v>
      </c>
      <c r="N3256" s="2" t="s">
        <v>60</v>
      </c>
      <c r="O3256" s="2" t="s">
        <v>61</v>
      </c>
      <c r="P3256" s="2" t="s">
        <v>5751</v>
      </c>
      <c r="Q3256" s="2" t="s">
        <v>5752</v>
      </c>
      <c r="R3256" s="2" t="s">
        <v>29</v>
      </c>
      <c r="S3256" s="2" t="s">
        <v>30</v>
      </c>
    </row>
    <row r="3257" spans="1:19">
      <c r="A3257" s="1">
        <v>45505</v>
      </c>
      <c r="B3257" s="1">
        <v>45505</v>
      </c>
      <c r="C3257">
        <v>2024</v>
      </c>
      <c r="D3257">
        <v>8</v>
      </c>
      <c r="E3257" s="2" t="s">
        <v>64</v>
      </c>
      <c r="F3257" s="2" t="s">
        <v>65</v>
      </c>
      <c r="G3257" s="2" t="s">
        <v>21</v>
      </c>
      <c r="H3257" s="2" t="s">
        <v>22</v>
      </c>
      <c r="I3257" s="2" t="s">
        <v>66</v>
      </c>
      <c r="J3257" s="2" t="s">
        <v>24</v>
      </c>
      <c r="K3257">
        <v>19.059999999999999</v>
      </c>
      <c r="L3257">
        <v>575.89</v>
      </c>
      <c r="M3257">
        <v>3021.46</v>
      </c>
      <c r="N3257" s="2" t="s">
        <v>67</v>
      </c>
      <c r="O3257" s="2" t="s">
        <v>68</v>
      </c>
      <c r="P3257" s="2" t="s">
        <v>5753</v>
      </c>
      <c r="Q3257" s="2" t="s">
        <v>5754</v>
      </c>
      <c r="R3257" s="2" t="s">
        <v>29</v>
      </c>
      <c r="S3257" s="2" t="s">
        <v>30</v>
      </c>
    </row>
    <row r="3258" spans="1:19">
      <c r="A3258" s="1">
        <v>45505</v>
      </c>
      <c r="B3258" s="1">
        <v>45505</v>
      </c>
      <c r="C3258">
        <v>2024</v>
      </c>
      <c r="D3258">
        <v>8</v>
      </c>
      <c r="E3258" s="2" t="s">
        <v>71</v>
      </c>
      <c r="F3258" s="2" t="s">
        <v>72</v>
      </c>
      <c r="G3258" s="2" t="s">
        <v>21</v>
      </c>
      <c r="H3258" s="2" t="s">
        <v>22</v>
      </c>
      <c r="I3258" s="2" t="s">
        <v>73</v>
      </c>
      <c r="J3258" s="2" t="s">
        <v>59</v>
      </c>
      <c r="K3258">
        <v>5322.94</v>
      </c>
      <c r="L3258">
        <v>211726.03</v>
      </c>
      <c r="M3258">
        <v>3977.61</v>
      </c>
      <c r="N3258" s="2" t="s">
        <v>74</v>
      </c>
      <c r="O3258" s="2" t="s">
        <v>75</v>
      </c>
      <c r="P3258" s="2" t="s">
        <v>5755</v>
      </c>
      <c r="Q3258" s="2" t="s">
        <v>5756</v>
      </c>
      <c r="R3258" s="2" t="s">
        <v>29</v>
      </c>
      <c r="S3258" s="2" t="s">
        <v>30</v>
      </c>
    </row>
    <row r="3259" spans="1:19">
      <c r="A3259" s="1">
        <v>45505</v>
      </c>
      <c r="B3259" s="1">
        <v>45505</v>
      </c>
      <c r="C3259">
        <v>2024</v>
      </c>
      <c r="D3259">
        <v>8</v>
      </c>
      <c r="E3259" s="2" t="s">
        <v>78</v>
      </c>
      <c r="F3259" s="2" t="s">
        <v>79</v>
      </c>
      <c r="G3259" s="2" t="s">
        <v>80</v>
      </c>
      <c r="H3259" s="2" t="s">
        <v>81</v>
      </c>
      <c r="I3259" s="2" t="s">
        <v>82</v>
      </c>
      <c r="J3259" s="2" t="s">
        <v>24</v>
      </c>
      <c r="K3259">
        <v>2.13</v>
      </c>
      <c r="L3259">
        <v>6911071.8600000003</v>
      </c>
      <c r="M3259">
        <v>324463467.61000001</v>
      </c>
      <c r="N3259" s="2" t="s">
        <v>83</v>
      </c>
      <c r="O3259" s="2" t="s">
        <v>84</v>
      </c>
      <c r="P3259" s="2" t="s">
        <v>2955</v>
      </c>
      <c r="Q3259" s="2" t="s">
        <v>5757</v>
      </c>
      <c r="R3259" s="2" t="s">
        <v>29</v>
      </c>
      <c r="S3259" s="2" t="s">
        <v>30</v>
      </c>
    </row>
    <row r="3260" spans="1:19">
      <c r="A3260" s="1">
        <v>45505</v>
      </c>
      <c r="B3260" s="1">
        <v>45505</v>
      </c>
      <c r="C3260">
        <v>2024</v>
      </c>
      <c r="D3260">
        <v>8</v>
      </c>
      <c r="E3260" s="2" t="s">
        <v>87</v>
      </c>
      <c r="F3260" s="2" t="s">
        <v>88</v>
      </c>
      <c r="G3260" s="2" t="s">
        <v>80</v>
      </c>
      <c r="H3260" s="2" t="s">
        <v>81</v>
      </c>
      <c r="I3260" s="2" t="s">
        <v>82</v>
      </c>
      <c r="J3260" s="2" t="s">
        <v>24</v>
      </c>
      <c r="K3260">
        <v>0.99</v>
      </c>
      <c r="L3260">
        <v>1468219.31</v>
      </c>
      <c r="M3260">
        <v>148304980.81</v>
      </c>
      <c r="N3260" s="2" t="s">
        <v>89</v>
      </c>
      <c r="O3260" s="2" t="s">
        <v>90</v>
      </c>
      <c r="P3260" s="2" t="s">
        <v>3449</v>
      </c>
      <c r="Q3260" s="2" t="s">
        <v>5758</v>
      </c>
      <c r="R3260" s="2" t="s">
        <v>29</v>
      </c>
      <c r="S3260" s="2" t="s">
        <v>30</v>
      </c>
    </row>
    <row r="3261" spans="1:19">
      <c r="A3261" s="1">
        <v>45505</v>
      </c>
      <c r="B3261" s="1">
        <v>45505</v>
      </c>
      <c r="C3261">
        <v>2024</v>
      </c>
      <c r="D3261">
        <v>8</v>
      </c>
      <c r="E3261" s="2" t="s">
        <v>93</v>
      </c>
      <c r="F3261" s="2" t="s">
        <v>94</v>
      </c>
      <c r="G3261" s="2" t="s">
        <v>80</v>
      </c>
      <c r="H3261" s="2" t="s">
        <v>81</v>
      </c>
      <c r="I3261" s="2" t="s">
        <v>82</v>
      </c>
      <c r="J3261" s="2" t="s">
        <v>24</v>
      </c>
      <c r="K3261">
        <v>0.41</v>
      </c>
      <c r="L3261">
        <v>6391038.5</v>
      </c>
      <c r="M3261">
        <v>1558789878.05</v>
      </c>
      <c r="N3261" s="2" t="s">
        <v>95</v>
      </c>
      <c r="O3261" s="2" t="s">
        <v>96</v>
      </c>
      <c r="P3261" s="2" t="s">
        <v>2036</v>
      </c>
      <c r="Q3261" s="2" t="s">
        <v>5759</v>
      </c>
      <c r="R3261" s="2" t="s">
        <v>29</v>
      </c>
      <c r="S3261" s="2" t="s">
        <v>30</v>
      </c>
    </row>
    <row r="3262" spans="1:19">
      <c r="A3262" s="1">
        <v>45505</v>
      </c>
      <c r="B3262" s="1">
        <v>45505</v>
      </c>
      <c r="C3262">
        <v>2024</v>
      </c>
      <c r="D3262">
        <v>8</v>
      </c>
      <c r="E3262" s="2" t="s">
        <v>99</v>
      </c>
      <c r="F3262" s="2" t="s">
        <v>100</v>
      </c>
      <c r="G3262" s="2" t="s">
        <v>80</v>
      </c>
      <c r="H3262" s="2" t="s">
        <v>81</v>
      </c>
      <c r="I3262" s="2" t="s">
        <v>82</v>
      </c>
      <c r="J3262" s="2" t="s">
        <v>101</v>
      </c>
      <c r="K3262">
        <v>1.62</v>
      </c>
      <c r="L3262">
        <v>15544032.76</v>
      </c>
      <c r="M3262">
        <v>959508195.05999994</v>
      </c>
      <c r="N3262" s="2" t="s">
        <v>102</v>
      </c>
      <c r="O3262" s="2" t="s">
        <v>103</v>
      </c>
      <c r="P3262" s="2" t="s">
        <v>3545</v>
      </c>
      <c r="Q3262" s="2" t="s">
        <v>5760</v>
      </c>
      <c r="R3262" s="2" t="s">
        <v>29</v>
      </c>
      <c r="S3262" s="2" t="s">
        <v>30</v>
      </c>
    </row>
    <row r="3263" spans="1:19">
      <c r="A3263" s="1">
        <v>45505</v>
      </c>
      <c r="B3263" s="1">
        <v>45505</v>
      </c>
      <c r="C3263">
        <v>2024</v>
      </c>
      <c r="D3263">
        <v>8</v>
      </c>
      <c r="E3263" s="2" t="s">
        <v>106</v>
      </c>
      <c r="F3263" s="2" t="s">
        <v>107</v>
      </c>
      <c r="G3263" s="2" t="s">
        <v>80</v>
      </c>
      <c r="H3263" s="2" t="s">
        <v>81</v>
      </c>
      <c r="I3263" s="2" t="s">
        <v>82</v>
      </c>
      <c r="J3263" s="2" t="s">
        <v>24</v>
      </c>
      <c r="K3263">
        <v>0.22</v>
      </c>
      <c r="L3263">
        <v>7684774.9500000002</v>
      </c>
      <c r="M3263">
        <v>3493079522.73</v>
      </c>
      <c r="N3263" s="2" t="s">
        <v>108</v>
      </c>
      <c r="O3263" s="2" t="s">
        <v>109</v>
      </c>
      <c r="P3263" s="2" t="s">
        <v>514</v>
      </c>
      <c r="Q3263" s="2" t="s">
        <v>5761</v>
      </c>
      <c r="R3263" s="2" t="s">
        <v>29</v>
      </c>
      <c r="S3263" s="2" t="s">
        <v>30</v>
      </c>
    </row>
    <row r="3264" spans="1:19">
      <c r="A3264" s="1">
        <v>45505</v>
      </c>
      <c r="B3264" s="1">
        <v>45505</v>
      </c>
      <c r="C3264">
        <v>2024</v>
      </c>
      <c r="D3264">
        <v>8</v>
      </c>
      <c r="E3264" s="2" t="s">
        <v>111</v>
      </c>
      <c r="F3264" s="2" t="s">
        <v>112</v>
      </c>
      <c r="G3264" s="2" t="s">
        <v>80</v>
      </c>
      <c r="H3264" s="2" t="s">
        <v>81</v>
      </c>
      <c r="I3264" s="2" t="s">
        <v>82</v>
      </c>
      <c r="J3264" s="2" t="s">
        <v>24</v>
      </c>
      <c r="K3264">
        <v>0.13</v>
      </c>
      <c r="L3264">
        <v>750873.15</v>
      </c>
      <c r="M3264">
        <v>577594730.76999998</v>
      </c>
      <c r="N3264" s="2" t="s">
        <v>113</v>
      </c>
      <c r="O3264" s="2" t="s">
        <v>114</v>
      </c>
      <c r="P3264" s="2" t="s">
        <v>3378</v>
      </c>
      <c r="Q3264" s="2" t="s">
        <v>5762</v>
      </c>
      <c r="R3264" s="2" t="s">
        <v>29</v>
      </c>
      <c r="S3264" s="2" t="s">
        <v>30</v>
      </c>
    </row>
    <row r="3265" spans="1:19">
      <c r="A3265" s="1">
        <v>45505</v>
      </c>
      <c r="B3265" s="1">
        <v>45505</v>
      </c>
      <c r="C3265">
        <v>2024</v>
      </c>
      <c r="D3265">
        <v>8</v>
      </c>
      <c r="E3265" s="2" t="s">
        <v>117</v>
      </c>
      <c r="F3265" s="2" t="s">
        <v>118</v>
      </c>
      <c r="G3265" s="2" t="s">
        <v>80</v>
      </c>
      <c r="H3265" s="2" t="s">
        <v>81</v>
      </c>
      <c r="I3265" s="2" t="s">
        <v>82</v>
      </c>
      <c r="J3265" s="2" t="s">
        <v>59</v>
      </c>
      <c r="K3265">
        <v>3.88</v>
      </c>
      <c r="L3265">
        <v>23205977.77</v>
      </c>
      <c r="M3265">
        <v>598092210.57000005</v>
      </c>
      <c r="N3265" s="2" t="s">
        <v>119</v>
      </c>
      <c r="O3265" s="2" t="s">
        <v>120</v>
      </c>
      <c r="P3265" s="2" t="s">
        <v>5763</v>
      </c>
      <c r="Q3265" s="2" t="s">
        <v>5764</v>
      </c>
      <c r="R3265" s="2" t="s">
        <v>29</v>
      </c>
      <c r="S3265" s="2" t="s">
        <v>30</v>
      </c>
    </row>
    <row r="3266" spans="1:19">
      <c r="A3266" s="1">
        <v>45505</v>
      </c>
      <c r="B3266" s="1">
        <v>45505</v>
      </c>
      <c r="C3266">
        <v>2024</v>
      </c>
      <c r="D3266">
        <v>8</v>
      </c>
      <c r="E3266" s="2" t="s">
        <v>123</v>
      </c>
      <c r="F3266" s="2" t="s">
        <v>124</v>
      </c>
      <c r="G3266" s="2" t="s">
        <v>21</v>
      </c>
      <c r="H3266" s="2" t="s">
        <v>22</v>
      </c>
      <c r="I3266" s="2" t="s">
        <v>73</v>
      </c>
      <c r="J3266" s="2" t="s">
        <v>24</v>
      </c>
      <c r="K3266">
        <v>1876.54</v>
      </c>
      <c r="L3266">
        <v>105136.14</v>
      </c>
      <c r="M3266">
        <v>5602.66</v>
      </c>
      <c r="N3266" s="2" t="s">
        <v>125</v>
      </c>
      <c r="O3266" s="2" t="s">
        <v>126</v>
      </c>
      <c r="P3266" s="2" t="s">
        <v>5765</v>
      </c>
      <c r="Q3266" s="2" t="s">
        <v>5766</v>
      </c>
      <c r="R3266" s="2" t="s">
        <v>29</v>
      </c>
      <c r="S3266" s="2" t="s">
        <v>30</v>
      </c>
    </row>
    <row r="3267" spans="1:19">
      <c r="A3267" s="1">
        <v>45505</v>
      </c>
      <c r="B3267" s="1">
        <v>45505</v>
      </c>
      <c r="C3267">
        <v>2024</v>
      </c>
      <c r="D3267">
        <v>8</v>
      </c>
      <c r="E3267" s="2" t="s">
        <v>129</v>
      </c>
      <c r="F3267" s="2" t="s">
        <v>130</v>
      </c>
      <c r="G3267" s="2" t="s">
        <v>21</v>
      </c>
      <c r="H3267" s="2" t="s">
        <v>22</v>
      </c>
      <c r="I3267" s="2" t="s">
        <v>73</v>
      </c>
      <c r="J3267" s="2" t="s">
        <v>24</v>
      </c>
      <c r="K3267">
        <v>2023.95</v>
      </c>
      <c r="L3267">
        <v>63048.06</v>
      </c>
      <c r="M3267">
        <v>3115.1</v>
      </c>
      <c r="N3267" s="2" t="s">
        <v>131</v>
      </c>
      <c r="O3267" s="2" t="s">
        <v>132</v>
      </c>
      <c r="P3267" s="2" t="s">
        <v>5767</v>
      </c>
      <c r="Q3267" s="2" t="s">
        <v>5768</v>
      </c>
      <c r="R3267" s="2" t="s">
        <v>29</v>
      </c>
      <c r="S3267" s="2" t="s">
        <v>30</v>
      </c>
    </row>
    <row r="3268" spans="1:19">
      <c r="A3268" s="1">
        <v>45505</v>
      </c>
      <c r="B3268" s="1">
        <v>45505</v>
      </c>
      <c r="C3268">
        <v>2024</v>
      </c>
      <c r="D3268">
        <v>8</v>
      </c>
      <c r="E3268" s="2" t="s">
        <v>135</v>
      </c>
      <c r="F3268" s="2" t="s">
        <v>136</v>
      </c>
      <c r="G3268" s="2" t="s">
        <v>21</v>
      </c>
      <c r="H3268" s="2" t="s">
        <v>22</v>
      </c>
      <c r="I3268" s="2" t="s">
        <v>73</v>
      </c>
      <c r="J3268" s="2" t="s">
        <v>101</v>
      </c>
      <c r="K3268">
        <v>3900.49</v>
      </c>
      <c r="L3268">
        <v>168184.19</v>
      </c>
      <c r="M3268">
        <v>4311.87</v>
      </c>
      <c r="N3268" s="2" t="s">
        <v>137</v>
      </c>
      <c r="O3268" s="2" t="s">
        <v>138</v>
      </c>
      <c r="P3268" s="2" t="s">
        <v>5769</v>
      </c>
      <c r="Q3268" s="2" t="s">
        <v>5770</v>
      </c>
      <c r="R3268" s="2" t="s">
        <v>29</v>
      </c>
      <c r="S3268" s="2" t="s">
        <v>30</v>
      </c>
    </row>
    <row r="3269" spans="1:19">
      <c r="A3269" s="1">
        <v>45505</v>
      </c>
      <c r="B3269" s="1">
        <v>45505</v>
      </c>
      <c r="C3269">
        <v>2024</v>
      </c>
      <c r="D3269">
        <v>8</v>
      </c>
      <c r="E3269" s="2" t="s">
        <v>141</v>
      </c>
      <c r="F3269" s="2" t="s">
        <v>142</v>
      </c>
      <c r="G3269" s="2" t="s">
        <v>21</v>
      </c>
      <c r="H3269" s="2" t="s">
        <v>22</v>
      </c>
      <c r="I3269" s="2" t="s">
        <v>73</v>
      </c>
      <c r="J3269" s="2" t="s">
        <v>24</v>
      </c>
      <c r="K3269">
        <v>361.05</v>
      </c>
      <c r="L3269">
        <v>14196.23</v>
      </c>
      <c r="M3269">
        <v>3931.93</v>
      </c>
      <c r="N3269" s="2" t="s">
        <v>143</v>
      </c>
      <c r="O3269" s="2" t="s">
        <v>144</v>
      </c>
      <c r="P3269" s="2" t="s">
        <v>5771</v>
      </c>
      <c r="Q3269" s="2" t="s">
        <v>5772</v>
      </c>
      <c r="R3269" s="2" t="s">
        <v>29</v>
      </c>
      <c r="S3269" s="2" t="s">
        <v>30</v>
      </c>
    </row>
    <row r="3270" spans="1:19">
      <c r="A3270" s="1">
        <v>45505</v>
      </c>
      <c r="B3270" s="1">
        <v>45505</v>
      </c>
      <c r="C3270">
        <v>2024</v>
      </c>
      <c r="D3270">
        <v>8</v>
      </c>
      <c r="E3270" s="2" t="s">
        <v>147</v>
      </c>
      <c r="F3270" s="2" t="s">
        <v>148</v>
      </c>
      <c r="G3270" s="2" t="s">
        <v>21</v>
      </c>
      <c r="H3270" s="2" t="s">
        <v>22</v>
      </c>
      <c r="I3270" s="2" t="s">
        <v>73</v>
      </c>
      <c r="J3270" s="2" t="s">
        <v>24</v>
      </c>
      <c r="K3270">
        <v>1061.4000000000001</v>
      </c>
      <c r="L3270">
        <v>29345.599999999999</v>
      </c>
      <c r="M3270">
        <v>2764.8</v>
      </c>
      <c r="N3270" s="2" t="s">
        <v>149</v>
      </c>
      <c r="O3270" s="2" t="s">
        <v>150</v>
      </c>
      <c r="P3270" s="2" t="s">
        <v>5773</v>
      </c>
      <c r="Q3270" s="2" t="s">
        <v>5774</v>
      </c>
      <c r="R3270" s="2" t="s">
        <v>29</v>
      </c>
      <c r="S3270" s="2" t="s">
        <v>30</v>
      </c>
    </row>
    <row r="3271" spans="1:19">
      <c r="A3271" s="1">
        <v>45505</v>
      </c>
      <c r="B3271" s="1">
        <v>45505</v>
      </c>
      <c r="C3271">
        <v>2024</v>
      </c>
      <c r="D3271">
        <v>8</v>
      </c>
      <c r="E3271" s="2" t="s">
        <v>153</v>
      </c>
      <c r="F3271" s="2" t="s">
        <v>154</v>
      </c>
      <c r="G3271" s="2" t="s">
        <v>21</v>
      </c>
      <c r="H3271" s="2" t="s">
        <v>22</v>
      </c>
      <c r="I3271" s="2" t="s">
        <v>73</v>
      </c>
      <c r="J3271" s="2" t="s">
        <v>101</v>
      </c>
      <c r="K3271">
        <v>1422.45</v>
      </c>
      <c r="L3271">
        <v>43541.83</v>
      </c>
      <c r="M3271">
        <v>3061.04</v>
      </c>
      <c r="N3271" s="2" t="s">
        <v>155</v>
      </c>
      <c r="O3271" s="2" t="s">
        <v>156</v>
      </c>
      <c r="P3271" s="2" t="s">
        <v>5775</v>
      </c>
      <c r="Q3271" s="2" t="s">
        <v>5776</v>
      </c>
      <c r="R3271" s="2" t="s">
        <v>29</v>
      </c>
      <c r="S3271" s="2" t="s">
        <v>30</v>
      </c>
    </row>
    <row r="3272" spans="1:19">
      <c r="A3272" s="1">
        <v>45505</v>
      </c>
      <c r="B3272" s="1">
        <v>45505</v>
      </c>
      <c r="C3272">
        <v>2024</v>
      </c>
      <c r="D3272">
        <v>8</v>
      </c>
      <c r="E3272" s="2" t="s">
        <v>159</v>
      </c>
      <c r="F3272" s="2" t="s">
        <v>160</v>
      </c>
      <c r="G3272" s="2" t="s">
        <v>21</v>
      </c>
      <c r="H3272" s="2" t="s">
        <v>22</v>
      </c>
      <c r="I3272" s="2" t="s">
        <v>66</v>
      </c>
      <c r="J3272" s="2" t="s">
        <v>59</v>
      </c>
      <c r="K3272">
        <v>1774.78</v>
      </c>
      <c r="L3272">
        <v>177161.64</v>
      </c>
      <c r="M3272">
        <v>9982.17</v>
      </c>
      <c r="N3272" s="2" t="s">
        <v>161</v>
      </c>
      <c r="O3272" s="2" t="s">
        <v>162</v>
      </c>
      <c r="P3272" s="2" t="s">
        <v>5777</v>
      </c>
      <c r="Q3272" s="2" t="s">
        <v>5778</v>
      </c>
      <c r="R3272" s="2" t="s">
        <v>29</v>
      </c>
      <c r="S3272" s="2" t="s">
        <v>30</v>
      </c>
    </row>
    <row r="3273" spans="1:19">
      <c r="A3273" s="1">
        <v>45505</v>
      </c>
      <c r="B3273" s="1">
        <v>45505</v>
      </c>
      <c r="C3273">
        <v>2024</v>
      </c>
      <c r="D3273">
        <v>8</v>
      </c>
      <c r="E3273" s="2" t="s">
        <v>165</v>
      </c>
      <c r="F3273" s="2" t="s">
        <v>166</v>
      </c>
      <c r="G3273" s="2" t="s">
        <v>21</v>
      </c>
      <c r="H3273" s="2" t="s">
        <v>22</v>
      </c>
      <c r="I3273" s="2" t="s">
        <v>23</v>
      </c>
      <c r="J3273" s="2" t="s">
        <v>24</v>
      </c>
      <c r="N3273" s="2" t="s">
        <v>167</v>
      </c>
      <c r="O3273" s="2" t="s">
        <v>168</v>
      </c>
      <c r="P3273" s="2" t="s">
        <v>175</v>
      </c>
      <c r="Q3273" s="2" t="s">
        <v>175</v>
      </c>
      <c r="R3273" s="2" t="s">
        <v>640</v>
      </c>
      <c r="S3273" s="2" t="s">
        <v>641</v>
      </c>
    </row>
    <row r="3274" spans="1:19">
      <c r="A3274" s="1">
        <v>45505</v>
      </c>
      <c r="B3274" s="1">
        <v>45505</v>
      </c>
      <c r="C3274">
        <v>2024</v>
      </c>
      <c r="D3274">
        <v>8</v>
      </c>
      <c r="E3274" s="2" t="s">
        <v>171</v>
      </c>
      <c r="F3274" s="2" t="s">
        <v>172</v>
      </c>
      <c r="G3274" s="2" t="s">
        <v>21</v>
      </c>
      <c r="H3274" s="2" t="s">
        <v>22</v>
      </c>
      <c r="I3274" s="2" t="s">
        <v>66</v>
      </c>
      <c r="J3274" s="2" t="s">
        <v>24</v>
      </c>
      <c r="N3274" s="2" t="s">
        <v>173</v>
      </c>
      <c r="O3274" s="2" t="s">
        <v>174</v>
      </c>
      <c r="P3274" s="2" t="s">
        <v>175</v>
      </c>
      <c r="Q3274" s="2" t="s">
        <v>175</v>
      </c>
      <c r="R3274" s="2" t="s">
        <v>640</v>
      </c>
      <c r="S3274" s="2" t="s">
        <v>641</v>
      </c>
    </row>
    <row r="3275" spans="1:19">
      <c r="A3275" s="1">
        <v>45505</v>
      </c>
      <c r="B3275" s="1">
        <v>45505</v>
      </c>
      <c r="C3275">
        <v>2024</v>
      </c>
      <c r="D3275">
        <v>8</v>
      </c>
      <c r="E3275" s="2" t="s">
        <v>177</v>
      </c>
      <c r="F3275" s="2" t="s">
        <v>178</v>
      </c>
      <c r="G3275" s="2" t="s">
        <v>21</v>
      </c>
      <c r="H3275" s="2" t="s">
        <v>22</v>
      </c>
      <c r="I3275" s="2" t="s">
        <v>23</v>
      </c>
      <c r="J3275" s="2" t="s">
        <v>24</v>
      </c>
      <c r="K3275">
        <v>4533.37</v>
      </c>
      <c r="L3275">
        <v>577887.9</v>
      </c>
      <c r="M3275">
        <v>12747.42</v>
      </c>
      <c r="N3275" s="2" t="s">
        <v>179</v>
      </c>
      <c r="O3275" s="2" t="s">
        <v>180</v>
      </c>
      <c r="P3275" s="2" t="s">
        <v>5779</v>
      </c>
      <c r="Q3275" s="2" t="s">
        <v>5780</v>
      </c>
      <c r="R3275" s="2" t="s">
        <v>29</v>
      </c>
      <c r="S3275" s="2" t="s">
        <v>30</v>
      </c>
    </row>
    <row r="3276" spans="1:19">
      <c r="A3276" s="1">
        <v>45505</v>
      </c>
      <c r="B3276" s="1">
        <v>45505</v>
      </c>
      <c r="C3276">
        <v>2024</v>
      </c>
      <c r="D3276">
        <v>8</v>
      </c>
      <c r="E3276" s="2" t="s">
        <v>183</v>
      </c>
      <c r="F3276" s="2" t="s">
        <v>184</v>
      </c>
      <c r="G3276" s="2" t="s">
        <v>185</v>
      </c>
      <c r="H3276" s="2" t="s">
        <v>22</v>
      </c>
      <c r="I3276" s="2" t="s">
        <v>186</v>
      </c>
      <c r="J3276" s="2" t="s">
        <v>24</v>
      </c>
      <c r="K3276">
        <v>2820.69</v>
      </c>
      <c r="L3276">
        <v>4916461.32</v>
      </c>
      <c r="M3276">
        <v>174299.95</v>
      </c>
      <c r="N3276" s="2" t="s">
        <v>187</v>
      </c>
      <c r="O3276" s="2" t="s">
        <v>188</v>
      </c>
      <c r="P3276" s="2" t="s">
        <v>5781</v>
      </c>
      <c r="Q3276" s="2" t="s">
        <v>5782</v>
      </c>
      <c r="R3276" s="2" t="s">
        <v>29</v>
      </c>
      <c r="S3276" s="2" t="s">
        <v>30</v>
      </c>
    </row>
    <row r="3277" spans="1:19">
      <c r="A3277" s="1">
        <v>45505</v>
      </c>
      <c r="B3277" s="1">
        <v>45505</v>
      </c>
      <c r="C3277">
        <v>2024</v>
      </c>
      <c r="D3277">
        <v>8</v>
      </c>
      <c r="E3277" s="2" t="s">
        <v>191</v>
      </c>
      <c r="F3277" s="2" t="s">
        <v>192</v>
      </c>
      <c r="G3277" s="2" t="s">
        <v>185</v>
      </c>
      <c r="H3277" s="2" t="s">
        <v>22</v>
      </c>
      <c r="I3277" s="2" t="s">
        <v>186</v>
      </c>
      <c r="J3277" s="2" t="s">
        <v>24</v>
      </c>
      <c r="K3277">
        <v>1159.3699999999999</v>
      </c>
      <c r="L3277">
        <v>5630895.4500000002</v>
      </c>
      <c r="M3277">
        <v>485685.8</v>
      </c>
      <c r="N3277" s="2" t="s">
        <v>193</v>
      </c>
      <c r="O3277" s="2" t="s">
        <v>194</v>
      </c>
      <c r="P3277" s="2" t="s">
        <v>5783</v>
      </c>
      <c r="Q3277" s="2" t="s">
        <v>5784</v>
      </c>
      <c r="R3277" s="2" t="s">
        <v>29</v>
      </c>
      <c r="S3277" s="2" t="s">
        <v>30</v>
      </c>
    </row>
    <row r="3278" spans="1:19">
      <c r="A3278" s="1">
        <v>45505</v>
      </c>
      <c r="B3278" s="1">
        <v>45505</v>
      </c>
      <c r="C3278">
        <v>2024</v>
      </c>
      <c r="D3278">
        <v>8</v>
      </c>
      <c r="E3278" s="2" t="s">
        <v>197</v>
      </c>
      <c r="F3278" s="2" t="s">
        <v>198</v>
      </c>
      <c r="G3278" s="2" t="s">
        <v>185</v>
      </c>
      <c r="H3278" s="2" t="s">
        <v>22</v>
      </c>
      <c r="I3278" s="2" t="s">
        <v>186</v>
      </c>
      <c r="J3278" s="2" t="s">
        <v>59</v>
      </c>
      <c r="K3278">
        <v>3980.06</v>
      </c>
      <c r="L3278">
        <v>10547356.77</v>
      </c>
      <c r="M3278">
        <v>265004.96999999997</v>
      </c>
      <c r="N3278" s="2" t="s">
        <v>199</v>
      </c>
      <c r="O3278" s="2" t="s">
        <v>200</v>
      </c>
      <c r="P3278" s="2" t="s">
        <v>5785</v>
      </c>
      <c r="Q3278" s="2" t="s">
        <v>5786</v>
      </c>
      <c r="R3278" s="2" t="s">
        <v>29</v>
      </c>
      <c r="S3278" s="2" t="s">
        <v>30</v>
      </c>
    </row>
    <row r="3279" spans="1:19">
      <c r="A3279" s="1">
        <v>45505</v>
      </c>
      <c r="B3279" s="1">
        <v>45505</v>
      </c>
      <c r="C3279">
        <v>2024</v>
      </c>
      <c r="D3279">
        <v>8</v>
      </c>
      <c r="E3279" s="2" t="s">
        <v>203</v>
      </c>
      <c r="F3279" s="2" t="s">
        <v>204</v>
      </c>
      <c r="G3279" s="2" t="s">
        <v>39</v>
      </c>
      <c r="H3279" s="2" t="s">
        <v>22</v>
      </c>
      <c r="I3279" s="2" t="s">
        <v>40</v>
      </c>
      <c r="J3279" s="2" t="s">
        <v>24</v>
      </c>
      <c r="K3279">
        <v>972.97</v>
      </c>
      <c r="L3279">
        <v>23935.45</v>
      </c>
      <c r="M3279">
        <v>2460.04</v>
      </c>
      <c r="N3279" s="2" t="s">
        <v>205</v>
      </c>
      <c r="O3279" s="2" t="s">
        <v>206</v>
      </c>
      <c r="P3279" s="2" t="s">
        <v>5787</v>
      </c>
      <c r="Q3279" s="2" t="s">
        <v>5788</v>
      </c>
      <c r="R3279" s="2" t="s">
        <v>29</v>
      </c>
      <c r="S3279" s="2" t="s">
        <v>30</v>
      </c>
    </row>
    <row r="3280" spans="1:19">
      <c r="A3280" s="1">
        <v>45505</v>
      </c>
      <c r="B3280" s="1">
        <v>45505</v>
      </c>
      <c r="C3280">
        <v>2024</v>
      </c>
      <c r="D3280">
        <v>8</v>
      </c>
      <c r="E3280" s="2" t="s">
        <v>209</v>
      </c>
      <c r="F3280" s="2" t="s">
        <v>210</v>
      </c>
      <c r="G3280" s="2" t="s">
        <v>39</v>
      </c>
      <c r="H3280" s="2" t="s">
        <v>22</v>
      </c>
      <c r="I3280" s="2" t="s">
        <v>40</v>
      </c>
      <c r="J3280" s="2" t="s">
        <v>59</v>
      </c>
      <c r="K3280">
        <v>972.97</v>
      </c>
      <c r="L3280">
        <v>23935.45</v>
      </c>
      <c r="M3280">
        <v>2460.04</v>
      </c>
      <c r="N3280" s="2" t="s">
        <v>211</v>
      </c>
      <c r="O3280" s="2" t="s">
        <v>212</v>
      </c>
      <c r="P3280" s="2" t="s">
        <v>5787</v>
      </c>
      <c r="Q3280" s="2" t="s">
        <v>5788</v>
      </c>
      <c r="R3280" s="2" t="s">
        <v>29</v>
      </c>
      <c r="S3280" s="2" t="s">
        <v>30</v>
      </c>
    </row>
    <row r="3281" spans="1:19">
      <c r="A3281" s="1">
        <v>45505</v>
      </c>
      <c r="B3281" s="1">
        <v>45505</v>
      </c>
      <c r="C3281">
        <v>2024</v>
      </c>
      <c r="D3281">
        <v>8</v>
      </c>
      <c r="E3281" s="2" t="s">
        <v>213</v>
      </c>
      <c r="F3281" s="2" t="s">
        <v>214</v>
      </c>
      <c r="G3281" s="2" t="s">
        <v>185</v>
      </c>
      <c r="H3281" s="2" t="s">
        <v>22</v>
      </c>
      <c r="I3281" s="2" t="s">
        <v>215</v>
      </c>
      <c r="J3281" s="2" t="s">
        <v>24</v>
      </c>
      <c r="K3281">
        <v>133795.17000000001</v>
      </c>
      <c r="L3281">
        <v>2568257.56</v>
      </c>
      <c r="M3281">
        <v>1919.54</v>
      </c>
      <c r="N3281" s="2" t="s">
        <v>216</v>
      </c>
      <c r="O3281" s="2" t="s">
        <v>217</v>
      </c>
      <c r="P3281" s="2" t="s">
        <v>5789</v>
      </c>
      <c r="Q3281" s="2" t="s">
        <v>5790</v>
      </c>
      <c r="R3281" s="2" t="s">
        <v>29</v>
      </c>
      <c r="S3281" s="2" t="s">
        <v>30</v>
      </c>
    </row>
    <row r="3282" spans="1:19">
      <c r="A3282" s="1">
        <v>45505</v>
      </c>
      <c r="B3282" s="1">
        <v>45505</v>
      </c>
      <c r="C3282">
        <v>2024</v>
      </c>
      <c r="D3282">
        <v>8</v>
      </c>
      <c r="E3282" s="2" t="s">
        <v>220</v>
      </c>
      <c r="F3282" s="2" t="s">
        <v>221</v>
      </c>
      <c r="G3282" s="2" t="s">
        <v>185</v>
      </c>
      <c r="H3282" s="2" t="s">
        <v>22</v>
      </c>
      <c r="I3282" s="2" t="s">
        <v>215</v>
      </c>
      <c r="J3282" s="2" t="s">
        <v>24</v>
      </c>
      <c r="K3282">
        <v>10667.99</v>
      </c>
      <c r="L3282">
        <v>614654.34</v>
      </c>
      <c r="M3282">
        <v>5761.67</v>
      </c>
      <c r="N3282" s="2" t="s">
        <v>222</v>
      </c>
      <c r="O3282" s="2" t="s">
        <v>223</v>
      </c>
      <c r="P3282" s="2" t="s">
        <v>5791</v>
      </c>
      <c r="Q3282" s="2" t="s">
        <v>5792</v>
      </c>
      <c r="R3282" s="2" t="s">
        <v>29</v>
      </c>
      <c r="S3282" s="2" t="s">
        <v>30</v>
      </c>
    </row>
    <row r="3283" spans="1:19">
      <c r="A3283" s="1">
        <v>45505</v>
      </c>
      <c r="B3283" s="1">
        <v>45505</v>
      </c>
      <c r="C3283">
        <v>2024</v>
      </c>
      <c r="D3283">
        <v>8</v>
      </c>
      <c r="E3283" s="2" t="s">
        <v>226</v>
      </c>
      <c r="F3283" s="2" t="s">
        <v>227</v>
      </c>
      <c r="G3283" s="2" t="s">
        <v>185</v>
      </c>
      <c r="H3283" s="2" t="s">
        <v>22</v>
      </c>
      <c r="I3283" s="2" t="s">
        <v>215</v>
      </c>
      <c r="J3283" s="2" t="s">
        <v>59</v>
      </c>
      <c r="K3283">
        <v>144463.15</v>
      </c>
      <c r="L3283">
        <v>3182911.91</v>
      </c>
      <c r="M3283">
        <v>2203.27</v>
      </c>
      <c r="N3283" s="2" t="s">
        <v>228</v>
      </c>
      <c r="O3283" s="2" t="s">
        <v>229</v>
      </c>
      <c r="P3283" s="2" t="s">
        <v>5793</v>
      </c>
      <c r="Q3283" s="2" t="s">
        <v>5794</v>
      </c>
      <c r="R3283" s="2" t="s">
        <v>29</v>
      </c>
      <c r="S3283" s="2" t="s">
        <v>30</v>
      </c>
    </row>
    <row r="3284" spans="1:19">
      <c r="A3284" s="1">
        <v>45505</v>
      </c>
      <c r="B3284" s="1">
        <v>45505</v>
      </c>
      <c r="C3284">
        <v>2024</v>
      </c>
      <c r="D3284">
        <v>8</v>
      </c>
      <c r="E3284" s="2" t="s">
        <v>232</v>
      </c>
      <c r="F3284" s="2" t="s">
        <v>233</v>
      </c>
      <c r="G3284" s="2" t="s">
        <v>21</v>
      </c>
      <c r="H3284" s="2" t="s">
        <v>22</v>
      </c>
      <c r="I3284" s="2" t="s">
        <v>23</v>
      </c>
      <c r="J3284" s="2" t="s">
        <v>24</v>
      </c>
      <c r="K3284">
        <v>1534.87</v>
      </c>
      <c r="L3284">
        <v>144196.03</v>
      </c>
      <c r="M3284">
        <v>9394.67</v>
      </c>
      <c r="N3284" s="2" t="s">
        <v>234</v>
      </c>
      <c r="O3284" s="2" t="s">
        <v>235</v>
      </c>
      <c r="P3284" s="2" t="s">
        <v>5795</v>
      </c>
      <c r="Q3284" s="2" t="s">
        <v>5796</v>
      </c>
      <c r="R3284" s="2" t="s">
        <v>29</v>
      </c>
      <c r="S3284" s="2" t="s">
        <v>30</v>
      </c>
    </row>
    <row r="3285" spans="1:19">
      <c r="A3285" s="1">
        <v>45505</v>
      </c>
      <c r="B3285" s="1">
        <v>45505</v>
      </c>
      <c r="C3285">
        <v>2024</v>
      </c>
      <c r="D3285">
        <v>8</v>
      </c>
      <c r="E3285" s="2" t="s">
        <v>238</v>
      </c>
      <c r="F3285" s="2" t="s">
        <v>239</v>
      </c>
      <c r="G3285" s="2" t="s">
        <v>21</v>
      </c>
      <c r="H3285" s="2" t="s">
        <v>22</v>
      </c>
      <c r="I3285" s="2" t="s">
        <v>66</v>
      </c>
      <c r="J3285" s="2" t="s">
        <v>24</v>
      </c>
      <c r="K3285">
        <v>1621.1</v>
      </c>
      <c r="L3285">
        <v>176386.38</v>
      </c>
      <c r="M3285">
        <v>10880.66</v>
      </c>
      <c r="N3285" s="2" t="s">
        <v>240</v>
      </c>
      <c r="O3285" s="2" t="s">
        <v>241</v>
      </c>
      <c r="P3285" s="2" t="s">
        <v>5797</v>
      </c>
      <c r="Q3285" s="2" t="s">
        <v>5798</v>
      </c>
      <c r="R3285" s="2" t="s">
        <v>29</v>
      </c>
      <c r="S3285" s="2" t="s">
        <v>30</v>
      </c>
    </row>
    <row r="3286" spans="1:19">
      <c r="A3286" s="1">
        <v>45505</v>
      </c>
      <c r="B3286" s="1">
        <v>45505</v>
      </c>
      <c r="C3286">
        <v>2024</v>
      </c>
      <c r="D3286">
        <v>8</v>
      </c>
      <c r="E3286" s="2" t="s">
        <v>244</v>
      </c>
      <c r="F3286" s="2" t="s">
        <v>245</v>
      </c>
      <c r="G3286" s="2" t="s">
        <v>21</v>
      </c>
      <c r="H3286" s="2" t="s">
        <v>22</v>
      </c>
      <c r="I3286" s="2" t="s">
        <v>23</v>
      </c>
      <c r="J3286" s="2" t="s">
        <v>24</v>
      </c>
      <c r="K3286">
        <v>7983.23</v>
      </c>
      <c r="L3286">
        <v>3590587.89</v>
      </c>
      <c r="M3286">
        <v>44976.63</v>
      </c>
      <c r="N3286" s="2" t="s">
        <v>246</v>
      </c>
      <c r="O3286" s="2" t="s">
        <v>247</v>
      </c>
      <c r="P3286" s="2" t="s">
        <v>5799</v>
      </c>
      <c r="Q3286" s="2" t="s">
        <v>5800</v>
      </c>
      <c r="R3286" s="2" t="s">
        <v>29</v>
      </c>
      <c r="S3286" s="2" t="s">
        <v>30</v>
      </c>
    </row>
    <row r="3287" spans="1:19">
      <c r="A3287" s="1">
        <v>45505</v>
      </c>
      <c r="B3287" s="1">
        <v>45505</v>
      </c>
      <c r="C3287">
        <v>2024</v>
      </c>
      <c r="D3287">
        <v>8</v>
      </c>
      <c r="E3287" s="2" t="s">
        <v>250</v>
      </c>
      <c r="F3287" s="2" t="s">
        <v>251</v>
      </c>
      <c r="G3287" s="2" t="s">
        <v>21</v>
      </c>
      <c r="H3287" s="2" t="s">
        <v>22</v>
      </c>
      <c r="I3287" s="2" t="s">
        <v>66</v>
      </c>
      <c r="J3287" s="2" t="s">
        <v>24</v>
      </c>
      <c r="K3287">
        <v>134.62</v>
      </c>
      <c r="L3287">
        <v>199.37</v>
      </c>
      <c r="M3287">
        <v>148.1</v>
      </c>
      <c r="N3287" s="2" t="s">
        <v>252</v>
      </c>
      <c r="O3287" s="2" t="s">
        <v>253</v>
      </c>
      <c r="P3287" s="2" t="s">
        <v>5801</v>
      </c>
      <c r="Q3287" s="2" t="s">
        <v>5802</v>
      </c>
      <c r="R3287" s="2" t="s">
        <v>29</v>
      </c>
      <c r="S3287" s="2" t="s">
        <v>30</v>
      </c>
    </row>
    <row r="3288" spans="1:19">
      <c r="A3288" s="1">
        <v>45505</v>
      </c>
      <c r="B3288" s="1">
        <v>45505</v>
      </c>
      <c r="C3288">
        <v>2024</v>
      </c>
      <c r="D3288">
        <v>8</v>
      </c>
      <c r="E3288" s="2" t="s">
        <v>256</v>
      </c>
      <c r="F3288" s="2" t="s">
        <v>257</v>
      </c>
      <c r="G3288" s="2" t="s">
        <v>21</v>
      </c>
      <c r="H3288" s="2" t="s">
        <v>22</v>
      </c>
      <c r="I3288" s="2" t="s">
        <v>258</v>
      </c>
      <c r="J3288" s="2" t="s">
        <v>24</v>
      </c>
      <c r="K3288">
        <v>508.49</v>
      </c>
      <c r="L3288">
        <v>568847.64</v>
      </c>
      <c r="M3288">
        <v>111869.98</v>
      </c>
      <c r="N3288" s="2" t="s">
        <v>259</v>
      </c>
      <c r="O3288" s="2" t="s">
        <v>260</v>
      </c>
      <c r="P3288" s="2" t="s">
        <v>5803</v>
      </c>
      <c r="Q3288" s="2" t="s">
        <v>5804</v>
      </c>
      <c r="R3288" s="2" t="s">
        <v>29</v>
      </c>
      <c r="S3288" s="2" t="s">
        <v>30</v>
      </c>
    </row>
    <row r="3289" spans="1:19">
      <c r="A3289" s="1">
        <v>45505</v>
      </c>
      <c r="B3289" s="1">
        <v>45505</v>
      </c>
      <c r="C3289">
        <v>2024</v>
      </c>
      <c r="D3289">
        <v>8</v>
      </c>
      <c r="E3289" s="2" t="s">
        <v>263</v>
      </c>
      <c r="F3289" s="2" t="s">
        <v>264</v>
      </c>
      <c r="G3289" s="2" t="s">
        <v>21</v>
      </c>
      <c r="H3289" s="2" t="s">
        <v>22</v>
      </c>
      <c r="I3289" s="2" t="s">
        <v>258</v>
      </c>
      <c r="J3289" s="2" t="s">
        <v>24</v>
      </c>
      <c r="K3289">
        <v>0</v>
      </c>
      <c r="L3289">
        <v>0</v>
      </c>
      <c r="N3289" s="2" t="s">
        <v>265</v>
      </c>
      <c r="O3289" s="2" t="s">
        <v>266</v>
      </c>
      <c r="P3289" s="2" t="s">
        <v>639</v>
      </c>
      <c r="Q3289" s="2" t="s">
        <v>639</v>
      </c>
      <c r="R3289" s="2" t="s">
        <v>29</v>
      </c>
      <c r="S3289" s="2" t="s">
        <v>30</v>
      </c>
    </row>
    <row r="3290" spans="1:19">
      <c r="A3290" s="1">
        <v>45505</v>
      </c>
      <c r="B3290" s="1">
        <v>45505</v>
      </c>
      <c r="C3290">
        <v>2024</v>
      </c>
      <c r="D3290">
        <v>8</v>
      </c>
      <c r="E3290" s="2" t="s">
        <v>269</v>
      </c>
      <c r="F3290" s="2" t="s">
        <v>270</v>
      </c>
      <c r="G3290" s="2" t="s">
        <v>21</v>
      </c>
      <c r="H3290" s="2" t="s">
        <v>22</v>
      </c>
      <c r="I3290" s="2" t="s">
        <v>258</v>
      </c>
      <c r="J3290" s="2" t="s">
        <v>59</v>
      </c>
      <c r="K3290">
        <v>508.49</v>
      </c>
      <c r="L3290">
        <v>568847.64</v>
      </c>
      <c r="M3290">
        <v>111869.98</v>
      </c>
      <c r="N3290" s="2" t="s">
        <v>271</v>
      </c>
      <c r="O3290" s="2" t="s">
        <v>272</v>
      </c>
      <c r="P3290" s="2" t="s">
        <v>5803</v>
      </c>
      <c r="Q3290" s="2" t="s">
        <v>5804</v>
      </c>
      <c r="R3290" s="2" t="s">
        <v>29</v>
      </c>
      <c r="S3290" s="2" t="s">
        <v>30</v>
      </c>
    </row>
    <row r="3291" spans="1:19">
      <c r="A3291" s="1">
        <v>45505</v>
      </c>
      <c r="B3291" s="1">
        <v>45505</v>
      </c>
      <c r="C3291">
        <v>2024</v>
      </c>
      <c r="D3291">
        <v>8</v>
      </c>
      <c r="E3291" s="2" t="s">
        <v>275</v>
      </c>
      <c r="F3291" s="2" t="s">
        <v>276</v>
      </c>
      <c r="G3291" s="2" t="s">
        <v>39</v>
      </c>
      <c r="H3291" s="2" t="s">
        <v>22</v>
      </c>
      <c r="I3291" s="2" t="s">
        <v>40</v>
      </c>
      <c r="J3291" s="2" t="s">
        <v>24</v>
      </c>
      <c r="K3291">
        <v>0.28000000000000003</v>
      </c>
      <c r="L3291">
        <v>2.82</v>
      </c>
      <c r="M3291">
        <v>1007.14</v>
      </c>
      <c r="N3291" s="2" t="s">
        <v>277</v>
      </c>
      <c r="O3291" s="2" t="s">
        <v>278</v>
      </c>
      <c r="P3291" s="2" t="s">
        <v>2910</v>
      </c>
      <c r="Q3291" s="2" t="s">
        <v>5805</v>
      </c>
      <c r="R3291" s="2" t="s">
        <v>29</v>
      </c>
      <c r="S3291" s="2" t="s">
        <v>30</v>
      </c>
    </row>
    <row r="3292" spans="1:19">
      <c r="A3292" s="1">
        <v>45505</v>
      </c>
      <c r="B3292" s="1">
        <v>45505</v>
      </c>
      <c r="C3292">
        <v>2024</v>
      </c>
      <c r="D3292">
        <v>8</v>
      </c>
      <c r="E3292" s="2" t="s">
        <v>281</v>
      </c>
      <c r="F3292" s="2" t="s">
        <v>282</v>
      </c>
      <c r="G3292" s="2" t="s">
        <v>39</v>
      </c>
      <c r="H3292" s="2" t="s">
        <v>22</v>
      </c>
      <c r="I3292" s="2" t="s">
        <v>40</v>
      </c>
      <c r="J3292" s="2" t="s">
        <v>24</v>
      </c>
      <c r="K3292">
        <v>0.02</v>
      </c>
      <c r="L3292">
        <v>0.18</v>
      </c>
      <c r="M3292">
        <v>900</v>
      </c>
      <c r="N3292" s="2" t="s">
        <v>283</v>
      </c>
      <c r="O3292" s="2" t="s">
        <v>284</v>
      </c>
      <c r="P3292" s="2" t="s">
        <v>1039</v>
      </c>
      <c r="Q3292" s="2" t="s">
        <v>935</v>
      </c>
      <c r="R3292" s="2" t="s">
        <v>29</v>
      </c>
      <c r="S3292" s="2" t="s">
        <v>30</v>
      </c>
    </row>
    <row r="3293" spans="1:19">
      <c r="A3293" s="1">
        <v>45505</v>
      </c>
      <c r="B3293" s="1">
        <v>45505</v>
      </c>
      <c r="C3293">
        <v>2024</v>
      </c>
      <c r="D3293">
        <v>8</v>
      </c>
      <c r="E3293" s="2" t="s">
        <v>287</v>
      </c>
      <c r="F3293" s="2" t="s">
        <v>288</v>
      </c>
      <c r="G3293" s="2" t="s">
        <v>39</v>
      </c>
      <c r="H3293" s="2" t="s">
        <v>22</v>
      </c>
      <c r="I3293" s="2" t="s">
        <v>40</v>
      </c>
      <c r="J3293" s="2" t="s">
        <v>59</v>
      </c>
      <c r="K3293">
        <v>0.31</v>
      </c>
      <c r="L3293">
        <v>3</v>
      </c>
      <c r="M3293">
        <v>967.74</v>
      </c>
      <c r="N3293" s="2" t="s">
        <v>289</v>
      </c>
      <c r="O3293" s="2" t="s">
        <v>290</v>
      </c>
      <c r="P3293" s="2" t="s">
        <v>2811</v>
      </c>
      <c r="Q3293" s="2" t="s">
        <v>5806</v>
      </c>
      <c r="R3293" s="2" t="s">
        <v>29</v>
      </c>
      <c r="S3293" s="2" t="s">
        <v>30</v>
      </c>
    </row>
    <row r="3294" spans="1:19">
      <c r="A3294" s="1">
        <v>45505</v>
      </c>
      <c r="B3294" s="1">
        <v>45505</v>
      </c>
      <c r="C3294">
        <v>2024</v>
      </c>
      <c r="D3294">
        <v>8</v>
      </c>
      <c r="E3294" s="2" t="s">
        <v>293</v>
      </c>
      <c r="F3294" s="2" t="s">
        <v>294</v>
      </c>
      <c r="G3294" s="2" t="s">
        <v>21</v>
      </c>
      <c r="H3294" s="2" t="s">
        <v>22</v>
      </c>
      <c r="I3294" s="2" t="s">
        <v>295</v>
      </c>
      <c r="J3294" s="2" t="s">
        <v>24</v>
      </c>
      <c r="K3294">
        <v>663.82</v>
      </c>
      <c r="L3294">
        <v>4047.81</v>
      </c>
      <c r="M3294">
        <v>609.78</v>
      </c>
      <c r="N3294" s="2" t="s">
        <v>296</v>
      </c>
      <c r="O3294" s="2" t="s">
        <v>297</v>
      </c>
      <c r="P3294" s="2" t="s">
        <v>5807</v>
      </c>
      <c r="Q3294" s="2" t="s">
        <v>5808</v>
      </c>
      <c r="R3294" s="2" t="s">
        <v>29</v>
      </c>
      <c r="S3294" s="2" t="s">
        <v>30</v>
      </c>
    </row>
    <row r="3295" spans="1:19">
      <c r="A3295" s="1">
        <v>45505</v>
      </c>
      <c r="B3295" s="1">
        <v>45505</v>
      </c>
      <c r="C3295">
        <v>2024</v>
      </c>
      <c r="D3295">
        <v>8</v>
      </c>
      <c r="E3295" s="2" t="s">
        <v>300</v>
      </c>
      <c r="F3295" s="2" t="s">
        <v>301</v>
      </c>
      <c r="G3295" s="2" t="s">
        <v>21</v>
      </c>
      <c r="H3295" s="2" t="s">
        <v>22</v>
      </c>
      <c r="I3295" s="2" t="s">
        <v>295</v>
      </c>
      <c r="J3295" s="2" t="s">
        <v>24</v>
      </c>
      <c r="K3295">
        <v>710.24</v>
      </c>
      <c r="L3295">
        <v>908.2</v>
      </c>
      <c r="M3295">
        <v>127.87</v>
      </c>
      <c r="N3295" s="2" t="s">
        <v>302</v>
      </c>
      <c r="O3295" s="2" t="s">
        <v>303</v>
      </c>
      <c r="P3295" s="2" t="s">
        <v>5809</v>
      </c>
      <c r="Q3295" s="2" t="s">
        <v>5810</v>
      </c>
      <c r="R3295" s="2" t="s">
        <v>29</v>
      </c>
      <c r="S3295" s="2" t="s">
        <v>30</v>
      </c>
    </row>
    <row r="3296" spans="1:19">
      <c r="A3296" s="1">
        <v>45505</v>
      </c>
      <c r="B3296" s="1">
        <v>45505</v>
      </c>
      <c r="C3296">
        <v>2024</v>
      </c>
      <c r="D3296">
        <v>8</v>
      </c>
      <c r="E3296" s="2" t="s">
        <v>306</v>
      </c>
      <c r="F3296" s="2" t="s">
        <v>307</v>
      </c>
      <c r="G3296" s="2" t="s">
        <v>21</v>
      </c>
      <c r="H3296" s="2" t="s">
        <v>22</v>
      </c>
      <c r="I3296" s="2" t="s">
        <v>295</v>
      </c>
      <c r="J3296" s="2" t="s">
        <v>101</v>
      </c>
      <c r="K3296">
        <v>1374.07</v>
      </c>
      <c r="L3296">
        <v>4956.01</v>
      </c>
      <c r="M3296">
        <v>360.68</v>
      </c>
      <c r="N3296" s="2" t="s">
        <v>308</v>
      </c>
      <c r="O3296" s="2" t="s">
        <v>309</v>
      </c>
      <c r="P3296" s="2" t="s">
        <v>5811</v>
      </c>
      <c r="Q3296" s="2" t="s">
        <v>5812</v>
      </c>
      <c r="R3296" s="2" t="s">
        <v>29</v>
      </c>
      <c r="S3296" s="2" t="s">
        <v>30</v>
      </c>
    </row>
    <row r="3297" spans="1:19">
      <c r="A3297" s="1">
        <v>45505</v>
      </c>
      <c r="B3297" s="1">
        <v>45505</v>
      </c>
      <c r="C3297">
        <v>2024</v>
      </c>
      <c r="D3297">
        <v>8</v>
      </c>
      <c r="E3297" s="2" t="s">
        <v>312</v>
      </c>
      <c r="F3297" s="2" t="s">
        <v>313</v>
      </c>
      <c r="G3297" s="2" t="s">
        <v>21</v>
      </c>
      <c r="H3297" s="2" t="s">
        <v>22</v>
      </c>
      <c r="I3297" s="2" t="s">
        <v>295</v>
      </c>
      <c r="J3297" s="2" t="s">
        <v>59</v>
      </c>
      <c r="K3297">
        <v>5466.9</v>
      </c>
      <c r="L3297">
        <v>16555.09</v>
      </c>
      <c r="M3297">
        <v>302.82</v>
      </c>
      <c r="N3297" s="2" t="s">
        <v>314</v>
      </c>
      <c r="O3297" s="2" t="s">
        <v>315</v>
      </c>
      <c r="P3297" s="2" t="s">
        <v>5813</v>
      </c>
      <c r="Q3297" s="2" t="s">
        <v>5814</v>
      </c>
      <c r="R3297" s="2" t="s">
        <v>29</v>
      </c>
      <c r="S3297" s="2" t="s">
        <v>30</v>
      </c>
    </row>
    <row r="3298" spans="1:19">
      <c r="A3298" s="1">
        <v>45505</v>
      </c>
      <c r="B3298" s="1">
        <v>45505</v>
      </c>
      <c r="C3298">
        <v>2024</v>
      </c>
      <c r="D3298">
        <v>8</v>
      </c>
      <c r="E3298" s="2" t="s">
        <v>318</v>
      </c>
      <c r="F3298" s="2" t="s">
        <v>319</v>
      </c>
      <c r="G3298" s="2" t="s">
        <v>21</v>
      </c>
      <c r="H3298" s="2" t="s">
        <v>22</v>
      </c>
      <c r="I3298" s="2" t="s">
        <v>295</v>
      </c>
      <c r="J3298" s="2" t="s">
        <v>24</v>
      </c>
      <c r="K3298">
        <v>4092.83</v>
      </c>
      <c r="L3298">
        <v>11599.07</v>
      </c>
      <c r="M3298">
        <v>283.39999999999998</v>
      </c>
      <c r="N3298" s="2" t="s">
        <v>320</v>
      </c>
      <c r="O3298" s="2" t="s">
        <v>321</v>
      </c>
      <c r="P3298" s="2" t="s">
        <v>5815</v>
      </c>
      <c r="Q3298" s="2" t="s">
        <v>5816</v>
      </c>
      <c r="R3298" s="2" t="s">
        <v>29</v>
      </c>
      <c r="S3298" s="2" t="s">
        <v>30</v>
      </c>
    </row>
    <row r="3299" spans="1:19">
      <c r="A3299" s="1">
        <v>45505</v>
      </c>
      <c r="B3299" s="1">
        <v>45505</v>
      </c>
      <c r="C3299">
        <v>2024</v>
      </c>
      <c r="D3299">
        <v>8</v>
      </c>
      <c r="E3299" s="2" t="s">
        <v>324</v>
      </c>
      <c r="F3299" s="2" t="s">
        <v>325</v>
      </c>
      <c r="G3299" s="2" t="s">
        <v>21</v>
      </c>
      <c r="H3299" s="2" t="s">
        <v>22</v>
      </c>
      <c r="I3299" s="2" t="s">
        <v>23</v>
      </c>
      <c r="J3299" s="2" t="s">
        <v>59</v>
      </c>
      <c r="K3299">
        <v>166465.5</v>
      </c>
      <c r="L3299">
        <v>6408703.4000000004</v>
      </c>
      <c r="M3299">
        <v>3849.87</v>
      </c>
      <c r="N3299" s="2" t="s">
        <v>326</v>
      </c>
      <c r="O3299" s="2" t="s">
        <v>327</v>
      </c>
      <c r="P3299" s="2" t="s">
        <v>5817</v>
      </c>
      <c r="Q3299" s="2" t="s">
        <v>5818</v>
      </c>
      <c r="R3299" s="2" t="s">
        <v>29</v>
      </c>
      <c r="S3299" s="2" t="s">
        <v>30</v>
      </c>
    </row>
    <row r="3300" spans="1:19">
      <c r="A3300" s="1">
        <v>45505</v>
      </c>
      <c r="B3300" s="1">
        <v>45505</v>
      </c>
      <c r="C3300">
        <v>2024</v>
      </c>
      <c r="D3300">
        <v>8</v>
      </c>
      <c r="E3300" s="2" t="s">
        <v>330</v>
      </c>
      <c r="F3300" s="2" t="s">
        <v>331</v>
      </c>
      <c r="G3300" s="2" t="s">
        <v>21</v>
      </c>
      <c r="H3300" s="2" t="s">
        <v>332</v>
      </c>
      <c r="I3300" s="2" t="s">
        <v>333</v>
      </c>
      <c r="J3300" s="2" t="s">
        <v>24</v>
      </c>
      <c r="K3300">
        <v>236.33</v>
      </c>
      <c r="L3300">
        <v>14385410.48</v>
      </c>
      <c r="M3300">
        <v>6087001.4299999997</v>
      </c>
      <c r="N3300" s="2" t="s">
        <v>334</v>
      </c>
      <c r="O3300" s="2" t="s">
        <v>335</v>
      </c>
      <c r="P3300" s="2" t="s">
        <v>5819</v>
      </c>
      <c r="Q3300" s="2" t="s">
        <v>5820</v>
      </c>
      <c r="R3300" s="2" t="s">
        <v>29</v>
      </c>
      <c r="S3300" s="2" t="s">
        <v>30</v>
      </c>
    </row>
    <row r="3301" spans="1:19">
      <c r="A3301" s="1">
        <v>45505</v>
      </c>
      <c r="B3301" s="1">
        <v>45505</v>
      </c>
      <c r="C3301">
        <v>2024</v>
      </c>
      <c r="D3301">
        <v>8</v>
      </c>
      <c r="E3301" s="2" t="s">
        <v>338</v>
      </c>
      <c r="F3301" s="2" t="s">
        <v>339</v>
      </c>
      <c r="G3301" s="2" t="s">
        <v>21</v>
      </c>
      <c r="H3301" s="2" t="s">
        <v>332</v>
      </c>
      <c r="I3301" s="2" t="s">
        <v>333</v>
      </c>
      <c r="J3301" s="2" t="s">
        <v>24</v>
      </c>
      <c r="K3301">
        <v>1.19</v>
      </c>
      <c r="L3301">
        <v>1525025.32</v>
      </c>
      <c r="M3301">
        <v>128153388.23999999</v>
      </c>
      <c r="N3301" s="2" t="s">
        <v>340</v>
      </c>
      <c r="O3301" s="2" t="s">
        <v>341</v>
      </c>
      <c r="P3301" s="2" t="s">
        <v>1032</v>
      </c>
      <c r="Q3301" s="2" t="s">
        <v>5821</v>
      </c>
      <c r="R3301" s="2" t="s">
        <v>29</v>
      </c>
      <c r="S3301" s="2" t="s">
        <v>30</v>
      </c>
    </row>
    <row r="3302" spans="1:19">
      <c r="A3302" s="1">
        <v>45505</v>
      </c>
      <c r="B3302" s="1">
        <v>45505</v>
      </c>
      <c r="C3302">
        <v>2024</v>
      </c>
      <c r="D3302">
        <v>8</v>
      </c>
      <c r="E3302" s="2" t="s">
        <v>344</v>
      </c>
      <c r="F3302" s="2" t="s">
        <v>345</v>
      </c>
      <c r="G3302" s="2" t="s">
        <v>21</v>
      </c>
      <c r="H3302" s="2" t="s">
        <v>332</v>
      </c>
      <c r="I3302" s="2" t="s">
        <v>333</v>
      </c>
      <c r="J3302" s="2" t="s">
        <v>59</v>
      </c>
      <c r="K3302">
        <v>237.53</v>
      </c>
      <c r="L3302">
        <v>15910435.789999999</v>
      </c>
      <c r="M3302">
        <v>6698284.7599999998</v>
      </c>
      <c r="N3302" s="2" t="s">
        <v>346</v>
      </c>
      <c r="O3302" s="2" t="s">
        <v>347</v>
      </c>
      <c r="P3302" s="2" t="s">
        <v>5822</v>
      </c>
      <c r="Q3302" s="2" t="s">
        <v>5823</v>
      </c>
      <c r="R3302" s="2" t="s">
        <v>29</v>
      </c>
      <c r="S3302" s="2" t="s">
        <v>30</v>
      </c>
    </row>
    <row r="3303" spans="1:19">
      <c r="A3303" s="1">
        <v>45505</v>
      </c>
      <c r="B3303" s="1">
        <v>45505</v>
      </c>
      <c r="C3303">
        <v>2024</v>
      </c>
      <c r="D3303">
        <v>8</v>
      </c>
      <c r="E3303" s="2" t="s">
        <v>350</v>
      </c>
      <c r="F3303" s="2" t="s">
        <v>351</v>
      </c>
      <c r="G3303" s="2" t="s">
        <v>21</v>
      </c>
      <c r="H3303" s="2" t="s">
        <v>22</v>
      </c>
      <c r="I3303" s="2" t="s">
        <v>352</v>
      </c>
      <c r="J3303" s="2" t="s">
        <v>353</v>
      </c>
      <c r="K3303">
        <v>179267.64</v>
      </c>
      <c r="L3303">
        <v>22724581.949999999</v>
      </c>
      <c r="M3303">
        <v>12676.34</v>
      </c>
      <c r="N3303" s="2" t="s">
        <v>354</v>
      </c>
      <c r="O3303" s="2" t="s">
        <v>355</v>
      </c>
      <c r="P3303" s="2" t="s">
        <v>5824</v>
      </c>
      <c r="Q3303" s="2" t="s">
        <v>5825</v>
      </c>
      <c r="R3303" s="2" t="s">
        <v>29</v>
      </c>
      <c r="S3303" s="2" t="s">
        <v>30</v>
      </c>
    </row>
    <row r="3304" spans="1:19">
      <c r="A3304" s="1">
        <v>45505</v>
      </c>
      <c r="B3304" s="1">
        <v>45505</v>
      </c>
      <c r="C3304">
        <v>2024</v>
      </c>
      <c r="D3304">
        <v>8</v>
      </c>
      <c r="E3304" s="2" t="s">
        <v>358</v>
      </c>
      <c r="F3304" s="2" t="s">
        <v>359</v>
      </c>
      <c r="G3304" s="2" t="s">
        <v>21</v>
      </c>
      <c r="H3304" s="2" t="s">
        <v>22</v>
      </c>
      <c r="I3304" s="2" t="s">
        <v>352</v>
      </c>
      <c r="J3304" s="2" t="s">
        <v>353</v>
      </c>
      <c r="K3304">
        <v>179776.13</v>
      </c>
      <c r="L3304">
        <v>23293429.59</v>
      </c>
      <c r="M3304">
        <v>12956.91</v>
      </c>
      <c r="N3304" s="2" t="s">
        <v>360</v>
      </c>
      <c r="O3304" s="2" t="s">
        <v>361</v>
      </c>
      <c r="P3304" s="2" t="s">
        <v>5826</v>
      </c>
      <c r="Q3304" s="2" t="s">
        <v>5827</v>
      </c>
      <c r="R3304" s="2" t="s">
        <v>29</v>
      </c>
      <c r="S3304" s="2" t="s">
        <v>30</v>
      </c>
    </row>
    <row r="3305" spans="1:19">
      <c r="A3305" s="1">
        <v>45505</v>
      </c>
      <c r="B3305" s="1">
        <v>45505</v>
      </c>
      <c r="C3305">
        <v>2024</v>
      </c>
      <c r="D3305">
        <v>8</v>
      </c>
      <c r="E3305" s="2" t="s">
        <v>364</v>
      </c>
      <c r="F3305" s="2" t="s">
        <v>365</v>
      </c>
      <c r="G3305" s="2" t="s">
        <v>21</v>
      </c>
      <c r="H3305" s="2" t="s">
        <v>22</v>
      </c>
      <c r="I3305" s="2" t="s">
        <v>352</v>
      </c>
      <c r="J3305" s="2" t="s">
        <v>353</v>
      </c>
      <c r="K3305">
        <v>179538.61</v>
      </c>
      <c r="L3305">
        <v>7382993.79</v>
      </c>
      <c r="M3305">
        <v>4112.2</v>
      </c>
      <c r="N3305" s="2" t="s">
        <v>366</v>
      </c>
      <c r="O3305" s="2" t="s">
        <v>367</v>
      </c>
      <c r="P3305" s="2" t="s">
        <v>5828</v>
      </c>
      <c r="Q3305" s="2" t="s">
        <v>5829</v>
      </c>
      <c r="R3305" s="2" t="s">
        <v>29</v>
      </c>
      <c r="S3305" s="2" t="s">
        <v>30</v>
      </c>
    </row>
    <row r="3306" spans="1:19">
      <c r="A3306" s="1">
        <v>45505</v>
      </c>
      <c r="B3306" s="1">
        <v>45505</v>
      </c>
      <c r="C3306">
        <v>2024</v>
      </c>
      <c r="D3306">
        <v>8</v>
      </c>
      <c r="E3306" s="2" t="s">
        <v>370</v>
      </c>
      <c r="F3306" s="2" t="s">
        <v>371</v>
      </c>
      <c r="G3306" s="2" t="s">
        <v>21</v>
      </c>
      <c r="H3306" s="2" t="s">
        <v>22</v>
      </c>
      <c r="I3306" s="2" t="s">
        <v>23</v>
      </c>
      <c r="J3306" s="2" t="s">
        <v>24</v>
      </c>
      <c r="K3306">
        <v>149630.47</v>
      </c>
      <c r="L3306">
        <v>2060735.57</v>
      </c>
      <c r="M3306">
        <v>1377.22</v>
      </c>
      <c r="N3306" s="2" t="s">
        <v>372</v>
      </c>
      <c r="O3306" s="2" t="s">
        <v>373</v>
      </c>
      <c r="P3306" s="2" t="s">
        <v>5830</v>
      </c>
      <c r="Q3306" s="2" t="s">
        <v>5831</v>
      </c>
      <c r="R3306" s="2" t="s">
        <v>29</v>
      </c>
      <c r="S3306" s="2" t="s">
        <v>30</v>
      </c>
    </row>
    <row r="3307" spans="1:19">
      <c r="A3307" s="1">
        <v>45505</v>
      </c>
      <c r="B3307" s="1">
        <v>45505</v>
      </c>
      <c r="C3307">
        <v>2024</v>
      </c>
      <c r="D3307">
        <v>8</v>
      </c>
      <c r="E3307" s="2" t="s">
        <v>376</v>
      </c>
      <c r="F3307" s="2" t="s">
        <v>377</v>
      </c>
      <c r="G3307" s="2" t="s">
        <v>21</v>
      </c>
      <c r="H3307" s="2" t="s">
        <v>22</v>
      </c>
      <c r="I3307" s="2" t="s">
        <v>23</v>
      </c>
      <c r="J3307" s="2" t="s">
        <v>378</v>
      </c>
      <c r="K3307">
        <v>1.45</v>
      </c>
      <c r="L3307">
        <v>15.19</v>
      </c>
      <c r="M3307">
        <v>1047.5899999999999</v>
      </c>
      <c r="N3307" s="2" t="s">
        <v>379</v>
      </c>
      <c r="O3307" s="2" t="s">
        <v>380</v>
      </c>
      <c r="P3307" s="2" t="s">
        <v>5832</v>
      </c>
      <c r="Q3307" s="2" t="s">
        <v>5833</v>
      </c>
      <c r="R3307" s="2" t="s">
        <v>29</v>
      </c>
      <c r="S3307" s="2" t="s">
        <v>30</v>
      </c>
    </row>
    <row r="3308" spans="1:19">
      <c r="A3308" s="1">
        <v>45536</v>
      </c>
      <c r="B3308" s="1">
        <v>45536</v>
      </c>
      <c r="C3308">
        <v>2024</v>
      </c>
      <c r="D3308">
        <v>9</v>
      </c>
      <c r="E3308" s="2" t="s">
        <v>19</v>
      </c>
      <c r="F3308" s="2" t="s">
        <v>20</v>
      </c>
      <c r="G3308" s="2" t="s">
        <v>21</v>
      </c>
      <c r="H3308" s="2" t="s">
        <v>22</v>
      </c>
      <c r="I3308" s="2" t="s">
        <v>23</v>
      </c>
      <c r="J3308" s="2" t="s">
        <v>24</v>
      </c>
      <c r="K3308">
        <v>0.3</v>
      </c>
      <c r="L3308">
        <v>13.69</v>
      </c>
      <c r="M3308">
        <v>4563.33</v>
      </c>
      <c r="N3308" s="2" t="s">
        <v>25</v>
      </c>
      <c r="O3308" s="2" t="s">
        <v>26</v>
      </c>
      <c r="P3308" s="2" t="s">
        <v>2807</v>
      </c>
      <c r="Q3308" s="2" t="s">
        <v>5834</v>
      </c>
      <c r="R3308" s="2" t="s">
        <v>29</v>
      </c>
      <c r="S3308" s="2" t="s">
        <v>30</v>
      </c>
    </row>
    <row r="3309" spans="1:19">
      <c r="A3309" s="1">
        <v>45536</v>
      </c>
      <c r="B3309" s="1">
        <v>45536</v>
      </c>
      <c r="C3309">
        <v>2024</v>
      </c>
      <c r="D3309">
        <v>9</v>
      </c>
      <c r="E3309" s="2" t="s">
        <v>31</v>
      </c>
      <c r="F3309" s="2" t="s">
        <v>32</v>
      </c>
      <c r="G3309" s="2" t="s">
        <v>21</v>
      </c>
      <c r="H3309" s="2" t="s">
        <v>22</v>
      </c>
      <c r="I3309" s="2" t="s">
        <v>23</v>
      </c>
      <c r="J3309" s="2" t="s">
        <v>24</v>
      </c>
      <c r="K3309">
        <v>2342.41</v>
      </c>
      <c r="L3309">
        <v>35549.58</v>
      </c>
      <c r="M3309">
        <v>1517.65</v>
      </c>
      <c r="N3309" s="2" t="s">
        <v>33</v>
      </c>
      <c r="O3309" s="2" t="s">
        <v>34</v>
      </c>
      <c r="P3309" s="2" t="s">
        <v>5835</v>
      </c>
      <c r="Q3309" s="2" t="s">
        <v>5836</v>
      </c>
      <c r="R3309" s="2" t="s">
        <v>29</v>
      </c>
      <c r="S3309" s="2" t="s">
        <v>30</v>
      </c>
    </row>
    <row r="3310" spans="1:19">
      <c r="A3310" s="1">
        <v>45536</v>
      </c>
      <c r="B3310" s="1">
        <v>45536</v>
      </c>
      <c r="C3310">
        <v>2024</v>
      </c>
      <c r="D3310">
        <v>9</v>
      </c>
      <c r="E3310" s="2" t="s">
        <v>37</v>
      </c>
      <c r="F3310" s="2" t="s">
        <v>38</v>
      </c>
      <c r="G3310" s="2" t="s">
        <v>39</v>
      </c>
      <c r="H3310" s="2" t="s">
        <v>22</v>
      </c>
      <c r="I3310" s="2" t="s">
        <v>40</v>
      </c>
      <c r="J3310" s="2" t="s">
        <v>24</v>
      </c>
      <c r="K3310">
        <v>8.02</v>
      </c>
      <c r="L3310">
        <v>417.33</v>
      </c>
      <c r="M3310">
        <v>5203.62</v>
      </c>
      <c r="N3310" s="2" t="s">
        <v>41</v>
      </c>
      <c r="O3310" s="2" t="s">
        <v>42</v>
      </c>
      <c r="P3310" s="2" t="s">
        <v>5837</v>
      </c>
      <c r="Q3310" s="2" t="s">
        <v>5838</v>
      </c>
      <c r="R3310" s="2" t="s">
        <v>29</v>
      </c>
      <c r="S3310" s="2" t="s">
        <v>30</v>
      </c>
    </row>
    <row r="3311" spans="1:19">
      <c r="A3311" s="1">
        <v>45536</v>
      </c>
      <c r="B3311" s="1">
        <v>45536</v>
      </c>
      <c r="C3311">
        <v>2024</v>
      </c>
      <c r="D3311">
        <v>9</v>
      </c>
      <c r="E3311" s="2" t="s">
        <v>45</v>
      </c>
      <c r="F3311" s="2" t="s">
        <v>46</v>
      </c>
      <c r="G3311" s="2" t="s">
        <v>39</v>
      </c>
      <c r="H3311" s="2" t="s">
        <v>22</v>
      </c>
      <c r="I3311" s="2" t="s">
        <v>40</v>
      </c>
      <c r="J3311" s="2" t="s">
        <v>24</v>
      </c>
      <c r="K3311">
        <v>4922.18</v>
      </c>
      <c r="L3311">
        <v>243929.53</v>
      </c>
      <c r="M3311">
        <v>4955.72</v>
      </c>
      <c r="N3311" s="2" t="s">
        <v>47</v>
      </c>
      <c r="O3311" s="2" t="s">
        <v>48</v>
      </c>
      <c r="P3311" s="2" t="s">
        <v>5839</v>
      </c>
      <c r="Q3311" s="2" t="s">
        <v>5840</v>
      </c>
      <c r="R3311" s="2" t="s">
        <v>29</v>
      </c>
      <c r="S3311" s="2" t="s">
        <v>30</v>
      </c>
    </row>
    <row r="3312" spans="1:19">
      <c r="A3312" s="1">
        <v>45536</v>
      </c>
      <c r="B3312" s="1">
        <v>45536</v>
      </c>
      <c r="C3312">
        <v>2024</v>
      </c>
      <c r="D3312">
        <v>9</v>
      </c>
      <c r="E3312" s="2" t="s">
        <v>51</v>
      </c>
      <c r="F3312" s="2" t="s">
        <v>52</v>
      </c>
      <c r="G3312" s="2" t="s">
        <v>39</v>
      </c>
      <c r="H3312" s="2" t="s">
        <v>22</v>
      </c>
      <c r="I3312" s="2" t="s">
        <v>40</v>
      </c>
      <c r="J3312" s="2" t="s">
        <v>24</v>
      </c>
      <c r="K3312">
        <v>19.62</v>
      </c>
      <c r="L3312">
        <v>876.15</v>
      </c>
      <c r="M3312">
        <v>4465.6000000000004</v>
      </c>
      <c r="N3312" s="2" t="s">
        <v>53</v>
      </c>
      <c r="O3312" s="2" t="s">
        <v>54</v>
      </c>
      <c r="P3312" s="2" t="s">
        <v>5841</v>
      </c>
      <c r="Q3312" s="2" t="s">
        <v>5842</v>
      </c>
      <c r="R3312" s="2" t="s">
        <v>29</v>
      </c>
      <c r="S3312" s="2" t="s">
        <v>30</v>
      </c>
    </row>
    <row r="3313" spans="1:19">
      <c r="A3313" s="1">
        <v>45536</v>
      </c>
      <c r="B3313" s="1">
        <v>45536</v>
      </c>
      <c r="C3313">
        <v>2024</v>
      </c>
      <c r="D3313">
        <v>9</v>
      </c>
      <c r="E3313" s="2" t="s">
        <v>57</v>
      </c>
      <c r="F3313" s="2" t="s">
        <v>58</v>
      </c>
      <c r="G3313" s="2" t="s">
        <v>39</v>
      </c>
      <c r="H3313" s="2" t="s">
        <v>22</v>
      </c>
      <c r="I3313" s="2" t="s">
        <v>40</v>
      </c>
      <c r="J3313" s="2" t="s">
        <v>59</v>
      </c>
      <c r="K3313">
        <v>4949.8100000000004</v>
      </c>
      <c r="L3313">
        <v>245223.01</v>
      </c>
      <c r="M3313">
        <v>4954.1899999999996</v>
      </c>
      <c r="N3313" s="2" t="s">
        <v>60</v>
      </c>
      <c r="O3313" s="2" t="s">
        <v>61</v>
      </c>
      <c r="P3313" s="2" t="s">
        <v>5843</v>
      </c>
      <c r="Q3313" s="2" t="s">
        <v>5844</v>
      </c>
      <c r="R3313" s="2" t="s">
        <v>29</v>
      </c>
      <c r="S3313" s="2" t="s">
        <v>30</v>
      </c>
    </row>
    <row r="3314" spans="1:19">
      <c r="A3314" s="1">
        <v>45536</v>
      </c>
      <c r="B3314" s="1">
        <v>45536</v>
      </c>
      <c r="C3314">
        <v>2024</v>
      </c>
      <c r="D3314">
        <v>9</v>
      </c>
      <c r="E3314" s="2" t="s">
        <v>64</v>
      </c>
      <c r="F3314" s="2" t="s">
        <v>65</v>
      </c>
      <c r="G3314" s="2" t="s">
        <v>21</v>
      </c>
      <c r="H3314" s="2" t="s">
        <v>22</v>
      </c>
      <c r="I3314" s="2" t="s">
        <v>66</v>
      </c>
      <c r="J3314" s="2" t="s">
        <v>24</v>
      </c>
      <c r="K3314">
        <v>18.809999999999999</v>
      </c>
      <c r="L3314">
        <v>567.85</v>
      </c>
      <c r="M3314">
        <v>3018.87</v>
      </c>
      <c r="N3314" s="2" t="s">
        <v>67</v>
      </c>
      <c r="O3314" s="2" t="s">
        <v>68</v>
      </c>
      <c r="P3314" s="2" t="s">
        <v>5845</v>
      </c>
      <c r="Q3314" s="2" t="s">
        <v>5846</v>
      </c>
      <c r="R3314" s="2" t="s">
        <v>29</v>
      </c>
      <c r="S3314" s="2" t="s">
        <v>30</v>
      </c>
    </row>
    <row r="3315" spans="1:19">
      <c r="A3315" s="1">
        <v>45536</v>
      </c>
      <c r="B3315" s="1">
        <v>45536</v>
      </c>
      <c r="C3315">
        <v>2024</v>
      </c>
      <c r="D3315">
        <v>9</v>
      </c>
      <c r="E3315" s="2" t="s">
        <v>71</v>
      </c>
      <c r="F3315" s="2" t="s">
        <v>72</v>
      </c>
      <c r="G3315" s="2" t="s">
        <v>21</v>
      </c>
      <c r="H3315" s="2" t="s">
        <v>22</v>
      </c>
      <c r="I3315" s="2" t="s">
        <v>73</v>
      </c>
      <c r="J3315" s="2" t="s">
        <v>59</v>
      </c>
      <c r="K3315">
        <v>5275.26</v>
      </c>
      <c r="L3315">
        <v>216303.56</v>
      </c>
      <c r="M3315">
        <v>4100.34</v>
      </c>
      <c r="N3315" s="2" t="s">
        <v>74</v>
      </c>
      <c r="O3315" s="2" t="s">
        <v>75</v>
      </c>
      <c r="P3315" s="2" t="s">
        <v>5847</v>
      </c>
      <c r="Q3315" s="2" t="s">
        <v>5848</v>
      </c>
      <c r="R3315" s="2" t="s">
        <v>29</v>
      </c>
      <c r="S3315" s="2" t="s">
        <v>30</v>
      </c>
    </row>
    <row r="3316" spans="1:19">
      <c r="A3316" s="1">
        <v>45536</v>
      </c>
      <c r="B3316" s="1">
        <v>45536</v>
      </c>
      <c r="C3316">
        <v>2024</v>
      </c>
      <c r="D3316">
        <v>9</v>
      </c>
      <c r="E3316" s="2" t="s">
        <v>78</v>
      </c>
      <c r="F3316" s="2" t="s">
        <v>79</v>
      </c>
      <c r="G3316" s="2" t="s">
        <v>80</v>
      </c>
      <c r="H3316" s="2" t="s">
        <v>81</v>
      </c>
      <c r="I3316" s="2" t="s">
        <v>82</v>
      </c>
      <c r="J3316" s="2" t="s">
        <v>24</v>
      </c>
      <c r="K3316">
        <v>2.4</v>
      </c>
      <c r="L3316">
        <v>8415272.5600000005</v>
      </c>
      <c r="M3316">
        <v>350636356.67000002</v>
      </c>
      <c r="N3316" s="2" t="s">
        <v>83</v>
      </c>
      <c r="O3316" s="2" t="s">
        <v>84</v>
      </c>
      <c r="P3316" s="2" t="s">
        <v>4026</v>
      </c>
      <c r="Q3316" s="2" t="s">
        <v>5849</v>
      </c>
      <c r="R3316" s="2" t="s">
        <v>29</v>
      </c>
      <c r="S3316" s="2" t="s">
        <v>30</v>
      </c>
    </row>
    <row r="3317" spans="1:19">
      <c r="A3317" s="1">
        <v>45536</v>
      </c>
      <c r="B3317" s="1">
        <v>45536</v>
      </c>
      <c r="C3317">
        <v>2024</v>
      </c>
      <c r="D3317">
        <v>9</v>
      </c>
      <c r="E3317" s="2" t="s">
        <v>87</v>
      </c>
      <c r="F3317" s="2" t="s">
        <v>88</v>
      </c>
      <c r="G3317" s="2" t="s">
        <v>80</v>
      </c>
      <c r="H3317" s="2" t="s">
        <v>81</v>
      </c>
      <c r="I3317" s="2" t="s">
        <v>82</v>
      </c>
      <c r="J3317" s="2" t="s">
        <v>24</v>
      </c>
      <c r="K3317">
        <v>0.99</v>
      </c>
      <c r="L3317">
        <v>1468345.67</v>
      </c>
      <c r="M3317">
        <v>148317744.44</v>
      </c>
      <c r="N3317" s="2" t="s">
        <v>89</v>
      </c>
      <c r="O3317" s="2" t="s">
        <v>90</v>
      </c>
      <c r="P3317" s="2" t="s">
        <v>3449</v>
      </c>
      <c r="Q3317" s="2" t="s">
        <v>5850</v>
      </c>
      <c r="R3317" s="2" t="s">
        <v>29</v>
      </c>
      <c r="S3317" s="2" t="s">
        <v>30</v>
      </c>
    </row>
    <row r="3318" spans="1:19">
      <c r="A3318" s="1">
        <v>45536</v>
      </c>
      <c r="B3318" s="1">
        <v>45536</v>
      </c>
      <c r="C3318">
        <v>2024</v>
      </c>
      <c r="D3318">
        <v>9</v>
      </c>
      <c r="E3318" s="2" t="s">
        <v>93</v>
      </c>
      <c r="F3318" s="2" t="s">
        <v>94</v>
      </c>
      <c r="G3318" s="2" t="s">
        <v>80</v>
      </c>
      <c r="H3318" s="2" t="s">
        <v>81</v>
      </c>
      <c r="I3318" s="2" t="s">
        <v>82</v>
      </c>
      <c r="J3318" s="2" t="s">
        <v>24</v>
      </c>
      <c r="K3318">
        <v>0.37</v>
      </c>
      <c r="L3318">
        <v>6038101.6399999997</v>
      </c>
      <c r="M3318">
        <v>1631919362.1600001</v>
      </c>
      <c r="N3318" s="2" t="s">
        <v>95</v>
      </c>
      <c r="O3318" s="2" t="s">
        <v>96</v>
      </c>
      <c r="P3318" s="2" t="s">
        <v>668</v>
      </c>
      <c r="Q3318" s="2" t="s">
        <v>5851</v>
      </c>
      <c r="R3318" s="2" t="s">
        <v>29</v>
      </c>
      <c r="S3318" s="2" t="s">
        <v>30</v>
      </c>
    </row>
    <row r="3319" spans="1:19">
      <c r="A3319" s="1">
        <v>45536</v>
      </c>
      <c r="B3319" s="1">
        <v>45536</v>
      </c>
      <c r="C3319">
        <v>2024</v>
      </c>
      <c r="D3319">
        <v>9</v>
      </c>
      <c r="E3319" s="2" t="s">
        <v>99</v>
      </c>
      <c r="F3319" s="2" t="s">
        <v>100</v>
      </c>
      <c r="G3319" s="2" t="s">
        <v>80</v>
      </c>
      <c r="H3319" s="2" t="s">
        <v>81</v>
      </c>
      <c r="I3319" s="2" t="s">
        <v>82</v>
      </c>
      <c r="J3319" s="2" t="s">
        <v>101</v>
      </c>
      <c r="K3319">
        <v>1.57</v>
      </c>
      <c r="L3319">
        <v>14750412.109999999</v>
      </c>
      <c r="M3319">
        <v>939516694.89999998</v>
      </c>
      <c r="N3319" s="2" t="s">
        <v>102</v>
      </c>
      <c r="O3319" s="2" t="s">
        <v>103</v>
      </c>
      <c r="P3319" s="2" t="s">
        <v>5852</v>
      </c>
      <c r="Q3319" s="2" t="s">
        <v>5853</v>
      </c>
      <c r="R3319" s="2" t="s">
        <v>29</v>
      </c>
      <c r="S3319" s="2" t="s">
        <v>30</v>
      </c>
    </row>
    <row r="3320" spans="1:19">
      <c r="A3320" s="1">
        <v>45536</v>
      </c>
      <c r="B3320" s="1">
        <v>45536</v>
      </c>
      <c r="C3320">
        <v>2024</v>
      </c>
      <c r="D3320">
        <v>9</v>
      </c>
      <c r="E3320" s="2" t="s">
        <v>106</v>
      </c>
      <c r="F3320" s="2" t="s">
        <v>107</v>
      </c>
      <c r="G3320" s="2" t="s">
        <v>80</v>
      </c>
      <c r="H3320" s="2" t="s">
        <v>81</v>
      </c>
      <c r="I3320" s="2" t="s">
        <v>82</v>
      </c>
      <c r="J3320" s="2" t="s">
        <v>24</v>
      </c>
      <c r="K3320">
        <v>0.21</v>
      </c>
      <c r="L3320">
        <v>7243964.7999999998</v>
      </c>
      <c r="M3320">
        <v>3449507047.6199999</v>
      </c>
      <c r="N3320" s="2" t="s">
        <v>108</v>
      </c>
      <c r="O3320" s="2" t="s">
        <v>109</v>
      </c>
      <c r="P3320" s="2" t="s">
        <v>403</v>
      </c>
      <c r="Q3320" s="2" t="s">
        <v>5854</v>
      </c>
      <c r="R3320" s="2" t="s">
        <v>29</v>
      </c>
      <c r="S3320" s="2" t="s">
        <v>30</v>
      </c>
    </row>
    <row r="3321" spans="1:19">
      <c r="A3321" s="1">
        <v>45536</v>
      </c>
      <c r="B3321" s="1">
        <v>45536</v>
      </c>
      <c r="C3321">
        <v>2024</v>
      </c>
      <c r="D3321">
        <v>9</v>
      </c>
      <c r="E3321" s="2" t="s">
        <v>111</v>
      </c>
      <c r="F3321" s="2" t="s">
        <v>112</v>
      </c>
      <c r="G3321" s="2" t="s">
        <v>80</v>
      </c>
      <c r="H3321" s="2" t="s">
        <v>81</v>
      </c>
      <c r="I3321" s="2" t="s">
        <v>82</v>
      </c>
      <c r="J3321" s="2" t="s">
        <v>24</v>
      </c>
      <c r="K3321">
        <v>0.11</v>
      </c>
      <c r="L3321">
        <v>674573.3</v>
      </c>
      <c r="M3321">
        <v>613248454.54999995</v>
      </c>
      <c r="N3321" s="2" t="s">
        <v>113</v>
      </c>
      <c r="O3321" s="2" t="s">
        <v>114</v>
      </c>
      <c r="P3321" s="2" t="s">
        <v>1291</v>
      </c>
      <c r="Q3321" s="2" t="s">
        <v>5855</v>
      </c>
      <c r="R3321" s="2" t="s">
        <v>29</v>
      </c>
      <c r="S3321" s="2" t="s">
        <v>30</v>
      </c>
    </row>
    <row r="3322" spans="1:19">
      <c r="A3322" s="1">
        <v>45536</v>
      </c>
      <c r="B3322" s="1">
        <v>45536</v>
      </c>
      <c r="C3322">
        <v>2024</v>
      </c>
      <c r="D3322">
        <v>9</v>
      </c>
      <c r="E3322" s="2" t="s">
        <v>117</v>
      </c>
      <c r="F3322" s="2" t="s">
        <v>118</v>
      </c>
      <c r="G3322" s="2" t="s">
        <v>80</v>
      </c>
      <c r="H3322" s="2" t="s">
        <v>81</v>
      </c>
      <c r="I3322" s="2" t="s">
        <v>82</v>
      </c>
      <c r="J3322" s="2" t="s">
        <v>59</v>
      </c>
      <c r="K3322">
        <v>4.08</v>
      </c>
      <c r="L3322">
        <v>23840257.969999999</v>
      </c>
      <c r="M3322">
        <v>584320048.27999997</v>
      </c>
      <c r="N3322" s="2" t="s">
        <v>119</v>
      </c>
      <c r="O3322" s="2" t="s">
        <v>120</v>
      </c>
      <c r="P3322" s="2" t="s">
        <v>5856</v>
      </c>
      <c r="Q3322" s="2" t="s">
        <v>5857</v>
      </c>
      <c r="R3322" s="2" t="s">
        <v>29</v>
      </c>
      <c r="S3322" s="2" t="s">
        <v>30</v>
      </c>
    </row>
    <row r="3323" spans="1:19">
      <c r="A3323" s="1">
        <v>45536</v>
      </c>
      <c r="B3323" s="1">
        <v>45536</v>
      </c>
      <c r="C3323">
        <v>2024</v>
      </c>
      <c r="D3323">
        <v>9</v>
      </c>
      <c r="E3323" s="2" t="s">
        <v>123</v>
      </c>
      <c r="F3323" s="2" t="s">
        <v>124</v>
      </c>
      <c r="G3323" s="2" t="s">
        <v>21</v>
      </c>
      <c r="H3323" s="2" t="s">
        <v>22</v>
      </c>
      <c r="I3323" s="2" t="s">
        <v>73</v>
      </c>
      <c r="J3323" s="2" t="s">
        <v>24</v>
      </c>
      <c r="K3323">
        <v>1943.57</v>
      </c>
      <c r="L3323">
        <v>115344.96000000001</v>
      </c>
      <c r="M3323">
        <v>5934.7</v>
      </c>
      <c r="N3323" s="2" t="s">
        <v>125</v>
      </c>
      <c r="O3323" s="2" t="s">
        <v>126</v>
      </c>
      <c r="P3323" s="2" t="s">
        <v>5858</v>
      </c>
      <c r="Q3323" s="2" t="s">
        <v>5859</v>
      </c>
      <c r="R3323" s="2" t="s">
        <v>29</v>
      </c>
      <c r="S3323" s="2" t="s">
        <v>30</v>
      </c>
    </row>
    <row r="3324" spans="1:19">
      <c r="A3324" s="1">
        <v>45536</v>
      </c>
      <c r="B3324" s="1">
        <v>45536</v>
      </c>
      <c r="C3324">
        <v>2024</v>
      </c>
      <c r="D3324">
        <v>9</v>
      </c>
      <c r="E3324" s="2" t="s">
        <v>129</v>
      </c>
      <c r="F3324" s="2" t="s">
        <v>130</v>
      </c>
      <c r="G3324" s="2" t="s">
        <v>21</v>
      </c>
      <c r="H3324" s="2" t="s">
        <v>22</v>
      </c>
      <c r="I3324" s="2" t="s">
        <v>73</v>
      </c>
      <c r="J3324" s="2" t="s">
        <v>24</v>
      </c>
      <c r="K3324">
        <v>1978.05</v>
      </c>
      <c r="L3324">
        <v>60857.09</v>
      </c>
      <c r="M3324">
        <v>3076.62</v>
      </c>
      <c r="N3324" s="2" t="s">
        <v>131</v>
      </c>
      <c r="O3324" s="2" t="s">
        <v>132</v>
      </c>
      <c r="P3324" s="2" t="s">
        <v>5860</v>
      </c>
      <c r="Q3324" s="2" t="s">
        <v>5861</v>
      </c>
      <c r="R3324" s="2" t="s">
        <v>29</v>
      </c>
      <c r="S3324" s="2" t="s">
        <v>30</v>
      </c>
    </row>
    <row r="3325" spans="1:19">
      <c r="A3325" s="1">
        <v>45536</v>
      </c>
      <c r="B3325" s="1">
        <v>45536</v>
      </c>
      <c r="C3325">
        <v>2024</v>
      </c>
      <c r="D3325">
        <v>9</v>
      </c>
      <c r="E3325" s="2" t="s">
        <v>135</v>
      </c>
      <c r="F3325" s="2" t="s">
        <v>136</v>
      </c>
      <c r="G3325" s="2" t="s">
        <v>21</v>
      </c>
      <c r="H3325" s="2" t="s">
        <v>22</v>
      </c>
      <c r="I3325" s="2" t="s">
        <v>73</v>
      </c>
      <c r="J3325" s="2" t="s">
        <v>101</v>
      </c>
      <c r="K3325">
        <v>3921.62</v>
      </c>
      <c r="L3325">
        <v>176202.05</v>
      </c>
      <c r="M3325">
        <v>4493.09</v>
      </c>
      <c r="N3325" s="2" t="s">
        <v>137</v>
      </c>
      <c r="O3325" s="2" t="s">
        <v>138</v>
      </c>
      <c r="P3325" s="2" t="s">
        <v>5862</v>
      </c>
      <c r="Q3325" s="2" t="s">
        <v>5863</v>
      </c>
      <c r="R3325" s="2" t="s">
        <v>29</v>
      </c>
      <c r="S3325" s="2" t="s">
        <v>30</v>
      </c>
    </row>
    <row r="3326" spans="1:19">
      <c r="A3326" s="1">
        <v>45536</v>
      </c>
      <c r="B3326" s="1">
        <v>45536</v>
      </c>
      <c r="C3326">
        <v>2024</v>
      </c>
      <c r="D3326">
        <v>9</v>
      </c>
      <c r="E3326" s="2" t="s">
        <v>141</v>
      </c>
      <c r="F3326" s="2" t="s">
        <v>142</v>
      </c>
      <c r="G3326" s="2" t="s">
        <v>21</v>
      </c>
      <c r="H3326" s="2" t="s">
        <v>22</v>
      </c>
      <c r="I3326" s="2" t="s">
        <v>73</v>
      </c>
      <c r="J3326" s="2" t="s">
        <v>24</v>
      </c>
      <c r="K3326">
        <v>358.59</v>
      </c>
      <c r="L3326">
        <v>14324.6</v>
      </c>
      <c r="M3326">
        <v>3994.7</v>
      </c>
      <c r="N3326" s="2" t="s">
        <v>143</v>
      </c>
      <c r="O3326" s="2" t="s">
        <v>144</v>
      </c>
      <c r="P3326" s="2" t="s">
        <v>5864</v>
      </c>
      <c r="Q3326" s="2" t="s">
        <v>5865</v>
      </c>
      <c r="R3326" s="2" t="s">
        <v>29</v>
      </c>
      <c r="S3326" s="2" t="s">
        <v>30</v>
      </c>
    </row>
    <row r="3327" spans="1:19">
      <c r="A3327" s="1">
        <v>45536</v>
      </c>
      <c r="B3327" s="1">
        <v>45536</v>
      </c>
      <c r="C3327">
        <v>2024</v>
      </c>
      <c r="D3327">
        <v>9</v>
      </c>
      <c r="E3327" s="2" t="s">
        <v>147</v>
      </c>
      <c r="F3327" s="2" t="s">
        <v>148</v>
      </c>
      <c r="G3327" s="2" t="s">
        <v>21</v>
      </c>
      <c r="H3327" s="2" t="s">
        <v>22</v>
      </c>
      <c r="I3327" s="2" t="s">
        <v>73</v>
      </c>
      <c r="J3327" s="2" t="s">
        <v>24</v>
      </c>
      <c r="K3327">
        <v>995.05</v>
      </c>
      <c r="L3327">
        <v>25776.9</v>
      </c>
      <c r="M3327">
        <v>2590.5100000000002</v>
      </c>
      <c r="N3327" s="2" t="s">
        <v>149</v>
      </c>
      <c r="O3327" s="2" t="s">
        <v>150</v>
      </c>
      <c r="P3327" s="2" t="s">
        <v>5866</v>
      </c>
      <c r="Q3327" s="2" t="s">
        <v>5867</v>
      </c>
      <c r="R3327" s="2" t="s">
        <v>29</v>
      </c>
      <c r="S3327" s="2" t="s">
        <v>30</v>
      </c>
    </row>
    <row r="3328" spans="1:19">
      <c r="A3328" s="1">
        <v>45536</v>
      </c>
      <c r="B3328" s="1">
        <v>45536</v>
      </c>
      <c r="C3328">
        <v>2024</v>
      </c>
      <c r="D3328">
        <v>9</v>
      </c>
      <c r="E3328" s="2" t="s">
        <v>153</v>
      </c>
      <c r="F3328" s="2" t="s">
        <v>154</v>
      </c>
      <c r="G3328" s="2" t="s">
        <v>21</v>
      </c>
      <c r="H3328" s="2" t="s">
        <v>22</v>
      </c>
      <c r="I3328" s="2" t="s">
        <v>73</v>
      </c>
      <c r="J3328" s="2" t="s">
        <v>101</v>
      </c>
      <c r="K3328">
        <v>1353.64</v>
      </c>
      <c r="L3328">
        <v>40101.51</v>
      </c>
      <c r="M3328">
        <v>2962.49</v>
      </c>
      <c r="N3328" s="2" t="s">
        <v>155</v>
      </c>
      <c r="O3328" s="2" t="s">
        <v>156</v>
      </c>
      <c r="P3328" s="2" t="s">
        <v>5868</v>
      </c>
      <c r="Q3328" s="2" t="s">
        <v>5869</v>
      </c>
      <c r="R3328" s="2" t="s">
        <v>29</v>
      </c>
      <c r="S3328" s="2" t="s">
        <v>30</v>
      </c>
    </row>
    <row r="3329" spans="1:19">
      <c r="A3329" s="1">
        <v>45536</v>
      </c>
      <c r="B3329" s="1">
        <v>45536</v>
      </c>
      <c r="C3329">
        <v>2024</v>
      </c>
      <c r="D3329">
        <v>9</v>
      </c>
      <c r="E3329" s="2" t="s">
        <v>159</v>
      </c>
      <c r="F3329" s="2" t="s">
        <v>160</v>
      </c>
      <c r="G3329" s="2" t="s">
        <v>21</v>
      </c>
      <c r="H3329" s="2" t="s">
        <v>22</v>
      </c>
      <c r="I3329" s="2" t="s">
        <v>66</v>
      </c>
      <c r="J3329" s="2" t="s">
        <v>59</v>
      </c>
      <c r="K3329">
        <v>1805.36</v>
      </c>
      <c r="L3329">
        <v>180706.78</v>
      </c>
      <c r="M3329">
        <v>10009.459999999999</v>
      </c>
      <c r="N3329" s="2" t="s">
        <v>161</v>
      </c>
      <c r="O3329" s="2" t="s">
        <v>162</v>
      </c>
      <c r="P3329" s="2" t="s">
        <v>5870</v>
      </c>
      <c r="Q3329" s="2" t="s">
        <v>5871</v>
      </c>
      <c r="R3329" s="2" t="s">
        <v>29</v>
      </c>
      <c r="S3329" s="2" t="s">
        <v>30</v>
      </c>
    </row>
    <row r="3330" spans="1:19">
      <c r="A3330" s="1">
        <v>45536</v>
      </c>
      <c r="B3330" s="1">
        <v>45536</v>
      </c>
      <c r="C3330">
        <v>2024</v>
      </c>
      <c r="D3330">
        <v>9</v>
      </c>
      <c r="E3330" s="2" t="s">
        <v>165</v>
      </c>
      <c r="F3330" s="2" t="s">
        <v>166</v>
      </c>
      <c r="G3330" s="2" t="s">
        <v>21</v>
      </c>
      <c r="H3330" s="2" t="s">
        <v>22</v>
      </c>
      <c r="I3330" s="2" t="s">
        <v>23</v>
      </c>
      <c r="J3330" s="2" t="s">
        <v>24</v>
      </c>
      <c r="N3330" s="2" t="s">
        <v>167</v>
      </c>
      <c r="O3330" s="2" t="s">
        <v>168</v>
      </c>
      <c r="P3330" s="2" t="s">
        <v>175</v>
      </c>
      <c r="Q3330" s="2" t="s">
        <v>175</v>
      </c>
      <c r="R3330" s="2" t="s">
        <v>640</v>
      </c>
      <c r="S3330" s="2" t="s">
        <v>641</v>
      </c>
    </row>
    <row r="3331" spans="1:19">
      <c r="A3331" s="1">
        <v>45536</v>
      </c>
      <c r="B3331" s="1">
        <v>45536</v>
      </c>
      <c r="C3331">
        <v>2024</v>
      </c>
      <c r="D3331">
        <v>9</v>
      </c>
      <c r="E3331" s="2" t="s">
        <v>171</v>
      </c>
      <c r="F3331" s="2" t="s">
        <v>172</v>
      </c>
      <c r="G3331" s="2" t="s">
        <v>21</v>
      </c>
      <c r="H3331" s="2" t="s">
        <v>22</v>
      </c>
      <c r="I3331" s="2" t="s">
        <v>66</v>
      </c>
      <c r="J3331" s="2" t="s">
        <v>24</v>
      </c>
      <c r="N3331" s="2" t="s">
        <v>173</v>
      </c>
      <c r="O3331" s="2" t="s">
        <v>174</v>
      </c>
      <c r="P3331" s="2" t="s">
        <v>175</v>
      </c>
      <c r="Q3331" s="2" t="s">
        <v>175</v>
      </c>
      <c r="R3331" s="2" t="s">
        <v>640</v>
      </c>
      <c r="S3331" s="2" t="s">
        <v>641</v>
      </c>
    </row>
    <row r="3332" spans="1:19">
      <c r="A3332" s="1">
        <v>45536</v>
      </c>
      <c r="B3332" s="1">
        <v>45536</v>
      </c>
      <c r="C3332">
        <v>2024</v>
      </c>
      <c r="D3332">
        <v>9</v>
      </c>
      <c r="E3332" s="2" t="s">
        <v>177</v>
      </c>
      <c r="F3332" s="2" t="s">
        <v>178</v>
      </c>
      <c r="G3332" s="2" t="s">
        <v>21</v>
      </c>
      <c r="H3332" s="2" t="s">
        <v>22</v>
      </c>
      <c r="I3332" s="2" t="s">
        <v>23</v>
      </c>
      <c r="J3332" s="2" t="s">
        <v>24</v>
      </c>
      <c r="K3332">
        <v>4299.3599999999997</v>
      </c>
      <c r="L3332">
        <v>565232.66</v>
      </c>
      <c r="M3332">
        <v>13146.9</v>
      </c>
      <c r="N3332" s="2" t="s">
        <v>179</v>
      </c>
      <c r="O3332" s="2" t="s">
        <v>180</v>
      </c>
      <c r="P3332" s="2" t="s">
        <v>5872</v>
      </c>
      <c r="Q3332" s="2" t="s">
        <v>5873</v>
      </c>
      <c r="R3332" s="2" t="s">
        <v>29</v>
      </c>
      <c r="S3332" s="2" t="s">
        <v>30</v>
      </c>
    </row>
    <row r="3333" spans="1:19">
      <c r="A3333" s="1">
        <v>45536</v>
      </c>
      <c r="B3333" s="1">
        <v>45536</v>
      </c>
      <c r="C3333">
        <v>2024</v>
      </c>
      <c r="D3333">
        <v>9</v>
      </c>
      <c r="E3333" s="2" t="s">
        <v>183</v>
      </c>
      <c r="F3333" s="2" t="s">
        <v>184</v>
      </c>
      <c r="G3333" s="2" t="s">
        <v>185</v>
      </c>
      <c r="H3333" s="2" t="s">
        <v>22</v>
      </c>
      <c r="I3333" s="2" t="s">
        <v>186</v>
      </c>
      <c r="J3333" s="2" t="s">
        <v>24</v>
      </c>
      <c r="K3333">
        <v>2807.35</v>
      </c>
      <c r="L3333">
        <v>5304822.87</v>
      </c>
      <c r="M3333">
        <v>188961.93</v>
      </c>
      <c r="N3333" s="2" t="s">
        <v>187</v>
      </c>
      <c r="O3333" s="2" t="s">
        <v>188</v>
      </c>
      <c r="P3333" s="2" t="s">
        <v>5874</v>
      </c>
      <c r="Q3333" s="2" t="s">
        <v>5875</v>
      </c>
      <c r="R3333" s="2" t="s">
        <v>29</v>
      </c>
      <c r="S3333" s="2" t="s">
        <v>30</v>
      </c>
    </row>
    <row r="3334" spans="1:19">
      <c r="A3334" s="1">
        <v>45536</v>
      </c>
      <c r="B3334" s="1">
        <v>45536</v>
      </c>
      <c r="C3334">
        <v>2024</v>
      </c>
      <c r="D3334">
        <v>9</v>
      </c>
      <c r="E3334" s="2" t="s">
        <v>191</v>
      </c>
      <c r="F3334" s="2" t="s">
        <v>192</v>
      </c>
      <c r="G3334" s="2" t="s">
        <v>185</v>
      </c>
      <c r="H3334" s="2" t="s">
        <v>22</v>
      </c>
      <c r="I3334" s="2" t="s">
        <v>186</v>
      </c>
      <c r="J3334" s="2" t="s">
        <v>24</v>
      </c>
      <c r="K3334">
        <v>1103.93</v>
      </c>
      <c r="L3334">
        <v>5946841.9699999997</v>
      </c>
      <c r="M3334">
        <v>538697.38</v>
      </c>
      <c r="N3334" s="2" t="s">
        <v>193</v>
      </c>
      <c r="O3334" s="2" t="s">
        <v>194</v>
      </c>
      <c r="P3334" s="2" t="s">
        <v>5876</v>
      </c>
      <c r="Q3334" s="2" t="s">
        <v>5877</v>
      </c>
      <c r="R3334" s="2" t="s">
        <v>29</v>
      </c>
      <c r="S3334" s="2" t="s">
        <v>30</v>
      </c>
    </row>
    <row r="3335" spans="1:19">
      <c r="A3335" s="1">
        <v>45536</v>
      </c>
      <c r="B3335" s="1">
        <v>45536</v>
      </c>
      <c r="C3335">
        <v>2024</v>
      </c>
      <c r="D3335">
        <v>9</v>
      </c>
      <c r="E3335" s="2" t="s">
        <v>197</v>
      </c>
      <c r="F3335" s="2" t="s">
        <v>198</v>
      </c>
      <c r="G3335" s="2" t="s">
        <v>185</v>
      </c>
      <c r="H3335" s="2" t="s">
        <v>22</v>
      </c>
      <c r="I3335" s="2" t="s">
        <v>186</v>
      </c>
      <c r="J3335" s="2" t="s">
        <v>59</v>
      </c>
      <c r="K3335">
        <v>3911.28</v>
      </c>
      <c r="L3335">
        <v>11251664.84</v>
      </c>
      <c r="M3335">
        <v>287672.19</v>
      </c>
      <c r="N3335" s="2" t="s">
        <v>199</v>
      </c>
      <c r="O3335" s="2" t="s">
        <v>200</v>
      </c>
      <c r="P3335" s="2" t="s">
        <v>5878</v>
      </c>
      <c r="Q3335" s="2" t="s">
        <v>5879</v>
      </c>
      <c r="R3335" s="2" t="s">
        <v>29</v>
      </c>
      <c r="S3335" s="2" t="s">
        <v>30</v>
      </c>
    </row>
    <row r="3336" spans="1:19">
      <c r="A3336" s="1">
        <v>45536</v>
      </c>
      <c r="B3336" s="1">
        <v>45536</v>
      </c>
      <c r="C3336">
        <v>2024</v>
      </c>
      <c r="D3336">
        <v>9</v>
      </c>
      <c r="E3336" s="2" t="s">
        <v>203</v>
      </c>
      <c r="F3336" s="2" t="s">
        <v>204</v>
      </c>
      <c r="G3336" s="2" t="s">
        <v>39</v>
      </c>
      <c r="H3336" s="2" t="s">
        <v>22</v>
      </c>
      <c r="I3336" s="2" t="s">
        <v>40</v>
      </c>
      <c r="J3336" s="2" t="s">
        <v>24</v>
      </c>
      <c r="K3336">
        <v>975.12</v>
      </c>
      <c r="L3336">
        <v>23389.19</v>
      </c>
      <c r="M3336">
        <v>2398.6</v>
      </c>
      <c r="N3336" s="2" t="s">
        <v>205</v>
      </c>
      <c r="O3336" s="2" t="s">
        <v>206</v>
      </c>
      <c r="P3336" s="2" t="s">
        <v>5880</v>
      </c>
      <c r="Q3336" s="2" t="s">
        <v>5881</v>
      </c>
      <c r="R3336" s="2" t="s">
        <v>29</v>
      </c>
      <c r="S3336" s="2" t="s">
        <v>30</v>
      </c>
    </row>
    <row r="3337" spans="1:19">
      <c r="A3337" s="1">
        <v>45536</v>
      </c>
      <c r="B3337" s="1">
        <v>45536</v>
      </c>
      <c r="C3337">
        <v>2024</v>
      </c>
      <c r="D3337">
        <v>9</v>
      </c>
      <c r="E3337" s="2" t="s">
        <v>209</v>
      </c>
      <c r="F3337" s="2" t="s">
        <v>210</v>
      </c>
      <c r="G3337" s="2" t="s">
        <v>39</v>
      </c>
      <c r="H3337" s="2" t="s">
        <v>22</v>
      </c>
      <c r="I3337" s="2" t="s">
        <v>40</v>
      </c>
      <c r="J3337" s="2" t="s">
        <v>59</v>
      </c>
      <c r="K3337">
        <v>975.12</v>
      </c>
      <c r="L3337">
        <v>23389.19</v>
      </c>
      <c r="M3337">
        <v>2398.6</v>
      </c>
      <c r="N3337" s="2" t="s">
        <v>211</v>
      </c>
      <c r="O3337" s="2" t="s">
        <v>212</v>
      </c>
      <c r="P3337" s="2" t="s">
        <v>5880</v>
      </c>
      <c r="Q3337" s="2" t="s">
        <v>5881</v>
      </c>
      <c r="R3337" s="2" t="s">
        <v>29</v>
      </c>
      <c r="S3337" s="2" t="s">
        <v>30</v>
      </c>
    </row>
    <row r="3338" spans="1:19">
      <c r="A3338" s="1">
        <v>45536</v>
      </c>
      <c r="B3338" s="1">
        <v>45536</v>
      </c>
      <c r="C3338">
        <v>2024</v>
      </c>
      <c r="D3338">
        <v>9</v>
      </c>
      <c r="E3338" s="2" t="s">
        <v>213</v>
      </c>
      <c r="F3338" s="2" t="s">
        <v>214</v>
      </c>
      <c r="G3338" s="2" t="s">
        <v>185</v>
      </c>
      <c r="H3338" s="2" t="s">
        <v>22</v>
      </c>
      <c r="I3338" s="2" t="s">
        <v>215</v>
      </c>
      <c r="J3338" s="2" t="s">
        <v>24</v>
      </c>
      <c r="K3338">
        <v>133431.79</v>
      </c>
      <c r="L3338">
        <v>2539739.4300000002</v>
      </c>
      <c r="M3338">
        <v>1903.4</v>
      </c>
      <c r="N3338" s="2" t="s">
        <v>216</v>
      </c>
      <c r="O3338" s="2" t="s">
        <v>217</v>
      </c>
      <c r="P3338" s="2" t="s">
        <v>5882</v>
      </c>
      <c r="Q3338" s="2" t="s">
        <v>5883</v>
      </c>
      <c r="R3338" s="2" t="s">
        <v>29</v>
      </c>
      <c r="S3338" s="2" t="s">
        <v>30</v>
      </c>
    </row>
    <row r="3339" spans="1:19">
      <c r="A3339" s="1">
        <v>45536</v>
      </c>
      <c r="B3339" s="1">
        <v>45536</v>
      </c>
      <c r="C3339">
        <v>2024</v>
      </c>
      <c r="D3339">
        <v>9</v>
      </c>
      <c r="E3339" s="2" t="s">
        <v>220</v>
      </c>
      <c r="F3339" s="2" t="s">
        <v>221</v>
      </c>
      <c r="G3339" s="2" t="s">
        <v>185</v>
      </c>
      <c r="H3339" s="2" t="s">
        <v>22</v>
      </c>
      <c r="I3339" s="2" t="s">
        <v>215</v>
      </c>
      <c r="J3339" s="2" t="s">
        <v>24</v>
      </c>
      <c r="K3339">
        <v>10596.33</v>
      </c>
      <c r="L3339">
        <v>617324.65</v>
      </c>
      <c r="M3339">
        <v>5825.83</v>
      </c>
      <c r="N3339" s="2" t="s">
        <v>222</v>
      </c>
      <c r="O3339" s="2" t="s">
        <v>223</v>
      </c>
      <c r="P3339" s="2" t="s">
        <v>5884</v>
      </c>
      <c r="Q3339" s="2" t="s">
        <v>5885</v>
      </c>
      <c r="R3339" s="2" t="s">
        <v>29</v>
      </c>
      <c r="S3339" s="2" t="s">
        <v>30</v>
      </c>
    </row>
    <row r="3340" spans="1:19">
      <c r="A3340" s="1">
        <v>45536</v>
      </c>
      <c r="B3340" s="1">
        <v>45536</v>
      </c>
      <c r="C3340">
        <v>2024</v>
      </c>
      <c r="D3340">
        <v>9</v>
      </c>
      <c r="E3340" s="2" t="s">
        <v>226</v>
      </c>
      <c r="F3340" s="2" t="s">
        <v>227</v>
      </c>
      <c r="G3340" s="2" t="s">
        <v>185</v>
      </c>
      <c r="H3340" s="2" t="s">
        <v>22</v>
      </c>
      <c r="I3340" s="2" t="s">
        <v>215</v>
      </c>
      <c r="J3340" s="2" t="s">
        <v>59</v>
      </c>
      <c r="K3340">
        <v>144028.12</v>
      </c>
      <c r="L3340">
        <v>3157064.07</v>
      </c>
      <c r="M3340">
        <v>2191.98</v>
      </c>
      <c r="N3340" s="2" t="s">
        <v>228</v>
      </c>
      <c r="O3340" s="2" t="s">
        <v>229</v>
      </c>
      <c r="P3340" s="2" t="s">
        <v>5886</v>
      </c>
      <c r="Q3340" s="2" t="s">
        <v>5887</v>
      </c>
      <c r="R3340" s="2" t="s">
        <v>29</v>
      </c>
      <c r="S3340" s="2" t="s">
        <v>30</v>
      </c>
    </row>
    <row r="3341" spans="1:19">
      <c r="A3341" s="1">
        <v>45536</v>
      </c>
      <c r="B3341" s="1">
        <v>45536</v>
      </c>
      <c r="C3341">
        <v>2024</v>
      </c>
      <c r="D3341">
        <v>9</v>
      </c>
      <c r="E3341" s="2" t="s">
        <v>232</v>
      </c>
      <c r="F3341" s="2" t="s">
        <v>233</v>
      </c>
      <c r="G3341" s="2" t="s">
        <v>21</v>
      </c>
      <c r="H3341" s="2" t="s">
        <v>22</v>
      </c>
      <c r="I3341" s="2" t="s">
        <v>23</v>
      </c>
      <c r="J3341" s="2" t="s">
        <v>24</v>
      </c>
      <c r="K3341">
        <v>1657.93</v>
      </c>
      <c r="L3341">
        <v>122078.92</v>
      </c>
      <c r="M3341">
        <v>7363.33</v>
      </c>
      <c r="N3341" s="2" t="s">
        <v>234</v>
      </c>
      <c r="O3341" s="2" t="s">
        <v>235</v>
      </c>
      <c r="P3341" s="2" t="s">
        <v>5888</v>
      </c>
      <c r="Q3341" s="2" t="s">
        <v>5889</v>
      </c>
      <c r="R3341" s="2" t="s">
        <v>29</v>
      </c>
      <c r="S3341" s="2" t="s">
        <v>30</v>
      </c>
    </row>
    <row r="3342" spans="1:19">
      <c r="A3342" s="1">
        <v>45536</v>
      </c>
      <c r="B3342" s="1">
        <v>45536</v>
      </c>
      <c r="C3342">
        <v>2024</v>
      </c>
      <c r="D3342">
        <v>9</v>
      </c>
      <c r="E3342" s="2" t="s">
        <v>238</v>
      </c>
      <c r="F3342" s="2" t="s">
        <v>239</v>
      </c>
      <c r="G3342" s="2" t="s">
        <v>21</v>
      </c>
      <c r="H3342" s="2" t="s">
        <v>22</v>
      </c>
      <c r="I3342" s="2" t="s">
        <v>66</v>
      </c>
      <c r="J3342" s="2" t="s">
        <v>24</v>
      </c>
      <c r="K3342">
        <v>1651.69</v>
      </c>
      <c r="L3342">
        <v>179945.47</v>
      </c>
      <c r="M3342">
        <v>10894.63</v>
      </c>
      <c r="N3342" s="2" t="s">
        <v>240</v>
      </c>
      <c r="O3342" s="2" t="s">
        <v>241</v>
      </c>
      <c r="P3342" s="2" t="s">
        <v>5890</v>
      </c>
      <c r="Q3342" s="2" t="s">
        <v>5891</v>
      </c>
      <c r="R3342" s="2" t="s">
        <v>29</v>
      </c>
      <c r="S3342" s="2" t="s">
        <v>30</v>
      </c>
    </row>
    <row r="3343" spans="1:19">
      <c r="A3343" s="1">
        <v>45536</v>
      </c>
      <c r="B3343" s="1">
        <v>45536</v>
      </c>
      <c r="C3343">
        <v>2024</v>
      </c>
      <c r="D3343">
        <v>9</v>
      </c>
      <c r="E3343" s="2" t="s">
        <v>244</v>
      </c>
      <c r="F3343" s="2" t="s">
        <v>245</v>
      </c>
      <c r="G3343" s="2" t="s">
        <v>21</v>
      </c>
      <c r="H3343" s="2" t="s">
        <v>22</v>
      </c>
      <c r="I3343" s="2" t="s">
        <v>23</v>
      </c>
      <c r="J3343" s="2" t="s">
        <v>24</v>
      </c>
      <c r="K3343">
        <v>7908.83</v>
      </c>
      <c r="L3343">
        <v>3597884.88</v>
      </c>
      <c r="M3343">
        <v>45492</v>
      </c>
      <c r="N3343" s="2" t="s">
        <v>246</v>
      </c>
      <c r="O3343" s="2" t="s">
        <v>247</v>
      </c>
      <c r="P3343" s="2" t="s">
        <v>5892</v>
      </c>
      <c r="Q3343" s="2" t="s">
        <v>5893</v>
      </c>
      <c r="R3343" s="2" t="s">
        <v>29</v>
      </c>
      <c r="S3343" s="2" t="s">
        <v>30</v>
      </c>
    </row>
    <row r="3344" spans="1:19">
      <c r="A3344" s="1">
        <v>45536</v>
      </c>
      <c r="B3344" s="1">
        <v>45536</v>
      </c>
      <c r="C3344">
        <v>2024</v>
      </c>
      <c r="D3344">
        <v>9</v>
      </c>
      <c r="E3344" s="2" t="s">
        <v>250</v>
      </c>
      <c r="F3344" s="2" t="s">
        <v>251</v>
      </c>
      <c r="G3344" s="2" t="s">
        <v>21</v>
      </c>
      <c r="H3344" s="2" t="s">
        <v>22</v>
      </c>
      <c r="I3344" s="2" t="s">
        <v>66</v>
      </c>
      <c r="J3344" s="2" t="s">
        <v>24</v>
      </c>
      <c r="K3344">
        <v>134.86000000000001</v>
      </c>
      <c r="L3344">
        <v>193.46</v>
      </c>
      <c r="M3344">
        <v>143.44999999999999</v>
      </c>
      <c r="N3344" s="2" t="s">
        <v>252</v>
      </c>
      <c r="O3344" s="2" t="s">
        <v>253</v>
      </c>
      <c r="P3344" s="2" t="s">
        <v>5894</v>
      </c>
      <c r="Q3344" s="2" t="s">
        <v>5895</v>
      </c>
      <c r="R3344" s="2" t="s">
        <v>29</v>
      </c>
      <c r="S3344" s="2" t="s">
        <v>30</v>
      </c>
    </row>
    <row r="3345" spans="1:19">
      <c r="A3345" s="1">
        <v>45536</v>
      </c>
      <c r="B3345" s="1">
        <v>45536</v>
      </c>
      <c r="C3345">
        <v>2024</v>
      </c>
      <c r="D3345">
        <v>9</v>
      </c>
      <c r="E3345" s="2" t="s">
        <v>256</v>
      </c>
      <c r="F3345" s="2" t="s">
        <v>257</v>
      </c>
      <c r="G3345" s="2" t="s">
        <v>21</v>
      </c>
      <c r="H3345" s="2" t="s">
        <v>22</v>
      </c>
      <c r="I3345" s="2" t="s">
        <v>258</v>
      </c>
      <c r="J3345" s="2" t="s">
        <v>24</v>
      </c>
      <c r="K3345">
        <v>484.94</v>
      </c>
      <c r="L3345">
        <v>543387</v>
      </c>
      <c r="M3345">
        <v>112052.42</v>
      </c>
      <c r="N3345" s="2" t="s">
        <v>259</v>
      </c>
      <c r="O3345" s="2" t="s">
        <v>260</v>
      </c>
      <c r="P3345" s="2" t="s">
        <v>5896</v>
      </c>
      <c r="Q3345" s="2" t="s">
        <v>5897</v>
      </c>
      <c r="R3345" s="2" t="s">
        <v>29</v>
      </c>
      <c r="S3345" s="2" t="s">
        <v>30</v>
      </c>
    </row>
    <row r="3346" spans="1:19">
      <c r="A3346" s="1">
        <v>45536</v>
      </c>
      <c r="B3346" s="1">
        <v>45536</v>
      </c>
      <c r="C3346">
        <v>2024</v>
      </c>
      <c r="D3346">
        <v>9</v>
      </c>
      <c r="E3346" s="2" t="s">
        <v>263</v>
      </c>
      <c r="F3346" s="2" t="s">
        <v>264</v>
      </c>
      <c r="G3346" s="2" t="s">
        <v>21</v>
      </c>
      <c r="H3346" s="2" t="s">
        <v>22</v>
      </c>
      <c r="I3346" s="2" t="s">
        <v>258</v>
      </c>
      <c r="J3346" s="2" t="s">
        <v>24</v>
      </c>
      <c r="K3346">
        <v>0</v>
      </c>
      <c r="L3346">
        <v>0</v>
      </c>
      <c r="N3346" s="2" t="s">
        <v>265</v>
      </c>
      <c r="O3346" s="2" t="s">
        <v>266</v>
      </c>
      <c r="P3346" s="2" t="s">
        <v>639</v>
      </c>
      <c r="Q3346" s="2" t="s">
        <v>639</v>
      </c>
      <c r="R3346" s="2" t="s">
        <v>29</v>
      </c>
      <c r="S3346" s="2" t="s">
        <v>30</v>
      </c>
    </row>
    <row r="3347" spans="1:19">
      <c r="A3347" s="1">
        <v>45536</v>
      </c>
      <c r="B3347" s="1">
        <v>45536</v>
      </c>
      <c r="C3347">
        <v>2024</v>
      </c>
      <c r="D3347">
        <v>9</v>
      </c>
      <c r="E3347" s="2" t="s">
        <v>269</v>
      </c>
      <c r="F3347" s="2" t="s">
        <v>270</v>
      </c>
      <c r="G3347" s="2" t="s">
        <v>21</v>
      </c>
      <c r="H3347" s="2" t="s">
        <v>22</v>
      </c>
      <c r="I3347" s="2" t="s">
        <v>258</v>
      </c>
      <c r="J3347" s="2" t="s">
        <v>59</v>
      </c>
      <c r="K3347">
        <v>484.94</v>
      </c>
      <c r="L3347">
        <v>543387</v>
      </c>
      <c r="M3347">
        <v>112052.42</v>
      </c>
      <c r="N3347" s="2" t="s">
        <v>271</v>
      </c>
      <c r="O3347" s="2" t="s">
        <v>272</v>
      </c>
      <c r="P3347" s="2" t="s">
        <v>5896</v>
      </c>
      <c r="Q3347" s="2" t="s">
        <v>5897</v>
      </c>
      <c r="R3347" s="2" t="s">
        <v>29</v>
      </c>
      <c r="S3347" s="2" t="s">
        <v>30</v>
      </c>
    </row>
    <row r="3348" spans="1:19">
      <c r="A3348" s="1">
        <v>45536</v>
      </c>
      <c r="B3348" s="1">
        <v>45536</v>
      </c>
      <c r="C3348">
        <v>2024</v>
      </c>
      <c r="D3348">
        <v>9</v>
      </c>
      <c r="E3348" s="2" t="s">
        <v>275</v>
      </c>
      <c r="F3348" s="2" t="s">
        <v>276</v>
      </c>
      <c r="G3348" s="2" t="s">
        <v>39</v>
      </c>
      <c r="H3348" s="2" t="s">
        <v>22</v>
      </c>
      <c r="I3348" s="2" t="s">
        <v>40</v>
      </c>
      <c r="J3348" s="2" t="s">
        <v>24</v>
      </c>
      <c r="K3348">
        <v>0.25</v>
      </c>
      <c r="L3348">
        <v>2.5499999999999998</v>
      </c>
      <c r="M3348">
        <v>1020</v>
      </c>
      <c r="N3348" s="2" t="s">
        <v>277</v>
      </c>
      <c r="O3348" s="2" t="s">
        <v>278</v>
      </c>
      <c r="P3348" s="2" t="s">
        <v>876</v>
      </c>
      <c r="Q3348" s="2" t="s">
        <v>5898</v>
      </c>
      <c r="R3348" s="2" t="s">
        <v>29</v>
      </c>
      <c r="S3348" s="2" t="s">
        <v>30</v>
      </c>
    </row>
    <row r="3349" spans="1:19">
      <c r="A3349" s="1">
        <v>45536</v>
      </c>
      <c r="B3349" s="1">
        <v>45536</v>
      </c>
      <c r="C3349">
        <v>2024</v>
      </c>
      <c r="D3349">
        <v>9</v>
      </c>
      <c r="E3349" s="2" t="s">
        <v>281</v>
      </c>
      <c r="F3349" s="2" t="s">
        <v>282</v>
      </c>
      <c r="G3349" s="2" t="s">
        <v>39</v>
      </c>
      <c r="H3349" s="2" t="s">
        <v>22</v>
      </c>
      <c r="I3349" s="2" t="s">
        <v>40</v>
      </c>
      <c r="J3349" s="2" t="s">
        <v>24</v>
      </c>
      <c r="K3349">
        <v>0.01</v>
      </c>
      <c r="L3349">
        <v>0.11</v>
      </c>
      <c r="M3349">
        <v>1100</v>
      </c>
      <c r="N3349" s="2" t="s">
        <v>283</v>
      </c>
      <c r="O3349" s="2" t="s">
        <v>284</v>
      </c>
      <c r="P3349" s="2" t="s">
        <v>832</v>
      </c>
      <c r="Q3349" s="2" t="s">
        <v>1291</v>
      </c>
      <c r="R3349" s="2" t="s">
        <v>29</v>
      </c>
      <c r="S3349" s="2" t="s">
        <v>30</v>
      </c>
    </row>
    <row r="3350" spans="1:19">
      <c r="A3350" s="1">
        <v>45536</v>
      </c>
      <c r="B3350" s="1">
        <v>45536</v>
      </c>
      <c r="C3350">
        <v>2024</v>
      </c>
      <c r="D3350">
        <v>9</v>
      </c>
      <c r="E3350" s="2" t="s">
        <v>287</v>
      </c>
      <c r="F3350" s="2" t="s">
        <v>288</v>
      </c>
      <c r="G3350" s="2" t="s">
        <v>39</v>
      </c>
      <c r="H3350" s="2" t="s">
        <v>22</v>
      </c>
      <c r="I3350" s="2" t="s">
        <v>40</v>
      </c>
      <c r="J3350" s="2" t="s">
        <v>59</v>
      </c>
      <c r="K3350">
        <v>0.27</v>
      </c>
      <c r="L3350">
        <v>2.66</v>
      </c>
      <c r="M3350">
        <v>985.19</v>
      </c>
      <c r="N3350" s="2" t="s">
        <v>289</v>
      </c>
      <c r="O3350" s="2" t="s">
        <v>290</v>
      </c>
      <c r="P3350" s="2" t="s">
        <v>980</v>
      </c>
      <c r="Q3350" s="2" t="s">
        <v>5899</v>
      </c>
      <c r="R3350" s="2" t="s">
        <v>29</v>
      </c>
      <c r="S3350" s="2" t="s">
        <v>30</v>
      </c>
    </row>
    <row r="3351" spans="1:19">
      <c r="A3351" s="1">
        <v>45536</v>
      </c>
      <c r="B3351" s="1">
        <v>45536</v>
      </c>
      <c r="C3351">
        <v>2024</v>
      </c>
      <c r="D3351">
        <v>9</v>
      </c>
      <c r="E3351" s="2" t="s">
        <v>293</v>
      </c>
      <c r="F3351" s="2" t="s">
        <v>294</v>
      </c>
      <c r="G3351" s="2" t="s">
        <v>21</v>
      </c>
      <c r="H3351" s="2" t="s">
        <v>22</v>
      </c>
      <c r="I3351" s="2" t="s">
        <v>295</v>
      </c>
      <c r="J3351" s="2" t="s">
        <v>24</v>
      </c>
      <c r="K3351">
        <v>700.09</v>
      </c>
      <c r="L3351">
        <v>4742.6899999999996</v>
      </c>
      <c r="M3351">
        <v>677.44</v>
      </c>
      <c r="N3351" s="2" t="s">
        <v>296</v>
      </c>
      <c r="O3351" s="2" t="s">
        <v>297</v>
      </c>
      <c r="P3351" s="2" t="s">
        <v>5900</v>
      </c>
      <c r="Q3351" s="2" t="s">
        <v>5901</v>
      </c>
      <c r="R3351" s="2" t="s">
        <v>29</v>
      </c>
      <c r="S3351" s="2" t="s">
        <v>30</v>
      </c>
    </row>
    <row r="3352" spans="1:19">
      <c r="A3352" s="1">
        <v>45536</v>
      </c>
      <c r="B3352" s="1">
        <v>45536</v>
      </c>
      <c r="C3352">
        <v>2024</v>
      </c>
      <c r="D3352">
        <v>9</v>
      </c>
      <c r="E3352" s="2" t="s">
        <v>300</v>
      </c>
      <c r="F3352" s="2" t="s">
        <v>301</v>
      </c>
      <c r="G3352" s="2" t="s">
        <v>21</v>
      </c>
      <c r="H3352" s="2" t="s">
        <v>22</v>
      </c>
      <c r="I3352" s="2" t="s">
        <v>295</v>
      </c>
      <c r="J3352" s="2" t="s">
        <v>24</v>
      </c>
      <c r="K3352">
        <v>721.65</v>
      </c>
      <c r="L3352">
        <v>857.57</v>
      </c>
      <c r="M3352">
        <v>118.83</v>
      </c>
      <c r="N3352" s="2" t="s">
        <v>302</v>
      </c>
      <c r="O3352" s="2" t="s">
        <v>303</v>
      </c>
      <c r="P3352" s="2" t="s">
        <v>5902</v>
      </c>
      <c r="Q3352" s="2" t="s">
        <v>5903</v>
      </c>
      <c r="R3352" s="2" t="s">
        <v>29</v>
      </c>
      <c r="S3352" s="2" t="s">
        <v>30</v>
      </c>
    </row>
    <row r="3353" spans="1:19">
      <c r="A3353" s="1">
        <v>45536</v>
      </c>
      <c r="B3353" s="1">
        <v>45536</v>
      </c>
      <c r="C3353">
        <v>2024</v>
      </c>
      <c r="D3353">
        <v>9</v>
      </c>
      <c r="E3353" s="2" t="s">
        <v>306</v>
      </c>
      <c r="F3353" s="2" t="s">
        <v>307</v>
      </c>
      <c r="G3353" s="2" t="s">
        <v>21</v>
      </c>
      <c r="H3353" s="2" t="s">
        <v>22</v>
      </c>
      <c r="I3353" s="2" t="s">
        <v>295</v>
      </c>
      <c r="J3353" s="2" t="s">
        <v>101</v>
      </c>
      <c r="K3353">
        <v>1421.74</v>
      </c>
      <c r="L3353">
        <v>5600.26</v>
      </c>
      <c r="M3353">
        <v>393.9</v>
      </c>
      <c r="N3353" s="2" t="s">
        <v>308</v>
      </c>
      <c r="O3353" s="2" t="s">
        <v>309</v>
      </c>
      <c r="P3353" s="2" t="s">
        <v>5904</v>
      </c>
      <c r="Q3353" s="2" t="s">
        <v>5905</v>
      </c>
      <c r="R3353" s="2" t="s">
        <v>29</v>
      </c>
      <c r="S3353" s="2" t="s">
        <v>30</v>
      </c>
    </row>
    <row r="3354" spans="1:19">
      <c r="A3354" s="1">
        <v>45536</v>
      </c>
      <c r="B3354" s="1">
        <v>45536</v>
      </c>
      <c r="C3354">
        <v>2024</v>
      </c>
      <c r="D3354">
        <v>9</v>
      </c>
      <c r="E3354" s="2" t="s">
        <v>312</v>
      </c>
      <c r="F3354" s="2" t="s">
        <v>313</v>
      </c>
      <c r="G3354" s="2" t="s">
        <v>21</v>
      </c>
      <c r="H3354" s="2" t="s">
        <v>22</v>
      </c>
      <c r="I3354" s="2" t="s">
        <v>295</v>
      </c>
      <c r="J3354" s="2" t="s">
        <v>59</v>
      </c>
      <c r="K3354">
        <v>5476.69</v>
      </c>
      <c r="L3354">
        <v>17489.47</v>
      </c>
      <c r="M3354">
        <v>319.33999999999997</v>
      </c>
      <c r="N3354" s="2" t="s">
        <v>314</v>
      </c>
      <c r="O3354" s="2" t="s">
        <v>315</v>
      </c>
      <c r="P3354" s="2" t="s">
        <v>5906</v>
      </c>
      <c r="Q3354" s="2" t="s">
        <v>5907</v>
      </c>
      <c r="R3354" s="2" t="s">
        <v>29</v>
      </c>
      <c r="S3354" s="2" t="s">
        <v>30</v>
      </c>
    </row>
    <row r="3355" spans="1:19">
      <c r="A3355" s="1">
        <v>45536</v>
      </c>
      <c r="B3355" s="1">
        <v>45536</v>
      </c>
      <c r="C3355">
        <v>2024</v>
      </c>
      <c r="D3355">
        <v>9</v>
      </c>
      <c r="E3355" s="2" t="s">
        <v>318</v>
      </c>
      <c r="F3355" s="2" t="s">
        <v>319</v>
      </c>
      <c r="G3355" s="2" t="s">
        <v>21</v>
      </c>
      <c r="H3355" s="2" t="s">
        <v>22</v>
      </c>
      <c r="I3355" s="2" t="s">
        <v>295</v>
      </c>
      <c r="J3355" s="2" t="s">
        <v>24</v>
      </c>
      <c r="K3355">
        <v>4054.95</v>
      </c>
      <c r="L3355">
        <v>11889.21</v>
      </c>
      <c r="M3355">
        <v>293.2</v>
      </c>
      <c r="N3355" s="2" t="s">
        <v>320</v>
      </c>
      <c r="O3355" s="2" t="s">
        <v>321</v>
      </c>
      <c r="P3355" s="2" t="s">
        <v>5908</v>
      </c>
      <c r="Q3355" s="2" t="s">
        <v>5909</v>
      </c>
      <c r="R3355" s="2" t="s">
        <v>29</v>
      </c>
      <c r="S3355" s="2" t="s">
        <v>30</v>
      </c>
    </row>
    <row r="3356" spans="1:19">
      <c r="A3356" s="1">
        <v>45536</v>
      </c>
      <c r="B3356" s="1">
        <v>45536</v>
      </c>
      <c r="C3356">
        <v>2024</v>
      </c>
      <c r="D3356">
        <v>9</v>
      </c>
      <c r="E3356" s="2" t="s">
        <v>324</v>
      </c>
      <c r="F3356" s="2" t="s">
        <v>325</v>
      </c>
      <c r="G3356" s="2" t="s">
        <v>21</v>
      </c>
      <c r="H3356" s="2" t="s">
        <v>22</v>
      </c>
      <c r="I3356" s="2" t="s">
        <v>23</v>
      </c>
      <c r="J3356" s="2" t="s">
        <v>59</v>
      </c>
      <c r="K3356">
        <v>166626.29999999999</v>
      </c>
      <c r="L3356">
        <v>6384754.4400000004</v>
      </c>
      <c r="M3356">
        <v>3831.78</v>
      </c>
      <c r="N3356" s="2" t="s">
        <v>326</v>
      </c>
      <c r="O3356" s="2" t="s">
        <v>327</v>
      </c>
      <c r="P3356" s="2" t="s">
        <v>5910</v>
      </c>
      <c r="Q3356" s="2" t="s">
        <v>5911</v>
      </c>
      <c r="R3356" s="2" t="s">
        <v>29</v>
      </c>
      <c r="S3356" s="2" t="s">
        <v>30</v>
      </c>
    </row>
    <row r="3357" spans="1:19">
      <c r="A3357" s="1">
        <v>45536</v>
      </c>
      <c r="B3357" s="1">
        <v>45536</v>
      </c>
      <c r="C3357">
        <v>2024</v>
      </c>
      <c r="D3357">
        <v>9</v>
      </c>
      <c r="E3357" s="2" t="s">
        <v>330</v>
      </c>
      <c r="F3357" s="2" t="s">
        <v>331</v>
      </c>
      <c r="G3357" s="2" t="s">
        <v>21</v>
      </c>
      <c r="H3357" s="2" t="s">
        <v>332</v>
      </c>
      <c r="I3357" s="2" t="s">
        <v>333</v>
      </c>
      <c r="J3357" s="2" t="s">
        <v>24</v>
      </c>
      <c r="K3357">
        <v>232.21</v>
      </c>
      <c r="L3357">
        <v>16027654.83</v>
      </c>
      <c r="M3357">
        <v>6902224.21</v>
      </c>
      <c r="N3357" s="2" t="s">
        <v>334</v>
      </c>
      <c r="O3357" s="2" t="s">
        <v>335</v>
      </c>
      <c r="P3357" s="2" t="s">
        <v>5912</v>
      </c>
      <c r="Q3357" s="2" t="s">
        <v>5913</v>
      </c>
      <c r="R3357" s="2" t="s">
        <v>29</v>
      </c>
      <c r="S3357" s="2" t="s">
        <v>30</v>
      </c>
    </row>
    <row r="3358" spans="1:19">
      <c r="A3358" s="1">
        <v>45536</v>
      </c>
      <c r="B3358" s="1">
        <v>45536</v>
      </c>
      <c r="C3358">
        <v>2024</v>
      </c>
      <c r="D3358">
        <v>9</v>
      </c>
      <c r="E3358" s="2" t="s">
        <v>338</v>
      </c>
      <c r="F3358" s="2" t="s">
        <v>339</v>
      </c>
      <c r="G3358" s="2" t="s">
        <v>21</v>
      </c>
      <c r="H3358" s="2" t="s">
        <v>332</v>
      </c>
      <c r="I3358" s="2" t="s">
        <v>333</v>
      </c>
      <c r="J3358" s="2" t="s">
        <v>24</v>
      </c>
      <c r="K3358">
        <v>1.1200000000000001</v>
      </c>
      <c r="L3358">
        <v>1758827.84</v>
      </c>
      <c r="M3358">
        <v>157038200</v>
      </c>
      <c r="N3358" s="2" t="s">
        <v>340</v>
      </c>
      <c r="O3358" s="2" t="s">
        <v>341</v>
      </c>
      <c r="P3358" s="2" t="s">
        <v>2887</v>
      </c>
      <c r="Q3358" s="2" t="s">
        <v>5914</v>
      </c>
      <c r="R3358" s="2" t="s">
        <v>29</v>
      </c>
      <c r="S3358" s="2" t="s">
        <v>30</v>
      </c>
    </row>
    <row r="3359" spans="1:19">
      <c r="A3359" s="1">
        <v>45536</v>
      </c>
      <c r="B3359" s="1">
        <v>45536</v>
      </c>
      <c r="C3359">
        <v>2024</v>
      </c>
      <c r="D3359">
        <v>9</v>
      </c>
      <c r="E3359" s="2" t="s">
        <v>344</v>
      </c>
      <c r="F3359" s="2" t="s">
        <v>345</v>
      </c>
      <c r="G3359" s="2" t="s">
        <v>21</v>
      </c>
      <c r="H3359" s="2" t="s">
        <v>332</v>
      </c>
      <c r="I3359" s="2" t="s">
        <v>333</v>
      </c>
      <c r="J3359" s="2" t="s">
        <v>59</v>
      </c>
      <c r="K3359">
        <v>233.33</v>
      </c>
      <c r="L3359">
        <v>17786482.670000002</v>
      </c>
      <c r="M3359">
        <v>7622887.1900000004</v>
      </c>
      <c r="N3359" s="2" t="s">
        <v>346</v>
      </c>
      <c r="O3359" s="2" t="s">
        <v>347</v>
      </c>
      <c r="P3359" s="2" t="s">
        <v>5915</v>
      </c>
      <c r="Q3359" s="2" t="s">
        <v>5916</v>
      </c>
      <c r="R3359" s="2" t="s">
        <v>29</v>
      </c>
      <c r="S3359" s="2" t="s">
        <v>30</v>
      </c>
    </row>
    <row r="3360" spans="1:19">
      <c r="A3360" s="1">
        <v>45536</v>
      </c>
      <c r="B3360" s="1">
        <v>45536</v>
      </c>
      <c r="C3360">
        <v>2024</v>
      </c>
      <c r="D3360">
        <v>9</v>
      </c>
      <c r="E3360" s="2" t="s">
        <v>350</v>
      </c>
      <c r="F3360" s="2" t="s">
        <v>351</v>
      </c>
      <c r="G3360" s="2" t="s">
        <v>21</v>
      </c>
      <c r="H3360" s="2" t="s">
        <v>22</v>
      </c>
      <c r="I3360" s="2" t="s">
        <v>352</v>
      </c>
      <c r="J3360" s="2" t="s">
        <v>353</v>
      </c>
      <c r="K3360">
        <v>179416.95999999999</v>
      </c>
      <c r="L3360">
        <v>24585736.93</v>
      </c>
      <c r="M3360">
        <v>13703.13</v>
      </c>
      <c r="N3360" s="2" t="s">
        <v>354</v>
      </c>
      <c r="O3360" s="2" t="s">
        <v>355</v>
      </c>
      <c r="P3360" s="2" t="s">
        <v>5917</v>
      </c>
      <c r="Q3360" s="2" t="s">
        <v>5918</v>
      </c>
      <c r="R3360" s="2" t="s">
        <v>29</v>
      </c>
      <c r="S3360" s="2" t="s">
        <v>30</v>
      </c>
    </row>
    <row r="3361" spans="1:19">
      <c r="A3361" s="1">
        <v>45536</v>
      </c>
      <c r="B3361" s="1">
        <v>45536</v>
      </c>
      <c r="C3361">
        <v>2024</v>
      </c>
      <c r="D3361">
        <v>9</v>
      </c>
      <c r="E3361" s="2" t="s">
        <v>358</v>
      </c>
      <c r="F3361" s="2" t="s">
        <v>359</v>
      </c>
      <c r="G3361" s="2" t="s">
        <v>21</v>
      </c>
      <c r="H3361" s="2" t="s">
        <v>22</v>
      </c>
      <c r="I3361" s="2" t="s">
        <v>352</v>
      </c>
      <c r="J3361" s="2" t="s">
        <v>353</v>
      </c>
      <c r="K3361">
        <v>179901.9</v>
      </c>
      <c r="L3361">
        <v>25129123.93</v>
      </c>
      <c r="M3361">
        <v>13968.24</v>
      </c>
      <c r="N3361" s="2" t="s">
        <v>360</v>
      </c>
      <c r="O3361" s="2" t="s">
        <v>361</v>
      </c>
      <c r="P3361" s="2" t="s">
        <v>5919</v>
      </c>
      <c r="Q3361" s="2" t="s">
        <v>5920</v>
      </c>
      <c r="R3361" s="2" t="s">
        <v>29</v>
      </c>
      <c r="S3361" s="2" t="s">
        <v>30</v>
      </c>
    </row>
    <row r="3362" spans="1:19">
      <c r="A3362" s="1">
        <v>45536</v>
      </c>
      <c r="B3362" s="1">
        <v>45536</v>
      </c>
      <c r="C3362">
        <v>2024</v>
      </c>
      <c r="D3362">
        <v>9</v>
      </c>
      <c r="E3362" s="2" t="s">
        <v>364</v>
      </c>
      <c r="F3362" s="2" t="s">
        <v>365</v>
      </c>
      <c r="G3362" s="2" t="s">
        <v>21</v>
      </c>
      <c r="H3362" s="2" t="s">
        <v>22</v>
      </c>
      <c r="I3362" s="2" t="s">
        <v>352</v>
      </c>
      <c r="J3362" s="2" t="s">
        <v>353</v>
      </c>
      <c r="K3362">
        <v>179668.57</v>
      </c>
      <c r="L3362">
        <v>7342641.2599999998</v>
      </c>
      <c r="M3362">
        <v>4086.77</v>
      </c>
      <c r="N3362" s="2" t="s">
        <v>366</v>
      </c>
      <c r="O3362" s="2" t="s">
        <v>367</v>
      </c>
      <c r="P3362" s="2" t="s">
        <v>5921</v>
      </c>
      <c r="Q3362" s="2" t="s">
        <v>5922</v>
      </c>
      <c r="R3362" s="2" t="s">
        <v>29</v>
      </c>
      <c r="S3362" s="2" t="s">
        <v>30</v>
      </c>
    </row>
    <row r="3363" spans="1:19">
      <c r="A3363" s="1">
        <v>45536</v>
      </c>
      <c r="B3363" s="1">
        <v>45536</v>
      </c>
      <c r="C3363">
        <v>2024</v>
      </c>
      <c r="D3363">
        <v>9</v>
      </c>
      <c r="E3363" s="2" t="s">
        <v>370</v>
      </c>
      <c r="F3363" s="2" t="s">
        <v>371</v>
      </c>
      <c r="G3363" s="2" t="s">
        <v>21</v>
      </c>
      <c r="H3363" s="2" t="s">
        <v>22</v>
      </c>
      <c r="I3363" s="2" t="s">
        <v>23</v>
      </c>
      <c r="J3363" s="2" t="s">
        <v>24</v>
      </c>
      <c r="K3363">
        <v>150417.47</v>
      </c>
      <c r="L3363">
        <v>2063994.71</v>
      </c>
      <c r="M3363">
        <v>1372.18</v>
      </c>
      <c r="N3363" s="2" t="s">
        <v>372</v>
      </c>
      <c r="O3363" s="2" t="s">
        <v>373</v>
      </c>
      <c r="P3363" s="2" t="s">
        <v>5923</v>
      </c>
      <c r="Q3363" s="2" t="s">
        <v>5924</v>
      </c>
      <c r="R3363" s="2" t="s">
        <v>29</v>
      </c>
      <c r="S3363" s="2" t="s">
        <v>30</v>
      </c>
    </row>
    <row r="3364" spans="1:19">
      <c r="A3364" s="1">
        <v>45536</v>
      </c>
      <c r="B3364" s="1">
        <v>45536</v>
      </c>
      <c r="C3364">
        <v>2024</v>
      </c>
      <c r="D3364">
        <v>9</v>
      </c>
      <c r="E3364" s="2" t="s">
        <v>376</v>
      </c>
      <c r="F3364" s="2" t="s">
        <v>377</v>
      </c>
      <c r="G3364" s="2" t="s">
        <v>21</v>
      </c>
      <c r="H3364" s="2" t="s">
        <v>22</v>
      </c>
      <c r="I3364" s="2" t="s">
        <v>23</v>
      </c>
      <c r="J3364" s="2" t="s">
        <v>378</v>
      </c>
      <c r="K3364">
        <v>1.31</v>
      </c>
      <c r="L3364">
        <v>13.68</v>
      </c>
      <c r="M3364">
        <v>1044.27</v>
      </c>
      <c r="N3364" s="2" t="s">
        <v>379</v>
      </c>
      <c r="O3364" s="2" t="s">
        <v>380</v>
      </c>
      <c r="P3364" s="2" t="s">
        <v>5925</v>
      </c>
      <c r="Q3364" s="2" t="s">
        <v>5926</v>
      </c>
      <c r="R3364" s="2" t="s">
        <v>29</v>
      </c>
      <c r="S3364" s="2" t="s">
        <v>30</v>
      </c>
    </row>
    <row r="3365" spans="1:19">
      <c r="A3365" s="1">
        <v>45566</v>
      </c>
      <c r="B3365" s="1">
        <v>45566</v>
      </c>
      <c r="C3365">
        <v>2024</v>
      </c>
      <c r="D3365">
        <v>10</v>
      </c>
      <c r="E3365" s="2" t="s">
        <v>19</v>
      </c>
      <c r="F3365" s="2" t="s">
        <v>20</v>
      </c>
      <c r="G3365" s="2" t="s">
        <v>21</v>
      </c>
      <c r="H3365" s="2" t="s">
        <v>22</v>
      </c>
      <c r="I3365" s="2" t="s">
        <v>23</v>
      </c>
      <c r="J3365" s="2" t="s">
        <v>24</v>
      </c>
      <c r="K3365">
        <v>0.31</v>
      </c>
      <c r="L3365">
        <v>16.670000000000002</v>
      </c>
      <c r="M3365">
        <v>5377.42</v>
      </c>
      <c r="N3365" s="2" t="s">
        <v>25</v>
      </c>
      <c r="O3365" s="2" t="s">
        <v>26</v>
      </c>
      <c r="P3365" s="2" t="s">
        <v>2811</v>
      </c>
      <c r="Q3365" s="2" t="s">
        <v>5927</v>
      </c>
      <c r="R3365" s="2" t="s">
        <v>29</v>
      </c>
      <c r="S3365" s="2" t="s">
        <v>30</v>
      </c>
    </row>
    <row r="3366" spans="1:19">
      <c r="A3366" s="1">
        <v>45566</v>
      </c>
      <c r="B3366" s="1">
        <v>45566</v>
      </c>
      <c r="C3366">
        <v>2024</v>
      </c>
      <c r="D3366">
        <v>10</v>
      </c>
      <c r="E3366" s="2" t="s">
        <v>31</v>
      </c>
      <c r="F3366" s="2" t="s">
        <v>32</v>
      </c>
      <c r="G3366" s="2" t="s">
        <v>21</v>
      </c>
      <c r="H3366" s="2" t="s">
        <v>22</v>
      </c>
      <c r="I3366" s="2" t="s">
        <v>23</v>
      </c>
      <c r="J3366" s="2" t="s">
        <v>24</v>
      </c>
      <c r="K3366">
        <v>4021.91</v>
      </c>
      <c r="L3366">
        <v>69156.5</v>
      </c>
      <c r="M3366">
        <v>1719.49</v>
      </c>
      <c r="N3366" s="2" t="s">
        <v>33</v>
      </c>
      <c r="O3366" s="2" t="s">
        <v>34</v>
      </c>
      <c r="P3366" s="2" t="s">
        <v>5928</v>
      </c>
      <c r="Q3366" s="2" t="s">
        <v>5929</v>
      </c>
      <c r="R3366" s="2" t="s">
        <v>29</v>
      </c>
      <c r="S3366" s="2" t="s">
        <v>30</v>
      </c>
    </row>
    <row r="3367" spans="1:19">
      <c r="A3367" s="1">
        <v>45566</v>
      </c>
      <c r="B3367" s="1">
        <v>45566</v>
      </c>
      <c r="C3367">
        <v>2024</v>
      </c>
      <c r="D3367">
        <v>10</v>
      </c>
      <c r="E3367" s="2" t="s">
        <v>37</v>
      </c>
      <c r="F3367" s="2" t="s">
        <v>38</v>
      </c>
      <c r="G3367" s="2" t="s">
        <v>39</v>
      </c>
      <c r="H3367" s="2" t="s">
        <v>22</v>
      </c>
      <c r="I3367" s="2" t="s">
        <v>40</v>
      </c>
      <c r="J3367" s="2" t="s">
        <v>24</v>
      </c>
      <c r="K3367">
        <v>8.32</v>
      </c>
      <c r="L3367">
        <v>444.26</v>
      </c>
      <c r="M3367">
        <v>5339.66</v>
      </c>
      <c r="N3367" s="2" t="s">
        <v>41</v>
      </c>
      <c r="O3367" s="2" t="s">
        <v>42</v>
      </c>
      <c r="P3367" s="2" t="s">
        <v>5930</v>
      </c>
      <c r="Q3367" s="2" t="s">
        <v>5931</v>
      </c>
      <c r="R3367" s="2" t="s">
        <v>29</v>
      </c>
      <c r="S3367" s="2" t="s">
        <v>30</v>
      </c>
    </row>
    <row r="3368" spans="1:19">
      <c r="A3368" s="1">
        <v>45566</v>
      </c>
      <c r="B3368" s="1">
        <v>45566</v>
      </c>
      <c r="C3368">
        <v>2024</v>
      </c>
      <c r="D3368">
        <v>10</v>
      </c>
      <c r="E3368" s="2" t="s">
        <v>45</v>
      </c>
      <c r="F3368" s="2" t="s">
        <v>46</v>
      </c>
      <c r="G3368" s="2" t="s">
        <v>39</v>
      </c>
      <c r="H3368" s="2" t="s">
        <v>22</v>
      </c>
      <c r="I3368" s="2" t="s">
        <v>40</v>
      </c>
      <c r="J3368" s="2" t="s">
        <v>24</v>
      </c>
      <c r="K3368">
        <v>5515.23</v>
      </c>
      <c r="L3368">
        <v>284076.15000000002</v>
      </c>
      <c r="M3368">
        <v>5150.76</v>
      </c>
      <c r="N3368" s="2" t="s">
        <v>47</v>
      </c>
      <c r="O3368" s="2" t="s">
        <v>48</v>
      </c>
      <c r="P3368" s="2" t="s">
        <v>5932</v>
      </c>
      <c r="Q3368" s="2" t="s">
        <v>5933</v>
      </c>
      <c r="R3368" s="2" t="s">
        <v>29</v>
      </c>
      <c r="S3368" s="2" t="s">
        <v>30</v>
      </c>
    </row>
    <row r="3369" spans="1:19">
      <c r="A3369" s="1">
        <v>45566</v>
      </c>
      <c r="B3369" s="1">
        <v>45566</v>
      </c>
      <c r="C3369">
        <v>2024</v>
      </c>
      <c r="D3369">
        <v>10</v>
      </c>
      <c r="E3369" s="2" t="s">
        <v>51</v>
      </c>
      <c r="F3369" s="2" t="s">
        <v>52</v>
      </c>
      <c r="G3369" s="2" t="s">
        <v>39</v>
      </c>
      <c r="H3369" s="2" t="s">
        <v>22</v>
      </c>
      <c r="I3369" s="2" t="s">
        <v>40</v>
      </c>
      <c r="J3369" s="2" t="s">
        <v>24</v>
      </c>
      <c r="K3369">
        <v>21.49</v>
      </c>
      <c r="L3369">
        <v>985.43</v>
      </c>
      <c r="M3369">
        <v>4585.53</v>
      </c>
      <c r="N3369" s="2" t="s">
        <v>53</v>
      </c>
      <c r="O3369" s="2" t="s">
        <v>54</v>
      </c>
      <c r="P3369" s="2" t="s">
        <v>2607</v>
      </c>
      <c r="Q3369" s="2" t="s">
        <v>5934</v>
      </c>
      <c r="R3369" s="2" t="s">
        <v>29</v>
      </c>
      <c r="S3369" s="2" t="s">
        <v>30</v>
      </c>
    </row>
    <row r="3370" spans="1:19">
      <c r="A3370" s="1">
        <v>45566</v>
      </c>
      <c r="B3370" s="1">
        <v>45566</v>
      </c>
      <c r="C3370">
        <v>2024</v>
      </c>
      <c r="D3370">
        <v>10</v>
      </c>
      <c r="E3370" s="2" t="s">
        <v>57</v>
      </c>
      <c r="F3370" s="2" t="s">
        <v>58</v>
      </c>
      <c r="G3370" s="2" t="s">
        <v>39</v>
      </c>
      <c r="H3370" s="2" t="s">
        <v>22</v>
      </c>
      <c r="I3370" s="2" t="s">
        <v>40</v>
      </c>
      <c r="J3370" s="2" t="s">
        <v>59</v>
      </c>
      <c r="K3370">
        <v>5545.04</v>
      </c>
      <c r="L3370">
        <v>285505.84000000003</v>
      </c>
      <c r="M3370">
        <v>5148.8500000000004</v>
      </c>
      <c r="N3370" s="2" t="s">
        <v>60</v>
      </c>
      <c r="O3370" s="2" t="s">
        <v>61</v>
      </c>
      <c r="P3370" s="2" t="s">
        <v>5935</v>
      </c>
      <c r="Q3370" s="2" t="s">
        <v>5936</v>
      </c>
      <c r="R3370" s="2" t="s">
        <v>29</v>
      </c>
      <c r="S3370" s="2" t="s">
        <v>30</v>
      </c>
    </row>
    <row r="3371" spans="1:19">
      <c r="A3371" s="1">
        <v>45566</v>
      </c>
      <c r="B3371" s="1">
        <v>45566</v>
      </c>
      <c r="C3371">
        <v>2024</v>
      </c>
      <c r="D3371">
        <v>10</v>
      </c>
      <c r="E3371" s="2" t="s">
        <v>64</v>
      </c>
      <c r="F3371" s="2" t="s">
        <v>65</v>
      </c>
      <c r="G3371" s="2" t="s">
        <v>21</v>
      </c>
      <c r="H3371" s="2" t="s">
        <v>22</v>
      </c>
      <c r="I3371" s="2" t="s">
        <v>66</v>
      </c>
      <c r="J3371" s="2" t="s">
        <v>24</v>
      </c>
      <c r="K3371">
        <v>24.54</v>
      </c>
      <c r="L3371">
        <v>772.67</v>
      </c>
      <c r="M3371">
        <v>3148.61</v>
      </c>
      <c r="N3371" s="2" t="s">
        <v>67</v>
      </c>
      <c r="O3371" s="2" t="s">
        <v>68</v>
      </c>
      <c r="P3371" s="2" t="s">
        <v>5937</v>
      </c>
      <c r="Q3371" s="2" t="s">
        <v>5938</v>
      </c>
      <c r="R3371" s="2" t="s">
        <v>29</v>
      </c>
      <c r="S3371" s="2" t="s">
        <v>30</v>
      </c>
    </row>
    <row r="3372" spans="1:19">
      <c r="A3372" s="1">
        <v>45566</v>
      </c>
      <c r="B3372" s="1">
        <v>45566</v>
      </c>
      <c r="C3372">
        <v>2024</v>
      </c>
      <c r="D3372">
        <v>10</v>
      </c>
      <c r="E3372" s="2" t="s">
        <v>71</v>
      </c>
      <c r="F3372" s="2" t="s">
        <v>72</v>
      </c>
      <c r="G3372" s="2" t="s">
        <v>21</v>
      </c>
      <c r="H3372" s="2" t="s">
        <v>22</v>
      </c>
      <c r="I3372" s="2" t="s">
        <v>73</v>
      </c>
      <c r="J3372" s="2" t="s">
        <v>59</v>
      </c>
      <c r="K3372">
        <v>5759.31</v>
      </c>
      <c r="L3372">
        <v>248618.66</v>
      </c>
      <c r="M3372">
        <v>4316.8100000000004</v>
      </c>
      <c r="N3372" s="2" t="s">
        <v>74</v>
      </c>
      <c r="O3372" s="2" t="s">
        <v>75</v>
      </c>
      <c r="P3372" s="2" t="s">
        <v>5939</v>
      </c>
      <c r="Q3372" s="2" t="s">
        <v>5940</v>
      </c>
      <c r="R3372" s="2" t="s">
        <v>29</v>
      </c>
      <c r="S3372" s="2" t="s">
        <v>30</v>
      </c>
    </row>
    <row r="3373" spans="1:19">
      <c r="A3373" s="1">
        <v>45566</v>
      </c>
      <c r="B3373" s="1">
        <v>45566</v>
      </c>
      <c r="C3373">
        <v>2024</v>
      </c>
      <c r="D3373">
        <v>10</v>
      </c>
      <c r="E3373" s="2" t="s">
        <v>78</v>
      </c>
      <c r="F3373" s="2" t="s">
        <v>79</v>
      </c>
      <c r="G3373" s="2" t="s">
        <v>80</v>
      </c>
      <c r="H3373" s="2" t="s">
        <v>81</v>
      </c>
      <c r="I3373" s="2" t="s">
        <v>82</v>
      </c>
      <c r="J3373" s="2" t="s">
        <v>24</v>
      </c>
      <c r="K3373">
        <v>1.74</v>
      </c>
      <c r="L3373">
        <v>8046344.8200000003</v>
      </c>
      <c r="M3373">
        <v>462433610.33999997</v>
      </c>
      <c r="N3373" s="2" t="s">
        <v>83</v>
      </c>
      <c r="O3373" s="2" t="s">
        <v>84</v>
      </c>
      <c r="P3373" s="2" t="s">
        <v>85</v>
      </c>
      <c r="Q3373" s="2" t="s">
        <v>5941</v>
      </c>
      <c r="R3373" s="2" t="s">
        <v>29</v>
      </c>
      <c r="S3373" s="2" t="s">
        <v>30</v>
      </c>
    </row>
    <row r="3374" spans="1:19">
      <c r="A3374" s="1">
        <v>45566</v>
      </c>
      <c r="B3374" s="1">
        <v>45566</v>
      </c>
      <c r="C3374">
        <v>2024</v>
      </c>
      <c r="D3374">
        <v>10</v>
      </c>
      <c r="E3374" s="2" t="s">
        <v>87</v>
      </c>
      <c r="F3374" s="2" t="s">
        <v>88</v>
      </c>
      <c r="G3374" s="2" t="s">
        <v>80</v>
      </c>
      <c r="H3374" s="2" t="s">
        <v>81</v>
      </c>
      <c r="I3374" s="2" t="s">
        <v>82</v>
      </c>
      <c r="J3374" s="2" t="s">
        <v>24</v>
      </c>
      <c r="K3374">
        <v>1.04</v>
      </c>
      <c r="L3374">
        <v>1626397.36</v>
      </c>
      <c r="M3374">
        <v>156384361.53999999</v>
      </c>
      <c r="N3374" s="2" t="s">
        <v>89</v>
      </c>
      <c r="O3374" s="2" t="s">
        <v>90</v>
      </c>
      <c r="P3374" s="2" t="s">
        <v>405</v>
      </c>
      <c r="Q3374" s="2" t="s">
        <v>5942</v>
      </c>
      <c r="R3374" s="2" t="s">
        <v>29</v>
      </c>
      <c r="S3374" s="2" t="s">
        <v>30</v>
      </c>
    </row>
    <row r="3375" spans="1:19">
      <c r="A3375" s="1">
        <v>45566</v>
      </c>
      <c r="B3375" s="1">
        <v>45566</v>
      </c>
      <c r="C3375">
        <v>2024</v>
      </c>
      <c r="D3375">
        <v>10</v>
      </c>
      <c r="E3375" s="2" t="s">
        <v>93</v>
      </c>
      <c r="F3375" s="2" t="s">
        <v>94</v>
      </c>
      <c r="G3375" s="2" t="s">
        <v>80</v>
      </c>
      <c r="H3375" s="2" t="s">
        <v>81</v>
      </c>
      <c r="I3375" s="2" t="s">
        <v>82</v>
      </c>
      <c r="J3375" s="2" t="s">
        <v>24</v>
      </c>
      <c r="K3375">
        <v>0.41</v>
      </c>
      <c r="L3375">
        <v>6573747.9100000001</v>
      </c>
      <c r="M3375">
        <v>1603353148.78</v>
      </c>
      <c r="N3375" s="2" t="s">
        <v>95</v>
      </c>
      <c r="O3375" s="2" t="s">
        <v>96</v>
      </c>
      <c r="P3375" s="2" t="s">
        <v>2036</v>
      </c>
      <c r="Q3375" s="2" t="s">
        <v>5943</v>
      </c>
      <c r="R3375" s="2" t="s">
        <v>29</v>
      </c>
      <c r="S3375" s="2" t="s">
        <v>30</v>
      </c>
    </row>
    <row r="3376" spans="1:19">
      <c r="A3376" s="1">
        <v>45566</v>
      </c>
      <c r="B3376" s="1">
        <v>45566</v>
      </c>
      <c r="C3376">
        <v>2024</v>
      </c>
      <c r="D3376">
        <v>10</v>
      </c>
      <c r="E3376" s="2" t="s">
        <v>99</v>
      </c>
      <c r="F3376" s="2" t="s">
        <v>100</v>
      </c>
      <c r="G3376" s="2" t="s">
        <v>80</v>
      </c>
      <c r="H3376" s="2" t="s">
        <v>81</v>
      </c>
      <c r="I3376" s="2" t="s">
        <v>82</v>
      </c>
      <c r="J3376" s="2" t="s">
        <v>101</v>
      </c>
      <c r="K3376">
        <v>1.69</v>
      </c>
      <c r="L3376">
        <v>16664119.970000001</v>
      </c>
      <c r="M3376">
        <v>986042601.77999997</v>
      </c>
      <c r="N3376" s="2" t="s">
        <v>102</v>
      </c>
      <c r="O3376" s="2" t="s">
        <v>103</v>
      </c>
      <c r="P3376" s="2" t="s">
        <v>5944</v>
      </c>
      <c r="Q3376" s="2" t="s">
        <v>5945</v>
      </c>
      <c r="R3376" s="2" t="s">
        <v>29</v>
      </c>
      <c r="S3376" s="2" t="s">
        <v>30</v>
      </c>
    </row>
    <row r="3377" spans="1:19">
      <c r="A3377" s="1">
        <v>45566</v>
      </c>
      <c r="B3377" s="1">
        <v>45566</v>
      </c>
      <c r="C3377">
        <v>2024</v>
      </c>
      <c r="D3377">
        <v>10</v>
      </c>
      <c r="E3377" s="2" t="s">
        <v>106</v>
      </c>
      <c r="F3377" s="2" t="s">
        <v>107</v>
      </c>
      <c r="G3377" s="2" t="s">
        <v>80</v>
      </c>
      <c r="H3377" s="2" t="s">
        <v>81</v>
      </c>
      <c r="I3377" s="2" t="s">
        <v>82</v>
      </c>
      <c r="J3377" s="2" t="s">
        <v>24</v>
      </c>
      <c r="K3377">
        <v>0.23</v>
      </c>
      <c r="L3377">
        <v>8463974.6999999993</v>
      </c>
      <c r="M3377">
        <v>3679989000</v>
      </c>
      <c r="N3377" s="2" t="s">
        <v>108</v>
      </c>
      <c r="O3377" s="2" t="s">
        <v>109</v>
      </c>
      <c r="P3377" s="2" t="s">
        <v>725</v>
      </c>
      <c r="Q3377" s="2" t="s">
        <v>5946</v>
      </c>
      <c r="R3377" s="2" t="s">
        <v>29</v>
      </c>
      <c r="S3377" s="2" t="s">
        <v>30</v>
      </c>
    </row>
    <row r="3378" spans="1:19">
      <c r="A3378" s="1">
        <v>45566</v>
      </c>
      <c r="B3378" s="1">
        <v>45566</v>
      </c>
      <c r="C3378">
        <v>2024</v>
      </c>
      <c r="D3378">
        <v>10</v>
      </c>
      <c r="E3378" s="2" t="s">
        <v>111</v>
      </c>
      <c r="F3378" s="2" t="s">
        <v>112</v>
      </c>
      <c r="G3378" s="2" t="s">
        <v>80</v>
      </c>
      <c r="H3378" s="2" t="s">
        <v>81</v>
      </c>
      <c r="I3378" s="2" t="s">
        <v>82</v>
      </c>
      <c r="J3378" s="2" t="s">
        <v>24</v>
      </c>
      <c r="K3378">
        <v>0.16</v>
      </c>
      <c r="L3378">
        <v>1020398.98</v>
      </c>
      <c r="M3378">
        <v>637749362.5</v>
      </c>
      <c r="N3378" s="2" t="s">
        <v>113</v>
      </c>
      <c r="O3378" s="2" t="s">
        <v>114</v>
      </c>
      <c r="P3378" s="2" t="s">
        <v>620</v>
      </c>
      <c r="Q3378" s="2" t="s">
        <v>5947</v>
      </c>
      <c r="R3378" s="2" t="s">
        <v>29</v>
      </c>
      <c r="S3378" s="2" t="s">
        <v>30</v>
      </c>
    </row>
    <row r="3379" spans="1:19">
      <c r="A3379" s="1">
        <v>45566</v>
      </c>
      <c r="B3379" s="1">
        <v>45566</v>
      </c>
      <c r="C3379">
        <v>2024</v>
      </c>
      <c r="D3379">
        <v>10</v>
      </c>
      <c r="E3379" s="2" t="s">
        <v>117</v>
      </c>
      <c r="F3379" s="2" t="s">
        <v>118</v>
      </c>
      <c r="G3379" s="2" t="s">
        <v>80</v>
      </c>
      <c r="H3379" s="2" t="s">
        <v>81</v>
      </c>
      <c r="I3379" s="2" t="s">
        <v>82</v>
      </c>
      <c r="J3379" s="2" t="s">
        <v>59</v>
      </c>
      <c r="K3379">
        <v>3.59</v>
      </c>
      <c r="L3379">
        <v>25730863.760000002</v>
      </c>
      <c r="M3379">
        <v>716737152.09000003</v>
      </c>
      <c r="N3379" s="2" t="s">
        <v>119</v>
      </c>
      <c r="O3379" s="2" t="s">
        <v>120</v>
      </c>
      <c r="P3379" s="2" t="s">
        <v>5948</v>
      </c>
      <c r="Q3379" s="2" t="s">
        <v>5949</v>
      </c>
      <c r="R3379" s="2" t="s">
        <v>29</v>
      </c>
      <c r="S3379" s="2" t="s">
        <v>30</v>
      </c>
    </row>
    <row r="3380" spans="1:19">
      <c r="A3380" s="1">
        <v>45566</v>
      </c>
      <c r="B3380" s="1">
        <v>45566</v>
      </c>
      <c r="C3380">
        <v>2024</v>
      </c>
      <c r="D3380">
        <v>10</v>
      </c>
      <c r="E3380" s="2" t="s">
        <v>123</v>
      </c>
      <c r="F3380" s="2" t="s">
        <v>124</v>
      </c>
      <c r="G3380" s="2" t="s">
        <v>21</v>
      </c>
      <c r="H3380" s="2" t="s">
        <v>22</v>
      </c>
      <c r="I3380" s="2" t="s">
        <v>73</v>
      </c>
      <c r="J3380" s="2" t="s">
        <v>24</v>
      </c>
      <c r="K3380">
        <v>2135.41</v>
      </c>
      <c r="L3380">
        <v>122496.1</v>
      </c>
      <c r="M3380">
        <v>5736.42</v>
      </c>
      <c r="N3380" s="2" t="s">
        <v>125</v>
      </c>
      <c r="O3380" s="2" t="s">
        <v>126</v>
      </c>
      <c r="P3380" s="2" t="s">
        <v>5950</v>
      </c>
      <c r="Q3380" s="2" t="s">
        <v>5951</v>
      </c>
      <c r="R3380" s="2" t="s">
        <v>29</v>
      </c>
      <c r="S3380" s="2" t="s">
        <v>30</v>
      </c>
    </row>
    <row r="3381" spans="1:19">
      <c r="A3381" s="1">
        <v>45566</v>
      </c>
      <c r="B3381" s="1">
        <v>45566</v>
      </c>
      <c r="C3381">
        <v>2024</v>
      </c>
      <c r="D3381">
        <v>10</v>
      </c>
      <c r="E3381" s="2" t="s">
        <v>129</v>
      </c>
      <c r="F3381" s="2" t="s">
        <v>130</v>
      </c>
      <c r="G3381" s="2" t="s">
        <v>21</v>
      </c>
      <c r="H3381" s="2" t="s">
        <v>22</v>
      </c>
      <c r="I3381" s="2" t="s">
        <v>73</v>
      </c>
      <c r="J3381" s="2" t="s">
        <v>24</v>
      </c>
      <c r="K3381">
        <v>2196.73</v>
      </c>
      <c r="L3381">
        <v>79292.81</v>
      </c>
      <c r="M3381">
        <v>3609.58</v>
      </c>
      <c r="N3381" s="2" t="s">
        <v>131</v>
      </c>
      <c r="O3381" s="2" t="s">
        <v>132</v>
      </c>
      <c r="P3381" s="2" t="s">
        <v>5952</v>
      </c>
      <c r="Q3381" s="2" t="s">
        <v>5953</v>
      </c>
      <c r="R3381" s="2" t="s">
        <v>29</v>
      </c>
      <c r="S3381" s="2" t="s">
        <v>30</v>
      </c>
    </row>
    <row r="3382" spans="1:19">
      <c r="A3382" s="1">
        <v>45566</v>
      </c>
      <c r="B3382" s="1">
        <v>45566</v>
      </c>
      <c r="C3382">
        <v>2024</v>
      </c>
      <c r="D3382">
        <v>10</v>
      </c>
      <c r="E3382" s="2" t="s">
        <v>135</v>
      </c>
      <c r="F3382" s="2" t="s">
        <v>136</v>
      </c>
      <c r="G3382" s="2" t="s">
        <v>21</v>
      </c>
      <c r="H3382" s="2" t="s">
        <v>22</v>
      </c>
      <c r="I3382" s="2" t="s">
        <v>73</v>
      </c>
      <c r="J3382" s="2" t="s">
        <v>101</v>
      </c>
      <c r="K3382">
        <v>4332.1400000000003</v>
      </c>
      <c r="L3382">
        <v>201788.91</v>
      </c>
      <c r="M3382">
        <v>4657.95</v>
      </c>
      <c r="N3382" s="2" t="s">
        <v>137</v>
      </c>
      <c r="O3382" s="2" t="s">
        <v>138</v>
      </c>
      <c r="P3382" s="2" t="s">
        <v>5954</v>
      </c>
      <c r="Q3382" s="2" t="s">
        <v>5955</v>
      </c>
      <c r="R3382" s="2" t="s">
        <v>29</v>
      </c>
      <c r="S3382" s="2" t="s">
        <v>30</v>
      </c>
    </row>
    <row r="3383" spans="1:19">
      <c r="A3383" s="1">
        <v>45566</v>
      </c>
      <c r="B3383" s="1">
        <v>45566</v>
      </c>
      <c r="C3383">
        <v>2024</v>
      </c>
      <c r="D3383">
        <v>10</v>
      </c>
      <c r="E3383" s="2" t="s">
        <v>141</v>
      </c>
      <c r="F3383" s="2" t="s">
        <v>142</v>
      </c>
      <c r="G3383" s="2" t="s">
        <v>21</v>
      </c>
      <c r="H3383" s="2" t="s">
        <v>22</v>
      </c>
      <c r="I3383" s="2" t="s">
        <v>73</v>
      </c>
      <c r="J3383" s="2" t="s">
        <v>24</v>
      </c>
      <c r="K3383">
        <v>367</v>
      </c>
      <c r="L3383">
        <v>14738.36</v>
      </c>
      <c r="M3383">
        <v>4015.9</v>
      </c>
      <c r="N3383" s="2" t="s">
        <v>143</v>
      </c>
      <c r="O3383" s="2" t="s">
        <v>144</v>
      </c>
      <c r="P3383" s="2" t="s">
        <v>5956</v>
      </c>
      <c r="Q3383" s="2" t="s">
        <v>5957</v>
      </c>
      <c r="R3383" s="2" t="s">
        <v>29</v>
      </c>
      <c r="S3383" s="2" t="s">
        <v>30</v>
      </c>
    </row>
    <row r="3384" spans="1:19">
      <c r="A3384" s="1">
        <v>45566</v>
      </c>
      <c r="B3384" s="1">
        <v>45566</v>
      </c>
      <c r="C3384">
        <v>2024</v>
      </c>
      <c r="D3384">
        <v>10</v>
      </c>
      <c r="E3384" s="2" t="s">
        <v>147</v>
      </c>
      <c r="F3384" s="2" t="s">
        <v>148</v>
      </c>
      <c r="G3384" s="2" t="s">
        <v>21</v>
      </c>
      <c r="H3384" s="2" t="s">
        <v>22</v>
      </c>
      <c r="I3384" s="2" t="s">
        <v>73</v>
      </c>
      <c r="J3384" s="2" t="s">
        <v>24</v>
      </c>
      <c r="K3384">
        <v>1060.17</v>
      </c>
      <c r="L3384">
        <v>32091.4</v>
      </c>
      <c r="M3384">
        <v>3027.01</v>
      </c>
      <c r="N3384" s="2" t="s">
        <v>149</v>
      </c>
      <c r="O3384" s="2" t="s">
        <v>150</v>
      </c>
      <c r="P3384" s="2" t="s">
        <v>5958</v>
      </c>
      <c r="Q3384" s="2" t="s">
        <v>5959</v>
      </c>
      <c r="R3384" s="2" t="s">
        <v>29</v>
      </c>
      <c r="S3384" s="2" t="s">
        <v>30</v>
      </c>
    </row>
    <row r="3385" spans="1:19">
      <c r="A3385" s="1">
        <v>45566</v>
      </c>
      <c r="B3385" s="1">
        <v>45566</v>
      </c>
      <c r="C3385">
        <v>2024</v>
      </c>
      <c r="D3385">
        <v>10</v>
      </c>
      <c r="E3385" s="2" t="s">
        <v>153</v>
      </c>
      <c r="F3385" s="2" t="s">
        <v>154</v>
      </c>
      <c r="G3385" s="2" t="s">
        <v>21</v>
      </c>
      <c r="H3385" s="2" t="s">
        <v>22</v>
      </c>
      <c r="I3385" s="2" t="s">
        <v>73</v>
      </c>
      <c r="J3385" s="2" t="s">
        <v>101</v>
      </c>
      <c r="K3385">
        <v>1427.17</v>
      </c>
      <c r="L3385">
        <v>46829.75</v>
      </c>
      <c r="M3385">
        <v>3281.3</v>
      </c>
      <c r="N3385" s="2" t="s">
        <v>155</v>
      </c>
      <c r="O3385" s="2" t="s">
        <v>156</v>
      </c>
      <c r="P3385" s="2" t="s">
        <v>5960</v>
      </c>
      <c r="Q3385" s="2" t="s">
        <v>5961</v>
      </c>
      <c r="R3385" s="2" t="s">
        <v>29</v>
      </c>
      <c r="S3385" s="2" t="s">
        <v>30</v>
      </c>
    </row>
    <row r="3386" spans="1:19">
      <c r="A3386" s="1">
        <v>45566</v>
      </c>
      <c r="B3386" s="1">
        <v>45566</v>
      </c>
      <c r="C3386">
        <v>2024</v>
      </c>
      <c r="D3386">
        <v>10</v>
      </c>
      <c r="E3386" s="2" t="s">
        <v>159</v>
      </c>
      <c r="F3386" s="2" t="s">
        <v>160</v>
      </c>
      <c r="G3386" s="2" t="s">
        <v>21</v>
      </c>
      <c r="H3386" s="2" t="s">
        <v>22</v>
      </c>
      <c r="I3386" s="2" t="s">
        <v>66</v>
      </c>
      <c r="J3386" s="2" t="s">
        <v>59</v>
      </c>
      <c r="K3386">
        <v>1871.73</v>
      </c>
      <c r="L3386">
        <v>189818.16</v>
      </c>
      <c r="M3386">
        <v>10141.32</v>
      </c>
      <c r="N3386" s="2" t="s">
        <v>161</v>
      </c>
      <c r="O3386" s="2" t="s">
        <v>162</v>
      </c>
      <c r="P3386" s="2" t="s">
        <v>5962</v>
      </c>
      <c r="Q3386" s="2" t="s">
        <v>5963</v>
      </c>
      <c r="R3386" s="2" t="s">
        <v>29</v>
      </c>
      <c r="S3386" s="2" t="s">
        <v>30</v>
      </c>
    </row>
    <row r="3387" spans="1:19">
      <c r="A3387" s="1">
        <v>45566</v>
      </c>
      <c r="B3387" s="1">
        <v>45566</v>
      </c>
      <c r="C3387">
        <v>2024</v>
      </c>
      <c r="D3387">
        <v>10</v>
      </c>
      <c r="E3387" s="2" t="s">
        <v>165</v>
      </c>
      <c r="F3387" s="2" t="s">
        <v>166</v>
      </c>
      <c r="G3387" s="2" t="s">
        <v>21</v>
      </c>
      <c r="H3387" s="2" t="s">
        <v>22</v>
      </c>
      <c r="I3387" s="2" t="s">
        <v>23</v>
      </c>
      <c r="J3387" s="2" t="s">
        <v>24</v>
      </c>
      <c r="N3387" s="2" t="s">
        <v>167</v>
      </c>
      <c r="O3387" s="2" t="s">
        <v>168</v>
      </c>
      <c r="P3387" s="2" t="s">
        <v>175</v>
      </c>
      <c r="Q3387" s="2" t="s">
        <v>175</v>
      </c>
      <c r="R3387" s="2" t="s">
        <v>640</v>
      </c>
      <c r="S3387" s="2" t="s">
        <v>641</v>
      </c>
    </row>
    <row r="3388" spans="1:19">
      <c r="A3388" s="1">
        <v>45566</v>
      </c>
      <c r="B3388" s="1">
        <v>45566</v>
      </c>
      <c r="C3388">
        <v>2024</v>
      </c>
      <c r="D3388">
        <v>10</v>
      </c>
      <c r="E3388" s="2" t="s">
        <v>171</v>
      </c>
      <c r="F3388" s="2" t="s">
        <v>172</v>
      </c>
      <c r="G3388" s="2" t="s">
        <v>21</v>
      </c>
      <c r="H3388" s="2" t="s">
        <v>22</v>
      </c>
      <c r="I3388" s="2" t="s">
        <v>66</v>
      </c>
      <c r="J3388" s="2" t="s">
        <v>24</v>
      </c>
      <c r="N3388" s="2" t="s">
        <v>173</v>
      </c>
      <c r="O3388" s="2" t="s">
        <v>174</v>
      </c>
      <c r="P3388" s="2" t="s">
        <v>175</v>
      </c>
      <c r="Q3388" s="2" t="s">
        <v>175</v>
      </c>
      <c r="R3388" s="2" t="s">
        <v>640</v>
      </c>
      <c r="S3388" s="2" t="s">
        <v>641</v>
      </c>
    </row>
    <row r="3389" spans="1:19">
      <c r="A3389" s="1">
        <v>45566</v>
      </c>
      <c r="B3389" s="1">
        <v>45566</v>
      </c>
      <c r="C3389">
        <v>2024</v>
      </c>
      <c r="D3389">
        <v>10</v>
      </c>
      <c r="E3389" s="2" t="s">
        <v>177</v>
      </c>
      <c r="F3389" s="2" t="s">
        <v>178</v>
      </c>
      <c r="G3389" s="2" t="s">
        <v>21</v>
      </c>
      <c r="H3389" s="2" t="s">
        <v>22</v>
      </c>
      <c r="I3389" s="2" t="s">
        <v>23</v>
      </c>
      <c r="J3389" s="2" t="s">
        <v>24</v>
      </c>
      <c r="K3389">
        <v>4668.2299999999996</v>
      </c>
      <c r="L3389">
        <v>629381.52</v>
      </c>
      <c r="M3389">
        <v>13482.23</v>
      </c>
      <c r="N3389" s="2" t="s">
        <v>179</v>
      </c>
      <c r="O3389" s="2" t="s">
        <v>180</v>
      </c>
      <c r="P3389" s="2" t="s">
        <v>5964</v>
      </c>
      <c r="Q3389" s="2" t="s">
        <v>5965</v>
      </c>
      <c r="R3389" s="2" t="s">
        <v>29</v>
      </c>
      <c r="S3389" s="2" t="s">
        <v>30</v>
      </c>
    </row>
    <row r="3390" spans="1:19">
      <c r="A3390" s="1">
        <v>45566</v>
      </c>
      <c r="B3390" s="1">
        <v>45566</v>
      </c>
      <c r="C3390">
        <v>2024</v>
      </c>
      <c r="D3390">
        <v>10</v>
      </c>
      <c r="E3390" s="2" t="s">
        <v>183</v>
      </c>
      <c r="F3390" s="2" t="s">
        <v>184</v>
      </c>
      <c r="G3390" s="2" t="s">
        <v>185</v>
      </c>
      <c r="H3390" s="2" t="s">
        <v>22</v>
      </c>
      <c r="I3390" s="2" t="s">
        <v>186</v>
      </c>
      <c r="J3390" s="2" t="s">
        <v>24</v>
      </c>
      <c r="K3390">
        <v>3107.71</v>
      </c>
      <c r="L3390">
        <v>5479282.46</v>
      </c>
      <c r="M3390">
        <v>176312.54</v>
      </c>
      <c r="N3390" s="2" t="s">
        <v>187</v>
      </c>
      <c r="O3390" s="2" t="s">
        <v>188</v>
      </c>
      <c r="P3390" s="2" t="s">
        <v>5966</v>
      </c>
      <c r="Q3390" s="2" t="s">
        <v>5967</v>
      </c>
      <c r="R3390" s="2" t="s">
        <v>29</v>
      </c>
      <c r="S3390" s="2" t="s">
        <v>30</v>
      </c>
    </row>
    <row r="3391" spans="1:19">
      <c r="A3391" s="1">
        <v>45566</v>
      </c>
      <c r="B3391" s="1">
        <v>45566</v>
      </c>
      <c r="C3391">
        <v>2024</v>
      </c>
      <c r="D3391">
        <v>10</v>
      </c>
      <c r="E3391" s="2" t="s">
        <v>191</v>
      </c>
      <c r="F3391" s="2" t="s">
        <v>192</v>
      </c>
      <c r="G3391" s="2" t="s">
        <v>185</v>
      </c>
      <c r="H3391" s="2" t="s">
        <v>22</v>
      </c>
      <c r="I3391" s="2" t="s">
        <v>186</v>
      </c>
      <c r="J3391" s="2" t="s">
        <v>24</v>
      </c>
      <c r="K3391">
        <v>1152.19</v>
      </c>
      <c r="L3391">
        <v>5801815.3700000001</v>
      </c>
      <c r="M3391">
        <v>503546.76</v>
      </c>
      <c r="N3391" s="2" t="s">
        <v>193</v>
      </c>
      <c r="O3391" s="2" t="s">
        <v>194</v>
      </c>
      <c r="P3391" s="2" t="s">
        <v>5968</v>
      </c>
      <c r="Q3391" s="2" t="s">
        <v>5969</v>
      </c>
      <c r="R3391" s="2" t="s">
        <v>29</v>
      </c>
      <c r="S3391" s="2" t="s">
        <v>30</v>
      </c>
    </row>
    <row r="3392" spans="1:19">
      <c r="A3392" s="1">
        <v>45566</v>
      </c>
      <c r="B3392" s="1">
        <v>45566</v>
      </c>
      <c r="C3392">
        <v>2024</v>
      </c>
      <c r="D3392">
        <v>10</v>
      </c>
      <c r="E3392" s="2" t="s">
        <v>197</v>
      </c>
      <c r="F3392" s="2" t="s">
        <v>198</v>
      </c>
      <c r="G3392" s="2" t="s">
        <v>185</v>
      </c>
      <c r="H3392" s="2" t="s">
        <v>22</v>
      </c>
      <c r="I3392" s="2" t="s">
        <v>186</v>
      </c>
      <c r="J3392" s="2" t="s">
        <v>59</v>
      </c>
      <c r="K3392">
        <v>4259.8999999999996</v>
      </c>
      <c r="L3392">
        <v>11281097.83</v>
      </c>
      <c r="M3392">
        <v>264820.71999999997</v>
      </c>
      <c r="N3392" s="2" t="s">
        <v>199</v>
      </c>
      <c r="O3392" s="2" t="s">
        <v>200</v>
      </c>
      <c r="P3392" s="2" t="s">
        <v>5970</v>
      </c>
      <c r="Q3392" s="2" t="s">
        <v>5971</v>
      </c>
      <c r="R3392" s="2" t="s">
        <v>29</v>
      </c>
      <c r="S3392" s="2" t="s">
        <v>30</v>
      </c>
    </row>
    <row r="3393" spans="1:19">
      <c r="A3393" s="1">
        <v>45566</v>
      </c>
      <c r="B3393" s="1">
        <v>45566</v>
      </c>
      <c r="C3393">
        <v>2024</v>
      </c>
      <c r="D3393">
        <v>10</v>
      </c>
      <c r="E3393" s="2" t="s">
        <v>203</v>
      </c>
      <c r="F3393" s="2" t="s">
        <v>204</v>
      </c>
      <c r="G3393" s="2" t="s">
        <v>39</v>
      </c>
      <c r="H3393" s="2" t="s">
        <v>22</v>
      </c>
      <c r="I3393" s="2" t="s">
        <v>40</v>
      </c>
      <c r="J3393" s="2" t="s">
        <v>24</v>
      </c>
      <c r="K3393">
        <v>1227.3</v>
      </c>
      <c r="L3393">
        <v>31480.240000000002</v>
      </c>
      <c r="M3393">
        <v>2565</v>
      </c>
      <c r="N3393" s="2" t="s">
        <v>205</v>
      </c>
      <c r="O3393" s="2" t="s">
        <v>206</v>
      </c>
      <c r="P3393" s="2" t="s">
        <v>5972</v>
      </c>
      <c r="Q3393" s="2" t="s">
        <v>5973</v>
      </c>
      <c r="R3393" s="2" t="s">
        <v>29</v>
      </c>
      <c r="S3393" s="2" t="s">
        <v>30</v>
      </c>
    </row>
    <row r="3394" spans="1:19">
      <c r="A3394" s="1">
        <v>45566</v>
      </c>
      <c r="B3394" s="1">
        <v>45566</v>
      </c>
      <c r="C3394">
        <v>2024</v>
      </c>
      <c r="D3394">
        <v>10</v>
      </c>
      <c r="E3394" s="2" t="s">
        <v>209</v>
      </c>
      <c r="F3394" s="2" t="s">
        <v>210</v>
      </c>
      <c r="G3394" s="2" t="s">
        <v>39</v>
      </c>
      <c r="H3394" s="2" t="s">
        <v>22</v>
      </c>
      <c r="I3394" s="2" t="s">
        <v>40</v>
      </c>
      <c r="J3394" s="2" t="s">
        <v>59</v>
      </c>
      <c r="K3394">
        <v>1227.3</v>
      </c>
      <c r="L3394">
        <v>31480.240000000002</v>
      </c>
      <c r="M3394">
        <v>2565</v>
      </c>
      <c r="N3394" s="2" t="s">
        <v>211</v>
      </c>
      <c r="O3394" s="2" t="s">
        <v>212</v>
      </c>
      <c r="P3394" s="2" t="s">
        <v>5972</v>
      </c>
      <c r="Q3394" s="2" t="s">
        <v>5973</v>
      </c>
      <c r="R3394" s="2" t="s">
        <v>29</v>
      </c>
      <c r="S3394" s="2" t="s">
        <v>30</v>
      </c>
    </row>
    <row r="3395" spans="1:19">
      <c r="A3395" s="1">
        <v>45566</v>
      </c>
      <c r="B3395" s="1">
        <v>45566</v>
      </c>
      <c r="C3395">
        <v>2024</v>
      </c>
      <c r="D3395">
        <v>10</v>
      </c>
      <c r="E3395" s="2" t="s">
        <v>213</v>
      </c>
      <c r="F3395" s="2" t="s">
        <v>214</v>
      </c>
      <c r="G3395" s="2" t="s">
        <v>185</v>
      </c>
      <c r="H3395" s="2" t="s">
        <v>22</v>
      </c>
      <c r="I3395" s="2" t="s">
        <v>215</v>
      </c>
      <c r="J3395" s="2" t="s">
        <v>24</v>
      </c>
      <c r="K3395">
        <v>145750.22</v>
      </c>
      <c r="L3395">
        <v>2874910.03</v>
      </c>
      <c r="M3395">
        <v>1972.49</v>
      </c>
      <c r="N3395" s="2" t="s">
        <v>216</v>
      </c>
      <c r="O3395" s="2" t="s">
        <v>217</v>
      </c>
      <c r="P3395" s="2" t="s">
        <v>5974</v>
      </c>
      <c r="Q3395" s="2" t="s">
        <v>5975</v>
      </c>
      <c r="R3395" s="2" t="s">
        <v>29</v>
      </c>
      <c r="S3395" s="2" t="s">
        <v>30</v>
      </c>
    </row>
    <row r="3396" spans="1:19">
      <c r="A3396" s="1">
        <v>45566</v>
      </c>
      <c r="B3396" s="1">
        <v>45566</v>
      </c>
      <c r="C3396">
        <v>2024</v>
      </c>
      <c r="D3396">
        <v>10</v>
      </c>
      <c r="E3396" s="2" t="s">
        <v>220</v>
      </c>
      <c r="F3396" s="2" t="s">
        <v>221</v>
      </c>
      <c r="G3396" s="2" t="s">
        <v>185</v>
      </c>
      <c r="H3396" s="2" t="s">
        <v>22</v>
      </c>
      <c r="I3396" s="2" t="s">
        <v>215</v>
      </c>
      <c r="J3396" s="2" t="s">
        <v>24</v>
      </c>
      <c r="K3396">
        <v>9126.58</v>
      </c>
      <c r="L3396">
        <v>657333.42000000004</v>
      </c>
      <c r="M3396">
        <v>7202.41</v>
      </c>
      <c r="N3396" s="2" t="s">
        <v>222</v>
      </c>
      <c r="O3396" s="2" t="s">
        <v>223</v>
      </c>
      <c r="P3396" s="2" t="s">
        <v>5976</v>
      </c>
      <c r="Q3396" s="2" t="s">
        <v>5977</v>
      </c>
      <c r="R3396" s="2" t="s">
        <v>29</v>
      </c>
      <c r="S3396" s="2" t="s">
        <v>30</v>
      </c>
    </row>
    <row r="3397" spans="1:19">
      <c r="A3397" s="1">
        <v>45566</v>
      </c>
      <c r="B3397" s="1">
        <v>45566</v>
      </c>
      <c r="C3397">
        <v>2024</v>
      </c>
      <c r="D3397">
        <v>10</v>
      </c>
      <c r="E3397" s="2" t="s">
        <v>226</v>
      </c>
      <c r="F3397" s="2" t="s">
        <v>227</v>
      </c>
      <c r="G3397" s="2" t="s">
        <v>185</v>
      </c>
      <c r="H3397" s="2" t="s">
        <v>22</v>
      </c>
      <c r="I3397" s="2" t="s">
        <v>215</v>
      </c>
      <c r="J3397" s="2" t="s">
        <v>59</v>
      </c>
      <c r="K3397">
        <v>154876.79999999999</v>
      </c>
      <c r="L3397">
        <v>3532243.45</v>
      </c>
      <c r="M3397">
        <v>2280.6799999999998</v>
      </c>
      <c r="N3397" s="2" t="s">
        <v>228</v>
      </c>
      <c r="O3397" s="2" t="s">
        <v>229</v>
      </c>
      <c r="P3397" s="2" t="s">
        <v>5978</v>
      </c>
      <c r="Q3397" s="2" t="s">
        <v>5979</v>
      </c>
      <c r="R3397" s="2" t="s">
        <v>29</v>
      </c>
      <c r="S3397" s="2" t="s">
        <v>30</v>
      </c>
    </row>
    <row r="3398" spans="1:19">
      <c r="A3398" s="1">
        <v>45566</v>
      </c>
      <c r="B3398" s="1">
        <v>45566</v>
      </c>
      <c r="C3398">
        <v>2024</v>
      </c>
      <c r="D3398">
        <v>10</v>
      </c>
      <c r="E3398" s="2" t="s">
        <v>232</v>
      </c>
      <c r="F3398" s="2" t="s">
        <v>233</v>
      </c>
      <c r="G3398" s="2" t="s">
        <v>21</v>
      </c>
      <c r="H3398" s="2" t="s">
        <v>22</v>
      </c>
      <c r="I3398" s="2" t="s">
        <v>23</v>
      </c>
      <c r="J3398" s="2" t="s">
        <v>24</v>
      </c>
      <c r="K3398">
        <v>1463.68</v>
      </c>
      <c r="L3398">
        <v>157479.46</v>
      </c>
      <c r="M3398">
        <v>10759.15</v>
      </c>
      <c r="N3398" s="2" t="s">
        <v>234</v>
      </c>
      <c r="O3398" s="2" t="s">
        <v>235</v>
      </c>
      <c r="P3398" s="2" t="s">
        <v>5980</v>
      </c>
      <c r="Q3398" s="2" t="s">
        <v>5981</v>
      </c>
      <c r="R3398" s="2" t="s">
        <v>29</v>
      </c>
      <c r="S3398" s="2" t="s">
        <v>30</v>
      </c>
    </row>
    <row r="3399" spans="1:19">
      <c r="A3399" s="1">
        <v>45566</v>
      </c>
      <c r="B3399" s="1">
        <v>45566</v>
      </c>
      <c r="C3399">
        <v>2024</v>
      </c>
      <c r="D3399">
        <v>10</v>
      </c>
      <c r="E3399" s="2" t="s">
        <v>238</v>
      </c>
      <c r="F3399" s="2" t="s">
        <v>239</v>
      </c>
      <c r="G3399" s="2" t="s">
        <v>21</v>
      </c>
      <c r="H3399" s="2" t="s">
        <v>22</v>
      </c>
      <c r="I3399" s="2" t="s">
        <v>66</v>
      </c>
      <c r="J3399" s="2" t="s">
        <v>24</v>
      </c>
      <c r="K3399">
        <v>1710.21</v>
      </c>
      <c r="L3399">
        <v>188843.53</v>
      </c>
      <c r="M3399">
        <v>11042.13</v>
      </c>
      <c r="N3399" s="2" t="s">
        <v>240</v>
      </c>
      <c r="O3399" s="2" t="s">
        <v>241</v>
      </c>
      <c r="P3399" s="2" t="s">
        <v>5982</v>
      </c>
      <c r="Q3399" s="2" t="s">
        <v>5983</v>
      </c>
      <c r="R3399" s="2" t="s">
        <v>29</v>
      </c>
      <c r="S3399" s="2" t="s">
        <v>30</v>
      </c>
    </row>
    <row r="3400" spans="1:19">
      <c r="A3400" s="1">
        <v>45566</v>
      </c>
      <c r="B3400" s="1">
        <v>45566</v>
      </c>
      <c r="C3400">
        <v>2024</v>
      </c>
      <c r="D3400">
        <v>10</v>
      </c>
      <c r="E3400" s="2" t="s">
        <v>244</v>
      </c>
      <c r="F3400" s="2" t="s">
        <v>245</v>
      </c>
      <c r="G3400" s="2" t="s">
        <v>21</v>
      </c>
      <c r="H3400" s="2" t="s">
        <v>22</v>
      </c>
      <c r="I3400" s="2" t="s">
        <v>23</v>
      </c>
      <c r="J3400" s="2" t="s">
        <v>24</v>
      </c>
      <c r="K3400">
        <v>9183.3799999999992</v>
      </c>
      <c r="L3400">
        <v>4152427.74</v>
      </c>
      <c r="M3400">
        <v>45216.77</v>
      </c>
      <c r="N3400" s="2" t="s">
        <v>246</v>
      </c>
      <c r="O3400" s="2" t="s">
        <v>247</v>
      </c>
      <c r="P3400" s="2" t="s">
        <v>5984</v>
      </c>
      <c r="Q3400" s="2" t="s">
        <v>5985</v>
      </c>
      <c r="R3400" s="2" t="s">
        <v>29</v>
      </c>
      <c r="S3400" s="2" t="s">
        <v>30</v>
      </c>
    </row>
    <row r="3401" spans="1:19">
      <c r="A3401" s="1">
        <v>45566</v>
      </c>
      <c r="B3401" s="1">
        <v>45566</v>
      </c>
      <c r="C3401">
        <v>2024</v>
      </c>
      <c r="D3401">
        <v>10</v>
      </c>
      <c r="E3401" s="2" t="s">
        <v>250</v>
      </c>
      <c r="F3401" s="2" t="s">
        <v>251</v>
      </c>
      <c r="G3401" s="2" t="s">
        <v>21</v>
      </c>
      <c r="H3401" s="2" t="s">
        <v>22</v>
      </c>
      <c r="I3401" s="2" t="s">
        <v>66</v>
      </c>
      <c r="J3401" s="2" t="s">
        <v>24</v>
      </c>
      <c r="K3401">
        <v>136.97999999999999</v>
      </c>
      <c r="L3401">
        <v>201.96</v>
      </c>
      <c r="M3401">
        <v>147.44</v>
      </c>
      <c r="N3401" s="2" t="s">
        <v>252</v>
      </c>
      <c r="O3401" s="2" t="s">
        <v>253</v>
      </c>
      <c r="P3401" s="2" t="s">
        <v>5986</v>
      </c>
      <c r="Q3401" s="2" t="s">
        <v>5987</v>
      </c>
      <c r="R3401" s="2" t="s">
        <v>29</v>
      </c>
      <c r="S3401" s="2" t="s">
        <v>30</v>
      </c>
    </row>
    <row r="3402" spans="1:19">
      <c r="A3402" s="1">
        <v>45566</v>
      </c>
      <c r="B3402" s="1">
        <v>45566</v>
      </c>
      <c r="C3402">
        <v>2024</v>
      </c>
      <c r="D3402">
        <v>10</v>
      </c>
      <c r="E3402" s="2" t="s">
        <v>256</v>
      </c>
      <c r="F3402" s="2" t="s">
        <v>257</v>
      </c>
      <c r="G3402" s="2" t="s">
        <v>21</v>
      </c>
      <c r="H3402" s="2" t="s">
        <v>22</v>
      </c>
      <c r="I3402" s="2" t="s">
        <v>258</v>
      </c>
      <c r="J3402" s="2" t="s">
        <v>24</v>
      </c>
      <c r="K3402">
        <v>546.98</v>
      </c>
      <c r="L3402">
        <v>624056.98</v>
      </c>
      <c r="M3402">
        <v>114091.37</v>
      </c>
      <c r="N3402" s="2" t="s">
        <v>259</v>
      </c>
      <c r="O3402" s="2" t="s">
        <v>260</v>
      </c>
      <c r="P3402" s="2" t="s">
        <v>5988</v>
      </c>
      <c r="Q3402" s="2" t="s">
        <v>5989</v>
      </c>
      <c r="R3402" s="2" t="s">
        <v>29</v>
      </c>
      <c r="S3402" s="2" t="s">
        <v>30</v>
      </c>
    </row>
    <row r="3403" spans="1:19">
      <c r="A3403" s="1">
        <v>45566</v>
      </c>
      <c r="B3403" s="1">
        <v>45566</v>
      </c>
      <c r="C3403">
        <v>2024</v>
      </c>
      <c r="D3403">
        <v>10</v>
      </c>
      <c r="E3403" s="2" t="s">
        <v>263</v>
      </c>
      <c r="F3403" s="2" t="s">
        <v>264</v>
      </c>
      <c r="G3403" s="2" t="s">
        <v>21</v>
      </c>
      <c r="H3403" s="2" t="s">
        <v>22</v>
      </c>
      <c r="I3403" s="2" t="s">
        <v>258</v>
      </c>
      <c r="J3403" s="2" t="s">
        <v>24</v>
      </c>
      <c r="K3403">
        <v>0</v>
      </c>
      <c r="L3403">
        <v>0</v>
      </c>
      <c r="N3403" s="2" t="s">
        <v>265</v>
      </c>
      <c r="O3403" s="2" t="s">
        <v>266</v>
      </c>
      <c r="P3403" s="2" t="s">
        <v>639</v>
      </c>
      <c r="Q3403" s="2" t="s">
        <v>639</v>
      </c>
      <c r="R3403" s="2" t="s">
        <v>29</v>
      </c>
      <c r="S3403" s="2" t="s">
        <v>30</v>
      </c>
    </row>
    <row r="3404" spans="1:19">
      <c r="A3404" s="1">
        <v>45566</v>
      </c>
      <c r="B3404" s="1">
        <v>45566</v>
      </c>
      <c r="C3404">
        <v>2024</v>
      </c>
      <c r="D3404">
        <v>10</v>
      </c>
      <c r="E3404" s="2" t="s">
        <v>269</v>
      </c>
      <c r="F3404" s="2" t="s">
        <v>270</v>
      </c>
      <c r="G3404" s="2" t="s">
        <v>21</v>
      </c>
      <c r="H3404" s="2" t="s">
        <v>22</v>
      </c>
      <c r="I3404" s="2" t="s">
        <v>258</v>
      </c>
      <c r="J3404" s="2" t="s">
        <v>59</v>
      </c>
      <c r="K3404">
        <v>546.98</v>
      </c>
      <c r="L3404">
        <v>624056.98</v>
      </c>
      <c r="M3404">
        <v>114091.37</v>
      </c>
      <c r="N3404" s="2" t="s">
        <v>271</v>
      </c>
      <c r="O3404" s="2" t="s">
        <v>272</v>
      </c>
      <c r="P3404" s="2" t="s">
        <v>5988</v>
      </c>
      <c r="Q3404" s="2" t="s">
        <v>5989</v>
      </c>
      <c r="R3404" s="2" t="s">
        <v>29</v>
      </c>
      <c r="S3404" s="2" t="s">
        <v>30</v>
      </c>
    </row>
    <row r="3405" spans="1:19">
      <c r="A3405" s="1">
        <v>45566</v>
      </c>
      <c r="B3405" s="1">
        <v>45566</v>
      </c>
      <c r="C3405">
        <v>2024</v>
      </c>
      <c r="D3405">
        <v>10</v>
      </c>
      <c r="E3405" s="2" t="s">
        <v>275</v>
      </c>
      <c r="F3405" s="2" t="s">
        <v>276</v>
      </c>
      <c r="G3405" s="2" t="s">
        <v>39</v>
      </c>
      <c r="H3405" s="2" t="s">
        <v>22</v>
      </c>
      <c r="I3405" s="2" t="s">
        <v>40</v>
      </c>
      <c r="J3405" s="2" t="s">
        <v>24</v>
      </c>
      <c r="K3405">
        <v>0.28000000000000003</v>
      </c>
      <c r="L3405">
        <v>3.16</v>
      </c>
      <c r="M3405">
        <v>1128.57</v>
      </c>
      <c r="N3405" s="2" t="s">
        <v>277</v>
      </c>
      <c r="O3405" s="2" t="s">
        <v>278</v>
      </c>
      <c r="P3405" s="2" t="s">
        <v>2910</v>
      </c>
      <c r="Q3405" s="2" t="s">
        <v>5537</v>
      </c>
      <c r="R3405" s="2" t="s">
        <v>29</v>
      </c>
      <c r="S3405" s="2" t="s">
        <v>30</v>
      </c>
    </row>
    <row r="3406" spans="1:19">
      <c r="A3406" s="1">
        <v>45566</v>
      </c>
      <c r="B3406" s="1">
        <v>45566</v>
      </c>
      <c r="C3406">
        <v>2024</v>
      </c>
      <c r="D3406">
        <v>10</v>
      </c>
      <c r="E3406" s="2" t="s">
        <v>281</v>
      </c>
      <c r="F3406" s="2" t="s">
        <v>282</v>
      </c>
      <c r="G3406" s="2" t="s">
        <v>39</v>
      </c>
      <c r="H3406" s="2" t="s">
        <v>22</v>
      </c>
      <c r="I3406" s="2" t="s">
        <v>40</v>
      </c>
      <c r="J3406" s="2" t="s">
        <v>24</v>
      </c>
      <c r="K3406">
        <v>0.01</v>
      </c>
      <c r="L3406">
        <v>0.13</v>
      </c>
      <c r="M3406">
        <v>1300</v>
      </c>
      <c r="N3406" s="2" t="s">
        <v>283</v>
      </c>
      <c r="O3406" s="2" t="s">
        <v>284</v>
      </c>
      <c r="P3406" s="2" t="s">
        <v>832</v>
      </c>
      <c r="Q3406" s="2" t="s">
        <v>3378</v>
      </c>
      <c r="R3406" s="2" t="s">
        <v>29</v>
      </c>
      <c r="S3406" s="2" t="s">
        <v>30</v>
      </c>
    </row>
    <row r="3407" spans="1:19">
      <c r="A3407" s="1">
        <v>45566</v>
      </c>
      <c r="B3407" s="1">
        <v>45566</v>
      </c>
      <c r="C3407">
        <v>2024</v>
      </c>
      <c r="D3407">
        <v>10</v>
      </c>
      <c r="E3407" s="2" t="s">
        <v>287</v>
      </c>
      <c r="F3407" s="2" t="s">
        <v>288</v>
      </c>
      <c r="G3407" s="2" t="s">
        <v>39</v>
      </c>
      <c r="H3407" s="2" t="s">
        <v>22</v>
      </c>
      <c r="I3407" s="2" t="s">
        <v>40</v>
      </c>
      <c r="J3407" s="2" t="s">
        <v>59</v>
      </c>
      <c r="K3407">
        <v>0.28999999999999998</v>
      </c>
      <c r="L3407">
        <v>3.29</v>
      </c>
      <c r="M3407">
        <v>1134.48</v>
      </c>
      <c r="N3407" s="2" t="s">
        <v>289</v>
      </c>
      <c r="O3407" s="2" t="s">
        <v>290</v>
      </c>
      <c r="P3407" s="2" t="s">
        <v>1138</v>
      </c>
      <c r="Q3407" s="2" t="s">
        <v>1122</v>
      </c>
      <c r="R3407" s="2" t="s">
        <v>29</v>
      </c>
      <c r="S3407" s="2" t="s">
        <v>30</v>
      </c>
    </row>
    <row r="3408" spans="1:19">
      <c r="A3408" s="1">
        <v>45566</v>
      </c>
      <c r="B3408" s="1">
        <v>45566</v>
      </c>
      <c r="C3408">
        <v>2024</v>
      </c>
      <c r="D3408">
        <v>10</v>
      </c>
      <c r="E3408" s="2" t="s">
        <v>293</v>
      </c>
      <c r="F3408" s="2" t="s">
        <v>294</v>
      </c>
      <c r="G3408" s="2" t="s">
        <v>21</v>
      </c>
      <c r="H3408" s="2" t="s">
        <v>22</v>
      </c>
      <c r="I3408" s="2" t="s">
        <v>295</v>
      </c>
      <c r="J3408" s="2" t="s">
        <v>24</v>
      </c>
      <c r="K3408">
        <v>833.81</v>
      </c>
      <c r="L3408">
        <v>6364.63</v>
      </c>
      <c r="M3408">
        <v>763.32</v>
      </c>
      <c r="N3408" s="2" t="s">
        <v>296</v>
      </c>
      <c r="O3408" s="2" t="s">
        <v>297</v>
      </c>
      <c r="P3408" s="2" t="s">
        <v>5990</v>
      </c>
      <c r="Q3408" s="2" t="s">
        <v>5991</v>
      </c>
      <c r="R3408" s="2" t="s">
        <v>29</v>
      </c>
      <c r="S3408" s="2" t="s">
        <v>30</v>
      </c>
    </row>
    <row r="3409" spans="1:19">
      <c r="A3409" s="1">
        <v>45566</v>
      </c>
      <c r="B3409" s="1">
        <v>45566</v>
      </c>
      <c r="C3409">
        <v>2024</v>
      </c>
      <c r="D3409">
        <v>10</v>
      </c>
      <c r="E3409" s="2" t="s">
        <v>300</v>
      </c>
      <c r="F3409" s="2" t="s">
        <v>301</v>
      </c>
      <c r="G3409" s="2" t="s">
        <v>21</v>
      </c>
      <c r="H3409" s="2" t="s">
        <v>22</v>
      </c>
      <c r="I3409" s="2" t="s">
        <v>295</v>
      </c>
      <c r="J3409" s="2" t="s">
        <v>24</v>
      </c>
      <c r="K3409">
        <v>718.88</v>
      </c>
      <c r="L3409">
        <v>980.63</v>
      </c>
      <c r="M3409">
        <v>136.41</v>
      </c>
      <c r="N3409" s="2" t="s">
        <v>302</v>
      </c>
      <c r="O3409" s="2" t="s">
        <v>303</v>
      </c>
      <c r="P3409" s="2" t="s">
        <v>5992</v>
      </c>
      <c r="Q3409" s="2" t="s">
        <v>5993</v>
      </c>
      <c r="R3409" s="2" t="s">
        <v>29</v>
      </c>
      <c r="S3409" s="2" t="s">
        <v>30</v>
      </c>
    </row>
    <row r="3410" spans="1:19">
      <c r="A3410" s="1">
        <v>45566</v>
      </c>
      <c r="B3410" s="1">
        <v>45566</v>
      </c>
      <c r="C3410">
        <v>2024</v>
      </c>
      <c r="D3410">
        <v>10</v>
      </c>
      <c r="E3410" s="2" t="s">
        <v>306</v>
      </c>
      <c r="F3410" s="2" t="s">
        <v>307</v>
      </c>
      <c r="G3410" s="2" t="s">
        <v>21</v>
      </c>
      <c r="H3410" s="2" t="s">
        <v>22</v>
      </c>
      <c r="I3410" s="2" t="s">
        <v>295</v>
      </c>
      <c r="J3410" s="2" t="s">
        <v>101</v>
      </c>
      <c r="K3410">
        <v>1552.68</v>
      </c>
      <c r="L3410">
        <v>7345.26</v>
      </c>
      <c r="M3410">
        <v>473.07</v>
      </c>
      <c r="N3410" s="2" t="s">
        <v>308</v>
      </c>
      <c r="O3410" s="2" t="s">
        <v>309</v>
      </c>
      <c r="P3410" s="2" t="s">
        <v>5994</v>
      </c>
      <c r="Q3410" s="2" t="s">
        <v>5995</v>
      </c>
      <c r="R3410" s="2" t="s">
        <v>29</v>
      </c>
      <c r="S3410" s="2" t="s">
        <v>30</v>
      </c>
    </row>
    <row r="3411" spans="1:19">
      <c r="A3411" s="1">
        <v>45566</v>
      </c>
      <c r="B3411" s="1">
        <v>45566</v>
      </c>
      <c r="C3411">
        <v>2024</v>
      </c>
      <c r="D3411">
        <v>10</v>
      </c>
      <c r="E3411" s="2" t="s">
        <v>312</v>
      </c>
      <c r="F3411" s="2" t="s">
        <v>313</v>
      </c>
      <c r="G3411" s="2" t="s">
        <v>21</v>
      </c>
      <c r="H3411" s="2" t="s">
        <v>22</v>
      </c>
      <c r="I3411" s="2" t="s">
        <v>295</v>
      </c>
      <c r="J3411" s="2" t="s">
        <v>59</v>
      </c>
      <c r="K3411">
        <v>5977.88</v>
      </c>
      <c r="L3411">
        <v>20418.990000000002</v>
      </c>
      <c r="M3411">
        <v>341.58</v>
      </c>
      <c r="N3411" s="2" t="s">
        <v>314</v>
      </c>
      <c r="O3411" s="2" t="s">
        <v>315</v>
      </c>
      <c r="P3411" s="2" t="s">
        <v>5996</v>
      </c>
      <c r="Q3411" s="2" t="s">
        <v>5997</v>
      </c>
      <c r="R3411" s="2" t="s">
        <v>29</v>
      </c>
      <c r="S3411" s="2" t="s">
        <v>30</v>
      </c>
    </row>
    <row r="3412" spans="1:19">
      <c r="A3412" s="1">
        <v>45566</v>
      </c>
      <c r="B3412" s="1">
        <v>45566</v>
      </c>
      <c r="C3412">
        <v>2024</v>
      </c>
      <c r="D3412">
        <v>10</v>
      </c>
      <c r="E3412" s="2" t="s">
        <v>318</v>
      </c>
      <c r="F3412" s="2" t="s">
        <v>319</v>
      </c>
      <c r="G3412" s="2" t="s">
        <v>21</v>
      </c>
      <c r="H3412" s="2" t="s">
        <v>22</v>
      </c>
      <c r="I3412" s="2" t="s">
        <v>295</v>
      </c>
      <c r="J3412" s="2" t="s">
        <v>24</v>
      </c>
      <c r="K3412">
        <v>4425.2</v>
      </c>
      <c r="L3412">
        <v>13073.72</v>
      </c>
      <c r="M3412">
        <v>295.44</v>
      </c>
      <c r="N3412" s="2" t="s">
        <v>320</v>
      </c>
      <c r="O3412" s="2" t="s">
        <v>321</v>
      </c>
      <c r="P3412" s="2" t="s">
        <v>5998</v>
      </c>
      <c r="Q3412" s="2" t="s">
        <v>5999</v>
      </c>
      <c r="R3412" s="2" t="s">
        <v>29</v>
      </c>
      <c r="S3412" s="2" t="s">
        <v>30</v>
      </c>
    </row>
    <row r="3413" spans="1:19">
      <c r="A3413" s="1">
        <v>45566</v>
      </c>
      <c r="B3413" s="1">
        <v>45566</v>
      </c>
      <c r="C3413">
        <v>2024</v>
      </c>
      <c r="D3413">
        <v>10</v>
      </c>
      <c r="E3413" s="2" t="s">
        <v>324</v>
      </c>
      <c r="F3413" s="2" t="s">
        <v>325</v>
      </c>
      <c r="G3413" s="2" t="s">
        <v>21</v>
      </c>
      <c r="H3413" s="2" t="s">
        <v>22</v>
      </c>
      <c r="I3413" s="2" t="s">
        <v>23</v>
      </c>
      <c r="J3413" s="2" t="s">
        <v>59</v>
      </c>
      <c r="K3413">
        <v>185187.17</v>
      </c>
      <c r="L3413">
        <v>7358283.3499999996</v>
      </c>
      <c r="M3413">
        <v>3973.43</v>
      </c>
      <c r="N3413" s="2" t="s">
        <v>326</v>
      </c>
      <c r="O3413" s="2" t="s">
        <v>327</v>
      </c>
      <c r="P3413" s="2" t="s">
        <v>6000</v>
      </c>
      <c r="Q3413" s="2" t="s">
        <v>6001</v>
      </c>
      <c r="R3413" s="2" t="s">
        <v>29</v>
      </c>
      <c r="S3413" s="2" t="s">
        <v>30</v>
      </c>
    </row>
    <row r="3414" spans="1:19">
      <c r="A3414" s="1">
        <v>45566</v>
      </c>
      <c r="B3414" s="1">
        <v>45566</v>
      </c>
      <c r="C3414">
        <v>2024</v>
      </c>
      <c r="D3414">
        <v>10</v>
      </c>
      <c r="E3414" s="2" t="s">
        <v>330</v>
      </c>
      <c r="F3414" s="2" t="s">
        <v>331</v>
      </c>
      <c r="G3414" s="2" t="s">
        <v>21</v>
      </c>
      <c r="H3414" s="2" t="s">
        <v>332</v>
      </c>
      <c r="I3414" s="2" t="s">
        <v>333</v>
      </c>
      <c r="J3414" s="2" t="s">
        <v>24</v>
      </c>
      <c r="K3414">
        <v>266.69</v>
      </c>
      <c r="L3414">
        <v>15418777.859999999</v>
      </c>
      <c r="M3414">
        <v>5781535.8099999996</v>
      </c>
      <c r="N3414" s="2" t="s">
        <v>334</v>
      </c>
      <c r="O3414" s="2" t="s">
        <v>335</v>
      </c>
      <c r="P3414" s="2" t="s">
        <v>6002</v>
      </c>
      <c r="Q3414" s="2" t="s">
        <v>6003</v>
      </c>
      <c r="R3414" s="2" t="s">
        <v>29</v>
      </c>
      <c r="S3414" s="2" t="s">
        <v>30</v>
      </c>
    </row>
    <row r="3415" spans="1:19">
      <c r="A3415" s="1">
        <v>45566</v>
      </c>
      <c r="B3415" s="1">
        <v>45566</v>
      </c>
      <c r="C3415">
        <v>2024</v>
      </c>
      <c r="D3415">
        <v>10</v>
      </c>
      <c r="E3415" s="2" t="s">
        <v>338</v>
      </c>
      <c r="F3415" s="2" t="s">
        <v>339</v>
      </c>
      <c r="G3415" s="2" t="s">
        <v>21</v>
      </c>
      <c r="H3415" s="2" t="s">
        <v>332</v>
      </c>
      <c r="I3415" s="2" t="s">
        <v>333</v>
      </c>
      <c r="J3415" s="2" t="s">
        <v>24</v>
      </c>
      <c r="K3415">
        <v>1.23</v>
      </c>
      <c r="L3415">
        <v>1652197.13</v>
      </c>
      <c r="M3415">
        <v>134324969.91999999</v>
      </c>
      <c r="N3415" s="2" t="s">
        <v>340</v>
      </c>
      <c r="O3415" s="2" t="s">
        <v>341</v>
      </c>
      <c r="P3415" s="2" t="s">
        <v>3281</v>
      </c>
      <c r="Q3415" s="2" t="s">
        <v>6004</v>
      </c>
      <c r="R3415" s="2" t="s">
        <v>29</v>
      </c>
      <c r="S3415" s="2" t="s">
        <v>30</v>
      </c>
    </row>
    <row r="3416" spans="1:19">
      <c r="A3416" s="1">
        <v>45566</v>
      </c>
      <c r="B3416" s="1">
        <v>45566</v>
      </c>
      <c r="C3416">
        <v>2024</v>
      </c>
      <c r="D3416">
        <v>10</v>
      </c>
      <c r="E3416" s="2" t="s">
        <v>344</v>
      </c>
      <c r="F3416" s="2" t="s">
        <v>345</v>
      </c>
      <c r="G3416" s="2" t="s">
        <v>21</v>
      </c>
      <c r="H3416" s="2" t="s">
        <v>332</v>
      </c>
      <c r="I3416" s="2" t="s">
        <v>333</v>
      </c>
      <c r="J3416" s="2" t="s">
        <v>59</v>
      </c>
      <c r="K3416">
        <v>267.92</v>
      </c>
      <c r="L3416">
        <v>17070975</v>
      </c>
      <c r="M3416">
        <v>6371668.7800000003</v>
      </c>
      <c r="N3416" s="2" t="s">
        <v>346</v>
      </c>
      <c r="O3416" s="2" t="s">
        <v>347</v>
      </c>
      <c r="P3416" s="2" t="s">
        <v>6005</v>
      </c>
      <c r="Q3416" s="2" t="s">
        <v>6006</v>
      </c>
      <c r="R3416" s="2" t="s">
        <v>29</v>
      </c>
      <c r="S3416" s="2" t="s">
        <v>30</v>
      </c>
    </row>
    <row r="3417" spans="1:19">
      <c r="A3417" s="1">
        <v>45566</v>
      </c>
      <c r="B3417" s="1">
        <v>45566</v>
      </c>
      <c r="C3417">
        <v>2024</v>
      </c>
      <c r="D3417">
        <v>10</v>
      </c>
      <c r="E3417" s="2" t="s">
        <v>350</v>
      </c>
      <c r="F3417" s="2" t="s">
        <v>351</v>
      </c>
      <c r="G3417" s="2" t="s">
        <v>21</v>
      </c>
      <c r="H3417" s="2" t="s">
        <v>22</v>
      </c>
      <c r="I3417" s="2" t="s">
        <v>352</v>
      </c>
      <c r="J3417" s="2" t="s">
        <v>353</v>
      </c>
      <c r="K3417">
        <v>199064.01</v>
      </c>
      <c r="L3417">
        <v>24888114.149999999</v>
      </c>
      <c r="M3417">
        <v>12502.57</v>
      </c>
      <c r="N3417" s="2" t="s">
        <v>354</v>
      </c>
      <c r="O3417" s="2" t="s">
        <v>355</v>
      </c>
      <c r="P3417" s="2" t="s">
        <v>6007</v>
      </c>
      <c r="Q3417" s="2" t="s">
        <v>6008</v>
      </c>
      <c r="R3417" s="2" t="s">
        <v>29</v>
      </c>
      <c r="S3417" s="2" t="s">
        <v>30</v>
      </c>
    </row>
    <row r="3418" spans="1:19">
      <c r="A3418" s="1">
        <v>45566</v>
      </c>
      <c r="B3418" s="1">
        <v>45566</v>
      </c>
      <c r="C3418">
        <v>2024</v>
      </c>
      <c r="D3418">
        <v>10</v>
      </c>
      <c r="E3418" s="2" t="s">
        <v>358</v>
      </c>
      <c r="F3418" s="2" t="s">
        <v>359</v>
      </c>
      <c r="G3418" s="2" t="s">
        <v>21</v>
      </c>
      <c r="H3418" s="2" t="s">
        <v>22</v>
      </c>
      <c r="I3418" s="2" t="s">
        <v>352</v>
      </c>
      <c r="J3418" s="2" t="s">
        <v>353</v>
      </c>
      <c r="K3418">
        <v>199610.99</v>
      </c>
      <c r="L3418">
        <v>25512171.129999999</v>
      </c>
      <c r="M3418">
        <v>12780.95</v>
      </c>
      <c r="N3418" s="2" t="s">
        <v>360</v>
      </c>
      <c r="O3418" s="2" t="s">
        <v>361</v>
      </c>
      <c r="P3418" s="2" t="s">
        <v>6009</v>
      </c>
      <c r="Q3418" s="2" t="s">
        <v>6010</v>
      </c>
      <c r="R3418" s="2" t="s">
        <v>29</v>
      </c>
      <c r="S3418" s="2" t="s">
        <v>30</v>
      </c>
    </row>
    <row r="3419" spans="1:19">
      <c r="A3419" s="1">
        <v>45566</v>
      </c>
      <c r="B3419" s="1">
        <v>45566</v>
      </c>
      <c r="C3419">
        <v>2024</v>
      </c>
      <c r="D3419">
        <v>10</v>
      </c>
      <c r="E3419" s="2" t="s">
        <v>364</v>
      </c>
      <c r="F3419" s="2" t="s">
        <v>365</v>
      </c>
      <c r="G3419" s="2" t="s">
        <v>21</v>
      </c>
      <c r="H3419" s="2" t="s">
        <v>22</v>
      </c>
      <c r="I3419" s="2" t="s">
        <v>352</v>
      </c>
      <c r="J3419" s="2" t="s">
        <v>353</v>
      </c>
      <c r="K3419">
        <v>199343.07</v>
      </c>
      <c r="L3419">
        <v>8441196.1300000008</v>
      </c>
      <c r="M3419">
        <v>4234.51</v>
      </c>
      <c r="N3419" s="2" t="s">
        <v>366</v>
      </c>
      <c r="O3419" s="2" t="s">
        <v>367</v>
      </c>
      <c r="P3419" s="2" t="s">
        <v>6011</v>
      </c>
      <c r="Q3419" s="2" t="s">
        <v>6012</v>
      </c>
      <c r="R3419" s="2" t="s">
        <v>29</v>
      </c>
      <c r="S3419" s="2" t="s">
        <v>30</v>
      </c>
    </row>
    <row r="3420" spans="1:19">
      <c r="A3420" s="1">
        <v>45566</v>
      </c>
      <c r="B3420" s="1">
        <v>45566</v>
      </c>
      <c r="C3420">
        <v>2024</v>
      </c>
      <c r="D3420">
        <v>10</v>
      </c>
      <c r="E3420" s="2" t="s">
        <v>370</v>
      </c>
      <c r="F3420" s="2" t="s">
        <v>371</v>
      </c>
      <c r="G3420" s="2" t="s">
        <v>21</v>
      </c>
      <c r="H3420" s="2" t="s">
        <v>22</v>
      </c>
      <c r="I3420" s="2" t="s">
        <v>23</v>
      </c>
      <c r="J3420" s="2" t="s">
        <v>24</v>
      </c>
      <c r="K3420">
        <v>165849.66</v>
      </c>
      <c r="L3420">
        <v>2349821.46</v>
      </c>
      <c r="M3420">
        <v>1416.84</v>
      </c>
      <c r="N3420" s="2" t="s">
        <v>372</v>
      </c>
      <c r="O3420" s="2" t="s">
        <v>373</v>
      </c>
      <c r="P3420" s="2" t="s">
        <v>6013</v>
      </c>
      <c r="Q3420" s="2" t="s">
        <v>6014</v>
      </c>
      <c r="R3420" s="2" t="s">
        <v>29</v>
      </c>
      <c r="S3420" s="2" t="s">
        <v>30</v>
      </c>
    </row>
    <row r="3421" spans="1:19">
      <c r="A3421" s="1">
        <v>45566</v>
      </c>
      <c r="B3421" s="1">
        <v>45566</v>
      </c>
      <c r="C3421">
        <v>2024</v>
      </c>
      <c r="D3421">
        <v>10</v>
      </c>
      <c r="E3421" s="2" t="s">
        <v>376</v>
      </c>
      <c r="F3421" s="2" t="s">
        <v>377</v>
      </c>
      <c r="G3421" s="2" t="s">
        <v>21</v>
      </c>
      <c r="H3421" s="2" t="s">
        <v>22</v>
      </c>
      <c r="I3421" s="2" t="s">
        <v>23</v>
      </c>
      <c r="J3421" s="2" t="s">
        <v>378</v>
      </c>
      <c r="K3421">
        <v>1.64</v>
      </c>
      <c r="L3421">
        <v>17.5</v>
      </c>
      <c r="M3421">
        <v>1067.07</v>
      </c>
      <c r="N3421" s="2" t="s">
        <v>379</v>
      </c>
      <c r="O3421" s="2" t="s">
        <v>380</v>
      </c>
      <c r="P3421" s="2" t="s">
        <v>1543</v>
      </c>
      <c r="Q3421" s="2" t="s">
        <v>6015</v>
      </c>
      <c r="R3421" s="2" t="s">
        <v>29</v>
      </c>
      <c r="S3421" s="2" t="s">
        <v>30</v>
      </c>
    </row>
    <row r="3422" spans="1:19">
      <c r="A3422" s="1">
        <v>45597</v>
      </c>
      <c r="B3422" s="1">
        <v>45597</v>
      </c>
      <c r="C3422">
        <v>2024</v>
      </c>
      <c r="D3422">
        <v>11</v>
      </c>
      <c r="E3422" s="2" t="s">
        <v>19</v>
      </c>
      <c r="F3422" s="2" t="s">
        <v>20</v>
      </c>
      <c r="G3422" s="2" t="s">
        <v>21</v>
      </c>
      <c r="H3422" s="2" t="s">
        <v>22</v>
      </c>
      <c r="I3422" s="2" t="s">
        <v>23</v>
      </c>
      <c r="J3422" s="2" t="s">
        <v>24</v>
      </c>
      <c r="K3422">
        <v>0.3</v>
      </c>
      <c r="L3422">
        <v>14.36</v>
      </c>
      <c r="M3422">
        <v>4786.67</v>
      </c>
      <c r="N3422" s="2" t="s">
        <v>25</v>
      </c>
      <c r="O3422" s="2" t="s">
        <v>26</v>
      </c>
      <c r="P3422" s="2" t="s">
        <v>2807</v>
      </c>
      <c r="Q3422" s="2" t="s">
        <v>6016</v>
      </c>
      <c r="R3422" s="2" t="s">
        <v>29</v>
      </c>
      <c r="S3422" s="2" t="s">
        <v>30</v>
      </c>
    </row>
    <row r="3423" spans="1:19">
      <c r="A3423" s="1">
        <v>45597</v>
      </c>
      <c r="B3423" s="1">
        <v>45597</v>
      </c>
      <c r="C3423">
        <v>2024</v>
      </c>
      <c r="D3423">
        <v>11</v>
      </c>
      <c r="E3423" s="2" t="s">
        <v>31</v>
      </c>
      <c r="F3423" s="2" t="s">
        <v>32</v>
      </c>
      <c r="G3423" s="2" t="s">
        <v>21</v>
      </c>
      <c r="H3423" s="2" t="s">
        <v>22</v>
      </c>
      <c r="I3423" s="2" t="s">
        <v>23</v>
      </c>
      <c r="J3423" s="2" t="s">
        <v>24</v>
      </c>
      <c r="K3423">
        <v>2250.9699999999998</v>
      </c>
      <c r="L3423">
        <v>32384.39</v>
      </c>
      <c r="M3423">
        <v>1438.69</v>
      </c>
      <c r="N3423" s="2" t="s">
        <v>33</v>
      </c>
      <c r="O3423" s="2" t="s">
        <v>34</v>
      </c>
      <c r="P3423" s="2" t="s">
        <v>6017</v>
      </c>
      <c r="Q3423" s="2" t="s">
        <v>6018</v>
      </c>
      <c r="R3423" s="2" t="s">
        <v>29</v>
      </c>
      <c r="S3423" s="2" t="s">
        <v>30</v>
      </c>
    </row>
    <row r="3424" spans="1:19">
      <c r="A3424" s="1">
        <v>45597</v>
      </c>
      <c r="B3424" s="1">
        <v>45597</v>
      </c>
      <c r="C3424">
        <v>2024</v>
      </c>
      <c r="D3424">
        <v>11</v>
      </c>
      <c r="E3424" s="2" t="s">
        <v>37</v>
      </c>
      <c r="F3424" s="2" t="s">
        <v>38</v>
      </c>
      <c r="G3424" s="2" t="s">
        <v>39</v>
      </c>
      <c r="H3424" s="2" t="s">
        <v>22</v>
      </c>
      <c r="I3424" s="2" t="s">
        <v>40</v>
      </c>
      <c r="J3424" s="2" t="s">
        <v>24</v>
      </c>
      <c r="K3424">
        <v>7.75</v>
      </c>
      <c r="L3424">
        <v>409.51</v>
      </c>
      <c r="M3424">
        <v>5284</v>
      </c>
      <c r="N3424" s="2" t="s">
        <v>41</v>
      </c>
      <c r="O3424" s="2" t="s">
        <v>42</v>
      </c>
      <c r="P3424" s="2" t="s">
        <v>6019</v>
      </c>
      <c r="Q3424" s="2" t="s">
        <v>6020</v>
      </c>
      <c r="R3424" s="2" t="s">
        <v>29</v>
      </c>
      <c r="S3424" s="2" t="s">
        <v>30</v>
      </c>
    </row>
    <row r="3425" spans="1:19">
      <c r="A3425" s="1">
        <v>45597</v>
      </c>
      <c r="B3425" s="1">
        <v>45597</v>
      </c>
      <c r="C3425">
        <v>2024</v>
      </c>
      <c r="D3425">
        <v>11</v>
      </c>
      <c r="E3425" s="2" t="s">
        <v>45</v>
      </c>
      <c r="F3425" s="2" t="s">
        <v>46</v>
      </c>
      <c r="G3425" s="2" t="s">
        <v>39</v>
      </c>
      <c r="H3425" s="2" t="s">
        <v>22</v>
      </c>
      <c r="I3425" s="2" t="s">
        <v>40</v>
      </c>
      <c r="J3425" s="2" t="s">
        <v>24</v>
      </c>
      <c r="K3425">
        <v>4734.6099999999997</v>
      </c>
      <c r="L3425">
        <v>240470.59</v>
      </c>
      <c r="M3425">
        <v>5078.99</v>
      </c>
      <c r="N3425" s="2" t="s">
        <v>47</v>
      </c>
      <c r="O3425" s="2" t="s">
        <v>48</v>
      </c>
      <c r="P3425" s="2" t="s">
        <v>6021</v>
      </c>
      <c r="Q3425" s="2" t="s">
        <v>6022</v>
      </c>
      <c r="R3425" s="2" t="s">
        <v>29</v>
      </c>
      <c r="S3425" s="2" t="s">
        <v>30</v>
      </c>
    </row>
    <row r="3426" spans="1:19">
      <c r="A3426" s="1">
        <v>45597</v>
      </c>
      <c r="B3426" s="1">
        <v>45597</v>
      </c>
      <c r="C3426">
        <v>2024</v>
      </c>
      <c r="D3426">
        <v>11</v>
      </c>
      <c r="E3426" s="2" t="s">
        <v>51</v>
      </c>
      <c r="F3426" s="2" t="s">
        <v>52</v>
      </c>
      <c r="G3426" s="2" t="s">
        <v>39</v>
      </c>
      <c r="H3426" s="2" t="s">
        <v>22</v>
      </c>
      <c r="I3426" s="2" t="s">
        <v>40</v>
      </c>
      <c r="J3426" s="2" t="s">
        <v>24</v>
      </c>
      <c r="K3426">
        <v>18.350000000000001</v>
      </c>
      <c r="L3426">
        <v>837.09</v>
      </c>
      <c r="M3426">
        <v>4561.8</v>
      </c>
      <c r="N3426" s="2" t="s">
        <v>53</v>
      </c>
      <c r="O3426" s="2" t="s">
        <v>54</v>
      </c>
      <c r="P3426" s="2" t="s">
        <v>6023</v>
      </c>
      <c r="Q3426" s="2" t="s">
        <v>6024</v>
      </c>
      <c r="R3426" s="2" t="s">
        <v>29</v>
      </c>
      <c r="S3426" s="2" t="s">
        <v>30</v>
      </c>
    </row>
    <row r="3427" spans="1:19">
      <c r="A3427" s="1">
        <v>45597</v>
      </c>
      <c r="B3427" s="1">
        <v>45597</v>
      </c>
      <c r="C3427">
        <v>2024</v>
      </c>
      <c r="D3427">
        <v>11</v>
      </c>
      <c r="E3427" s="2" t="s">
        <v>57</v>
      </c>
      <c r="F3427" s="2" t="s">
        <v>58</v>
      </c>
      <c r="G3427" s="2" t="s">
        <v>39</v>
      </c>
      <c r="H3427" s="2" t="s">
        <v>22</v>
      </c>
      <c r="I3427" s="2" t="s">
        <v>40</v>
      </c>
      <c r="J3427" s="2" t="s">
        <v>59</v>
      </c>
      <c r="K3427">
        <v>4760.71</v>
      </c>
      <c r="L3427">
        <v>241717.19</v>
      </c>
      <c r="M3427">
        <v>5077.33</v>
      </c>
      <c r="N3427" s="2" t="s">
        <v>60</v>
      </c>
      <c r="O3427" s="2" t="s">
        <v>61</v>
      </c>
      <c r="P3427" s="2" t="s">
        <v>6025</v>
      </c>
      <c r="Q3427" s="2" t="s">
        <v>6026</v>
      </c>
      <c r="R3427" s="2" t="s">
        <v>29</v>
      </c>
      <c r="S3427" s="2" t="s">
        <v>30</v>
      </c>
    </row>
    <row r="3428" spans="1:19">
      <c r="A3428" s="1">
        <v>45597</v>
      </c>
      <c r="B3428" s="1">
        <v>45597</v>
      </c>
      <c r="C3428">
        <v>2024</v>
      </c>
      <c r="D3428">
        <v>11</v>
      </c>
      <c r="E3428" s="2" t="s">
        <v>64</v>
      </c>
      <c r="F3428" s="2" t="s">
        <v>65</v>
      </c>
      <c r="G3428" s="2" t="s">
        <v>21</v>
      </c>
      <c r="H3428" s="2" t="s">
        <v>22</v>
      </c>
      <c r="I3428" s="2" t="s">
        <v>66</v>
      </c>
      <c r="J3428" s="2" t="s">
        <v>24</v>
      </c>
      <c r="K3428">
        <v>19.29</v>
      </c>
      <c r="L3428">
        <v>628.57000000000005</v>
      </c>
      <c r="M3428">
        <v>3258.53</v>
      </c>
      <c r="N3428" s="2" t="s">
        <v>67</v>
      </c>
      <c r="O3428" s="2" t="s">
        <v>68</v>
      </c>
      <c r="P3428" s="2" t="s">
        <v>6027</v>
      </c>
      <c r="Q3428" s="2" t="s">
        <v>6028</v>
      </c>
      <c r="R3428" s="2" t="s">
        <v>29</v>
      </c>
      <c r="S3428" s="2" t="s">
        <v>30</v>
      </c>
    </row>
    <row r="3429" spans="1:19">
      <c r="A3429" s="1">
        <v>45597</v>
      </c>
      <c r="B3429" s="1">
        <v>45597</v>
      </c>
      <c r="C3429">
        <v>2024</v>
      </c>
      <c r="D3429">
        <v>11</v>
      </c>
      <c r="E3429" s="2" t="s">
        <v>71</v>
      </c>
      <c r="F3429" s="2" t="s">
        <v>72</v>
      </c>
      <c r="G3429" s="2" t="s">
        <v>21</v>
      </c>
      <c r="H3429" s="2" t="s">
        <v>22</v>
      </c>
      <c r="I3429" s="2" t="s">
        <v>73</v>
      </c>
      <c r="J3429" s="2" t="s">
        <v>59</v>
      </c>
      <c r="K3429">
        <v>5167.93</v>
      </c>
      <c r="L3429">
        <v>208308.17</v>
      </c>
      <c r="M3429">
        <v>4030.79</v>
      </c>
      <c r="N3429" s="2" t="s">
        <v>74</v>
      </c>
      <c r="O3429" s="2" t="s">
        <v>75</v>
      </c>
      <c r="P3429" s="2" t="s">
        <v>6029</v>
      </c>
      <c r="Q3429" s="2" t="s">
        <v>6030</v>
      </c>
      <c r="R3429" s="2" t="s">
        <v>29</v>
      </c>
      <c r="S3429" s="2" t="s">
        <v>30</v>
      </c>
    </row>
    <row r="3430" spans="1:19">
      <c r="A3430" s="1">
        <v>45597</v>
      </c>
      <c r="B3430" s="1">
        <v>45597</v>
      </c>
      <c r="C3430">
        <v>2024</v>
      </c>
      <c r="D3430">
        <v>11</v>
      </c>
      <c r="E3430" s="2" t="s">
        <v>78</v>
      </c>
      <c r="F3430" s="2" t="s">
        <v>79</v>
      </c>
      <c r="G3430" s="2" t="s">
        <v>80</v>
      </c>
      <c r="H3430" s="2" t="s">
        <v>81</v>
      </c>
      <c r="I3430" s="2" t="s">
        <v>82</v>
      </c>
      <c r="J3430" s="2" t="s">
        <v>24</v>
      </c>
      <c r="K3430">
        <v>1.4</v>
      </c>
      <c r="L3430">
        <v>5972544.1399999997</v>
      </c>
      <c r="M3430">
        <v>426610295.70999998</v>
      </c>
      <c r="N3430" s="2" t="s">
        <v>83</v>
      </c>
      <c r="O3430" s="2" t="s">
        <v>84</v>
      </c>
      <c r="P3430" s="2" t="s">
        <v>5740</v>
      </c>
      <c r="Q3430" s="2" t="s">
        <v>6031</v>
      </c>
      <c r="R3430" s="2" t="s">
        <v>29</v>
      </c>
      <c r="S3430" s="2" t="s">
        <v>30</v>
      </c>
    </row>
    <row r="3431" spans="1:19">
      <c r="A3431" s="1">
        <v>45597</v>
      </c>
      <c r="B3431" s="1">
        <v>45597</v>
      </c>
      <c r="C3431">
        <v>2024</v>
      </c>
      <c r="D3431">
        <v>11</v>
      </c>
      <c r="E3431" s="2" t="s">
        <v>87</v>
      </c>
      <c r="F3431" s="2" t="s">
        <v>88</v>
      </c>
      <c r="G3431" s="2" t="s">
        <v>80</v>
      </c>
      <c r="H3431" s="2" t="s">
        <v>81</v>
      </c>
      <c r="I3431" s="2" t="s">
        <v>82</v>
      </c>
      <c r="J3431" s="2" t="s">
        <v>24</v>
      </c>
      <c r="K3431">
        <v>0.54</v>
      </c>
      <c r="L3431">
        <v>847484.69</v>
      </c>
      <c r="M3431">
        <v>156941609.25999999</v>
      </c>
      <c r="N3431" s="2" t="s">
        <v>89</v>
      </c>
      <c r="O3431" s="2" t="s">
        <v>90</v>
      </c>
      <c r="P3431" s="2" t="s">
        <v>1034</v>
      </c>
      <c r="Q3431" s="2" t="s">
        <v>6032</v>
      </c>
      <c r="R3431" s="2" t="s">
        <v>29</v>
      </c>
      <c r="S3431" s="2" t="s">
        <v>30</v>
      </c>
    </row>
    <row r="3432" spans="1:19">
      <c r="A3432" s="1">
        <v>45597</v>
      </c>
      <c r="B3432" s="1">
        <v>45597</v>
      </c>
      <c r="C3432">
        <v>2024</v>
      </c>
      <c r="D3432">
        <v>11</v>
      </c>
      <c r="E3432" s="2" t="s">
        <v>93</v>
      </c>
      <c r="F3432" s="2" t="s">
        <v>94</v>
      </c>
      <c r="G3432" s="2" t="s">
        <v>80</v>
      </c>
      <c r="H3432" s="2" t="s">
        <v>81</v>
      </c>
      <c r="I3432" s="2" t="s">
        <v>82</v>
      </c>
      <c r="J3432" s="2" t="s">
        <v>24</v>
      </c>
      <c r="K3432">
        <v>0.35</v>
      </c>
      <c r="L3432">
        <v>5366007.1500000004</v>
      </c>
      <c r="M3432">
        <v>1533144900</v>
      </c>
      <c r="N3432" s="2" t="s">
        <v>95</v>
      </c>
      <c r="O3432" s="2" t="s">
        <v>96</v>
      </c>
      <c r="P3432" s="2" t="s">
        <v>4029</v>
      </c>
      <c r="Q3432" s="2" t="s">
        <v>6033</v>
      </c>
      <c r="R3432" s="2" t="s">
        <v>29</v>
      </c>
      <c r="S3432" s="2" t="s">
        <v>30</v>
      </c>
    </row>
    <row r="3433" spans="1:19">
      <c r="A3433" s="1">
        <v>45597</v>
      </c>
      <c r="B3433" s="1">
        <v>45597</v>
      </c>
      <c r="C3433">
        <v>2024</v>
      </c>
      <c r="D3433">
        <v>11</v>
      </c>
      <c r="E3433" s="2" t="s">
        <v>99</v>
      </c>
      <c r="F3433" s="2" t="s">
        <v>100</v>
      </c>
      <c r="G3433" s="2" t="s">
        <v>80</v>
      </c>
      <c r="H3433" s="2" t="s">
        <v>81</v>
      </c>
      <c r="I3433" s="2" t="s">
        <v>82</v>
      </c>
      <c r="J3433" s="2" t="s">
        <v>101</v>
      </c>
      <c r="K3433">
        <v>1.1000000000000001</v>
      </c>
      <c r="L3433">
        <v>13954925.390000001</v>
      </c>
      <c r="M3433">
        <v>1268629580.9100001</v>
      </c>
      <c r="N3433" s="2" t="s">
        <v>102</v>
      </c>
      <c r="O3433" s="2" t="s">
        <v>103</v>
      </c>
      <c r="P3433" s="2" t="s">
        <v>2809</v>
      </c>
      <c r="Q3433" s="2" t="s">
        <v>6034</v>
      </c>
      <c r="R3433" s="2" t="s">
        <v>29</v>
      </c>
      <c r="S3433" s="2" t="s">
        <v>30</v>
      </c>
    </row>
    <row r="3434" spans="1:19">
      <c r="A3434" s="1">
        <v>45597</v>
      </c>
      <c r="B3434" s="1">
        <v>45597</v>
      </c>
      <c r="C3434">
        <v>2024</v>
      </c>
      <c r="D3434">
        <v>11</v>
      </c>
      <c r="E3434" s="2" t="s">
        <v>106</v>
      </c>
      <c r="F3434" s="2" t="s">
        <v>107</v>
      </c>
      <c r="G3434" s="2" t="s">
        <v>80</v>
      </c>
      <c r="H3434" s="2" t="s">
        <v>81</v>
      </c>
      <c r="I3434" s="2" t="s">
        <v>82</v>
      </c>
      <c r="J3434" s="2" t="s">
        <v>24</v>
      </c>
      <c r="K3434">
        <v>0.2</v>
      </c>
      <c r="L3434">
        <v>7741433.5499999998</v>
      </c>
      <c r="M3434">
        <v>3870716775</v>
      </c>
      <c r="N3434" s="2" t="s">
        <v>108</v>
      </c>
      <c r="O3434" s="2" t="s">
        <v>109</v>
      </c>
      <c r="P3434" s="2" t="s">
        <v>1142</v>
      </c>
      <c r="Q3434" s="2" t="s">
        <v>6035</v>
      </c>
      <c r="R3434" s="2" t="s">
        <v>29</v>
      </c>
      <c r="S3434" s="2" t="s">
        <v>30</v>
      </c>
    </row>
    <row r="3435" spans="1:19">
      <c r="A3435" s="1">
        <v>45597</v>
      </c>
      <c r="B3435" s="1">
        <v>45597</v>
      </c>
      <c r="C3435">
        <v>2024</v>
      </c>
      <c r="D3435">
        <v>11</v>
      </c>
      <c r="E3435" s="2" t="s">
        <v>111</v>
      </c>
      <c r="F3435" s="2" t="s">
        <v>112</v>
      </c>
      <c r="G3435" s="2" t="s">
        <v>80</v>
      </c>
      <c r="H3435" s="2" t="s">
        <v>81</v>
      </c>
      <c r="I3435" s="2" t="s">
        <v>82</v>
      </c>
      <c r="J3435" s="2" t="s">
        <v>24</v>
      </c>
      <c r="K3435">
        <v>0.11</v>
      </c>
      <c r="L3435">
        <v>665028.93999999994</v>
      </c>
      <c r="M3435">
        <v>604571763.63999999</v>
      </c>
      <c r="N3435" s="2" t="s">
        <v>113</v>
      </c>
      <c r="O3435" s="2" t="s">
        <v>114</v>
      </c>
      <c r="P3435" s="2" t="s">
        <v>1291</v>
      </c>
      <c r="Q3435" s="2" t="s">
        <v>6036</v>
      </c>
      <c r="R3435" s="2" t="s">
        <v>29</v>
      </c>
      <c r="S3435" s="2" t="s">
        <v>30</v>
      </c>
    </row>
    <row r="3436" spans="1:19">
      <c r="A3436" s="1">
        <v>45597</v>
      </c>
      <c r="B3436" s="1">
        <v>45597</v>
      </c>
      <c r="C3436">
        <v>2024</v>
      </c>
      <c r="D3436">
        <v>11</v>
      </c>
      <c r="E3436" s="2" t="s">
        <v>117</v>
      </c>
      <c r="F3436" s="2" t="s">
        <v>118</v>
      </c>
      <c r="G3436" s="2" t="s">
        <v>80</v>
      </c>
      <c r="H3436" s="2" t="s">
        <v>81</v>
      </c>
      <c r="I3436" s="2" t="s">
        <v>82</v>
      </c>
      <c r="J3436" s="2" t="s">
        <v>59</v>
      </c>
      <c r="K3436">
        <v>2.61</v>
      </c>
      <c r="L3436">
        <v>20592498.469999999</v>
      </c>
      <c r="M3436">
        <v>788984615.71000004</v>
      </c>
      <c r="N3436" s="2" t="s">
        <v>119</v>
      </c>
      <c r="O3436" s="2" t="s">
        <v>120</v>
      </c>
      <c r="P3436" s="2" t="s">
        <v>6037</v>
      </c>
      <c r="Q3436" s="2" t="s">
        <v>6038</v>
      </c>
      <c r="R3436" s="2" t="s">
        <v>29</v>
      </c>
      <c r="S3436" s="2" t="s">
        <v>30</v>
      </c>
    </row>
    <row r="3437" spans="1:19">
      <c r="A3437" s="1">
        <v>45597</v>
      </c>
      <c r="B3437" s="1">
        <v>45597</v>
      </c>
      <c r="C3437">
        <v>2024</v>
      </c>
      <c r="D3437">
        <v>11</v>
      </c>
      <c r="E3437" s="2" t="s">
        <v>123</v>
      </c>
      <c r="F3437" s="2" t="s">
        <v>124</v>
      </c>
      <c r="G3437" s="2" t="s">
        <v>21</v>
      </c>
      <c r="H3437" s="2" t="s">
        <v>22</v>
      </c>
      <c r="I3437" s="2" t="s">
        <v>73</v>
      </c>
      <c r="J3437" s="2" t="s">
        <v>24</v>
      </c>
      <c r="K3437">
        <v>1900.02</v>
      </c>
      <c r="L3437">
        <v>101064.73</v>
      </c>
      <c r="M3437">
        <v>5319.14</v>
      </c>
      <c r="N3437" s="2" t="s">
        <v>125</v>
      </c>
      <c r="O3437" s="2" t="s">
        <v>126</v>
      </c>
      <c r="P3437" s="2" t="s">
        <v>6039</v>
      </c>
      <c r="Q3437" s="2" t="s">
        <v>6040</v>
      </c>
      <c r="R3437" s="2" t="s">
        <v>29</v>
      </c>
      <c r="S3437" s="2" t="s">
        <v>30</v>
      </c>
    </row>
    <row r="3438" spans="1:19">
      <c r="A3438" s="1">
        <v>45597</v>
      </c>
      <c r="B3438" s="1">
        <v>45597</v>
      </c>
      <c r="C3438">
        <v>2024</v>
      </c>
      <c r="D3438">
        <v>11</v>
      </c>
      <c r="E3438" s="2" t="s">
        <v>129</v>
      </c>
      <c r="F3438" s="2" t="s">
        <v>130</v>
      </c>
      <c r="G3438" s="2" t="s">
        <v>21</v>
      </c>
      <c r="H3438" s="2" t="s">
        <v>22</v>
      </c>
      <c r="I3438" s="2" t="s">
        <v>73</v>
      </c>
      <c r="J3438" s="2" t="s">
        <v>24</v>
      </c>
      <c r="K3438">
        <v>2036.02</v>
      </c>
      <c r="L3438">
        <v>68233.429999999993</v>
      </c>
      <c r="M3438">
        <v>3351.31</v>
      </c>
      <c r="N3438" s="2" t="s">
        <v>131</v>
      </c>
      <c r="O3438" s="2" t="s">
        <v>132</v>
      </c>
      <c r="P3438" s="2" t="s">
        <v>6041</v>
      </c>
      <c r="Q3438" s="2" t="s">
        <v>6042</v>
      </c>
      <c r="R3438" s="2" t="s">
        <v>29</v>
      </c>
      <c r="S3438" s="2" t="s">
        <v>30</v>
      </c>
    </row>
    <row r="3439" spans="1:19">
      <c r="A3439" s="1">
        <v>45597</v>
      </c>
      <c r="B3439" s="1">
        <v>45597</v>
      </c>
      <c r="C3439">
        <v>2024</v>
      </c>
      <c r="D3439">
        <v>11</v>
      </c>
      <c r="E3439" s="2" t="s">
        <v>135</v>
      </c>
      <c r="F3439" s="2" t="s">
        <v>136</v>
      </c>
      <c r="G3439" s="2" t="s">
        <v>21</v>
      </c>
      <c r="H3439" s="2" t="s">
        <v>22</v>
      </c>
      <c r="I3439" s="2" t="s">
        <v>73</v>
      </c>
      <c r="J3439" s="2" t="s">
        <v>101</v>
      </c>
      <c r="K3439">
        <v>3936.04</v>
      </c>
      <c r="L3439">
        <v>169298.16</v>
      </c>
      <c r="M3439">
        <v>4301.2299999999996</v>
      </c>
      <c r="N3439" s="2" t="s">
        <v>137</v>
      </c>
      <c r="O3439" s="2" t="s">
        <v>138</v>
      </c>
      <c r="P3439" s="2" t="s">
        <v>6043</v>
      </c>
      <c r="Q3439" s="2" t="s">
        <v>6044</v>
      </c>
      <c r="R3439" s="2" t="s">
        <v>29</v>
      </c>
      <c r="S3439" s="2" t="s">
        <v>30</v>
      </c>
    </row>
    <row r="3440" spans="1:19">
      <c r="A3440" s="1">
        <v>45597</v>
      </c>
      <c r="B3440" s="1">
        <v>45597</v>
      </c>
      <c r="C3440">
        <v>2024</v>
      </c>
      <c r="D3440">
        <v>11</v>
      </c>
      <c r="E3440" s="2" t="s">
        <v>141</v>
      </c>
      <c r="F3440" s="2" t="s">
        <v>142</v>
      </c>
      <c r="G3440" s="2" t="s">
        <v>21</v>
      </c>
      <c r="H3440" s="2" t="s">
        <v>22</v>
      </c>
      <c r="I3440" s="2" t="s">
        <v>73</v>
      </c>
      <c r="J3440" s="2" t="s">
        <v>24</v>
      </c>
      <c r="K3440">
        <v>315.64999999999998</v>
      </c>
      <c r="L3440">
        <v>12333.33</v>
      </c>
      <c r="M3440">
        <v>3907.28</v>
      </c>
      <c r="N3440" s="2" t="s">
        <v>143</v>
      </c>
      <c r="O3440" s="2" t="s">
        <v>144</v>
      </c>
      <c r="P3440" s="2" t="s">
        <v>6045</v>
      </c>
      <c r="Q3440" s="2" t="s">
        <v>6046</v>
      </c>
      <c r="R3440" s="2" t="s">
        <v>29</v>
      </c>
      <c r="S3440" s="2" t="s">
        <v>30</v>
      </c>
    </row>
    <row r="3441" spans="1:19">
      <c r="A3441" s="1">
        <v>45597</v>
      </c>
      <c r="B3441" s="1">
        <v>45597</v>
      </c>
      <c r="C3441">
        <v>2024</v>
      </c>
      <c r="D3441">
        <v>11</v>
      </c>
      <c r="E3441" s="2" t="s">
        <v>147</v>
      </c>
      <c r="F3441" s="2" t="s">
        <v>148</v>
      </c>
      <c r="G3441" s="2" t="s">
        <v>21</v>
      </c>
      <c r="H3441" s="2" t="s">
        <v>22</v>
      </c>
      <c r="I3441" s="2" t="s">
        <v>73</v>
      </c>
      <c r="J3441" s="2" t="s">
        <v>24</v>
      </c>
      <c r="K3441">
        <v>916.24</v>
      </c>
      <c r="L3441">
        <v>26676.68</v>
      </c>
      <c r="M3441">
        <v>2911.54</v>
      </c>
      <c r="N3441" s="2" t="s">
        <v>149</v>
      </c>
      <c r="O3441" s="2" t="s">
        <v>150</v>
      </c>
      <c r="P3441" s="2" t="s">
        <v>6047</v>
      </c>
      <c r="Q3441" s="2" t="s">
        <v>6048</v>
      </c>
      <c r="R3441" s="2" t="s">
        <v>29</v>
      </c>
      <c r="S3441" s="2" t="s">
        <v>30</v>
      </c>
    </row>
    <row r="3442" spans="1:19">
      <c r="A3442" s="1">
        <v>45597</v>
      </c>
      <c r="B3442" s="1">
        <v>45597</v>
      </c>
      <c r="C3442">
        <v>2024</v>
      </c>
      <c r="D3442">
        <v>11</v>
      </c>
      <c r="E3442" s="2" t="s">
        <v>153</v>
      </c>
      <c r="F3442" s="2" t="s">
        <v>154</v>
      </c>
      <c r="G3442" s="2" t="s">
        <v>21</v>
      </c>
      <c r="H3442" s="2" t="s">
        <v>22</v>
      </c>
      <c r="I3442" s="2" t="s">
        <v>73</v>
      </c>
      <c r="J3442" s="2" t="s">
        <v>101</v>
      </c>
      <c r="K3442">
        <v>1231.8900000000001</v>
      </c>
      <c r="L3442">
        <v>39010.01</v>
      </c>
      <c r="M3442">
        <v>3166.68</v>
      </c>
      <c r="N3442" s="2" t="s">
        <v>155</v>
      </c>
      <c r="O3442" s="2" t="s">
        <v>156</v>
      </c>
      <c r="P3442" s="2" t="s">
        <v>6049</v>
      </c>
      <c r="Q3442" s="2" t="s">
        <v>6050</v>
      </c>
      <c r="R3442" s="2" t="s">
        <v>29</v>
      </c>
      <c r="S3442" s="2" t="s">
        <v>30</v>
      </c>
    </row>
    <row r="3443" spans="1:19">
      <c r="A3443" s="1">
        <v>45597</v>
      </c>
      <c r="B3443" s="1">
        <v>45597</v>
      </c>
      <c r="C3443">
        <v>2024</v>
      </c>
      <c r="D3443">
        <v>11</v>
      </c>
      <c r="E3443" s="2" t="s">
        <v>159</v>
      </c>
      <c r="F3443" s="2" t="s">
        <v>160</v>
      </c>
      <c r="G3443" s="2" t="s">
        <v>21</v>
      </c>
      <c r="H3443" s="2" t="s">
        <v>22</v>
      </c>
      <c r="I3443" s="2" t="s">
        <v>66</v>
      </c>
      <c r="J3443" s="2" t="s">
        <v>59</v>
      </c>
      <c r="K3443">
        <v>1894.74</v>
      </c>
      <c r="L3443">
        <v>185643.33</v>
      </c>
      <c r="M3443">
        <v>9797.83</v>
      </c>
      <c r="N3443" s="2" t="s">
        <v>161</v>
      </c>
      <c r="O3443" s="2" t="s">
        <v>162</v>
      </c>
      <c r="P3443" s="2" t="s">
        <v>6051</v>
      </c>
      <c r="Q3443" s="2" t="s">
        <v>6052</v>
      </c>
      <c r="R3443" s="2" t="s">
        <v>29</v>
      </c>
      <c r="S3443" s="2" t="s">
        <v>30</v>
      </c>
    </row>
    <row r="3444" spans="1:19">
      <c r="A3444" s="1">
        <v>45597</v>
      </c>
      <c r="B3444" s="1">
        <v>45597</v>
      </c>
      <c r="C3444">
        <v>2024</v>
      </c>
      <c r="D3444">
        <v>11</v>
      </c>
      <c r="E3444" s="2" t="s">
        <v>165</v>
      </c>
      <c r="F3444" s="2" t="s">
        <v>166</v>
      </c>
      <c r="G3444" s="2" t="s">
        <v>21</v>
      </c>
      <c r="H3444" s="2" t="s">
        <v>22</v>
      </c>
      <c r="I3444" s="2" t="s">
        <v>23</v>
      </c>
      <c r="J3444" s="2" t="s">
        <v>24</v>
      </c>
      <c r="N3444" s="2" t="s">
        <v>167</v>
      </c>
      <c r="O3444" s="2" t="s">
        <v>168</v>
      </c>
      <c r="P3444" s="2" t="s">
        <v>175</v>
      </c>
      <c r="Q3444" s="2" t="s">
        <v>175</v>
      </c>
      <c r="R3444" s="2" t="s">
        <v>640</v>
      </c>
      <c r="S3444" s="2" t="s">
        <v>641</v>
      </c>
    </row>
    <row r="3445" spans="1:19">
      <c r="A3445" s="1">
        <v>45597</v>
      </c>
      <c r="B3445" s="1">
        <v>45597</v>
      </c>
      <c r="C3445">
        <v>2024</v>
      </c>
      <c r="D3445">
        <v>11</v>
      </c>
      <c r="E3445" s="2" t="s">
        <v>171</v>
      </c>
      <c r="F3445" s="2" t="s">
        <v>172</v>
      </c>
      <c r="G3445" s="2" t="s">
        <v>21</v>
      </c>
      <c r="H3445" s="2" t="s">
        <v>22</v>
      </c>
      <c r="I3445" s="2" t="s">
        <v>66</v>
      </c>
      <c r="J3445" s="2" t="s">
        <v>24</v>
      </c>
      <c r="N3445" s="2" t="s">
        <v>173</v>
      </c>
      <c r="O3445" s="2" t="s">
        <v>174</v>
      </c>
      <c r="P3445" s="2" t="s">
        <v>175</v>
      </c>
      <c r="Q3445" s="2" t="s">
        <v>175</v>
      </c>
      <c r="R3445" s="2" t="s">
        <v>640</v>
      </c>
      <c r="S3445" s="2" t="s">
        <v>641</v>
      </c>
    </row>
    <row r="3446" spans="1:19">
      <c r="A3446" s="1">
        <v>45597</v>
      </c>
      <c r="B3446" s="1">
        <v>45597</v>
      </c>
      <c r="C3446">
        <v>2024</v>
      </c>
      <c r="D3446">
        <v>11</v>
      </c>
      <c r="E3446" s="2" t="s">
        <v>177</v>
      </c>
      <c r="F3446" s="2" t="s">
        <v>178</v>
      </c>
      <c r="G3446" s="2" t="s">
        <v>21</v>
      </c>
      <c r="H3446" s="2" t="s">
        <v>22</v>
      </c>
      <c r="I3446" s="2" t="s">
        <v>23</v>
      </c>
      <c r="J3446" s="2" t="s">
        <v>24</v>
      </c>
      <c r="K3446">
        <v>4079.18</v>
      </c>
      <c r="L3446">
        <v>558327.6</v>
      </c>
      <c r="M3446">
        <v>13687.25</v>
      </c>
      <c r="N3446" s="2" t="s">
        <v>179</v>
      </c>
      <c r="O3446" s="2" t="s">
        <v>180</v>
      </c>
      <c r="P3446" s="2" t="s">
        <v>6053</v>
      </c>
      <c r="Q3446" s="2" t="s">
        <v>6054</v>
      </c>
      <c r="R3446" s="2" t="s">
        <v>29</v>
      </c>
      <c r="S3446" s="2" t="s">
        <v>30</v>
      </c>
    </row>
    <row r="3447" spans="1:19">
      <c r="A3447" s="1">
        <v>45597</v>
      </c>
      <c r="B3447" s="1">
        <v>45597</v>
      </c>
      <c r="C3447">
        <v>2024</v>
      </c>
      <c r="D3447">
        <v>11</v>
      </c>
      <c r="E3447" s="2" t="s">
        <v>183</v>
      </c>
      <c r="F3447" s="2" t="s">
        <v>184</v>
      </c>
      <c r="G3447" s="2" t="s">
        <v>185</v>
      </c>
      <c r="H3447" s="2" t="s">
        <v>22</v>
      </c>
      <c r="I3447" s="2" t="s">
        <v>186</v>
      </c>
      <c r="J3447" s="2" t="s">
        <v>24</v>
      </c>
      <c r="K3447">
        <v>2634.64</v>
      </c>
      <c r="L3447">
        <v>4827279.25</v>
      </c>
      <c r="M3447">
        <v>183223.49</v>
      </c>
      <c r="N3447" s="2" t="s">
        <v>187</v>
      </c>
      <c r="O3447" s="2" t="s">
        <v>188</v>
      </c>
      <c r="P3447" s="2" t="s">
        <v>6055</v>
      </c>
      <c r="Q3447" s="2" t="s">
        <v>6056</v>
      </c>
      <c r="R3447" s="2" t="s">
        <v>29</v>
      </c>
      <c r="S3447" s="2" t="s">
        <v>30</v>
      </c>
    </row>
    <row r="3448" spans="1:19">
      <c r="A3448" s="1">
        <v>45597</v>
      </c>
      <c r="B3448" s="1">
        <v>45597</v>
      </c>
      <c r="C3448">
        <v>2024</v>
      </c>
      <c r="D3448">
        <v>11</v>
      </c>
      <c r="E3448" s="2" t="s">
        <v>191</v>
      </c>
      <c r="F3448" s="2" t="s">
        <v>192</v>
      </c>
      <c r="G3448" s="2" t="s">
        <v>185</v>
      </c>
      <c r="H3448" s="2" t="s">
        <v>22</v>
      </c>
      <c r="I3448" s="2" t="s">
        <v>186</v>
      </c>
      <c r="J3448" s="2" t="s">
        <v>24</v>
      </c>
      <c r="K3448">
        <v>1025.1199999999999</v>
      </c>
      <c r="L3448">
        <v>5097948.28</v>
      </c>
      <c r="M3448">
        <v>497302.59</v>
      </c>
      <c r="N3448" s="2" t="s">
        <v>193</v>
      </c>
      <c r="O3448" s="2" t="s">
        <v>194</v>
      </c>
      <c r="P3448" s="2" t="s">
        <v>6057</v>
      </c>
      <c r="Q3448" s="2" t="s">
        <v>6058</v>
      </c>
      <c r="R3448" s="2" t="s">
        <v>29</v>
      </c>
      <c r="S3448" s="2" t="s">
        <v>30</v>
      </c>
    </row>
    <row r="3449" spans="1:19">
      <c r="A3449" s="1">
        <v>45597</v>
      </c>
      <c r="B3449" s="1">
        <v>45597</v>
      </c>
      <c r="C3449">
        <v>2024</v>
      </c>
      <c r="D3449">
        <v>11</v>
      </c>
      <c r="E3449" s="2" t="s">
        <v>197</v>
      </c>
      <c r="F3449" s="2" t="s">
        <v>198</v>
      </c>
      <c r="G3449" s="2" t="s">
        <v>185</v>
      </c>
      <c r="H3449" s="2" t="s">
        <v>22</v>
      </c>
      <c r="I3449" s="2" t="s">
        <v>186</v>
      </c>
      <c r="J3449" s="2" t="s">
        <v>59</v>
      </c>
      <c r="K3449">
        <v>3659.77</v>
      </c>
      <c r="L3449">
        <v>9925227.5399999991</v>
      </c>
      <c r="M3449">
        <v>271198.12</v>
      </c>
      <c r="N3449" s="2" t="s">
        <v>199</v>
      </c>
      <c r="O3449" s="2" t="s">
        <v>200</v>
      </c>
      <c r="P3449" s="2" t="s">
        <v>6059</v>
      </c>
      <c r="Q3449" s="2" t="s">
        <v>6060</v>
      </c>
      <c r="R3449" s="2" t="s">
        <v>29</v>
      </c>
      <c r="S3449" s="2" t="s">
        <v>30</v>
      </c>
    </row>
    <row r="3450" spans="1:19">
      <c r="A3450" s="1">
        <v>45597</v>
      </c>
      <c r="B3450" s="1">
        <v>45597</v>
      </c>
      <c r="C3450">
        <v>2024</v>
      </c>
      <c r="D3450">
        <v>11</v>
      </c>
      <c r="E3450" s="2" t="s">
        <v>203</v>
      </c>
      <c r="F3450" s="2" t="s">
        <v>204</v>
      </c>
      <c r="G3450" s="2" t="s">
        <v>39</v>
      </c>
      <c r="H3450" s="2" t="s">
        <v>22</v>
      </c>
      <c r="I3450" s="2" t="s">
        <v>40</v>
      </c>
      <c r="J3450" s="2" t="s">
        <v>24</v>
      </c>
      <c r="K3450">
        <v>898.33</v>
      </c>
      <c r="L3450">
        <v>22981.31</v>
      </c>
      <c r="M3450">
        <v>2558.23</v>
      </c>
      <c r="N3450" s="2" t="s">
        <v>205</v>
      </c>
      <c r="O3450" s="2" t="s">
        <v>206</v>
      </c>
      <c r="P3450" s="2" t="s">
        <v>6061</v>
      </c>
      <c r="Q3450" s="2" t="s">
        <v>6062</v>
      </c>
      <c r="R3450" s="2" t="s">
        <v>29</v>
      </c>
      <c r="S3450" s="2" t="s">
        <v>30</v>
      </c>
    </row>
    <row r="3451" spans="1:19">
      <c r="A3451" s="1">
        <v>45597</v>
      </c>
      <c r="B3451" s="1">
        <v>45597</v>
      </c>
      <c r="C3451">
        <v>2024</v>
      </c>
      <c r="D3451">
        <v>11</v>
      </c>
      <c r="E3451" s="2" t="s">
        <v>209</v>
      </c>
      <c r="F3451" s="2" t="s">
        <v>210</v>
      </c>
      <c r="G3451" s="2" t="s">
        <v>39</v>
      </c>
      <c r="H3451" s="2" t="s">
        <v>22</v>
      </c>
      <c r="I3451" s="2" t="s">
        <v>40</v>
      </c>
      <c r="J3451" s="2" t="s">
        <v>59</v>
      </c>
      <c r="K3451">
        <v>898.33</v>
      </c>
      <c r="L3451">
        <v>22981.31</v>
      </c>
      <c r="M3451">
        <v>2558.23</v>
      </c>
      <c r="N3451" s="2" t="s">
        <v>211</v>
      </c>
      <c r="O3451" s="2" t="s">
        <v>212</v>
      </c>
      <c r="P3451" s="2" t="s">
        <v>6061</v>
      </c>
      <c r="Q3451" s="2" t="s">
        <v>6062</v>
      </c>
      <c r="R3451" s="2" t="s">
        <v>29</v>
      </c>
      <c r="S3451" s="2" t="s">
        <v>30</v>
      </c>
    </row>
    <row r="3452" spans="1:19">
      <c r="A3452" s="1">
        <v>45597</v>
      </c>
      <c r="B3452" s="1">
        <v>45597</v>
      </c>
      <c r="C3452">
        <v>2024</v>
      </c>
      <c r="D3452">
        <v>11</v>
      </c>
      <c r="E3452" s="2" t="s">
        <v>213</v>
      </c>
      <c r="F3452" s="2" t="s">
        <v>214</v>
      </c>
      <c r="G3452" s="2" t="s">
        <v>185</v>
      </c>
      <c r="H3452" s="2" t="s">
        <v>22</v>
      </c>
      <c r="I3452" s="2" t="s">
        <v>215</v>
      </c>
      <c r="J3452" s="2" t="s">
        <v>24</v>
      </c>
      <c r="K3452">
        <v>136422.12</v>
      </c>
      <c r="L3452">
        <v>2616977.6</v>
      </c>
      <c r="M3452">
        <v>1918.29</v>
      </c>
      <c r="N3452" s="2" t="s">
        <v>216</v>
      </c>
      <c r="O3452" s="2" t="s">
        <v>217</v>
      </c>
      <c r="P3452" s="2" t="s">
        <v>6063</v>
      </c>
      <c r="Q3452" s="2" t="s">
        <v>6064</v>
      </c>
      <c r="R3452" s="2" t="s">
        <v>29</v>
      </c>
      <c r="S3452" s="2" t="s">
        <v>30</v>
      </c>
    </row>
    <row r="3453" spans="1:19">
      <c r="A3453" s="1">
        <v>45597</v>
      </c>
      <c r="B3453" s="1">
        <v>45597</v>
      </c>
      <c r="C3453">
        <v>2024</v>
      </c>
      <c r="D3453">
        <v>11</v>
      </c>
      <c r="E3453" s="2" t="s">
        <v>220</v>
      </c>
      <c r="F3453" s="2" t="s">
        <v>221</v>
      </c>
      <c r="G3453" s="2" t="s">
        <v>185</v>
      </c>
      <c r="H3453" s="2" t="s">
        <v>22</v>
      </c>
      <c r="I3453" s="2" t="s">
        <v>215</v>
      </c>
      <c r="J3453" s="2" t="s">
        <v>24</v>
      </c>
      <c r="K3453">
        <v>8518.57</v>
      </c>
      <c r="L3453">
        <v>598558.86</v>
      </c>
      <c r="M3453">
        <v>7026.52</v>
      </c>
      <c r="N3453" s="2" t="s">
        <v>222</v>
      </c>
      <c r="O3453" s="2" t="s">
        <v>223</v>
      </c>
      <c r="P3453" s="2" t="s">
        <v>6065</v>
      </c>
      <c r="Q3453" s="2" t="s">
        <v>6066</v>
      </c>
      <c r="R3453" s="2" t="s">
        <v>29</v>
      </c>
      <c r="S3453" s="2" t="s">
        <v>30</v>
      </c>
    </row>
    <row r="3454" spans="1:19">
      <c r="A3454" s="1">
        <v>45597</v>
      </c>
      <c r="B3454" s="1">
        <v>45597</v>
      </c>
      <c r="C3454">
        <v>2024</v>
      </c>
      <c r="D3454">
        <v>11</v>
      </c>
      <c r="E3454" s="2" t="s">
        <v>226</v>
      </c>
      <c r="F3454" s="2" t="s">
        <v>227</v>
      </c>
      <c r="G3454" s="2" t="s">
        <v>185</v>
      </c>
      <c r="H3454" s="2" t="s">
        <v>22</v>
      </c>
      <c r="I3454" s="2" t="s">
        <v>215</v>
      </c>
      <c r="J3454" s="2" t="s">
        <v>59</v>
      </c>
      <c r="K3454">
        <v>144940.69</v>
      </c>
      <c r="L3454">
        <v>3215536.47</v>
      </c>
      <c r="M3454">
        <v>2218.52</v>
      </c>
      <c r="N3454" s="2" t="s">
        <v>228</v>
      </c>
      <c r="O3454" s="2" t="s">
        <v>229</v>
      </c>
      <c r="P3454" s="2" t="s">
        <v>6067</v>
      </c>
      <c r="Q3454" s="2" t="s">
        <v>6068</v>
      </c>
      <c r="R3454" s="2" t="s">
        <v>29</v>
      </c>
      <c r="S3454" s="2" t="s">
        <v>30</v>
      </c>
    </row>
    <row r="3455" spans="1:19">
      <c r="A3455" s="1">
        <v>45597</v>
      </c>
      <c r="B3455" s="1">
        <v>45597</v>
      </c>
      <c r="C3455">
        <v>2024</v>
      </c>
      <c r="D3455">
        <v>11</v>
      </c>
      <c r="E3455" s="2" t="s">
        <v>232</v>
      </c>
      <c r="F3455" s="2" t="s">
        <v>233</v>
      </c>
      <c r="G3455" s="2" t="s">
        <v>21</v>
      </c>
      <c r="H3455" s="2" t="s">
        <v>22</v>
      </c>
      <c r="I3455" s="2" t="s">
        <v>23</v>
      </c>
      <c r="J3455" s="2" t="s">
        <v>24</v>
      </c>
      <c r="K3455">
        <v>1438.33</v>
      </c>
      <c r="L3455">
        <v>147384.99</v>
      </c>
      <c r="M3455">
        <v>10246.950000000001</v>
      </c>
      <c r="N3455" s="2" t="s">
        <v>234</v>
      </c>
      <c r="O3455" s="2" t="s">
        <v>235</v>
      </c>
      <c r="P3455" s="2" t="s">
        <v>6069</v>
      </c>
      <c r="Q3455" s="2" t="s">
        <v>6070</v>
      </c>
      <c r="R3455" s="2" t="s">
        <v>29</v>
      </c>
      <c r="S3455" s="2" t="s">
        <v>30</v>
      </c>
    </row>
    <row r="3456" spans="1:19">
      <c r="A3456" s="1">
        <v>45597</v>
      </c>
      <c r="B3456" s="1">
        <v>45597</v>
      </c>
      <c r="C3456">
        <v>2024</v>
      </c>
      <c r="D3456">
        <v>11</v>
      </c>
      <c r="E3456" s="2" t="s">
        <v>238</v>
      </c>
      <c r="F3456" s="2" t="s">
        <v>239</v>
      </c>
      <c r="G3456" s="2" t="s">
        <v>21</v>
      </c>
      <c r="H3456" s="2" t="s">
        <v>22</v>
      </c>
      <c r="I3456" s="2" t="s">
        <v>66</v>
      </c>
      <c r="J3456" s="2" t="s">
        <v>24</v>
      </c>
      <c r="K3456">
        <v>1732.94</v>
      </c>
      <c r="L3456">
        <v>184814.37</v>
      </c>
      <c r="M3456">
        <v>10664.79</v>
      </c>
      <c r="N3456" s="2" t="s">
        <v>240</v>
      </c>
      <c r="O3456" s="2" t="s">
        <v>241</v>
      </c>
      <c r="P3456" s="2" t="s">
        <v>6071</v>
      </c>
      <c r="Q3456" s="2" t="s">
        <v>6072</v>
      </c>
      <c r="R3456" s="2" t="s">
        <v>29</v>
      </c>
      <c r="S3456" s="2" t="s">
        <v>30</v>
      </c>
    </row>
    <row r="3457" spans="1:19">
      <c r="A3457" s="1">
        <v>45597</v>
      </c>
      <c r="B3457" s="1">
        <v>45597</v>
      </c>
      <c r="C3457">
        <v>2024</v>
      </c>
      <c r="D3457">
        <v>11</v>
      </c>
      <c r="E3457" s="2" t="s">
        <v>244</v>
      </c>
      <c r="F3457" s="2" t="s">
        <v>245</v>
      </c>
      <c r="G3457" s="2" t="s">
        <v>21</v>
      </c>
      <c r="H3457" s="2" t="s">
        <v>22</v>
      </c>
      <c r="I3457" s="2" t="s">
        <v>23</v>
      </c>
      <c r="J3457" s="2" t="s">
        <v>24</v>
      </c>
      <c r="K3457">
        <v>7769.51</v>
      </c>
      <c r="L3457">
        <v>3380883.69</v>
      </c>
      <c r="M3457">
        <v>43514.76</v>
      </c>
      <c r="N3457" s="2" t="s">
        <v>246</v>
      </c>
      <c r="O3457" s="2" t="s">
        <v>247</v>
      </c>
      <c r="P3457" s="2" t="s">
        <v>6073</v>
      </c>
      <c r="Q3457" s="2" t="s">
        <v>6074</v>
      </c>
      <c r="R3457" s="2" t="s">
        <v>29</v>
      </c>
      <c r="S3457" s="2" t="s">
        <v>30</v>
      </c>
    </row>
    <row r="3458" spans="1:19">
      <c r="A3458" s="1">
        <v>45597</v>
      </c>
      <c r="B3458" s="1">
        <v>45597</v>
      </c>
      <c r="C3458">
        <v>2024</v>
      </c>
      <c r="D3458">
        <v>11</v>
      </c>
      <c r="E3458" s="2" t="s">
        <v>250</v>
      </c>
      <c r="F3458" s="2" t="s">
        <v>251</v>
      </c>
      <c r="G3458" s="2" t="s">
        <v>21</v>
      </c>
      <c r="H3458" s="2" t="s">
        <v>22</v>
      </c>
      <c r="I3458" s="2" t="s">
        <v>66</v>
      </c>
      <c r="J3458" s="2" t="s">
        <v>24</v>
      </c>
      <c r="K3458">
        <v>142.51</v>
      </c>
      <c r="L3458">
        <v>200.39</v>
      </c>
      <c r="M3458">
        <v>140.61000000000001</v>
      </c>
      <c r="N3458" s="2" t="s">
        <v>252</v>
      </c>
      <c r="O3458" s="2" t="s">
        <v>253</v>
      </c>
      <c r="P3458" s="2" t="s">
        <v>6075</v>
      </c>
      <c r="Q3458" s="2" t="s">
        <v>6076</v>
      </c>
      <c r="R3458" s="2" t="s">
        <v>29</v>
      </c>
      <c r="S3458" s="2" t="s">
        <v>30</v>
      </c>
    </row>
    <row r="3459" spans="1:19">
      <c r="A3459" s="1">
        <v>45597</v>
      </c>
      <c r="B3459" s="1">
        <v>45597</v>
      </c>
      <c r="C3459">
        <v>2024</v>
      </c>
      <c r="D3459">
        <v>11</v>
      </c>
      <c r="E3459" s="2" t="s">
        <v>256</v>
      </c>
      <c r="F3459" s="2" t="s">
        <v>257</v>
      </c>
      <c r="G3459" s="2" t="s">
        <v>21</v>
      </c>
      <c r="H3459" s="2" t="s">
        <v>22</v>
      </c>
      <c r="I3459" s="2" t="s">
        <v>258</v>
      </c>
      <c r="J3459" s="2" t="s">
        <v>24</v>
      </c>
      <c r="K3459">
        <v>472.48</v>
      </c>
      <c r="L3459">
        <v>537848.91</v>
      </c>
      <c r="M3459">
        <v>113835.28</v>
      </c>
      <c r="N3459" s="2" t="s">
        <v>259</v>
      </c>
      <c r="O3459" s="2" t="s">
        <v>260</v>
      </c>
      <c r="P3459" s="2" t="s">
        <v>6077</v>
      </c>
      <c r="Q3459" s="2" t="s">
        <v>6078</v>
      </c>
      <c r="R3459" s="2" t="s">
        <v>29</v>
      </c>
      <c r="S3459" s="2" t="s">
        <v>30</v>
      </c>
    </row>
    <row r="3460" spans="1:19">
      <c r="A3460" s="1">
        <v>45597</v>
      </c>
      <c r="B3460" s="1">
        <v>45597</v>
      </c>
      <c r="C3460">
        <v>2024</v>
      </c>
      <c r="D3460">
        <v>11</v>
      </c>
      <c r="E3460" s="2" t="s">
        <v>263</v>
      </c>
      <c r="F3460" s="2" t="s">
        <v>264</v>
      </c>
      <c r="G3460" s="2" t="s">
        <v>21</v>
      </c>
      <c r="H3460" s="2" t="s">
        <v>22</v>
      </c>
      <c r="I3460" s="2" t="s">
        <v>258</v>
      </c>
      <c r="J3460" s="2" t="s">
        <v>24</v>
      </c>
      <c r="K3460">
        <v>0</v>
      </c>
      <c r="L3460">
        <v>0</v>
      </c>
      <c r="N3460" s="2" t="s">
        <v>265</v>
      </c>
      <c r="O3460" s="2" t="s">
        <v>266</v>
      </c>
      <c r="P3460" s="2" t="s">
        <v>639</v>
      </c>
      <c r="Q3460" s="2" t="s">
        <v>639</v>
      </c>
      <c r="R3460" s="2" t="s">
        <v>29</v>
      </c>
      <c r="S3460" s="2" t="s">
        <v>30</v>
      </c>
    </row>
    <row r="3461" spans="1:19">
      <c r="A3461" s="1">
        <v>45597</v>
      </c>
      <c r="B3461" s="1">
        <v>45597</v>
      </c>
      <c r="C3461">
        <v>2024</v>
      </c>
      <c r="D3461">
        <v>11</v>
      </c>
      <c r="E3461" s="2" t="s">
        <v>269</v>
      </c>
      <c r="F3461" s="2" t="s">
        <v>270</v>
      </c>
      <c r="G3461" s="2" t="s">
        <v>21</v>
      </c>
      <c r="H3461" s="2" t="s">
        <v>22</v>
      </c>
      <c r="I3461" s="2" t="s">
        <v>258</v>
      </c>
      <c r="J3461" s="2" t="s">
        <v>59</v>
      </c>
      <c r="K3461">
        <v>472.48</v>
      </c>
      <c r="L3461">
        <v>537848.91</v>
      </c>
      <c r="M3461">
        <v>113835.28</v>
      </c>
      <c r="N3461" s="2" t="s">
        <v>271</v>
      </c>
      <c r="O3461" s="2" t="s">
        <v>272</v>
      </c>
      <c r="P3461" s="2" t="s">
        <v>6077</v>
      </c>
      <c r="Q3461" s="2" t="s">
        <v>6078</v>
      </c>
      <c r="R3461" s="2" t="s">
        <v>29</v>
      </c>
      <c r="S3461" s="2" t="s">
        <v>30</v>
      </c>
    </row>
    <row r="3462" spans="1:19">
      <c r="A3462" s="1">
        <v>45597</v>
      </c>
      <c r="B3462" s="1">
        <v>45597</v>
      </c>
      <c r="C3462">
        <v>2024</v>
      </c>
      <c r="D3462">
        <v>11</v>
      </c>
      <c r="E3462" s="2" t="s">
        <v>275</v>
      </c>
      <c r="F3462" s="2" t="s">
        <v>276</v>
      </c>
      <c r="G3462" s="2" t="s">
        <v>39</v>
      </c>
      <c r="H3462" s="2" t="s">
        <v>22</v>
      </c>
      <c r="I3462" s="2" t="s">
        <v>40</v>
      </c>
      <c r="J3462" s="2" t="s">
        <v>24</v>
      </c>
      <c r="K3462">
        <v>0.27</v>
      </c>
      <c r="L3462">
        <v>2.93</v>
      </c>
      <c r="M3462">
        <v>1085.19</v>
      </c>
      <c r="N3462" s="2" t="s">
        <v>277</v>
      </c>
      <c r="O3462" s="2" t="s">
        <v>278</v>
      </c>
      <c r="P3462" s="2" t="s">
        <v>980</v>
      </c>
      <c r="Q3462" s="2" t="s">
        <v>6079</v>
      </c>
      <c r="R3462" s="2" t="s">
        <v>29</v>
      </c>
      <c r="S3462" s="2" t="s">
        <v>30</v>
      </c>
    </row>
    <row r="3463" spans="1:19">
      <c r="A3463" s="1">
        <v>45597</v>
      </c>
      <c r="B3463" s="1">
        <v>45597</v>
      </c>
      <c r="C3463">
        <v>2024</v>
      </c>
      <c r="D3463">
        <v>11</v>
      </c>
      <c r="E3463" s="2" t="s">
        <v>281</v>
      </c>
      <c r="F3463" s="2" t="s">
        <v>282</v>
      </c>
      <c r="G3463" s="2" t="s">
        <v>39</v>
      </c>
      <c r="H3463" s="2" t="s">
        <v>22</v>
      </c>
      <c r="I3463" s="2" t="s">
        <v>40</v>
      </c>
      <c r="J3463" s="2" t="s">
        <v>24</v>
      </c>
      <c r="K3463">
        <v>0.02</v>
      </c>
      <c r="L3463">
        <v>0.16</v>
      </c>
      <c r="M3463">
        <v>800</v>
      </c>
      <c r="N3463" s="2" t="s">
        <v>283</v>
      </c>
      <c r="O3463" s="2" t="s">
        <v>284</v>
      </c>
      <c r="P3463" s="2" t="s">
        <v>1039</v>
      </c>
      <c r="Q3463" s="2" t="s">
        <v>620</v>
      </c>
      <c r="R3463" s="2" t="s">
        <v>29</v>
      </c>
      <c r="S3463" s="2" t="s">
        <v>30</v>
      </c>
    </row>
    <row r="3464" spans="1:19">
      <c r="A3464" s="1">
        <v>45597</v>
      </c>
      <c r="B3464" s="1">
        <v>45597</v>
      </c>
      <c r="C3464">
        <v>2024</v>
      </c>
      <c r="D3464">
        <v>11</v>
      </c>
      <c r="E3464" s="2" t="s">
        <v>287</v>
      </c>
      <c r="F3464" s="2" t="s">
        <v>288</v>
      </c>
      <c r="G3464" s="2" t="s">
        <v>39</v>
      </c>
      <c r="H3464" s="2" t="s">
        <v>22</v>
      </c>
      <c r="I3464" s="2" t="s">
        <v>40</v>
      </c>
      <c r="J3464" s="2" t="s">
        <v>59</v>
      </c>
      <c r="K3464">
        <v>0.28000000000000003</v>
      </c>
      <c r="L3464">
        <v>3.1</v>
      </c>
      <c r="M3464">
        <v>1107.1400000000001</v>
      </c>
      <c r="N3464" s="2" t="s">
        <v>289</v>
      </c>
      <c r="O3464" s="2" t="s">
        <v>290</v>
      </c>
      <c r="P3464" s="2" t="s">
        <v>2910</v>
      </c>
      <c r="Q3464" s="2" t="s">
        <v>6080</v>
      </c>
      <c r="R3464" s="2" t="s">
        <v>29</v>
      </c>
      <c r="S3464" s="2" t="s">
        <v>30</v>
      </c>
    </row>
    <row r="3465" spans="1:19">
      <c r="A3465" s="1">
        <v>45597</v>
      </c>
      <c r="B3465" s="1">
        <v>45597</v>
      </c>
      <c r="C3465">
        <v>2024</v>
      </c>
      <c r="D3465">
        <v>11</v>
      </c>
      <c r="E3465" s="2" t="s">
        <v>293</v>
      </c>
      <c r="F3465" s="2" t="s">
        <v>294</v>
      </c>
      <c r="G3465" s="2" t="s">
        <v>21</v>
      </c>
      <c r="H3465" s="2" t="s">
        <v>22</v>
      </c>
      <c r="I3465" s="2" t="s">
        <v>295</v>
      </c>
      <c r="J3465" s="2" t="s">
        <v>24</v>
      </c>
      <c r="K3465">
        <v>722.45</v>
      </c>
      <c r="L3465">
        <v>5167.96</v>
      </c>
      <c r="M3465">
        <v>715.34</v>
      </c>
      <c r="N3465" s="2" t="s">
        <v>296</v>
      </c>
      <c r="O3465" s="2" t="s">
        <v>297</v>
      </c>
      <c r="P3465" s="2" t="s">
        <v>6081</v>
      </c>
      <c r="Q3465" s="2" t="s">
        <v>6082</v>
      </c>
      <c r="R3465" s="2" t="s">
        <v>29</v>
      </c>
      <c r="S3465" s="2" t="s">
        <v>30</v>
      </c>
    </row>
    <row r="3466" spans="1:19">
      <c r="A3466" s="1">
        <v>45597</v>
      </c>
      <c r="B3466" s="1">
        <v>45597</v>
      </c>
      <c r="C3466">
        <v>2024</v>
      </c>
      <c r="D3466">
        <v>11</v>
      </c>
      <c r="E3466" s="2" t="s">
        <v>300</v>
      </c>
      <c r="F3466" s="2" t="s">
        <v>301</v>
      </c>
      <c r="G3466" s="2" t="s">
        <v>21</v>
      </c>
      <c r="H3466" s="2" t="s">
        <v>22</v>
      </c>
      <c r="I3466" s="2" t="s">
        <v>295</v>
      </c>
      <c r="J3466" s="2" t="s">
        <v>24</v>
      </c>
      <c r="K3466">
        <v>663.27</v>
      </c>
      <c r="L3466">
        <v>915.36</v>
      </c>
      <c r="M3466">
        <v>138.01</v>
      </c>
      <c r="N3466" s="2" t="s">
        <v>302</v>
      </c>
      <c r="O3466" s="2" t="s">
        <v>303</v>
      </c>
      <c r="P3466" s="2" t="s">
        <v>6083</v>
      </c>
      <c r="Q3466" s="2" t="s">
        <v>6084</v>
      </c>
      <c r="R3466" s="2" t="s">
        <v>29</v>
      </c>
      <c r="S3466" s="2" t="s">
        <v>30</v>
      </c>
    </row>
    <row r="3467" spans="1:19">
      <c r="A3467" s="1">
        <v>45597</v>
      </c>
      <c r="B3467" s="1">
        <v>45597</v>
      </c>
      <c r="C3467">
        <v>2024</v>
      </c>
      <c r="D3467">
        <v>11</v>
      </c>
      <c r="E3467" s="2" t="s">
        <v>306</v>
      </c>
      <c r="F3467" s="2" t="s">
        <v>307</v>
      </c>
      <c r="G3467" s="2" t="s">
        <v>21</v>
      </c>
      <c r="H3467" s="2" t="s">
        <v>22</v>
      </c>
      <c r="I3467" s="2" t="s">
        <v>295</v>
      </c>
      <c r="J3467" s="2" t="s">
        <v>101</v>
      </c>
      <c r="K3467">
        <v>1385.72</v>
      </c>
      <c r="L3467">
        <v>6083.32</v>
      </c>
      <c r="M3467">
        <v>439</v>
      </c>
      <c r="N3467" s="2" t="s">
        <v>308</v>
      </c>
      <c r="O3467" s="2" t="s">
        <v>309</v>
      </c>
      <c r="P3467" s="2" t="s">
        <v>6085</v>
      </c>
      <c r="Q3467" s="2" t="s">
        <v>6086</v>
      </c>
      <c r="R3467" s="2" t="s">
        <v>29</v>
      </c>
      <c r="S3467" s="2" t="s">
        <v>30</v>
      </c>
    </row>
    <row r="3468" spans="1:19">
      <c r="A3468" s="1">
        <v>45597</v>
      </c>
      <c r="B3468" s="1">
        <v>45597</v>
      </c>
      <c r="C3468">
        <v>2024</v>
      </c>
      <c r="D3468">
        <v>11</v>
      </c>
      <c r="E3468" s="2" t="s">
        <v>312</v>
      </c>
      <c r="F3468" s="2" t="s">
        <v>313</v>
      </c>
      <c r="G3468" s="2" t="s">
        <v>21</v>
      </c>
      <c r="H3468" s="2" t="s">
        <v>22</v>
      </c>
      <c r="I3468" s="2" t="s">
        <v>295</v>
      </c>
      <c r="J3468" s="2" t="s">
        <v>59</v>
      </c>
      <c r="K3468">
        <v>5847.81</v>
      </c>
      <c r="L3468">
        <v>19213.52</v>
      </c>
      <c r="M3468">
        <v>328.56</v>
      </c>
      <c r="N3468" s="2" t="s">
        <v>314</v>
      </c>
      <c r="O3468" s="2" t="s">
        <v>315</v>
      </c>
      <c r="P3468" s="2" t="s">
        <v>6087</v>
      </c>
      <c r="Q3468" s="2" t="s">
        <v>6088</v>
      </c>
      <c r="R3468" s="2" t="s">
        <v>29</v>
      </c>
      <c r="S3468" s="2" t="s">
        <v>30</v>
      </c>
    </row>
    <row r="3469" spans="1:19">
      <c r="A3469" s="1">
        <v>45597</v>
      </c>
      <c r="B3469" s="1">
        <v>45597</v>
      </c>
      <c r="C3469">
        <v>2024</v>
      </c>
      <c r="D3469">
        <v>11</v>
      </c>
      <c r="E3469" s="2" t="s">
        <v>318</v>
      </c>
      <c r="F3469" s="2" t="s">
        <v>319</v>
      </c>
      <c r="G3469" s="2" t="s">
        <v>21</v>
      </c>
      <c r="H3469" s="2" t="s">
        <v>22</v>
      </c>
      <c r="I3469" s="2" t="s">
        <v>295</v>
      </c>
      <c r="J3469" s="2" t="s">
        <v>24</v>
      </c>
      <c r="K3469">
        <v>4462.09</v>
      </c>
      <c r="L3469">
        <v>13130.21</v>
      </c>
      <c r="M3469">
        <v>294.26</v>
      </c>
      <c r="N3469" s="2" t="s">
        <v>320</v>
      </c>
      <c r="O3469" s="2" t="s">
        <v>321</v>
      </c>
      <c r="P3469" s="2" t="s">
        <v>6089</v>
      </c>
      <c r="Q3469" s="2" t="s">
        <v>6090</v>
      </c>
      <c r="R3469" s="2" t="s">
        <v>29</v>
      </c>
      <c r="S3469" s="2" t="s">
        <v>30</v>
      </c>
    </row>
    <row r="3470" spans="1:19">
      <c r="A3470" s="1">
        <v>45597</v>
      </c>
      <c r="B3470" s="1">
        <v>45597</v>
      </c>
      <c r="C3470">
        <v>2024</v>
      </c>
      <c r="D3470">
        <v>11</v>
      </c>
      <c r="E3470" s="2" t="s">
        <v>324</v>
      </c>
      <c r="F3470" s="2" t="s">
        <v>325</v>
      </c>
      <c r="G3470" s="2" t="s">
        <v>21</v>
      </c>
      <c r="H3470" s="2" t="s">
        <v>22</v>
      </c>
      <c r="I3470" s="2" t="s">
        <v>23</v>
      </c>
      <c r="J3470" s="2" t="s">
        <v>59</v>
      </c>
      <c r="K3470">
        <v>170358.5</v>
      </c>
      <c r="L3470">
        <v>6274182.4400000004</v>
      </c>
      <c r="M3470">
        <v>3682.93</v>
      </c>
      <c r="N3470" s="2" t="s">
        <v>326</v>
      </c>
      <c r="O3470" s="2" t="s">
        <v>327</v>
      </c>
      <c r="P3470" s="2" t="s">
        <v>6091</v>
      </c>
      <c r="Q3470" s="2" t="s">
        <v>6092</v>
      </c>
      <c r="R3470" s="2" t="s">
        <v>29</v>
      </c>
      <c r="S3470" s="2" t="s">
        <v>30</v>
      </c>
    </row>
    <row r="3471" spans="1:19">
      <c r="A3471" s="1">
        <v>45597</v>
      </c>
      <c r="B3471" s="1">
        <v>45597</v>
      </c>
      <c r="C3471">
        <v>2024</v>
      </c>
      <c r="D3471">
        <v>11</v>
      </c>
      <c r="E3471" s="2" t="s">
        <v>330</v>
      </c>
      <c r="F3471" s="2" t="s">
        <v>331</v>
      </c>
      <c r="G3471" s="2" t="s">
        <v>21</v>
      </c>
      <c r="H3471" s="2" t="s">
        <v>332</v>
      </c>
      <c r="I3471" s="2" t="s">
        <v>333</v>
      </c>
      <c r="J3471" s="2" t="s">
        <v>24</v>
      </c>
      <c r="K3471">
        <v>239.16</v>
      </c>
      <c r="L3471">
        <v>13504832.52</v>
      </c>
      <c r="M3471">
        <v>5646777.2699999996</v>
      </c>
      <c r="N3471" s="2" t="s">
        <v>334</v>
      </c>
      <c r="O3471" s="2" t="s">
        <v>335</v>
      </c>
      <c r="P3471" s="2" t="s">
        <v>6093</v>
      </c>
      <c r="Q3471" s="2" t="s">
        <v>6094</v>
      </c>
      <c r="R3471" s="2" t="s">
        <v>29</v>
      </c>
      <c r="S3471" s="2" t="s">
        <v>30</v>
      </c>
    </row>
    <row r="3472" spans="1:19">
      <c r="A3472" s="1">
        <v>45597</v>
      </c>
      <c r="B3472" s="1">
        <v>45597</v>
      </c>
      <c r="C3472">
        <v>2024</v>
      </c>
      <c r="D3472">
        <v>11</v>
      </c>
      <c r="E3472" s="2" t="s">
        <v>338</v>
      </c>
      <c r="F3472" s="2" t="s">
        <v>339</v>
      </c>
      <c r="G3472" s="2" t="s">
        <v>21</v>
      </c>
      <c r="H3472" s="2" t="s">
        <v>332</v>
      </c>
      <c r="I3472" s="2" t="s">
        <v>333</v>
      </c>
      <c r="J3472" s="2" t="s">
        <v>24</v>
      </c>
      <c r="K3472">
        <v>1.1200000000000001</v>
      </c>
      <c r="L3472">
        <v>1322049.68</v>
      </c>
      <c r="M3472">
        <v>118040150</v>
      </c>
      <c r="N3472" s="2" t="s">
        <v>340</v>
      </c>
      <c r="O3472" s="2" t="s">
        <v>341</v>
      </c>
      <c r="P3472" s="2" t="s">
        <v>2887</v>
      </c>
      <c r="Q3472" s="2" t="s">
        <v>6095</v>
      </c>
      <c r="R3472" s="2" t="s">
        <v>29</v>
      </c>
      <c r="S3472" s="2" t="s">
        <v>30</v>
      </c>
    </row>
    <row r="3473" spans="1:19">
      <c r="A3473" s="1">
        <v>45597</v>
      </c>
      <c r="B3473" s="1">
        <v>45597</v>
      </c>
      <c r="C3473">
        <v>2024</v>
      </c>
      <c r="D3473">
        <v>11</v>
      </c>
      <c r="E3473" s="2" t="s">
        <v>344</v>
      </c>
      <c r="F3473" s="2" t="s">
        <v>345</v>
      </c>
      <c r="G3473" s="2" t="s">
        <v>21</v>
      </c>
      <c r="H3473" s="2" t="s">
        <v>332</v>
      </c>
      <c r="I3473" s="2" t="s">
        <v>333</v>
      </c>
      <c r="J3473" s="2" t="s">
        <v>59</v>
      </c>
      <c r="K3473">
        <v>240.29</v>
      </c>
      <c r="L3473">
        <v>14826882.210000001</v>
      </c>
      <c r="M3473">
        <v>6170411.6699999999</v>
      </c>
      <c r="N3473" s="2" t="s">
        <v>346</v>
      </c>
      <c r="O3473" s="2" t="s">
        <v>347</v>
      </c>
      <c r="P3473" s="2" t="s">
        <v>6096</v>
      </c>
      <c r="Q3473" s="2" t="s">
        <v>6097</v>
      </c>
      <c r="R3473" s="2" t="s">
        <v>29</v>
      </c>
      <c r="S3473" s="2" t="s">
        <v>30</v>
      </c>
    </row>
    <row r="3474" spans="1:19">
      <c r="A3474" s="1">
        <v>45597</v>
      </c>
      <c r="B3474" s="1">
        <v>45597</v>
      </c>
      <c r="C3474">
        <v>2024</v>
      </c>
      <c r="D3474">
        <v>11</v>
      </c>
      <c r="E3474" s="2" t="s">
        <v>350</v>
      </c>
      <c r="F3474" s="2" t="s">
        <v>351</v>
      </c>
      <c r="G3474" s="2" t="s">
        <v>21</v>
      </c>
      <c r="H3474" s="2" t="s">
        <v>22</v>
      </c>
      <c r="I3474" s="2" t="s">
        <v>352</v>
      </c>
      <c r="J3474" s="2" t="s">
        <v>353</v>
      </c>
      <c r="K3474">
        <v>183509.26</v>
      </c>
      <c r="L3474">
        <v>21514229.68</v>
      </c>
      <c r="M3474">
        <v>11723.78</v>
      </c>
      <c r="N3474" s="2" t="s">
        <v>354</v>
      </c>
      <c r="O3474" s="2" t="s">
        <v>355</v>
      </c>
      <c r="P3474" s="2" t="s">
        <v>6098</v>
      </c>
      <c r="Q3474" s="2" t="s">
        <v>6099</v>
      </c>
      <c r="R3474" s="2" t="s">
        <v>29</v>
      </c>
      <c r="S3474" s="2" t="s">
        <v>30</v>
      </c>
    </row>
    <row r="3475" spans="1:19">
      <c r="A3475" s="1">
        <v>45597</v>
      </c>
      <c r="B3475" s="1">
        <v>45597</v>
      </c>
      <c r="C3475">
        <v>2024</v>
      </c>
      <c r="D3475">
        <v>11</v>
      </c>
      <c r="E3475" s="2" t="s">
        <v>358</v>
      </c>
      <c r="F3475" s="2" t="s">
        <v>359</v>
      </c>
      <c r="G3475" s="2" t="s">
        <v>21</v>
      </c>
      <c r="H3475" s="2" t="s">
        <v>22</v>
      </c>
      <c r="I3475" s="2" t="s">
        <v>352</v>
      </c>
      <c r="J3475" s="2" t="s">
        <v>353</v>
      </c>
      <c r="K3475">
        <v>183981.74</v>
      </c>
      <c r="L3475">
        <v>22052078.59</v>
      </c>
      <c r="M3475">
        <v>11986.01</v>
      </c>
      <c r="N3475" s="2" t="s">
        <v>360</v>
      </c>
      <c r="O3475" s="2" t="s">
        <v>361</v>
      </c>
      <c r="P3475" s="2" t="s">
        <v>6100</v>
      </c>
      <c r="Q3475" s="2" t="s">
        <v>6101</v>
      </c>
      <c r="R3475" s="2" t="s">
        <v>29</v>
      </c>
      <c r="S3475" s="2" t="s">
        <v>30</v>
      </c>
    </row>
    <row r="3476" spans="1:19">
      <c r="A3476" s="1">
        <v>45597</v>
      </c>
      <c r="B3476" s="1">
        <v>45597</v>
      </c>
      <c r="C3476">
        <v>2024</v>
      </c>
      <c r="D3476">
        <v>11</v>
      </c>
      <c r="E3476" s="2" t="s">
        <v>364</v>
      </c>
      <c r="F3476" s="2" t="s">
        <v>365</v>
      </c>
      <c r="G3476" s="2" t="s">
        <v>21</v>
      </c>
      <c r="H3476" s="2" t="s">
        <v>22</v>
      </c>
      <c r="I3476" s="2" t="s">
        <v>352</v>
      </c>
      <c r="J3476" s="2" t="s">
        <v>353</v>
      </c>
      <c r="K3476">
        <v>183741.46</v>
      </c>
      <c r="L3476">
        <v>7225196.3799999999</v>
      </c>
      <c r="M3476">
        <v>3932.26</v>
      </c>
      <c r="N3476" s="2" t="s">
        <v>366</v>
      </c>
      <c r="O3476" s="2" t="s">
        <v>367</v>
      </c>
      <c r="P3476" s="2" t="s">
        <v>6102</v>
      </c>
      <c r="Q3476" s="2" t="s">
        <v>6103</v>
      </c>
      <c r="R3476" s="2" t="s">
        <v>29</v>
      </c>
      <c r="S3476" s="2" t="s">
        <v>30</v>
      </c>
    </row>
    <row r="3477" spans="1:19">
      <c r="A3477" s="1">
        <v>45597</v>
      </c>
      <c r="B3477" s="1">
        <v>45597</v>
      </c>
      <c r="C3477">
        <v>2024</v>
      </c>
      <c r="D3477">
        <v>11</v>
      </c>
      <c r="E3477" s="2" t="s">
        <v>370</v>
      </c>
      <c r="F3477" s="2" t="s">
        <v>371</v>
      </c>
      <c r="G3477" s="2" t="s">
        <v>21</v>
      </c>
      <c r="H3477" s="2" t="s">
        <v>22</v>
      </c>
      <c r="I3477" s="2" t="s">
        <v>23</v>
      </c>
      <c r="J3477" s="2" t="s">
        <v>24</v>
      </c>
      <c r="K3477">
        <v>154820.21</v>
      </c>
      <c r="L3477">
        <v>2155187.41</v>
      </c>
      <c r="M3477">
        <v>1392.06</v>
      </c>
      <c r="N3477" s="2" t="s">
        <v>372</v>
      </c>
      <c r="O3477" s="2" t="s">
        <v>373</v>
      </c>
      <c r="P3477" s="2" t="s">
        <v>6104</v>
      </c>
      <c r="Q3477" s="2" t="s">
        <v>6105</v>
      </c>
      <c r="R3477" s="2" t="s">
        <v>29</v>
      </c>
      <c r="S3477" s="2" t="s">
        <v>30</v>
      </c>
    </row>
    <row r="3478" spans="1:19">
      <c r="A3478" s="1">
        <v>45597</v>
      </c>
      <c r="B3478" s="1">
        <v>45597</v>
      </c>
      <c r="C3478">
        <v>2024</v>
      </c>
      <c r="D3478">
        <v>11</v>
      </c>
      <c r="E3478" s="2" t="s">
        <v>376</v>
      </c>
      <c r="F3478" s="2" t="s">
        <v>377</v>
      </c>
      <c r="G3478" s="2" t="s">
        <v>21</v>
      </c>
      <c r="H3478" s="2" t="s">
        <v>22</v>
      </c>
      <c r="I3478" s="2" t="s">
        <v>23</v>
      </c>
      <c r="J3478" s="2" t="s">
        <v>378</v>
      </c>
      <c r="K3478">
        <v>1.56</v>
      </c>
      <c r="L3478">
        <v>15.97</v>
      </c>
      <c r="M3478">
        <v>1023.72</v>
      </c>
      <c r="N3478" s="2" t="s">
        <v>379</v>
      </c>
      <c r="O3478" s="2" t="s">
        <v>380</v>
      </c>
      <c r="P3478" s="2" t="s">
        <v>6106</v>
      </c>
      <c r="Q3478" s="2" t="s">
        <v>5564</v>
      </c>
      <c r="R3478" s="2" t="s">
        <v>29</v>
      </c>
      <c r="S3478" s="2" t="s">
        <v>30</v>
      </c>
    </row>
    <row r="3479" spans="1:19">
      <c r="A3479" s="1">
        <v>45627</v>
      </c>
      <c r="B3479" s="1">
        <v>45627</v>
      </c>
      <c r="C3479">
        <v>2024</v>
      </c>
      <c r="D3479">
        <v>12</v>
      </c>
      <c r="E3479" s="2" t="s">
        <v>19</v>
      </c>
      <c r="F3479" s="2" t="s">
        <v>20</v>
      </c>
      <c r="G3479" s="2" t="s">
        <v>21</v>
      </c>
      <c r="H3479" s="2" t="s">
        <v>22</v>
      </c>
      <c r="I3479" s="2" t="s">
        <v>23</v>
      </c>
      <c r="J3479" s="2" t="s">
        <v>24</v>
      </c>
      <c r="K3479">
        <v>0.31</v>
      </c>
      <c r="L3479">
        <v>16.62</v>
      </c>
      <c r="M3479">
        <v>5361.29</v>
      </c>
      <c r="N3479" s="2" t="s">
        <v>25</v>
      </c>
      <c r="O3479" s="2" t="s">
        <v>26</v>
      </c>
      <c r="P3479" s="2" t="s">
        <v>2811</v>
      </c>
      <c r="Q3479" s="2" t="s">
        <v>6107</v>
      </c>
      <c r="R3479" s="2" t="s">
        <v>29</v>
      </c>
      <c r="S3479" s="2" t="s">
        <v>30</v>
      </c>
    </row>
    <row r="3480" spans="1:19">
      <c r="A3480" s="1">
        <v>45627</v>
      </c>
      <c r="B3480" s="1">
        <v>45627</v>
      </c>
      <c r="C3480">
        <v>2024</v>
      </c>
      <c r="D3480">
        <v>12</v>
      </c>
      <c r="E3480" s="2" t="s">
        <v>31</v>
      </c>
      <c r="F3480" s="2" t="s">
        <v>32</v>
      </c>
      <c r="G3480" s="2" t="s">
        <v>21</v>
      </c>
      <c r="H3480" s="2" t="s">
        <v>22</v>
      </c>
      <c r="I3480" s="2" t="s">
        <v>23</v>
      </c>
      <c r="J3480" s="2" t="s">
        <v>24</v>
      </c>
      <c r="K3480">
        <v>2451.41</v>
      </c>
      <c r="L3480">
        <v>58704.71</v>
      </c>
      <c r="M3480">
        <v>2394.73</v>
      </c>
      <c r="N3480" s="2" t="s">
        <v>33</v>
      </c>
      <c r="O3480" s="2" t="s">
        <v>34</v>
      </c>
      <c r="P3480" s="2" t="s">
        <v>6108</v>
      </c>
      <c r="Q3480" s="2" t="s">
        <v>6109</v>
      </c>
      <c r="R3480" s="2" t="s">
        <v>29</v>
      </c>
      <c r="S3480" s="2" t="s">
        <v>30</v>
      </c>
    </row>
    <row r="3481" spans="1:19">
      <c r="A3481" s="1">
        <v>45627</v>
      </c>
      <c r="B3481" s="1">
        <v>45627</v>
      </c>
      <c r="C3481">
        <v>2024</v>
      </c>
      <c r="D3481">
        <v>12</v>
      </c>
      <c r="E3481" s="2" t="s">
        <v>37</v>
      </c>
      <c r="F3481" s="2" t="s">
        <v>38</v>
      </c>
      <c r="G3481" s="2" t="s">
        <v>39</v>
      </c>
      <c r="H3481" s="2" t="s">
        <v>22</v>
      </c>
      <c r="I3481" s="2" t="s">
        <v>40</v>
      </c>
      <c r="J3481" s="2" t="s">
        <v>24</v>
      </c>
      <c r="K3481">
        <v>8.1199999999999992</v>
      </c>
      <c r="L3481">
        <v>429.24</v>
      </c>
      <c r="M3481">
        <v>5286.21</v>
      </c>
      <c r="N3481" s="2" t="s">
        <v>41</v>
      </c>
      <c r="O3481" s="2" t="s">
        <v>42</v>
      </c>
      <c r="P3481" s="2" t="s">
        <v>6110</v>
      </c>
      <c r="Q3481" s="2" t="s">
        <v>6111</v>
      </c>
      <c r="R3481" s="2" t="s">
        <v>29</v>
      </c>
      <c r="S3481" s="2" t="s">
        <v>30</v>
      </c>
    </row>
    <row r="3482" spans="1:19">
      <c r="A3482" s="1">
        <v>45627</v>
      </c>
      <c r="B3482" s="1">
        <v>45627</v>
      </c>
      <c r="C3482">
        <v>2024</v>
      </c>
      <c r="D3482">
        <v>12</v>
      </c>
      <c r="E3482" s="2" t="s">
        <v>45</v>
      </c>
      <c r="F3482" s="2" t="s">
        <v>46</v>
      </c>
      <c r="G3482" s="2" t="s">
        <v>39</v>
      </c>
      <c r="H3482" s="2" t="s">
        <v>22</v>
      </c>
      <c r="I3482" s="2" t="s">
        <v>40</v>
      </c>
      <c r="J3482" s="2" t="s">
        <v>24</v>
      </c>
      <c r="K3482">
        <v>4923.54</v>
      </c>
      <c r="L3482">
        <v>251160.64</v>
      </c>
      <c r="M3482">
        <v>5101.22</v>
      </c>
      <c r="N3482" s="2" t="s">
        <v>47</v>
      </c>
      <c r="O3482" s="2" t="s">
        <v>48</v>
      </c>
      <c r="P3482" s="2" t="s">
        <v>6112</v>
      </c>
      <c r="Q3482" s="2" t="s">
        <v>6113</v>
      </c>
      <c r="R3482" s="2" t="s">
        <v>29</v>
      </c>
      <c r="S3482" s="2" t="s">
        <v>30</v>
      </c>
    </row>
    <row r="3483" spans="1:19">
      <c r="A3483" s="1">
        <v>45627</v>
      </c>
      <c r="B3483" s="1">
        <v>45627</v>
      </c>
      <c r="C3483">
        <v>2024</v>
      </c>
      <c r="D3483">
        <v>12</v>
      </c>
      <c r="E3483" s="2" t="s">
        <v>51</v>
      </c>
      <c r="F3483" s="2" t="s">
        <v>52</v>
      </c>
      <c r="G3483" s="2" t="s">
        <v>39</v>
      </c>
      <c r="H3483" s="2" t="s">
        <v>22</v>
      </c>
      <c r="I3483" s="2" t="s">
        <v>40</v>
      </c>
      <c r="J3483" s="2" t="s">
        <v>24</v>
      </c>
      <c r="K3483">
        <v>19.11</v>
      </c>
      <c r="L3483">
        <v>881.06</v>
      </c>
      <c r="M3483">
        <v>4610.47</v>
      </c>
      <c r="N3483" s="2" t="s">
        <v>53</v>
      </c>
      <c r="O3483" s="2" t="s">
        <v>54</v>
      </c>
      <c r="P3483" s="2" t="s">
        <v>6114</v>
      </c>
      <c r="Q3483" s="2" t="s">
        <v>6115</v>
      </c>
      <c r="R3483" s="2" t="s">
        <v>29</v>
      </c>
      <c r="S3483" s="2" t="s">
        <v>30</v>
      </c>
    </row>
    <row r="3484" spans="1:19">
      <c r="A3484" s="1">
        <v>45627</v>
      </c>
      <c r="B3484" s="1">
        <v>45627</v>
      </c>
      <c r="C3484">
        <v>2024</v>
      </c>
      <c r="D3484">
        <v>12</v>
      </c>
      <c r="E3484" s="2" t="s">
        <v>57</v>
      </c>
      <c r="F3484" s="2" t="s">
        <v>58</v>
      </c>
      <c r="G3484" s="2" t="s">
        <v>39</v>
      </c>
      <c r="H3484" s="2" t="s">
        <v>22</v>
      </c>
      <c r="I3484" s="2" t="s">
        <v>40</v>
      </c>
      <c r="J3484" s="2" t="s">
        <v>59</v>
      </c>
      <c r="K3484">
        <v>4950.7700000000004</v>
      </c>
      <c r="L3484">
        <v>252470.95</v>
      </c>
      <c r="M3484">
        <v>5099.63</v>
      </c>
      <c r="N3484" s="2" t="s">
        <v>60</v>
      </c>
      <c r="O3484" s="2" t="s">
        <v>61</v>
      </c>
      <c r="P3484" s="2" t="s">
        <v>6116</v>
      </c>
      <c r="Q3484" s="2" t="s">
        <v>6117</v>
      </c>
      <c r="R3484" s="2" t="s">
        <v>29</v>
      </c>
      <c r="S3484" s="2" t="s">
        <v>30</v>
      </c>
    </row>
    <row r="3485" spans="1:19">
      <c r="A3485" s="1">
        <v>45627</v>
      </c>
      <c r="B3485" s="1">
        <v>45627</v>
      </c>
      <c r="C3485">
        <v>2024</v>
      </c>
      <c r="D3485">
        <v>12</v>
      </c>
      <c r="E3485" s="2" t="s">
        <v>64</v>
      </c>
      <c r="F3485" s="2" t="s">
        <v>65</v>
      </c>
      <c r="G3485" s="2" t="s">
        <v>21</v>
      </c>
      <c r="H3485" s="2" t="s">
        <v>22</v>
      </c>
      <c r="I3485" s="2" t="s">
        <v>66</v>
      </c>
      <c r="J3485" s="2" t="s">
        <v>24</v>
      </c>
      <c r="K3485">
        <v>17.18</v>
      </c>
      <c r="L3485">
        <v>547.09</v>
      </c>
      <c r="M3485">
        <v>3184.46</v>
      </c>
      <c r="N3485" s="2" t="s">
        <v>67</v>
      </c>
      <c r="O3485" s="2" t="s">
        <v>68</v>
      </c>
      <c r="P3485" s="2" t="s">
        <v>6118</v>
      </c>
      <c r="Q3485" s="2" t="s">
        <v>6119</v>
      </c>
      <c r="R3485" s="2" t="s">
        <v>29</v>
      </c>
      <c r="S3485" s="2" t="s">
        <v>30</v>
      </c>
    </row>
    <row r="3486" spans="1:19">
      <c r="A3486" s="1">
        <v>45627</v>
      </c>
      <c r="B3486" s="1">
        <v>45627</v>
      </c>
      <c r="C3486">
        <v>2024</v>
      </c>
      <c r="D3486">
        <v>12</v>
      </c>
      <c r="E3486" s="2" t="s">
        <v>71</v>
      </c>
      <c r="F3486" s="2" t="s">
        <v>72</v>
      </c>
      <c r="G3486" s="2" t="s">
        <v>21</v>
      </c>
      <c r="H3486" s="2" t="s">
        <v>22</v>
      </c>
      <c r="I3486" s="2" t="s">
        <v>73</v>
      </c>
      <c r="J3486" s="2" t="s">
        <v>59</v>
      </c>
      <c r="K3486">
        <v>5608.59</v>
      </c>
      <c r="L3486">
        <v>228548.27</v>
      </c>
      <c r="M3486">
        <v>4074.97</v>
      </c>
      <c r="N3486" s="2" t="s">
        <v>74</v>
      </c>
      <c r="O3486" s="2" t="s">
        <v>75</v>
      </c>
      <c r="P3486" s="2" t="s">
        <v>6120</v>
      </c>
      <c r="Q3486" s="2" t="s">
        <v>6121</v>
      </c>
      <c r="R3486" s="2" t="s">
        <v>29</v>
      </c>
      <c r="S3486" s="2" t="s">
        <v>30</v>
      </c>
    </row>
    <row r="3487" spans="1:19">
      <c r="A3487" s="1">
        <v>45627</v>
      </c>
      <c r="B3487" s="1">
        <v>45627</v>
      </c>
      <c r="C3487">
        <v>2024</v>
      </c>
      <c r="D3487">
        <v>12</v>
      </c>
      <c r="E3487" s="2" t="s">
        <v>78</v>
      </c>
      <c r="F3487" s="2" t="s">
        <v>79</v>
      </c>
      <c r="G3487" s="2" t="s">
        <v>80</v>
      </c>
      <c r="H3487" s="2" t="s">
        <v>81</v>
      </c>
      <c r="I3487" s="2" t="s">
        <v>82</v>
      </c>
      <c r="J3487" s="2" t="s">
        <v>24</v>
      </c>
      <c r="K3487">
        <v>2.16</v>
      </c>
      <c r="L3487">
        <v>9919285.3000000007</v>
      </c>
      <c r="M3487">
        <v>459226171.30000001</v>
      </c>
      <c r="N3487" s="2" t="s">
        <v>83</v>
      </c>
      <c r="O3487" s="2" t="s">
        <v>84</v>
      </c>
      <c r="P3487" s="2" t="s">
        <v>3609</v>
      </c>
      <c r="Q3487" s="2" t="s">
        <v>6122</v>
      </c>
      <c r="R3487" s="2" t="s">
        <v>29</v>
      </c>
      <c r="S3487" s="2" t="s">
        <v>30</v>
      </c>
    </row>
    <row r="3488" spans="1:19">
      <c r="A3488" s="1">
        <v>45627</v>
      </c>
      <c r="B3488" s="1">
        <v>45627</v>
      </c>
      <c r="C3488">
        <v>2024</v>
      </c>
      <c r="D3488">
        <v>12</v>
      </c>
      <c r="E3488" s="2" t="s">
        <v>87</v>
      </c>
      <c r="F3488" s="2" t="s">
        <v>88</v>
      </c>
      <c r="G3488" s="2" t="s">
        <v>80</v>
      </c>
      <c r="H3488" s="2" t="s">
        <v>81</v>
      </c>
      <c r="I3488" s="2" t="s">
        <v>82</v>
      </c>
      <c r="J3488" s="2" t="s">
        <v>24</v>
      </c>
      <c r="K3488">
        <v>0.84</v>
      </c>
      <c r="L3488">
        <v>1348781.69</v>
      </c>
      <c r="M3488">
        <v>160569248.81</v>
      </c>
      <c r="N3488" s="2" t="s">
        <v>89</v>
      </c>
      <c r="O3488" s="2" t="s">
        <v>90</v>
      </c>
      <c r="P3488" s="2" t="s">
        <v>383</v>
      </c>
      <c r="Q3488" s="2" t="s">
        <v>6123</v>
      </c>
      <c r="R3488" s="2" t="s">
        <v>29</v>
      </c>
      <c r="S3488" s="2" t="s">
        <v>30</v>
      </c>
    </row>
    <row r="3489" spans="1:19">
      <c r="A3489" s="1">
        <v>45627</v>
      </c>
      <c r="B3489" s="1">
        <v>45627</v>
      </c>
      <c r="C3489">
        <v>2024</v>
      </c>
      <c r="D3489">
        <v>12</v>
      </c>
      <c r="E3489" s="2" t="s">
        <v>93</v>
      </c>
      <c r="F3489" s="2" t="s">
        <v>94</v>
      </c>
      <c r="G3489" s="2" t="s">
        <v>80</v>
      </c>
      <c r="H3489" s="2" t="s">
        <v>81</v>
      </c>
      <c r="I3489" s="2" t="s">
        <v>82</v>
      </c>
      <c r="J3489" s="2" t="s">
        <v>24</v>
      </c>
      <c r="K3489">
        <v>0.41</v>
      </c>
      <c r="L3489">
        <v>6377679.1200000001</v>
      </c>
      <c r="M3489">
        <v>1555531492.6800001</v>
      </c>
      <c r="N3489" s="2" t="s">
        <v>95</v>
      </c>
      <c r="O3489" s="2" t="s">
        <v>96</v>
      </c>
      <c r="P3489" s="2" t="s">
        <v>2036</v>
      </c>
      <c r="Q3489" s="2" t="s">
        <v>6124</v>
      </c>
      <c r="R3489" s="2" t="s">
        <v>29</v>
      </c>
      <c r="S3489" s="2" t="s">
        <v>30</v>
      </c>
    </row>
    <row r="3490" spans="1:19">
      <c r="A3490" s="1">
        <v>45627</v>
      </c>
      <c r="B3490" s="1">
        <v>45627</v>
      </c>
      <c r="C3490">
        <v>2024</v>
      </c>
      <c r="D3490">
        <v>12</v>
      </c>
      <c r="E3490" s="2" t="s">
        <v>99</v>
      </c>
      <c r="F3490" s="2" t="s">
        <v>100</v>
      </c>
      <c r="G3490" s="2" t="s">
        <v>80</v>
      </c>
      <c r="H3490" s="2" t="s">
        <v>81</v>
      </c>
      <c r="I3490" s="2" t="s">
        <v>82</v>
      </c>
      <c r="J3490" s="2" t="s">
        <v>101</v>
      </c>
      <c r="K3490">
        <v>1.49</v>
      </c>
      <c r="L3490">
        <v>16506679.859999999</v>
      </c>
      <c r="M3490">
        <v>1107830863.0899999</v>
      </c>
      <c r="N3490" s="2" t="s">
        <v>102</v>
      </c>
      <c r="O3490" s="2" t="s">
        <v>103</v>
      </c>
      <c r="P3490" s="2" t="s">
        <v>1315</v>
      </c>
      <c r="Q3490" s="2" t="s">
        <v>6125</v>
      </c>
      <c r="R3490" s="2" t="s">
        <v>29</v>
      </c>
      <c r="S3490" s="2" t="s">
        <v>30</v>
      </c>
    </row>
    <row r="3491" spans="1:19">
      <c r="A3491" s="1">
        <v>45627</v>
      </c>
      <c r="B3491" s="1">
        <v>45627</v>
      </c>
      <c r="C3491">
        <v>2024</v>
      </c>
      <c r="D3491">
        <v>12</v>
      </c>
      <c r="E3491" s="2" t="s">
        <v>106</v>
      </c>
      <c r="F3491" s="2" t="s">
        <v>107</v>
      </c>
      <c r="G3491" s="2" t="s">
        <v>80</v>
      </c>
      <c r="H3491" s="2" t="s">
        <v>81</v>
      </c>
      <c r="I3491" s="2" t="s">
        <v>82</v>
      </c>
      <c r="J3491" s="2" t="s">
        <v>24</v>
      </c>
      <c r="K3491">
        <v>0.24</v>
      </c>
      <c r="L3491">
        <v>8780219.0500000007</v>
      </c>
      <c r="M3491">
        <v>3658424604.1700001</v>
      </c>
      <c r="N3491" s="2" t="s">
        <v>108</v>
      </c>
      <c r="O3491" s="2" t="s">
        <v>109</v>
      </c>
      <c r="P3491" s="2" t="s">
        <v>1650</v>
      </c>
      <c r="Q3491" s="2" t="s">
        <v>6126</v>
      </c>
      <c r="R3491" s="2" t="s">
        <v>29</v>
      </c>
      <c r="S3491" s="2" t="s">
        <v>30</v>
      </c>
    </row>
    <row r="3492" spans="1:19">
      <c r="A3492" s="1">
        <v>45627</v>
      </c>
      <c r="B3492" s="1">
        <v>45627</v>
      </c>
      <c r="C3492">
        <v>2024</v>
      </c>
      <c r="D3492">
        <v>12</v>
      </c>
      <c r="E3492" s="2" t="s">
        <v>111</v>
      </c>
      <c r="F3492" s="2" t="s">
        <v>112</v>
      </c>
      <c r="G3492" s="2" t="s">
        <v>80</v>
      </c>
      <c r="H3492" s="2" t="s">
        <v>81</v>
      </c>
      <c r="I3492" s="2" t="s">
        <v>82</v>
      </c>
      <c r="J3492" s="2" t="s">
        <v>24</v>
      </c>
      <c r="K3492">
        <v>0.13</v>
      </c>
      <c r="L3492">
        <v>1022854.56</v>
      </c>
      <c r="M3492">
        <v>786811200</v>
      </c>
      <c r="N3492" s="2" t="s">
        <v>113</v>
      </c>
      <c r="O3492" s="2" t="s">
        <v>114</v>
      </c>
      <c r="P3492" s="2" t="s">
        <v>3378</v>
      </c>
      <c r="Q3492" s="2" t="s">
        <v>6127</v>
      </c>
      <c r="R3492" s="2" t="s">
        <v>29</v>
      </c>
      <c r="S3492" s="2" t="s">
        <v>30</v>
      </c>
    </row>
    <row r="3493" spans="1:19">
      <c r="A3493" s="1">
        <v>45627</v>
      </c>
      <c r="B3493" s="1">
        <v>45627</v>
      </c>
      <c r="C3493">
        <v>2024</v>
      </c>
      <c r="D3493">
        <v>12</v>
      </c>
      <c r="E3493" s="2" t="s">
        <v>117</v>
      </c>
      <c r="F3493" s="2" t="s">
        <v>118</v>
      </c>
      <c r="G3493" s="2" t="s">
        <v>80</v>
      </c>
      <c r="H3493" s="2" t="s">
        <v>81</v>
      </c>
      <c r="I3493" s="2" t="s">
        <v>82</v>
      </c>
      <c r="J3493" s="2" t="s">
        <v>59</v>
      </c>
      <c r="K3493">
        <v>3.78</v>
      </c>
      <c r="L3493">
        <v>27448819.719999999</v>
      </c>
      <c r="M3493">
        <v>726159251.85000002</v>
      </c>
      <c r="N3493" s="2" t="s">
        <v>119</v>
      </c>
      <c r="O3493" s="2" t="s">
        <v>120</v>
      </c>
      <c r="P3493" s="2" t="s">
        <v>2859</v>
      </c>
      <c r="Q3493" s="2" t="s">
        <v>6128</v>
      </c>
      <c r="R3493" s="2" t="s">
        <v>29</v>
      </c>
      <c r="S3493" s="2" t="s">
        <v>30</v>
      </c>
    </row>
    <row r="3494" spans="1:19">
      <c r="A3494" s="1">
        <v>45627</v>
      </c>
      <c r="B3494" s="1">
        <v>45627</v>
      </c>
      <c r="C3494">
        <v>2024</v>
      </c>
      <c r="D3494">
        <v>12</v>
      </c>
      <c r="E3494" s="2" t="s">
        <v>123</v>
      </c>
      <c r="F3494" s="2" t="s">
        <v>124</v>
      </c>
      <c r="G3494" s="2" t="s">
        <v>21</v>
      </c>
      <c r="H3494" s="2" t="s">
        <v>22</v>
      </c>
      <c r="I3494" s="2" t="s">
        <v>73</v>
      </c>
      <c r="J3494" s="2" t="s">
        <v>24</v>
      </c>
      <c r="K3494">
        <v>2088.46</v>
      </c>
      <c r="L3494">
        <v>114901.04</v>
      </c>
      <c r="M3494">
        <v>5501.71</v>
      </c>
      <c r="N3494" s="2" t="s">
        <v>125</v>
      </c>
      <c r="O3494" s="2" t="s">
        <v>126</v>
      </c>
      <c r="P3494" s="2" t="s">
        <v>6129</v>
      </c>
      <c r="Q3494" s="2" t="s">
        <v>6130</v>
      </c>
      <c r="R3494" s="2" t="s">
        <v>29</v>
      </c>
      <c r="S3494" s="2" t="s">
        <v>30</v>
      </c>
    </row>
    <row r="3495" spans="1:19">
      <c r="A3495" s="1">
        <v>45627</v>
      </c>
      <c r="B3495" s="1">
        <v>45627</v>
      </c>
      <c r="C3495">
        <v>2024</v>
      </c>
      <c r="D3495">
        <v>12</v>
      </c>
      <c r="E3495" s="2" t="s">
        <v>129</v>
      </c>
      <c r="F3495" s="2" t="s">
        <v>130</v>
      </c>
      <c r="G3495" s="2" t="s">
        <v>21</v>
      </c>
      <c r="H3495" s="2" t="s">
        <v>22</v>
      </c>
      <c r="I3495" s="2" t="s">
        <v>73</v>
      </c>
      <c r="J3495" s="2" t="s">
        <v>24</v>
      </c>
      <c r="K3495">
        <v>2240.0300000000002</v>
      </c>
      <c r="L3495">
        <v>73048.38</v>
      </c>
      <c r="M3495">
        <v>3261.04</v>
      </c>
      <c r="N3495" s="2" t="s">
        <v>131</v>
      </c>
      <c r="O3495" s="2" t="s">
        <v>132</v>
      </c>
      <c r="P3495" s="2" t="s">
        <v>6131</v>
      </c>
      <c r="Q3495" s="2" t="s">
        <v>6132</v>
      </c>
      <c r="R3495" s="2" t="s">
        <v>29</v>
      </c>
      <c r="S3495" s="2" t="s">
        <v>30</v>
      </c>
    </row>
    <row r="3496" spans="1:19">
      <c r="A3496" s="1">
        <v>45627</v>
      </c>
      <c r="B3496" s="1">
        <v>45627</v>
      </c>
      <c r="C3496">
        <v>2024</v>
      </c>
      <c r="D3496">
        <v>12</v>
      </c>
      <c r="E3496" s="2" t="s">
        <v>135</v>
      </c>
      <c r="F3496" s="2" t="s">
        <v>136</v>
      </c>
      <c r="G3496" s="2" t="s">
        <v>21</v>
      </c>
      <c r="H3496" s="2" t="s">
        <v>22</v>
      </c>
      <c r="I3496" s="2" t="s">
        <v>73</v>
      </c>
      <c r="J3496" s="2" t="s">
        <v>101</v>
      </c>
      <c r="K3496">
        <v>4328.5</v>
      </c>
      <c r="L3496">
        <v>187949.42</v>
      </c>
      <c r="M3496">
        <v>4342.1400000000003</v>
      </c>
      <c r="N3496" s="2" t="s">
        <v>137</v>
      </c>
      <c r="O3496" s="2" t="s">
        <v>138</v>
      </c>
      <c r="P3496" s="2" t="s">
        <v>6133</v>
      </c>
      <c r="Q3496" s="2" t="s">
        <v>6134</v>
      </c>
      <c r="R3496" s="2" t="s">
        <v>29</v>
      </c>
      <c r="S3496" s="2" t="s">
        <v>30</v>
      </c>
    </row>
    <row r="3497" spans="1:19">
      <c r="A3497" s="1">
        <v>45627</v>
      </c>
      <c r="B3497" s="1">
        <v>45627</v>
      </c>
      <c r="C3497">
        <v>2024</v>
      </c>
      <c r="D3497">
        <v>12</v>
      </c>
      <c r="E3497" s="2" t="s">
        <v>141</v>
      </c>
      <c r="F3497" s="2" t="s">
        <v>142</v>
      </c>
      <c r="G3497" s="2" t="s">
        <v>21</v>
      </c>
      <c r="H3497" s="2" t="s">
        <v>22</v>
      </c>
      <c r="I3497" s="2" t="s">
        <v>73</v>
      </c>
      <c r="J3497" s="2" t="s">
        <v>24</v>
      </c>
      <c r="K3497">
        <v>315.60000000000002</v>
      </c>
      <c r="L3497">
        <v>12989.88</v>
      </c>
      <c r="M3497">
        <v>4115.93</v>
      </c>
      <c r="N3497" s="2" t="s">
        <v>143</v>
      </c>
      <c r="O3497" s="2" t="s">
        <v>144</v>
      </c>
      <c r="P3497" s="2" t="s">
        <v>6135</v>
      </c>
      <c r="Q3497" s="2" t="s">
        <v>6136</v>
      </c>
      <c r="R3497" s="2" t="s">
        <v>29</v>
      </c>
      <c r="S3497" s="2" t="s">
        <v>30</v>
      </c>
    </row>
    <row r="3498" spans="1:19">
      <c r="A3498" s="1">
        <v>45627</v>
      </c>
      <c r="B3498" s="1">
        <v>45627</v>
      </c>
      <c r="C3498">
        <v>2024</v>
      </c>
      <c r="D3498">
        <v>12</v>
      </c>
      <c r="E3498" s="2" t="s">
        <v>147</v>
      </c>
      <c r="F3498" s="2" t="s">
        <v>148</v>
      </c>
      <c r="G3498" s="2" t="s">
        <v>21</v>
      </c>
      <c r="H3498" s="2" t="s">
        <v>22</v>
      </c>
      <c r="I3498" s="2" t="s">
        <v>73</v>
      </c>
      <c r="J3498" s="2" t="s">
        <v>24</v>
      </c>
      <c r="K3498">
        <v>964.5</v>
      </c>
      <c r="L3498">
        <v>27608.97</v>
      </c>
      <c r="M3498">
        <v>2862.52</v>
      </c>
      <c r="N3498" s="2" t="s">
        <v>149</v>
      </c>
      <c r="O3498" s="2" t="s">
        <v>150</v>
      </c>
      <c r="P3498" s="2" t="s">
        <v>6137</v>
      </c>
      <c r="Q3498" s="2" t="s">
        <v>6138</v>
      </c>
      <c r="R3498" s="2" t="s">
        <v>29</v>
      </c>
      <c r="S3498" s="2" t="s">
        <v>30</v>
      </c>
    </row>
    <row r="3499" spans="1:19">
      <c r="A3499" s="1">
        <v>45627</v>
      </c>
      <c r="B3499" s="1">
        <v>45627</v>
      </c>
      <c r="C3499">
        <v>2024</v>
      </c>
      <c r="D3499">
        <v>12</v>
      </c>
      <c r="E3499" s="2" t="s">
        <v>153</v>
      </c>
      <c r="F3499" s="2" t="s">
        <v>154</v>
      </c>
      <c r="G3499" s="2" t="s">
        <v>21</v>
      </c>
      <c r="H3499" s="2" t="s">
        <v>22</v>
      </c>
      <c r="I3499" s="2" t="s">
        <v>73</v>
      </c>
      <c r="J3499" s="2" t="s">
        <v>101</v>
      </c>
      <c r="K3499">
        <v>1280.0999999999999</v>
      </c>
      <c r="L3499">
        <v>40598.85</v>
      </c>
      <c r="M3499">
        <v>3171.54</v>
      </c>
      <c r="N3499" s="2" t="s">
        <v>155</v>
      </c>
      <c r="O3499" s="2" t="s">
        <v>156</v>
      </c>
      <c r="P3499" s="2" t="s">
        <v>6139</v>
      </c>
      <c r="Q3499" s="2" t="s">
        <v>6140</v>
      </c>
      <c r="R3499" s="2" t="s">
        <v>29</v>
      </c>
      <c r="S3499" s="2" t="s">
        <v>30</v>
      </c>
    </row>
    <row r="3500" spans="1:19">
      <c r="A3500" s="1">
        <v>45627</v>
      </c>
      <c r="B3500" s="1">
        <v>45627</v>
      </c>
      <c r="C3500">
        <v>2024</v>
      </c>
      <c r="D3500">
        <v>12</v>
      </c>
      <c r="E3500" s="2" t="s">
        <v>159</v>
      </c>
      <c r="F3500" s="2" t="s">
        <v>160</v>
      </c>
      <c r="G3500" s="2" t="s">
        <v>21</v>
      </c>
      <c r="H3500" s="2" t="s">
        <v>22</v>
      </c>
      <c r="I3500" s="2" t="s">
        <v>66</v>
      </c>
      <c r="J3500" s="2" t="s">
        <v>59</v>
      </c>
      <c r="K3500">
        <v>1905.47</v>
      </c>
      <c r="L3500">
        <v>198303</v>
      </c>
      <c r="M3500">
        <v>10407.040000000001</v>
      </c>
      <c r="N3500" s="2" t="s">
        <v>161</v>
      </c>
      <c r="O3500" s="2" t="s">
        <v>162</v>
      </c>
      <c r="P3500" s="2" t="s">
        <v>6141</v>
      </c>
      <c r="Q3500" s="2" t="s">
        <v>6142</v>
      </c>
      <c r="R3500" s="2" t="s">
        <v>29</v>
      </c>
      <c r="S3500" s="2" t="s">
        <v>30</v>
      </c>
    </row>
    <row r="3501" spans="1:19">
      <c r="A3501" s="1">
        <v>45627</v>
      </c>
      <c r="B3501" s="1">
        <v>45627</v>
      </c>
      <c r="C3501">
        <v>2024</v>
      </c>
      <c r="D3501">
        <v>12</v>
      </c>
      <c r="E3501" s="2" t="s">
        <v>165</v>
      </c>
      <c r="F3501" s="2" t="s">
        <v>166</v>
      </c>
      <c r="G3501" s="2" t="s">
        <v>21</v>
      </c>
      <c r="H3501" s="2" t="s">
        <v>22</v>
      </c>
      <c r="I3501" s="2" t="s">
        <v>23</v>
      </c>
      <c r="J3501" s="2" t="s">
        <v>24</v>
      </c>
      <c r="N3501" s="2" t="s">
        <v>167</v>
      </c>
      <c r="O3501" s="2" t="s">
        <v>168</v>
      </c>
      <c r="P3501" s="2" t="s">
        <v>175</v>
      </c>
      <c r="Q3501" s="2" t="s">
        <v>175</v>
      </c>
      <c r="R3501" s="2" t="s">
        <v>640</v>
      </c>
      <c r="S3501" s="2" t="s">
        <v>641</v>
      </c>
    </row>
    <row r="3502" spans="1:19">
      <c r="A3502" s="1">
        <v>45627</v>
      </c>
      <c r="B3502" s="1">
        <v>45627</v>
      </c>
      <c r="C3502">
        <v>2024</v>
      </c>
      <c r="D3502">
        <v>12</v>
      </c>
      <c r="E3502" s="2" t="s">
        <v>171</v>
      </c>
      <c r="F3502" s="2" t="s">
        <v>172</v>
      </c>
      <c r="G3502" s="2" t="s">
        <v>21</v>
      </c>
      <c r="H3502" s="2" t="s">
        <v>22</v>
      </c>
      <c r="I3502" s="2" t="s">
        <v>66</v>
      </c>
      <c r="J3502" s="2" t="s">
        <v>24</v>
      </c>
      <c r="N3502" s="2" t="s">
        <v>173</v>
      </c>
      <c r="O3502" s="2" t="s">
        <v>174</v>
      </c>
      <c r="P3502" s="2" t="s">
        <v>175</v>
      </c>
      <c r="Q3502" s="2" t="s">
        <v>175</v>
      </c>
      <c r="R3502" s="2" t="s">
        <v>640</v>
      </c>
      <c r="S3502" s="2" t="s">
        <v>641</v>
      </c>
    </row>
    <row r="3503" spans="1:19">
      <c r="A3503" s="1">
        <v>45627</v>
      </c>
      <c r="B3503" s="1">
        <v>45627</v>
      </c>
      <c r="C3503">
        <v>2024</v>
      </c>
      <c r="D3503">
        <v>12</v>
      </c>
      <c r="E3503" s="2" t="s">
        <v>177</v>
      </c>
      <c r="F3503" s="2" t="s">
        <v>178</v>
      </c>
      <c r="G3503" s="2" t="s">
        <v>21</v>
      </c>
      <c r="H3503" s="2" t="s">
        <v>22</v>
      </c>
      <c r="I3503" s="2" t="s">
        <v>23</v>
      </c>
      <c r="J3503" s="2" t="s">
        <v>24</v>
      </c>
      <c r="K3503">
        <v>4411.6400000000003</v>
      </c>
      <c r="L3503">
        <v>601549.15</v>
      </c>
      <c r="M3503">
        <v>13635.5</v>
      </c>
      <c r="N3503" s="2" t="s">
        <v>179</v>
      </c>
      <c r="O3503" s="2" t="s">
        <v>180</v>
      </c>
      <c r="P3503" s="2" t="s">
        <v>6143</v>
      </c>
      <c r="Q3503" s="2" t="s">
        <v>6144</v>
      </c>
      <c r="R3503" s="2" t="s">
        <v>29</v>
      </c>
      <c r="S3503" s="2" t="s">
        <v>30</v>
      </c>
    </row>
    <row r="3504" spans="1:19">
      <c r="A3504" s="1">
        <v>45627</v>
      </c>
      <c r="B3504" s="1">
        <v>45627</v>
      </c>
      <c r="C3504">
        <v>2024</v>
      </c>
      <c r="D3504">
        <v>12</v>
      </c>
      <c r="E3504" s="2" t="s">
        <v>183</v>
      </c>
      <c r="F3504" s="2" t="s">
        <v>184</v>
      </c>
      <c r="G3504" s="2" t="s">
        <v>185</v>
      </c>
      <c r="H3504" s="2" t="s">
        <v>22</v>
      </c>
      <c r="I3504" s="2" t="s">
        <v>186</v>
      </c>
      <c r="J3504" s="2" t="s">
        <v>24</v>
      </c>
      <c r="K3504">
        <v>2917.71</v>
      </c>
      <c r="L3504">
        <v>5788338.6799999997</v>
      </c>
      <c r="M3504">
        <v>198386.36</v>
      </c>
      <c r="N3504" s="2" t="s">
        <v>187</v>
      </c>
      <c r="O3504" s="2" t="s">
        <v>188</v>
      </c>
      <c r="P3504" s="2" t="s">
        <v>6145</v>
      </c>
      <c r="Q3504" s="2" t="s">
        <v>6146</v>
      </c>
      <c r="R3504" s="2" t="s">
        <v>29</v>
      </c>
      <c r="S3504" s="2" t="s">
        <v>30</v>
      </c>
    </row>
    <row r="3505" spans="1:19">
      <c r="A3505" s="1">
        <v>45627</v>
      </c>
      <c r="B3505" s="1">
        <v>45627</v>
      </c>
      <c r="C3505">
        <v>2024</v>
      </c>
      <c r="D3505">
        <v>12</v>
      </c>
      <c r="E3505" s="2" t="s">
        <v>191</v>
      </c>
      <c r="F3505" s="2" t="s">
        <v>192</v>
      </c>
      <c r="G3505" s="2" t="s">
        <v>185</v>
      </c>
      <c r="H3505" s="2" t="s">
        <v>22</v>
      </c>
      <c r="I3505" s="2" t="s">
        <v>186</v>
      </c>
      <c r="J3505" s="2" t="s">
        <v>24</v>
      </c>
      <c r="K3505">
        <v>1155</v>
      </c>
      <c r="L3505">
        <v>6414756.2199999997</v>
      </c>
      <c r="M3505">
        <v>555390.15</v>
      </c>
      <c r="N3505" s="2" t="s">
        <v>193</v>
      </c>
      <c r="O3505" s="2" t="s">
        <v>194</v>
      </c>
      <c r="P3505" s="2" t="s">
        <v>6147</v>
      </c>
      <c r="Q3505" s="2" t="s">
        <v>6148</v>
      </c>
      <c r="R3505" s="2" t="s">
        <v>29</v>
      </c>
      <c r="S3505" s="2" t="s">
        <v>30</v>
      </c>
    </row>
    <row r="3506" spans="1:19">
      <c r="A3506" s="1">
        <v>45627</v>
      </c>
      <c r="B3506" s="1">
        <v>45627</v>
      </c>
      <c r="C3506">
        <v>2024</v>
      </c>
      <c r="D3506">
        <v>12</v>
      </c>
      <c r="E3506" s="2" t="s">
        <v>197</v>
      </c>
      <c r="F3506" s="2" t="s">
        <v>198</v>
      </c>
      <c r="G3506" s="2" t="s">
        <v>185</v>
      </c>
      <c r="H3506" s="2" t="s">
        <v>22</v>
      </c>
      <c r="I3506" s="2" t="s">
        <v>186</v>
      </c>
      <c r="J3506" s="2" t="s">
        <v>59</v>
      </c>
      <c r="K3506">
        <v>4072.71</v>
      </c>
      <c r="L3506">
        <v>12203094.9</v>
      </c>
      <c r="M3506">
        <v>299630.83</v>
      </c>
      <c r="N3506" s="2" t="s">
        <v>199</v>
      </c>
      <c r="O3506" s="2" t="s">
        <v>200</v>
      </c>
      <c r="P3506" s="2" t="s">
        <v>6149</v>
      </c>
      <c r="Q3506" s="2" t="s">
        <v>6150</v>
      </c>
      <c r="R3506" s="2" t="s">
        <v>29</v>
      </c>
      <c r="S3506" s="2" t="s">
        <v>30</v>
      </c>
    </row>
    <row r="3507" spans="1:19">
      <c r="A3507" s="1">
        <v>45627</v>
      </c>
      <c r="B3507" s="1">
        <v>45627</v>
      </c>
      <c r="C3507">
        <v>2024</v>
      </c>
      <c r="D3507">
        <v>12</v>
      </c>
      <c r="E3507" s="2" t="s">
        <v>203</v>
      </c>
      <c r="F3507" s="2" t="s">
        <v>204</v>
      </c>
      <c r="G3507" s="2" t="s">
        <v>39</v>
      </c>
      <c r="H3507" s="2" t="s">
        <v>22</v>
      </c>
      <c r="I3507" s="2" t="s">
        <v>40</v>
      </c>
      <c r="J3507" s="2" t="s">
        <v>24</v>
      </c>
      <c r="K3507">
        <v>910.87</v>
      </c>
      <c r="L3507">
        <v>23194.53</v>
      </c>
      <c r="M3507">
        <v>2546.41</v>
      </c>
      <c r="N3507" s="2" t="s">
        <v>205</v>
      </c>
      <c r="O3507" s="2" t="s">
        <v>206</v>
      </c>
      <c r="P3507" s="2" t="s">
        <v>6151</v>
      </c>
      <c r="Q3507" s="2" t="s">
        <v>6152</v>
      </c>
      <c r="R3507" s="2" t="s">
        <v>29</v>
      </c>
      <c r="S3507" s="2" t="s">
        <v>30</v>
      </c>
    </row>
    <row r="3508" spans="1:19">
      <c r="A3508" s="1">
        <v>45627</v>
      </c>
      <c r="B3508" s="1">
        <v>45627</v>
      </c>
      <c r="C3508">
        <v>2024</v>
      </c>
      <c r="D3508">
        <v>12</v>
      </c>
      <c r="E3508" s="2" t="s">
        <v>209</v>
      </c>
      <c r="F3508" s="2" t="s">
        <v>210</v>
      </c>
      <c r="G3508" s="2" t="s">
        <v>39</v>
      </c>
      <c r="H3508" s="2" t="s">
        <v>22</v>
      </c>
      <c r="I3508" s="2" t="s">
        <v>40</v>
      </c>
      <c r="J3508" s="2" t="s">
        <v>59</v>
      </c>
      <c r="K3508">
        <v>910.87</v>
      </c>
      <c r="L3508">
        <v>23194.53</v>
      </c>
      <c r="M3508">
        <v>2546.41</v>
      </c>
      <c r="N3508" s="2" t="s">
        <v>211</v>
      </c>
      <c r="O3508" s="2" t="s">
        <v>212</v>
      </c>
      <c r="P3508" s="2" t="s">
        <v>6151</v>
      </c>
      <c r="Q3508" s="2" t="s">
        <v>6152</v>
      </c>
      <c r="R3508" s="2" t="s">
        <v>29</v>
      </c>
      <c r="S3508" s="2" t="s">
        <v>30</v>
      </c>
    </row>
    <row r="3509" spans="1:19">
      <c r="A3509" s="1">
        <v>45627</v>
      </c>
      <c r="B3509" s="1">
        <v>45627</v>
      </c>
      <c r="C3509">
        <v>2024</v>
      </c>
      <c r="D3509">
        <v>12</v>
      </c>
      <c r="E3509" s="2" t="s">
        <v>213</v>
      </c>
      <c r="F3509" s="2" t="s">
        <v>214</v>
      </c>
      <c r="G3509" s="2" t="s">
        <v>185</v>
      </c>
      <c r="H3509" s="2" t="s">
        <v>22</v>
      </c>
      <c r="I3509" s="2" t="s">
        <v>215</v>
      </c>
      <c r="J3509" s="2" t="s">
        <v>24</v>
      </c>
      <c r="K3509">
        <v>147580.14000000001</v>
      </c>
      <c r="L3509">
        <v>2837461.21</v>
      </c>
      <c r="M3509">
        <v>1922.66</v>
      </c>
      <c r="N3509" s="2" t="s">
        <v>216</v>
      </c>
      <c r="O3509" s="2" t="s">
        <v>217</v>
      </c>
      <c r="P3509" s="2" t="s">
        <v>6153</v>
      </c>
      <c r="Q3509" s="2" t="s">
        <v>6154</v>
      </c>
      <c r="R3509" s="2" t="s">
        <v>29</v>
      </c>
      <c r="S3509" s="2" t="s">
        <v>30</v>
      </c>
    </row>
    <row r="3510" spans="1:19">
      <c r="A3510" s="1">
        <v>45627</v>
      </c>
      <c r="B3510" s="1">
        <v>45627</v>
      </c>
      <c r="C3510">
        <v>2024</v>
      </c>
      <c r="D3510">
        <v>12</v>
      </c>
      <c r="E3510" s="2" t="s">
        <v>220</v>
      </c>
      <c r="F3510" s="2" t="s">
        <v>221</v>
      </c>
      <c r="G3510" s="2" t="s">
        <v>185</v>
      </c>
      <c r="H3510" s="2" t="s">
        <v>22</v>
      </c>
      <c r="I3510" s="2" t="s">
        <v>215</v>
      </c>
      <c r="J3510" s="2" t="s">
        <v>24</v>
      </c>
      <c r="K3510">
        <v>9183.14</v>
      </c>
      <c r="L3510">
        <v>618346.97</v>
      </c>
      <c r="M3510">
        <v>6733.5</v>
      </c>
      <c r="N3510" s="2" t="s">
        <v>222</v>
      </c>
      <c r="O3510" s="2" t="s">
        <v>223</v>
      </c>
      <c r="P3510" s="2" t="s">
        <v>6155</v>
      </c>
      <c r="Q3510" s="2" t="s">
        <v>6156</v>
      </c>
      <c r="R3510" s="2" t="s">
        <v>29</v>
      </c>
      <c r="S3510" s="2" t="s">
        <v>30</v>
      </c>
    </row>
    <row r="3511" spans="1:19">
      <c r="A3511" s="1">
        <v>45627</v>
      </c>
      <c r="B3511" s="1">
        <v>45627</v>
      </c>
      <c r="C3511">
        <v>2024</v>
      </c>
      <c r="D3511">
        <v>12</v>
      </c>
      <c r="E3511" s="2" t="s">
        <v>226</v>
      </c>
      <c r="F3511" s="2" t="s">
        <v>227</v>
      </c>
      <c r="G3511" s="2" t="s">
        <v>185</v>
      </c>
      <c r="H3511" s="2" t="s">
        <v>22</v>
      </c>
      <c r="I3511" s="2" t="s">
        <v>215</v>
      </c>
      <c r="J3511" s="2" t="s">
        <v>59</v>
      </c>
      <c r="K3511">
        <v>156763.28</v>
      </c>
      <c r="L3511">
        <v>3455808.18</v>
      </c>
      <c r="M3511">
        <v>2204.48</v>
      </c>
      <c r="N3511" s="2" t="s">
        <v>228</v>
      </c>
      <c r="O3511" s="2" t="s">
        <v>229</v>
      </c>
      <c r="P3511" s="2" t="s">
        <v>6157</v>
      </c>
      <c r="Q3511" s="2" t="s">
        <v>6158</v>
      </c>
      <c r="R3511" s="2" t="s">
        <v>29</v>
      </c>
      <c r="S3511" s="2" t="s">
        <v>30</v>
      </c>
    </row>
    <row r="3512" spans="1:19">
      <c r="A3512" s="1">
        <v>45627</v>
      </c>
      <c r="B3512" s="1">
        <v>45627</v>
      </c>
      <c r="C3512">
        <v>2024</v>
      </c>
      <c r="D3512">
        <v>12</v>
      </c>
      <c r="E3512" s="2" t="s">
        <v>232</v>
      </c>
      <c r="F3512" s="2" t="s">
        <v>233</v>
      </c>
      <c r="G3512" s="2" t="s">
        <v>21</v>
      </c>
      <c r="H3512" s="2" t="s">
        <v>22</v>
      </c>
      <c r="I3512" s="2" t="s">
        <v>23</v>
      </c>
      <c r="J3512" s="2" t="s">
        <v>24</v>
      </c>
      <c r="K3512">
        <v>1315.94</v>
      </c>
      <c r="L3512">
        <v>135695.46</v>
      </c>
      <c r="M3512">
        <v>10311.68</v>
      </c>
      <c r="N3512" s="2" t="s">
        <v>234</v>
      </c>
      <c r="O3512" s="2" t="s">
        <v>235</v>
      </c>
      <c r="P3512" s="2" t="s">
        <v>6159</v>
      </c>
      <c r="Q3512" s="2" t="s">
        <v>6160</v>
      </c>
      <c r="R3512" s="2" t="s">
        <v>29</v>
      </c>
      <c r="S3512" s="2" t="s">
        <v>30</v>
      </c>
    </row>
    <row r="3513" spans="1:19">
      <c r="A3513" s="1">
        <v>45627</v>
      </c>
      <c r="B3513" s="1">
        <v>45627</v>
      </c>
      <c r="C3513">
        <v>2024</v>
      </c>
      <c r="D3513">
        <v>12</v>
      </c>
      <c r="E3513" s="2" t="s">
        <v>238</v>
      </c>
      <c r="F3513" s="2" t="s">
        <v>239</v>
      </c>
      <c r="G3513" s="2" t="s">
        <v>21</v>
      </c>
      <c r="H3513" s="2" t="s">
        <v>22</v>
      </c>
      <c r="I3513" s="2" t="s">
        <v>66</v>
      </c>
      <c r="J3513" s="2" t="s">
        <v>24</v>
      </c>
      <c r="K3513">
        <v>1738.32</v>
      </c>
      <c r="L3513">
        <v>197549.01</v>
      </c>
      <c r="M3513">
        <v>11364.36</v>
      </c>
      <c r="N3513" s="2" t="s">
        <v>240</v>
      </c>
      <c r="O3513" s="2" t="s">
        <v>241</v>
      </c>
      <c r="P3513" s="2" t="s">
        <v>6161</v>
      </c>
      <c r="Q3513" s="2" t="s">
        <v>6162</v>
      </c>
      <c r="R3513" s="2" t="s">
        <v>29</v>
      </c>
      <c r="S3513" s="2" t="s">
        <v>30</v>
      </c>
    </row>
    <row r="3514" spans="1:19">
      <c r="A3514" s="1">
        <v>45627</v>
      </c>
      <c r="B3514" s="1">
        <v>45627</v>
      </c>
      <c r="C3514">
        <v>2024</v>
      </c>
      <c r="D3514">
        <v>12</v>
      </c>
      <c r="E3514" s="2" t="s">
        <v>244</v>
      </c>
      <c r="F3514" s="2" t="s">
        <v>245</v>
      </c>
      <c r="G3514" s="2" t="s">
        <v>21</v>
      </c>
      <c r="H3514" s="2" t="s">
        <v>22</v>
      </c>
      <c r="I3514" s="2" t="s">
        <v>23</v>
      </c>
      <c r="J3514" s="2" t="s">
        <v>24</v>
      </c>
      <c r="K3514">
        <v>8307.02</v>
      </c>
      <c r="L3514">
        <v>3814965.98</v>
      </c>
      <c r="M3514">
        <v>45924.6</v>
      </c>
      <c r="N3514" s="2" t="s">
        <v>246</v>
      </c>
      <c r="O3514" s="2" t="s">
        <v>247</v>
      </c>
      <c r="P3514" s="2" t="s">
        <v>6163</v>
      </c>
      <c r="Q3514" s="2" t="s">
        <v>6164</v>
      </c>
      <c r="R3514" s="2" t="s">
        <v>29</v>
      </c>
      <c r="S3514" s="2" t="s">
        <v>30</v>
      </c>
    </row>
    <row r="3515" spans="1:19">
      <c r="A3515" s="1">
        <v>45627</v>
      </c>
      <c r="B3515" s="1">
        <v>45627</v>
      </c>
      <c r="C3515">
        <v>2024</v>
      </c>
      <c r="D3515">
        <v>12</v>
      </c>
      <c r="E3515" s="2" t="s">
        <v>250</v>
      </c>
      <c r="F3515" s="2" t="s">
        <v>251</v>
      </c>
      <c r="G3515" s="2" t="s">
        <v>21</v>
      </c>
      <c r="H3515" s="2" t="s">
        <v>22</v>
      </c>
      <c r="I3515" s="2" t="s">
        <v>66</v>
      </c>
      <c r="J3515" s="2" t="s">
        <v>24</v>
      </c>
      <c r="K3515">
        <v>149.97</v>
      </c>
      <c r="L3515">
        <v>206.9</v>
      </c>
      <c r="M3515">
        <v>137.96</v>
      </c>
      <c r="N3515" s="2" t="s">
        <v>252</v>
      </c>
      <c r="O3515" s="2" t="s">
        <v>253</v>
      </c>
      <c r="P3515" s="2" t="s">
        <v>6165</v>
      </c>
      <c r="Q3515" s="2" t="s">
        <v>6166</v>
      </c>
      <c r="R3515" s="2" t="s">
        <v>29</v>
      </c>
      <c r="S3515" s="2" t="s">
        <v>30</v>
      </c>
    </row>
    <row r="3516" spans="1:19">
      <c r="A3516" s="1">
        <v>45627</v>
      </c>
      <c r="B3516" s="1">
        <v>45627</v>
      </c>
      <c r="C3516">
        <v>2024</v>
      </c>
      <c r="D3516">
        <v>12</v>
      </c>
      <c r="E3516" s="2" t="s">
        <v>256</v>
      </c>
      <c r="F3516" s="2" t="s">
        <v>257</v>
      </c>
      <c r="G3516" s="2" t="s">
        <v>21</v>
      </c>
      <c r="H3516" s="2" t="s">
        <v>22</v>
      </c>
      <c r="I3516" s="2" t="s">
        <v>258</v>
      </c>
      <c r="J3516" s="2" t="s">
        <v>24</v>
      </c>
      <c r="K3516">
        <v>506.56</v>
      </c>
      <c r="L3516">
        <v>587878.97</v>
      </c>
      <c r="M3516">
        <v>116053.18</v>
      </c>
      <c r="N3516" s="2" t="s">
        <v>259</v>
      </c>
      <c r="O3516" s="2" t="s">
        <v>260</v>
      </c>
      <c r="P3516" s="2" t="s">
        <v>6167</v>
      </c>
      <c r="Q3516" s="2" t="s">
        <v>6168</v>
      </c>
      <c r="R3516" s="2" t="s">
        <v>29</v>
      </c>
      <c r="S3516" s="2" t="s">
        <v>30</v>
      </c>
    </row>
    <row r="3517" spans="1:19">
      <c r="A3517" s="1">
        <v>45627</v>
      </c>
      <c r="B3517" s="1">
        <v>45627</v>
      </c>
      <c r="C3517">
        <v>2024</v>
      </c>
      <c r="D3517">
        <v>12</v>
      </c>
      <c r="E3517" s="2" t="s">
        <v>263</v>
      </c>
      <c r="F3517" s="2" t="s">
        <v>264</v>
      </c>
      <c r="G3517" s="2" t="s">
        <v>21</v>
      </c>
      <c r="H3517" s="2" t="s">
        <v>22</v>
      </c>
      <c r="I3517" s="2" t="s">
        <v>258</v>
      </c>
      <c r="J3517" s="2" t="s">
        <v>24</v>
      </c>
      <c r="K3517">
        <v>0</v>
      </c>
      <c r="L3517">
        <v>0</v>
      </c>
      <c r="N3517" s="2" t="s">
        <v>265</v>
      </c>
      <c r="O3517" s="2" t="s">
        <v>266</v>
      </c>
      <c r="P3517" s="2" t="s">
        <v>639</v>
      </c>
      <c r="Q3517" s="2" t="s">
        <v>639</v>
      </c>
      <c r="R3517" s="2" t="s">
        <v>29</v>
      </c>
      <c r="S3517" s="2" t="s">
        <v>30</v>
      </c>
    </row>
    <row r="3518" spans="1:19">
      <c r="A3518" s="1">
        <v>45627</v>
      </c>
      <c r="B3518" s="1">
        <v>45627</v>
      </c>
      <c r="C3518">
        <v>2024</v>
      </c>
      <c r="D3518">
        <v>12</v>
      </c>
      <c r="E3518" s="2" t="s">
        <v>269</v>
      </c>
      <c r="F3518" s="2" t="s">
        <v>270</v>
      </c>
      <c r="G3518" s="2" t="s">
        <v>21</v>
      </c>
      <c r="H3518" s="2" t="s">
        <v>22</v>
      </c>
      <c r="I3518" s="2" t="s">
        <v>258</v>
      </c>
      <c r="J3518" s="2" t="s">
        <v>59</v>
      </c>
      <c r="K3518">
        <v>506.56</v>
      </c>
      <c r="L3518">
        <v>587878.97</v>
      </c>
      <c r="M3518">
        <v>116053.18</v>
      </c>
      <c r="N3518" s="2" t="s">
        <v>271</v>
      </c>
      <c r="O3518" s="2" t="s">
        <v>272</v>
      </c>
      <c r="P3518" s="2" t="s">
        <v>6167</v>
      </c>
      <c r="Q3518" s="2" t="s">
        <v>6168</v>
      </c>
      <c r="R3518" s="2" t="s">
        <v>29</v>
      </c>
      <c r="S3518" s="2" t="s">
        <v>30</v>
      </c>
    </row>
    <row r="3519" spans="1:19">
      <c r="A3519" s="1">
        <v>45627</v>
      </c>
      <c r="B3519" s="1">
        <v>45627</v>
      </c>
      <c r="C3519">
        <v>2024</v>
      </c>
      <c r="D3519">
        <v>12</v>
      </c>
      <c r="E3519" s="2" t="s">
        <v>275</v>
      </c>
      <c r="F3519" s="2" t="s">
        <v>276</v>
      </c>
      <c r="G3519" s="2" t="s">
        <v>39</v>
      </c>
      <c r="H3519" s="2" t="s">
        <v>22</v>
      </c>
      <c r="I3519" s="2" t="s">
        <v>40</v>
      </c>
      <c r="J3519" s="2" t="s">
        <v>24</v>
      </c>
      <c r="K3519">
        <v>0.26</v>
      </c>
      <c r="L3519">
        <v>3</v>
      </c>
      <c r="M3519">
        <v>1153.8499999999999</v>
      </c>
      <c r="N3519" s="2" t="s">
        <v>277</v>
      </c>
      <c r="O3519" s="2" t="s">
        <v>278</v>
      </c>
      <c r="P3519" s="2" t="s">
        <v>1941</v>
      </c>
      <c r="Q3519" s="2" t="s">
        <v>5806</v>
      </c>
      <c r="R3519" s="2" t="s">
        <v>29</v>
      </c>
      <c r="S3519" s="2" t="s">
        <v>30</v>
      </c>
    </row>
    <row r="3520" spans="1:19">
      <c r="A3520" s="1">
        <v>45627</v>
      </c>
      <c r="B3520" s="1">
        <v>45627</v>
      </c>
      <c r="C3520">
        <v>2024</v>
      </c>
      <c r="D3520">
        <v>12</v>
      </c>
      <c r="E3520" s="2" t="s">
        <v>281</v>
      </c>
      <c r="F3520" s="2" t="s">
        <v>282</v>
      </c>
      <c r="G3520" s="2" t="s">
        <v>39</v>
      </c>
      <c r="H3520" s="2" t="s">
        <v>22</v>
      </c>
      <c r="I3520" s="2" t="s">
        <v>40</v>
      </c>
      <c r="J3520" s="2" t="s">
        <v>24</v>
      </c>
      <c r="K3520">
        <v>0.03</v>
      </c>
      <c r="L3520">
        <v>0.31</v>
      </c>
      <c r="M3520">
        <v>1033.33</v>
      </c>
      <c r="N3520" s="2" t="s">
        <v>283</v>
      </c>
      <c r="O3520" s="2" t="s">
        <v>284</v>
      </c>
      <c r="P3520" s="2" t="s">
        <v>1247</v>
      </c>
      <c r="Q3520" s="2" t="s">
        <v>2811</v>
      </c>
      <c r="R3520" s="2" t="s">
        <v>29</v>
      </c>
      <c r="S3520" s="2" t="s">
        <v>30</v>
      </c>
    </row>
    <row r="3521" spans="1:19">
      <c r="A3521" s="1">
        <v>45627</v>
      </c>
      <c r="B3521" s="1">
        <v>45627</v>
      </c>
      <c r="C3521">
        <v>2024</v>
      </c>
      <c r="D3521">
        <v>12</v>
      </c>
      <c r="E3521" s="2" t="s">
        <v>287</v>
      </c>
      <c r="F3521" s="2" t="s">
        <v>288</v>
      </c>
      <c r="G3521" s="2" t="s">
        <v>39</v>
      </c>
      <c r="H3521" s="2" t="s">
        <v>22</v>
      </c>
      <c r="I3521" s="2" t="s">
        <v>40</v>
      </c>
      <c r="J3521" s="2" t="s">
        <v>59</v>
      </c>
      <c r="K3521">
        <v>0.28999999999999998</v>
      </c>
      <c r="L3521">
        <v>3.31</v>
      </c>
      <c r="M3521">
        <v>1141.3800000000001</v>
      </c>
      <c r="N3521" s="2" t="s">
        <v>289</v>
      </c>
      <c r="O3521" s="2" t="s">
        <v>290</v>
      </c>
      <c r="P3521" s="2" t="s">
        <v>1138</v>
      </c>
      <c r="Q3521" s="2" t="s">
        <v>1194</v>
      </c>
      <c r="R3521" s="2" t="s">
        <v>29</v>
      </c>
      <c r="S3521" s="2" t="s">
        <v>30</v>
      </c>
    </row>
    <row r="3522" spans="1:19">
      <c r="A3522" s="1">
        <v>45627</v>
      </c>
      <c r="B3522" s="1">
        <v>45627</v>
      </c>
      <c r="C3522">
        <v>2024</v>
      </c>
      <c r="D3522">
        <v>12</v>
      </c>
      <c r="E3522" s="2" t="s">
        <v>293</v>
      </c>
      <c r="F3522" s="2" t="s">
        <v>294</v>
      </c>
      <c r="G3522" s="2" t="s">
        <v>21</v>
      </c>
      <c r="H3522" s="2" t="s">
        <v>22</v>
      </c>
      <c r="I3522" s="2" t="s">
        <v>295</v>
      </c>
      <c r="J3522" s="2" t="s">
        <v>24</v>
      </c>
      <c r="K3522">
        <v>862.31</v>
      </c>
      <c r="L3522">
        <v>3564.99</v>
      </c>
      <c r="M3522">
        <v>413.42</v>
      </c>
      <c r="N3522" s="2" t="s">
        <v>296</v>
      </c>
      <c r="O3522" s="2" t="s">
        <v>297</v>
      </c>
      <c r="P3522" s="2" t="s">
        <v>6169</v>
      </c>
      <c r="Q3522" s="2" t="s">
        <v>6170</v>
      </c>
      <c r="R3522" s="2" t="s">
        <v>29</v>
      </c>
      <c r="S3522" s="2" t="s">
        <v>30</v>
      </c>
    </row>
    <row r="3523" spans="1:19">
      <c r="A3523" s="1">
        <v>45627</v>
      </c>
      <c r="B3523" s="1">
        <v>45627</v>
      </c>
      <c r="C3523">
        <v>2024</v>
      </c>
      <c r="D3523">
        <v>12</v>
      </c>
      <c r="E3523" s="2" t="s">
        <v>300</v>
      </c>
      <c r="F3523" s="2" t="s">
        <v>301</v>
      </c>
      <c r="G3523" s="2" t="s">
        <v>21</v>
      </c>
      <c r="H3523" s="2" t="s">
        <v>22</v>
      </c>
      <c r="I3523" s="2" t="s">
        <v>295</v>
      </c>
      <c r="J3523" s="2" t="s">
        <v>24</v>
      </c>
      <c r="K3523">
        <v>684.93</v>
      </c>
      <c r="L3523">
        <v>990.54</v>
      </c>
      <c r="M3523">
        <v>144.62</v>
      </c>
      <c r="N3523" s="2" t="s">
        <v>302</v>
      </c>
      <c r="O3523" s="2" t="s">
        <v>303</v>
      </c>
      <c r="P3523" s="2" t="s">
        <v>6171</v>
      </c>
      <c r="Q3523" s="2" t="s">
        <v>6172</v>
      </c>
      <c r="R3523" s="2" t="s">
        <v>29</v>
      </c>
      <c r="S3523" s="2" t="s">
        <v>30</v>
      </c>
    </row>
    <row r="3524" spans="1:19">
      <c r="A3524" s="1">
        <v>45627</v>
      </c>
      <c r="B3524" s="1">
        <v>45627</v>
      </c>
      <c r="C3524">
        <v>2024</v>
      </c>
      <c r="D3524">
        <v>12</v>
      </c>
      <c r="E3524" s="2" t="s">
        <v>306</v>
      </c>
      <c r="F3524" s="2" t="s">
        <v>307</v>
      </c>
      <c r="G3524" s="2" t="s">
        <v>21</v>
      </c>
      <c r="H3524" s="2" t="s">
        <v>22</v>
      </c>
      <c r="I3524" s="2" t="s">
        <v>295</v>
      </c>
      <c r="J3524" s="2" t="s">
        <v>101</v>
      </c>
      <c r="K3524">
        <v>1547.24</v>
      </c>
      <c r="L3524">
        <v>4555.53</v>
      </c>
      <c r="M3524">
        <v>294.43</v>
      </c>
      <c r="N3524" s="2" t="s">
        <v>308</v>
      </c>
      <c r="O3524" s="2" t="s">
        <v>309</v>
      </c>
      <c r="P3524" s="2" t="s">
        <v>6173</v>
      </c>
      <c r="Q3524" s="2" t="s">
        <v>6174</v>
      </c>
      <c r="R3524" s="2" t="s">
        <v>29</v>
      </c>
      <c r="S3524" s="2" t="s">
        <v>30</v>
      </c>
    </row>
    <row r="3525" spans="1:19">
      <c r="A3525" s="1">
        <v>45627</v>
      </c>
      <c r="B3525" s="1">
        <v>45627</v>
      </c>
      <c r="C3525">
        <v>2024</v>
      </c>
      <c r="D3525">
        <v>12</v>
      </c>
      <c r="E3525" s="2" t="s">
        <v>312</v>
      </c>
      <c r="F3525" s="2" t="s">
        <v>313</v>
      </c>
      <c r="G3525" s="2" t="s">
        <v>21</v>
      </c>
      <c r="H3525" s="2" t="s">
        <v>22</v>
      </c>
      <c r="I3525" s="2" t="s">
        <v>295</v>
      </c>
      <c r="J3525" s="2" t="s">
        <v>59</v>
      </c>
      <c r="K3525">
        <v>6377.99</v>
      </c>
      <c r="L3525">
        <v>18992.22</v>
      </c>
      <c r="M3525">
        <v>297.77999999999997</v>
      </c>
      <c r="N3525" s="2" t="s">
        <v>314</v>
      </c>
      <c r="O3525" s="2" t="s">
        <v>315</v>
      </c>
      <c r="P3525" s="2" t="s">
        <v>6175</v>
      </c>
      <c r="Q3525" s="2" t="s">
        <v>6176</v>
      </c>
      <c r="R3525" s="2" t="s">
        <v>29</v>
      </c>
      <c r="S3525" s="2" t="s">
        <v>30</v>
      </c>
    </row>
    <row r="3526" spans="1:19">
      <c r="A3526" s="1">
        <v>45627</v>
      </c>
      <c r="B3526" s="1">
        <v>45627</v>
      </c>
      <c r="C3526">
        <v>2024</v>
      </c>
      <c r="D3526">
        <v>12</v>
      </c>
      <c r="E3526" s="2" t="s">
        <v>318</v>
      </c>
      <c r="F3526" s="2" t="s">
        <v>319</v>
      </c>
      <c r="G3526" s="2" t="s">
        <v>21</v>
      </c>
      <c r="H3526" s="2" t="s">
        <v>22</v>
      </c>
      <c r="I3526" s="2" t="s">
        <v>295</v>
      </c>
      <c r="J3526" s="2" t="s">
        <v>24</v>
      </c>
      <c r="K3526">
        <v>4830.75</v>
      </c>
      <c r="L3526">
        <v>14436.69</v>
      </c>
      <c r="M3526">
        <v>298.85000000000002</v>
      </c>
      <c r="N3526" s="2" t="s">
        <v>320</v>
      </c>
      <c r="O3526" s="2" t="s">
        <v>321</v>
      </c>
      <c r="P3526" s="2" t="s">
        <v>6177</v>
      </c>
      <c r="Q3526" s="2" t="s">
        <v>6178</v>
      </c>
      <c r="R3526" s="2" t="s">
        <v>29</v>
      </c>
      <c r="S3526" s="2" t="s">
        <v>30</v>
      </c>
    </row>
    <row r="3527" spans="1:19">
      <c r="A3527" s="1">
        <v>45627</v>
      </c>
      <c r="B3527" s="1">
        <v>45627</v>
      </c>
      <c r="C3527">
        <v>2024</v>
      </c>
      <c r="D3527">
        <v>12</v>
      </c>
      <c r="E3527" s="2" t="s">
        <v>324</v>
      </c>
      <c r="F3527" s="2" t="s">
        <v>325</v>
      </c>
      <c r="G3527" s="2" t="s">
        <v>21</v>
      </c>
      <c r="H3527" s="2" t="s">
        <v>22</v>
      </c>
      <c r="I3527" s="2" t="s">
        <v>23</v>
      </c>
      <c r="J3527" s="2" t="s">
        <v>59</v>
      </c>
      <c r="K3527">
        <v>183786.41</v>
      </c>
      <c r="L3527">
        <v>6935631.8600000003</v>
      </c>
      <c r="M3527">
        <v>3773.75</v>
      </c>
      <c r="N3527" s="2" t="s">
        <v>326</v>
      </c>
      <c r="O3527" s="2" t="s">
        <v>327</v>
      </c>
      <c r="P3527" s="2" t="s">
        <v>6179</v>
      </c>
      <c r="Q3527" s="2" t="s">
        <v>6180</v>
      </c>
      <c r="R3527" s="2" t="s">
        <v>29</v>
      </c>
      <c r="S3527" s="2" t="s">
        <v>30</v>
      </c>
    </row>
    <row r="3528" spans="1:19">
      <c r="A3528" s="1">
        <v>45627</v>
      </c>
      <c r="B3528" s="1">
        <v>45627</v>
      </c>
      <c r="C3528">
        <v>2024</v>
      </c>
      <c r="D3528">
        <v>12</v>
      </c>
      <c r="E3528" s="2" t="s">
        <v>330</v>
      </c>
      <c r="F3528" s="2" t="s">
        <v>331</v>
      </c>
      <c r="G3528" s="2" t="s">
        <v>21</v>
      </c>
      <c r="H3528" s="2" t="s">
        <v>332</v>
      </c>
      <c r="I3528" s="2" t="s">
        <v>333</v>
      </c>
      <c r="J3528" s="2" t="s">
        <v>24</v>
      </c>
      <c r="K3528">
        <v>261.11</v>
      </c>
      <c r="L3528">
        <v>17161423.370000001</v>
      </c>
      <c r="M3528">
        <v>6572487.9800000004</v>
      </c>
      <c r="N3528" s="2" t="s">
        <v>334</v>
      </c>
      <c r="O3528" s="2" t="s">
        <v>335</v>
      </c>
      <c r="P3528" s="2" t="s">
        <v>6181</v>
      </c>
      <c r="Q3528" s="2" t="s">
        <v>6182</v>
      </c>
      <c r="R3528" s="2" t="s">
        <v>29</v>
      </c>
      <c r="S3528" s="2" t="s">
        <v>30</v>
      </c>
    </row>
    <row r="3529" spans="1:19">
      <c r="A3529" s="1">
        <v>45627</v>
      </c>
      <c r="B3529" s="1">
        <v>45627</v>
      </c>
      <c r="C3529">
        <v>2024</v>
      </c>
      <c r="D3529">
        <v>12</v>
      </c>
      <c r="E3529" s="2" t="s">
        <v>338</v>
      </c>
      <c r="F3529" s="2" t="s">
        <v>339</v>
      </c>
      <c r="G3529" s="2" t="s">
        <v>21</v>
      </c>
      <c r="H3529" s="2" t="s">
        <v>332</v>
      </c>
      <c r="I3529" s="2" t="s">
        <v>333</v>
      </c>
      <c r="J3529" s="2" t="s">
        <v>24</v>
      </c>
      <c r="K3529">
        <v>1.17</v>
      </c>
      <c r="L3529">
        <v>2002163.43</v>
      </c>
      <c r="M3529">
        <v>171125079.49000001</v>
      </c>
      <c r="N3529" s="2" t="s">
        <v>340</v>
      </c>
      <c r="O3529" s="2" t="s">
        <v>341</v>
      </c>
      <c r="P3529" s="2" t="s">
        <v>618</v>
      </c>
      <c r="Q3529" s="2" t="s">
        <v>6183</v>
      </c>
      <c r="R3529" s="2" t="s">
        <v>29</v>
      </c>
      <c r="S3529" s="2" t="s">
        <v>30</v>
      </c>
    </row>
    <row r="3530" spans="1:19">
      <c r="A3530" s="1">
        <v>45627</v>
      </c>
      <c r="B3530" s="1">
        <v>45627</v>
      </c>
      <c r="C3530">
        <v>2024</v>
      </c>
      <c r="D3530">
        <v>12</v>
      </c>
      <c r="E3530" s="2" t="s">
        <v>344</v>
      </c>
      <c r="F3530" s="2" t="s">
        <v>345</v>
      </c>
      <c r="G3530" s="2" t="s">
        <v>21</v>
      </c>
      <c r="H3530" s="2" t="s">
        <v>332</v>
      </c>
      <c r="I3530" s="2" t="s">
        <v>333</v>
      </c>
      <c r="J3530" s="2" t="s">
        <v>59</v>
      </c>
      <c r="K3530">
        <v>262.29000000000002</v>
      </c>
      <c r="L3530">
        <v>19163586.800000001</v>
      </c>
      <c r="M3530">
        <v>7306259.0300000003</v>
      </c>
      <c r="N3530" s="2" t="s">
        <v>346</v>
      </c>
      <c r="O3530" s="2" t="s">
        <v>347</v>
      </c>
      <c r="P3530" s="2" t="s">
        <v>6184</v>
      </c>
      <c r="Q3530" s="2" t="s">
        <v>6185</v>
      </c>
      <c r="R3530" s="2" t="s">
        <v>29</v>
      </c>
      <c r="S3530" s="2" t="s">
        <v>30</v>
      </c>
    </row>
    <row r="3531" spans="1:19">
      <c r="A3531" s="1">
        <v>45627</v>
      </c>
      <c r="B3531" s="1">
        <v>45627</v>
      </c>
      <c r="C3531">
        <v>2024</v>
      </c>
      <c r="D3531">
        <v>12</v>
      </c>
      <c r="E3531" s="2" t="s">
        <v>350</v>
      </c>
      <c r="F3531" s="2" t="s">
        <v>351</v>
      </c>
      <c r="G3531" s="2" t="s">
        <v>21</v>
      </c>
      <c r="H3531" s="2" t="s">
        <v>22</v>
      </c>
      <c r="I3531" s="2" t="s">
        <v>352</v>
      </c>
      <c r="J3531" s="2" t="s">
        <v>353</v>
      </c>
      <c r="K3531">
        <v>197940.75</v>
      </c>
      <c r="L3531">
        <v>26545062.149999999</v>
      </c>
      <c r="M3531">
        <v>13410.61</v>
      </c>
      <c r="N3531" s="2" t="s">
        <v>354</v>
      </c>
      <c r="O3531" s="2" t="s">
        <v>355</v>
      </c>
      <c r="P3531" s="2" t="s">
        <v>6186</v>
      </c>
      <c r="Q3531" s="2" t="s">
        <v>6187</v>
      </c>
      <c r="R3531" s="2" t="s">
        <v>29</v>
      </c>
      <c r="S3531" s="2" t="s">
        <v>30</v>
      </c>
    </row>
    <row r="3532" spans="1:19">
      <c r="A3532" s="1">
        <v>45627</v>
      </c>
      <c r="B3532" s="1">
        <v>45627</v>
      </c>
      <c r="C3532">
        <v>2024</v>
      </c>
      <c r="D3532">
        <v>12</v>
      </c>
      <c r="E3532" s="2" t="s">
        <v>358</v>
      </c>
      <c r="F3532" s="2" t="s">
        <v>359</v>
      </c>
      <c r="G3532" s="2" t="s">
        <v>21</v>
      </c>
      <c r="H3532" s="2" t="s">
        <v>22</v>
      </c>
      <c r="I3532" s="2" t="s">
        <v>352</v>
      </c>
      <c r="J3532" s="2" t="s">
        <v>353</v>
      </c>
      <c r="K3532">
        <v>198447.31</v>
      </c>
      <c r="L3532">
        <v>27132941.120000001</v>
      </c>
      <c r="M3532">
        <v>13672.62</v>
      </c>
      <c r="N3532" s="2" t="s">
        <v>360</v>
      </c>
      <c r="O3532" s="2" t="s">
        <v>361</v>
      </c>
      <c r="P3532" s="2" t="s">
        <v>6188</v>
      </c>
      <c r="Q3532" s="2" t="s">
        <v>6189</v>
      </c>
      <c r="R3532" s="2" t="s">
        <v>29</v>
      </c>
      <c r="S3532" s="2" t="s">
        <v>30</v>
      </c>
    </row>
    <row r="3533" spans="1:19">
      <c r="A3533" s="1">
        <v>45627</v>
      </c>
      <c r="B3533" s="1">
        <v>45627</v>
      </c>
      <c r="C3533">
        <v>2024</v>
      </c>
      <c r="D3533">
        <v>12</v>
      </c>
      <c r="E3533" s="2" t="s">
        <v>364</v>
      </c>
      <c r="F3533" s="2" t="s">
        <v>365</v>
      </c>
      <c r="G3533" s="2" t="s">
        <v>21</v>
      </c>
      <c r="H3533" s="2" t="s">
        <v>22</v>
      </c>
      <c r="I3533" s="2" t="s">
        <v>352</v>
      </c>
      <c r="J3533" s="2" t="s">
        <v>353</v>
      </c>
      <c r="K3533">
        <v>198185.02</v>
      </c>
      <c r="L3533">
        <v>7969354.3200000003</v>
      </c>
      <c r="M3533">
        <v>4021.17</v>
      </c>
      <c r="N3533" s="2" t="s">
        <v>366</v>
      </c>
      <c r="O3533" s="2" t="s">
        <v>367</v>
      </c>
      <c r="P3533" s="2" t="s">
        <v>6190</v>
      </c>
      <c r="Q3533" s="2" t="s">
        <v>6191</v>
      </c>
      <c r="R3533" s="2" t="s">
        <v>29</v>
      </c>
      <c r="S3533" s="2" t="s">
        <v>30</v>
      </c>
    </row>
    <row r="3534" spans="1:19">
      <c r="A3534" s="1">
        <v>45627</v>
      </c>
      <c r="B3534" s="1">
        <v>45627</v>
      </c>
      <c r="C3534">
        <v>2024</v>
      </c>
      <c r="D3534">
        <v>12</v>
      </c>
      <c r="E3534" s="2" t="s">
        <v>370</v>
      </c>
      <c r="F3534" s="2" t="s">
        <v>371</v>
      </c>
      <c r="G3534" s="2" t="s">
        <v>21</v>
      </c>
      <c r="H3534" s="2" t="s">
        <v>22</v>
      </c>
      <c r="I3534" s="2" t="s">
        <v>23</v>
      </c>
      <c r="J3534" s="2" t="s">
        <v>24</v>
      </c>
      <c r="K3534">
        <v>167300.09</v>
      </c>
      <c r="L3534">
        <v>2324699.94</v>
      </c>
      <c r="M3534">
        <v>1389.54</v>
      </c>
      <c r="N3534" s="2" t="s">
        <v>372</v>
      </c>
      <c r="O3534" s="2" t="s">
        <v>373</v>
      </c>
      <c r="P3534" s="2" t="s">
        <v>6192</v>
      </c>
      <c r="Q3534" s="2" t="s">
        <v>6193</v>
      </c>
      <c r="R3534" s="2" t="s">
        <v>29</v>
      </c>
      <c r="S3534" s="2" t="s">
        <v>30</v>
      </c>
    </row>
    <row r="3535" spans="1:19">
      <c r="A3535" s="1">
        <v>45627</v>
      </c>
      <c r="B3535" s="1">
        <v>45627</v>
      </c>
      <c r="C3535">
        <v>2024</v>
      </c>
      <c r="D3535">
        <v>12</v>
      </c>
      <c r="E3535" s="2" t="s">
        <v>376</v>
      </c>
      <c r="F3535" s="2" t="s">
        <v>377</v>
      </c>
      <c r="G3535" s="2" t="s">
        <v>21</v>
      </c>
      <c r="H3535" s="2" t="s">
        <v>22</v>
      </c>
      <c r="I3535" s="2" t="s">
        <v>23</v>
      </c>
      <c r="J3535" s="2" t="s">
        <v>378</v>
      </c>
      <c r="K3535">
        <v>1.56</v>
      </c>
      <c r="L3535">
        <v>16.100000000000001</v>
      </c>
      <c r="M3535">
        <v>1032.05</v>
      </c>
      <c r="N3535" s="2" t="s">
        <v>379</v>
      </c>
      <c r="O3535" s="2" t="s">
        <v>380</v>
      </c>
      <c r="P3535" s="2" t="s">
        <v>6106</v>
      </c>
      <c r="Q3535" s="2" t="s">
        <v>6194</v>
      </c>
      <c r="R3535" s="2" t="s">
        <v>29</v>
      </c>
      <c r="S3535" s="2" t="s">
        <v>30</v>
      </c>
    </row>
    <row r="3536" spans="1:19">
      <c r="A3536" s="1">
        <v>45658</v>
      </c>
      <c r="B3536" s="1">
        <v>45658</v>
      </c>
      <c r="C3536">
        <v>2025</v>
      </c>
      <c r="D3536">
        <v>1</v>
      </c>
      <c r="E3536" s="2" t="s">
        <v>19</v>
      </c>
      <c r="F3536" s="2" t="s">
        <v>20</v>
      </c>
      <c r="G3536" s="2" t="s">
        <v>21</v>
      </c>
      <c r="H3536" s="2" t="s">
        <v>22</v>
      </c>
      <c r="I3536" s="2" t="s">
        <v>23</v>
      </c>
      <c r="J3536" s="2" t="s">
        <v>24</v>
      </c>
      <c r="K3536">
        <v>0.31</v>
      </c>
      <c r="L3536">
        <v>17.62</v>
      </c>
      <c r="M3536">
        <v>5683.87</v>
      </c>
      <c r="N3536" s="2" t="s">
        <v>25</v>
      </c>
      <c r="O3536" s="2" t="s">
        <v>26</v>
      </c>
      <c r="P3536" s="2" t="s">
        <v>2811</v>
      </c>
      <c r="Q3536" s="2" t="s">
        <v>6195</v>
      </c>
      <c r="R3536" s="2" t="s">
        <v>29</v>
      </c>
      <c r="S3536" s="2" t="s">
        <v>30</v>
      </c>
    </row>
    <row r="3537" spans="1:19">
      <c r="A3537" s="1">
        <v>45658</v>
      </c>
      <c r="B3537" s="1">
        <v>45658</v>
      </c>
      <c r="C3537">
        <v>2025</v>
      </c>
      <c r="D3537">
        <v>1</v>
      </c>
      <c r="E3537" s="2" t="s">
        <v>31</v>
      </c>
      <c r="F3537" s="2" t="s">
        <v>32</v>
      </c>
      <c r="G3537" s="2" t="s">
        <v>21</v>
      </c>
      <c r="H3537" s="2" t="s">
        <v>22</v>
      </c>
      <c r="I3537" s="2" t="s">
        <v>23</v>
      </c>
      <c r="J3537" s="2" t="s">
        <v>24</v>
      </c>
      <c r="K3537">
        <v>2263.21</v>
      </c>
      <c r="L3537">
        <v>52279.51</v>
      </c>
      <c r="M3537">
        <v>2309.9699999999998</v>
      </c>
      <c r="N3537" s="2" t="s">
        <v>33</v>
      </c>
      <c r="O3537" s="2" t="s">
        <v>34</v>
      </c>
      <c r="P3537" s="2" t="s">
        <v>6196</v>
      </c>
      <c r="Q3537" s="2" t="s">
        <v>6197</v>
      </c>
      <c r="R3537" s="2" t="s">
        <v>29</v>
      </c>
      <c r="S3537" s="2" t="s">
        <v>30</v>
      </c>
    </row>
    <row r="3538" spans="1:19">
      <c r="A3538" s="1">
        <v>45658</v>
      </c>
      <c r="B3538" s="1">
        <v>45658</v>
      </c>
      <c r="C3538">
        <v>2025</v>
      </c>
      <c r="D3538">
        <v>1</v>
      </c>
      <c r="E3538" s="2" t="s">
        <v>37</v>
      </c>
      <c r="F3538" s="2" t="s">
        <v>38</v>
      </c>
      <c r="G3538" s="2" t="s">
        <v>39</v>
      </c>
      <c r="H3538" s="2" t="s">
        <v>22</v>
      </c>
      <c r="I3538" s="2" t="s">
        <v>40</v>
      </c>
      <c r="J3538" s="2" t="s">
        <v>24</v>
      </c>
      <c r="K3538">
        <v>7.79</v>
      </c>
      <c r="L3538">
        <v>412.39</v>
      </c>
      <c r="M3538">
        <v>5293.84</v>
      </c>
      <c r="N3538" s="2" t="s">
        <v>41</v>
      </c>
      <c r="O3538" s="2" t="s">
        <v>42</v>
      </c>
      <c r="P3538" s="2" t="s">
        <v>6198</v>
      </c>
      <c r="Q3538" s="2" t="s">
        <v>6199</v>
      </c>
      <c r="R3538" s="2" t="s">
        <v>29</v>
      </c>
      <c r="S3538" s="2" t="s">
        <v>30</v>
      </c>
    </row>
    <row r="3539" spans="1:19">
      <c r="A3539" s="1">
        <v>45658</v>
      </c>
      <c r="B3539" s="1">
        <v>45658</v>
      </c>
      <c r="C3539">
        <v>2025</v>
      </c>
      <c r="D3539">
        <v>1</v>
      </c>
      <c r="E3539" s="2" t="s">
        <v>45</v>
      </c>
      <c r="F3539" s="2" t="s">
        <v>46</v>
      </c>
      <c r="G3539" s="2" t="s">
        <v>39</v>
      </c>
      <c r="H3539" s="2" t="s">
        <v>22</v>
      </c>
      <c r="I3539" s="2" t="s">
        <v>40</v>
      </c>
      <c r="J3539" s="2" t="s">
        <v>24</v>
      </c>
      <c r="K3539">
        <v>4883.53</v>
      </c>
      <c r="L3539">
        <v>250646.06</v>
      </c>
      <c r="M3539">
        <v>5132.4799999999996</v>
      </c>
      <c r="N3539" s="2" t="s">
        <v>47</v>
      </c>
      <c r="O3539" s="2" t="s">
        <v>48</v>
      </c>
      <c r="P3539" s="2" t="s">
        <v>6200</v>
      </c>
      <c r="Q3539" s="2" t="s">
        <v>6201</v>
      </c>
      <c r="R3539" s="2" t="s">
        <v>29</v>
      </c>
      <c r="S3539" s="2" t="s">
        <v>30</v>
      </c>
    </row>
    <row r="3540" spans="1:19">
      <c r="A3540" s="1">
        <v>45658</v>
      </c>
      <c r="B3540" s="1">
        <v>45658</v>
      </c>
      <c r="C3540">
        <v>2025</v>
      </c>
      <c r="D3540">
        <v>1</v>
      </c>
      <c r="E3540" s="2" t="s">
        <v>51</v>
      </c>
      <c r="F3540" s="2" t="s">
        <v>52</v>
      </c>
      <c r="G3540" s="2" t="s">
        <v>39</v>
      </c>
      <c r="H3540" s="2" t="s">
        <v>22</v>
      </c>
      <c r="I3540" s="2" t="s">
        <v>40</v>
      </c>
      <c r="J3540" s="2" t="s">
        <v>24</v>
      </c>
      <c r="K3540">
        <v>18.75</v>
      </c>
      <c r="L3540">
        <v>879.4</v>
      </c>
      <c r="M3540">
        <v>4690.13</v>
      </c>
      <c r="N3540" s="2" t="s">
        <v>53</v>
      </c>
      <c r="O3540" s="2" t="s">
        <v>54</v>
      </c>
      <c r="P3540" s="2" t="s">
        <v>6202</v>
      </c>
      <c r="Q3540" s="2" t="s">
        <v>6203</v>
      </c>
      <c r="R3540" s="2" t="s">
        <v>29</v>
      </c>
      <c r="S3540" s="2" t="s">
        <v>30</v>
      </c>
    </row>
    <row r="3541" spans="1:19">
      <c r="A3541" s="1">
        <v>45658</v>
      </c>
      <c r="B3541" s="1">
        <v>45658</v>
      </c>
      <c r="C3541">
        <v>2025</v>
      </c>
      <c r="D3541">
        <v>1</v>
      </c>
      <c r="E3541" s="2" t="s">
        <v>57</v>
      </c>
      <c r="F3541" s="2" t="s">
        <v>58</v>
      </c>
      <c r="G3541" s="2" t="s">
        <v>39</v>
      </c>
      <c r="H3541" s="2" t="s">
        <v>22</v>
      </c>
      <c r="I3541" s="2" t="s">
        <v>40</v>
      </c>
      <c r="J3541" s="2" t="s">
        <v>59</v>
      </c>
      <c r="K3541">
        <v>4910.07</v>
      </c>
      <c r="L3541">
        <v>251937.85</v>
      </c>
      <c r="M3541">
        <v>5131.04</v>
      </c>
      <c r="N3541" s="2" t="s">
        <v>60</v>
      </c>
      <c r="O3541" s="2" t="s">
        <v>61</v>
      </c>
      <c r="P3541" s="2" t="s">
        <v>6204</v>
      </c>
      <c r="Q3541" s="2" t="s">
        <v>6205</v>
      </c>
      <c r="R3541" s="2" t="s">
        <v>29</v>
      </c>
      <c r="S3541" s="2" t="s">
        <v>30</v>
      </c>
    </row>
    <row r="3542" spans="1:19">
      <c r="A3542" s="1">
        <v>45658</v>
      </c>
      <c r="B3542" s="1">
        <v>45658</v>
      </c>
      <c r="C3542">
        <v>2025</v>
      </c>
      <c r="D3542">
        <v>1</v>
      </c>
      <c r="E3542" s="2" t="s">
        <v>64</v>
      </c>
      <c r="F3542" s="2" t="s">
        <v>65</v>
      </c>
      <c r="G3542" s="2" t="s">
        <v>21</v>
      </c>
      <c r="H3542" s="2" t="s">
        <v>22</v>
      </c>
      <c r="I3542" s="2" t="s">
        <v>66</v>
      </c>
      <c r="J3542" s="2" t="s">
        <v>24</v>
      </c>
      <c r="K3542">
        <v>15.79</v>
      </c>
      <c r="L3542">
        <v>485.58</v>
      </c>
      <c r="M3542">
        <v>3075.24</v>
      </c>
      <c r="N3542" s="2" t="s">
        <v>67</v>
      </c>
      <c r="O3542" s="2" t="s">
        <v>68</v>
      </c>
      <c r="P3542" s="2" t="s">
        <v>6206</v>
      </c>
      <c r="Q3542" s="2" t="s">
        <v>6207</v>
      </c>
      <c r="R3542" s="2" t="s">
        <v>29</v>
      </c>
      <c r="S3542" s="2" t="s">
        <v>30</v>
      </c>
    </row>
    <row r="3543" spans="1:19">
      <c r="A3543" s="1">
        <v>45658</v>
      </c>
      <c r="B3543" s="1">
        <v>45658</v>
      </c>
      <c r="C3543">
        <v>2025</v>
      </c>
      <c r="D3543">
        <v>1</v>
      </c>
      <c r="E3543" s="2" t="s">
        <v>71</v>
      </c>
      <c r="F3543" s="2" t="s">
        <v>72</v>
      </c>
      <c r="G3543" s="2" t="s">
        <v>21</v>
      </c>
      <c r="H3543" s="2" t="s">
        <v>22</v>
      </c>
      <c r="I3543" s="2" t="s">
        <v>73</v>
      </c>
      <c r="J3543" s="2" t="s">
        <v>59</v>
      </c>
      <c r="K3543">
        <v>5522.42</v>
      </c>
      <c r="L3543">
        <v>223089.53</v>
      </c>
      <c r="M3543">
        <v>4039.71</v>
      </c>
      <c r="N3543" s="2" t="s">
        <v>74</v>
      </c>
      <c r="O3543" s="2" t="s">
        <v>75</v>
      </c>
      <c r="P3543" s="2" t="s">
        <v>6208</v>
      </c>
      <c r="Q3543" s="2" t="s">
        <v>6209</v>
      </c>
      <c r="R3543" s="2" t="s">
        <v>29</v>
      </c>
      <c r="S3543" s="2" t="s">
        <v>30</v>
      </c>
    </row>
    <row r="3544" spans="1:19">
      <c r="A3544" s="1">
        <v>45658</v>
      </c>
      <c r="B3544" s="1">
        <v>45658</v>
      </c>
      <c r="C3544">
        <v>2025</v>
      </c>
      <c r="D3544">
        <v>1</v>
      </c>
      <c r="E3544" s="2" t="s">
        <v>78</v>
      </c>
      <c r="F3544" s="2" t="s">
        <v>79</v>
      </c>
      <c r="G3544" s="2" t="s">
        <v>80</v>
      </c>
      <c r="H3544" s="2" t="s">
        <v>81</v>
      </c>
      <c r="I3544" s="2" t="s">
        <v>82</v>
      </c>
      <c r="J3544" s="2" t="s">
        <v>24</v>
      </c>
      <c r="K3544">
        <v>2.94</v>
      </c>
      <c r="L3544">
        <v>11164124.609999999</v>
      </c>
      <c r="M3544">
        <v>379732129.58999997</v>
      </c>
      <c r="N3544" s="2" t="s">
        <v>83</v>
      </c>
      <c r="O3544" s="2" t="s">
        <v>84</v>
      </c>
      <c r="P3544" s="2" t="s">
        <v>6210</v>
      </c>
      <c r="Q3544" s="2" t="s">
        <v>6211</v>
      </c>
      <c r="R3544" s="2" t="s">
        <v>29</v>
      </c>
      <c r="S3544" s="2" t="s">
        <v>30</v>
      </c>
    </row>
    <row r="3545" spans="1:19">
      <c r="A3545" s="1">
        <v>45658</v>
      </c>
      <c r="B3545" s="1">
        <v>45658</v>
      </c>
      <c r="C3545">
        <v>2025</v>
      </c>
      <c r="D3545">
        <v>1</v>
      </c>
      <c r="E3545" s="2" t="s">
        <v>87</v>
      </c>
      <c r="F3545" s="2" t="s">
        <v>88</v>
      </c>
      <c r="G3545" s="2" t="s">
        <v>80</v>
      </c>
      <c r="H3545" s="2" t="s">
        <v>81</v>
      </c>
      <c r="I3545" s="2" t="s">
        <v>82</v>
      </c>
      <c r="J3545" s="2" t="s">
        <v>24</v>
      </c>
      <c r="K3545">
        <v>1.1000000000000001</v>
      </c>
      <c r="L3545">
        <v>1627265.09</v>
      </c>
      <c r="M3545">
        <v>147933190</v>
      </c>
      <c r="N3545" s="2" t="s">
        <v>89</v>
      </c>
      <c r="O3545" s="2" t="s">
        <v>90</v>
      </c>
      <c r="P3545" s="2" t="s">
        <v>2809</v>
      </c>
      <c r="Q3545" s="2" t="s">
        <v>6212</v>
      </c>
      <c r="R3545" s="2" t="s">
        <v>29</v>
      </c>
      <c r="S3545" s="2" t="s">
        <v>30</v>
      </c>
    </row>
    <row r="3546" spans="1:19">
      <c r="A3546" s="1">
        <v>45658</v>
      </c>
      <c r="B3546" s="1">
        <v>45658</v>
      </c>
      <c r="C3546">
        <v>2025</v>
      </c>
      <c r="D3546">
        <v>1</v>
      </c>
      <c r="E3546" s="2" t="s">
        <v>93</v>
      </c>
      <c r="F3546" s="2" t="s">
        <v>94</v>
      </c>
      <c r="G3546" s="2" t="s">
        <v>80</v>
      </c>
      <c r="H3546" s="2" t="s">
        <v>81</v>
      </c>
      <c r="I3546" s="2" t="s">
        <v>82</v>
      </c>
      <c r="J3546" s="2" t="s">
        <v>24</v>
      </c>
      <c r="K3546">
        <v>0.41</v>
      </c>
      <c r="L3546">
        <v>7288494.3499999996</v>
      </c>
      <c r="M3546">
        <v>1777681548.78</v>
      </c>
      <c r="N3546" s="2" t="s">
        <v>95</v>
      </c>
      <c r="O3546" s="2" t="s">
        <v>96</v>
      </c>
      <c r="P3546" s="2" t="s">
        <v>2036</v>
      </c>
      <c r="Q3546" s="2" t="s">
        <v>6213</v>
      </c>
      <c r="R3546" s="2" t="s">
        <v>29</v>
      </c>
      <c r="S3546" s="2" t="s">
        <v>30</v>
      </c>
    </row>
    <row r="3547" spans="1:19">
      <c r="A3547" s="1">
        <v>45658</v>
      </c>
      <c r="B3547" s="1">
        <v>45658</v>
      </c>
      <c r="C3547">
        <v>2025</v>
      </c>
      <c r="D3547">
        <v>1</v>
      </c>
      <c r="E3547" s="2" t="s">
        <v>99</v>
      </c>
      <c r="F3547" s="2" t="s">
        <v>100</v>
      </c>
      <c r="G3547" s="2" t="s">
        <v>80</v>
      </c>
      <c r="H3547" s="2" t="s">
        <v>81</v>
      </c>
      <c r="I3547" s="2" t="s">
        <v>82</v>
      </c>
      <c r="J3547" s="2" t="s">
        <v>101</v>
      </c>
      <c r="K3547">
        <v>1.77</v>
      </c>
      <c r="L3547">
        <v>17807347.239999998</v>
      </c>
      <c r="M3547">
        <v>1006064815.8200001</v>
      </c>
      <c r="N3547" s="2" t="s">
        <v>102</v>
      </c>
      <c r="O3547" s="2" t="s">
        <v>103</v>
      </c>
      <c r="P3547" s="2" t="s">
        <v>254</v>
      </c>
      <c r="Q3547" s="2" t="s">
        <v>6214</v>
      </c>
      <c r="R3547" s="2" t="s">
        <v>29</v>
      </c>
      <c r="S3547" s="2" t="s">
        <v>30</v>
      </c>
    </row>
    <row r="3548" spans="1:19">
      <c r="A3548" s="1">
        <v>45658</v>
      </c>
      <c r="B3548" s="1">
        <v>45658</v>
      </c>
      <c r="C3548">
        <v>2025</v>
      </c>
      <c r="D3548">
        <v>1</v>
      </c>
      <c r="E3548" s="2" t="s">
        <v>106</v>
      </c>
      <c r="F3548" s="2" t="s">
        <v>107</v>
      </c>
      <c r="G3548" s="2" t="s">
        <v>80</v>
      </c>
      <c r="H3548" s="2" t="s">
        <v>81</v>
      </c>
      <c r="I3548" s="2" t="s">
        <v>82</v>
      </c>
      <c r="J3548" s="2" t="s">
        <v>24</v>
      </c>
      <c r="K3548">
        <v>0.25</v>
      </c>
      <c r="L3548">
        <v>8891587.8000000007</v>
      </c>
      <c r="M3548">
        <v>3556635120</v>
      </c>
      <c r="N3548" s="2" t="s">
        <v>108</v>
      </c>
      <c r="O3548" s="2" t="s">
        <v>109</v>
      </c>
      <c r="P3548" s="2" t="s">
        <v>876</v>
      </c>
      <c r="Q3548" s="2" t="s">
        <v>6215</v>
      </c>
      <c r="R3548" s="2" t="s">
        <v>29</v>
      </c>
      <c r="S3548" s="2" t="s">
        <v>30</v>
      </c>
    </row>
    <row r="3549" spans="1:19">
      <c r="A3549" s="1">
        <v>45658</v>
      </c>
      <c r="B3549" s="1">
        <v>45658</v>
      </c>
      <c r="C3549">
        <v>2025</v>
      </c>
      <c r="D3549">
        <v>1</v>
      </c>
      <c r="E3549" s="2" t="s">
        <v>111</v>
      </c>
      <c r="F3549" s="2" t="s">
        <v>112</v>
      </c>
      <c r="G3549" s="2" t="s">
        <v>80</v>
      </c>
      <c r="H3549" s="2" t="s">
        <v>81</v>
      </c>
      <c r="I3549" s="2" t="s">
        <v>82</v>
      </c>
      <c r="J3549" s="2" t="s">
        <v>24</v>
      </c>
      <c r="K3549">
        <v>0.17</v>
      </c>
      <c r="L3549">
        <v>1325317.78</v>
      </c>
      <c r="M3549">
        <v>779598694.12</v>
      </c>
      <c r="N3549" s="2" t="s">
        <v>113</v>
      </c>
      <c r="O3549" s="2" t="s">
        <v>114</v>
      </c>
      <c r="P3549" s="2" t="s">
        <v>169</v>
      </c>
      <c r="Q3549" s="2" t="s">
        <v>6216</v>
      </c>
      <c r="R3549" s="2" t="s">
        <v>29</v>
      </c>
      <c r="S3549" s="2" t="s">
        <v>30</v>
      </c>
    </row>
    <row r="3550" spans="1:19">
      <c r="A3550" s="1">
        <v>45658</v>
      </c>
      <c r="B3550" s="1">
        <v>45658</v>
      </c>
      <c r="C3550">
        <v>2025</v>
      </c>
      <c r="D3550">
        <v>1</v>
      </c>
      <c r="E3550" s="2" t="s">
        <v>117</v>
      </c>
      <c r="F3550" s="2" t="s">
        <v>118</v>
      </c>
      <c r="G3550" s="2" t="s">
        <v>80</v>
      </c>
      <c r="H3550" s="2" t="s">
        <v>81</v>
      </c>
      <c r="I3550" s="2" t="s">
        <v>82</v>
      </c>
      <c r="J3550" s="2" t="s">
        <v>59</v>
      </c>
      <c r="K3550">
        <v>4.88</v>
      </c>
      <c r="L3550">
        <v>30296789.629999999</v>
      </c>
      <c r="M3550">
        <v>620835853.07000005</v>
      </c>
      <c r="N3550" s="2" t="s">
        <v>119</v>
      </c>
      <c r="O3550" s="2" t="s">
        <v>120</v>
      </c>
      <c r="P3550" s="2" t="s">
        <v>6217</v>
      </c>
      <c r="Q3550" s="2" t="s">
        <v>6218</v>
      </c>
      <c r="R3550" s="2" t="s">
        <v>29</v>
      </c>
      <c r="S3550" s="2" t="s">
        <v>30</v>
      </c>
    </row>
    <row r="3551" spans="1:19">
      <c r="A3551" s="1">
        <v>45658</v>
      </c>
      <c r="B3551" s="1">
        <v>45658</v>
      </c>
      <c r="C3551">
        <v>2025</v>
      </c>
      <c r="D3551">
        <v>1</v>
      </c>
      <c r="E3551" s="2" t="s">
        <v>123</v>
      </c>
      <c r="F3551" s="2" t="s">
        <v>124</v>
      </c>
      <c r="G3551" s="2" t="s">
        <v>21</v>
      </c>
      <c r="H3551" s="2" t="s">
        <v>22</v>
      </c>
      <c r="I3551" s="2" t="s">
        <v>73</v>
      </c>
      <c r="J3551" s="2" t="s">
        <v>24</v>
      </c>
      <c r="K3551">
        <v>2128.29</v>
      </c>
      <c r="L3551">
        <v>114696.76</v>
      </c>
      <c r="M3551">
        <v>5389.15</v>
      </c>
      <c r="N3551" s="2" t="s">
        <v>125</v>
      </c>
      <c r="O3551" s="2" t="s">
        <v>126</v>
      </c>
      <c r="P3551" s="2" t="s">
        <v>6219</v>
      </c>
      <c r="Q3551" s="2" t="s">
        <v>6220</v>
      </c>
      <c r="R3551" s="2" t="s">
        <v>29</v>
      </c>
      <c r="S3551" s="2" t="s">
        <v>30</v>
      </c>
    </row>
    <row r="3552" spans="1:19">
      <c r="A3552" s="1">
        <v>45658</v>
      </c>
      <c r="B3552" s="1">
        <v>45658</v>
      </c>
      <c r="C3552">
        <v>2025</v>
      </c>
      <c r="D3552">
        <v>1</v>
      </c>
      <c r="E3552" s="2" t="s">
        <v>129</v>
      </c>
      <c r="F3552" s="2" t="s">
        <v>130</v>
      </c>
      <c r="G3552" s="2" t="s">
        <v>21</v>
      </c>
      <c r="H3552" s="2" t="s">
        <v>22</v>
      </c>
      <c r="I3552" s="2" t="s">
        <v>73</v>
      </c>
      <c r="J3552" s="2" t="s">
        <v>24</v>
      </c>
      <c r="K3552">
        <v>2177.4299999999998</v>
      </c>
      <c r="L3552">
        <v>69429.399999999994</v>
      </c>
      <c r="M3552">
        <v>3188.59</v>
      </c>
      <c r="N3552" s="2" t="s">
        <v>131</v>
      </c>
      <c r="O3552" s="2" t="s">
        <v>132</v>
      </c>
      <c r="P3552" s="2" t="s">
        <v>6221</v>
      </c>
      <c r="Q3552" s="2" t="s">
        <v>6222</v>
      </c>
      <c r="R3552" s="2" t="s">
        <v>29</v>
      </c>
      <c r="S3552" s="2" t="s">
        <v>30</v>
      </c>
    </row>
    <row r="3553" spans="1:19">
      <c r="A3553" s="1">
        <v>45658</v>
      </c>
      <c r="B3553" s="1">
        <v>45658</v>
      </c>
      <c r="C3553">
        <v>2025</v>
      </c>
      <c r="D3553">
        <v>1</v>
      </c>
      <c r="E3553" s="2" t="s">
        <v>135</v>
      </c>
      <c r="F3553" s="2" t="s">
        <v>136</v>
      </c>
      <c r="G3553" s="2" t="s">
        <v>21</v>
      </c>
      <c r="H3553" s="2" t="s">
        <v>22</v>
      </c>
      <c r="I3553" s="2" t="s">
        <v>73</v>
      </c>
      <c r="J3553" s="2" t="s">
        <v>101</v>
      </c>
      <c r="K3553">
        <v>4305.72</v>
      </c>
      <c r="L3553">
        <v>184126.17</v>
      </c>
      <c r="M3553">
        <v>4276.32</v>
      </c>
      <c r="N3553" s="2" t="s">
        <v>137</v>
      </c>
      <c r="O3553" s="2" t="s">
        <v>138</v>
      </c>
      <c r="P3553" s="2" t="s">
        <v>6223</v>
      </c>
      <c r="Q3553" s="2" t="s">
        <v>6224</v>
      </c>
      <c r="R3553" s="2" t="s">
        <v>29</v>
      </c>
      <c r="S3553" s="2" t="s">
        <v>30</v>
      </c>
    </row>
    <row r="3554" spans="1:19">
      <c r="A3554" s="1">
        <v>45658</v>
      </c>
      <c r="B3554" s="1">
        <v>45658</v>
      </c>
      <c r="C3554">
        <v>2025</v>
      </c>
      <c r="D3554">
        <v>1</v>
      </c>
      <c r="E3554" s="2" t="s">
        <v>141</v>
      </c>
      <c r="F3554" s="2" t="s">
        <v>142</v>
      </c>
      <c r="G3554" s="2" t="s">
        <v>21</v>
      </c>
      <c r="H3554" s="2" t="s">
        <v>22</v>
      </c>
      <c r="I3554" s="2" t="s">
        <v>73</v>
      </c>
      <c r="J3554" s="2" t="s">
        <v>24</v>
      </c>
      <c r="K3554">
        <v>305.77999999999997</v>
      </c>
      <c r="L3554">
        <v>12964.57</v>
      </c>
      <c r="M3554">
        <v>4239.84</v>
      </c>
      <c r="N3554" s="2" t="s">
        <v>143</v>
      </c>
      <c r="O3554" s="2" t="s">
        <v>144</v>
      </c>
      <c r="P3554" s="2" t="s">
        <v>6225</v>
      </c>
      <c r="Q3554" s="2" t="s">
        <v>6226</v>
      </c>
      <c r="R3554" s="2" t="s">
        <v>29</v>
      </c>
      <c r="S3554" s="2" t="s">
        <v>30</v>
      </c>
    </row>
    <row r="3555" spans="1:19">
      <c r="A3555" s="1">
        <v>45658</v>
      </c>
      <c r="B3555" s="1">
        <v>45658</v>
      </c>
      <c r="C3555">
        <v>2025</v>
      </c>
      <c r="D3555">
        <v>1</v>
      </c>
      <c r="E3555" s="2" t="s">
        <v>147</v>
      </c>
      <c r="F3555" s="2" t="s">
        <v>148</v>
      </c>
      <c r="G3555" s="2" t="s">
        <v>21</v>
      </c>
      <c r="H3555" s="2" t="s">
        <v>22</v>
      </c>
      <c r="I3555" s="2" t="s">
        <v>73</v>
      </c>
      <c r="J3555" s="2" t="s">
        <v>24</v>
      </c>
      <c r="K3555">
        <v>910.91</v>
      </c>
      <c r="L3555">
        <v>25998.799999999999</v>
      </c>
      <c r="M3555">
        <v>2854.16</v>
      </c>
      <c r="N3555" s="2" t="s">
        <v>149</v>
      </c>
      <c r="O3555" s="2" t="s">
        <v>150</v>
      </c>
      <c r="P3555" s="2" t="s">
        <v>6227</v>
      </c>
      <c r="Q3555" s="2" t="s">
        <v>6228</v>
      </c>
      <c r="R3555" s="2" t="s">
        <v>29</v>
      </c>
      <c r="S3555" s="2" t="s">
        <v>30</v>
      </c>
    </row>
    <row r="3556" spans="1:19">
      <c r="A3556" s="1">
        <v>45658</v>
      </c>
      <c r="B3556" s="1">
        <v>45658</v>
      </c>
      <c r="C3556">
        <v>2025</v>
      </c>
      <c r="D3556">
        <v>1</v>
      </c>
      <c r="E3556" s="2" t="s">
        <v>153</v>
      </c>
      <c r="F3556" s="2" t="s">
        <v>154</v>
      </c>
      <c r="G3556" s="2" t="s">
        <v>21</v>
      </c>
      <c r="H3556" s="2" t="s">
        <v>22</v>
      </c>
      <c r="I3556" s="2" t="s">
        <v>73</v>
      </c>
      <c r="J3556" s="2" t="s">
        <v>101</v>
      </c>
      <c r="K3556">
        <v>1216.69</v>
      </c>
      <c r="L3556">
        <v>38963.360000000001</v>
      </c>
      <c r="M3556">
        <v>3202.41</v>
      </c>
      <c r="N3556" s="2" t="s">
        <v>155</v>
      </c>
      <c r="O3556" s="2" t="s">
        <v>156</v>
      </c>
      <c r="P3556" s="2" t="s">
        <v>6229</v>
      </c>
      <c r="Q3556" s="2" t="s">
        <v>6230</v>
      </c>
      <c r="R3556" s="2" t="s">
        <v>29</v>
      </c>
      <c r="S3556" s="2" t="s">
        <v>30</v>
      </c>
    </row>
    <row r="3557" spans="1:19">
      <c r="A3557" s="1">
        <v>45658</v>
      </c>
      <c r="B3557" s="1">
        <v>45658</v>
      </c>
      <c r="C3557">
        <v>2025</v>
      </c>
      <c r="D3557">
        <v>1</v>
      </c>
      <c r="E3557" s="2" t="s">
        <v>159</v>
      </c>
      <c r="F3557" s="2" t="s">
        <v>160</v>
      </c>
      <c r="G3557" s="2" t="s">
        <v>21</v>
      </c>
      <c r="H3557" s="2" t="s">
        <v>22</v>
      </c>
      <c r="I3557" s="2" t="s">
        <v>66</v>
      </c>
      <c r="J3557" s="2" t="s">
        <v>59</v>
      </c>
      <c r="K3557">
        <v>1878.45</v>
      </c>
      <c r="L3557">
        <v>199535.06</v>
      </c>
      <c r="M3557">
        <v>10622.32</v>
      </c>
      <c r="N3557" s="2" t="s">
        <v>161</v>
      </c>
      <c r="O3557" s="2" t="s">
        <v>162</v>
      </c>
      <c r="P3557" s="2" t="s">
        <v>6231</v>
      </c>
      <c r="Q3557" s="2" t="s">
        <v>6232</v>
      </c>
      <c r="R3557" s="2" t="s">
        <v>29</v>
      </c>
      <c r="S3557" s="2" t="s">
        <v>30</v>
      </c>
    </row>
    <row r="3558" spans="1:19">
      <c r="A3558" s="1">
        <v>45658</v>
      </c>
      <c r="B3558" s="1">
        <v>45658</v>
      </c>
      <c r="C3558">
        <v>2025</v>
      </c>
      <c r="D3558">
        <v>1</v>
      </c>
      <c r="E3558" s="2" t="s">
        <v>165</v>
      </c>
      <c r="F3558" s="2" t="s">
        <v>166</v>
      </c>
      <c r="G3558" s="2" t="s">
        <v>21</v>
      </c>
      <c r="H3558" s="2" t="s">
        <v>22</v>
      </c>
      <c r="I3558" s="2" t="s">
        <v>23</v>
      </c>
      <c r="J3558" s="2" t="s">
        <v>24</v>
      </c>
      <c r="N3558" s="2" t="s">
        <v>167</v>
      </c>
      <c r="O3558" s="2" t="s">
        <v>168</v>
      </c>
      <c r="P3558" s="2" t="s">
        <v>175</v>
      </c>
      <c r="Q3558" s="2" t="s">
        <v>175</v>
      </c>
      <c r="R3558" s="2" t="s">
        <v>640</v>
      </c>
      <c r="S3558" s="2" t="s">
        <v>641</v>
      </c>
    </row>
    <row r="3559" spans="1:19">
      <c r="A3559" s="1">
        <v>45658</v>
      </c>
      <c r="B3559" s="1">
        <v>45658</v>
      </c>
      <c r="C3559">
        <v>2025</v>
      </c>
      <c r="D3559">
        <v>1</v>
      </c>
      <c r="E3559" s="2" t="s">
        <v>171</v>
      </c>
      <c r="F3559" s="2" t="s">
        <v>172</v>
      </c>
      <c r="G3559" s="2" t="s">
        <v>21</v>
      </c>
      <c r="H3559" s="2" t="s">
        <v>22</v>
      </c>
      <c r="I3559" s="2" t="s">
        <v>66</v>
      </c>
      <c r="J3559" s="2" t="s">
        <v>24</v>
      </c>
      <c r="N3559" s="2" t="s">
        <v>173</v>
      </c>
      <c r="O3559" s="2" t="s">
        <v>174</v>
      </c>
      <c r="P3559" s="2" t="s">
        <v>175</v>
      </c>
      <c r="Q3559" s="2" t="s">
        <v>175</v>
      </c>
      <c r="R3559" s="2" t="s">
        <v>640</v>
      </c>
      <c r="S3559" s="2" t="s">
        <v>641</v>
      </c>
    </row>
    <row r="3560" spans="1:19">
      <c r="A3560" s="1">
        <v>45658</v>
      </c>
      <c r="B3560" s="1">
        <v>45658</v>
      </c>
      <c r="C3560">
        <v>2025</v>
      </c>
      <c r="D3560">
        <v>1</v>
      </c>
      <c r="E3560" s="2" t="s">
        <v>177</v>
      </c>
      <c r="F3560" s="2" t="s">
        <v>178</v>
      </c>
      <c r="G3560" s="2" t="s">
        <v>21</v>
      </c>
      <c r="H3560" s="2" t="s">
        <v>22</v>
      </c>
      <c r="I3560" s="2" t="s">
        <v>23</v>
      </c>
      <c r="J3560" s="2" t="s">
        <v>24</v>
      </c>
      <c r="K3560">
        <v>4442.2299999999996</v>
      </c>
      <c r="L3560">
        <v>606420.17000000004</v>
      </c>
      <c r="M3560">
        <v>13651.26</v>
      </c>
      <c r="N3560" s="2" t="s">
        <v>179</v>
      </c>
      <c r="O3560" s="2" t="s">
        <v>180</v>
      </c>
      <c r="P3560" s="2" t="s">
        <v>6233</v>
      </c>
      <c r="Q3560" s="2" t="s">
        <v>6234</v>
      </c>
      <c r="R3560" s="2" t="s">
        <v>29</v>
      </c>
      <c r="S3560" s="2" t="s">
        <v>30</v>
      </c>
    </row>
    <row r="3561" spans="1:19">
      <c r="A3561" s="1">
        <v>45658</v>
      </c>
      <c r="B3561" s="1">
        <v>45658</v>
      </c>
      <c r="C3561">
        <v>2025</v>
      </c>
      <c r="D3561">
        <v>1</v>
      </c>
      <c r="E3561" s="2" t="s">
        <v>183</v>
      </c>
      <c r="F3561" s="2" t="s">
        <v>184</v>
      </c>
      <c r="G3561" s="2" t="s">
        <v>185</v>
      </c>
      <c r="H3561" s="2" t="s">
        <v>22</v>
      </c>
      <c r="I3561" s="2" t="s">
        <v>186</v>
      </c>
      <c r="J3561" s="2" t="s">
        <v>24</v>
      </c>
      <c r="K3561">
        <v>2954.18</v>
      </c>
      <c r="L3561">
        <v>5508916.8399999999</v>
      </c>
      <c r="M3561">
        <v>186478.71</v>
      </c>
      <c r="N3561" s="2" t="s">
        <v>187</v>
      </c>
      <c r="O3561" s="2" t="s">
        <v>188</v>
      </c>
      <c r="P3561" s="2" t="s">
        <v>6235</v>
      </c>
      <c r="Q3561" s="2" t="s">
        <v>6236</v>
      </c>
      <c r="R3561" s="2" t="s">
        <v>29</v>
      </c>
      <c r="S3561" s="2" t="s">
        <v>30</v>
      </c>
    </row>
    <row r="3562" spans="1:19">
      <c r="A3562" s="1">
        <v>45658</v>
      </c>
      <c r="B3562" s="1">
        <v>45658</v>
      </c>
      <c r="C3562">
        <v>2025</v>
      </c>
      <c r="D3562">
        <v>1</v>
      </c>
      <c r="E3562" s="2" t="s">
        <v>191</v>
      </c>
      <c r="F3562" s="2" t="s">
        <v>192</v>
      </c>
      <c r="G3562" s="2" t="s">
        <v>185</v>
      </c>
      <c r="H3562" s="2" t="s">
        <v>22</v>
      </c>
      <c r="I3562" s="2" t="s">
        <v>186</v>
      </c>
      <c r="J3562" s="2" t="s">
        <v>24</v>
      </c>
      <c r="K3562">
        <v>1212.8699999999999</v>
      </c>
      <c r="L3562">
        <v>6130803.9199999999</v>
      </c>
      <c r="M3562">
        <v>505479.06</v>
      </c>
      <c r="N3562" s="2" t="s">
        <v>193</v>
      </c>
      <c r="O3562" s="2" t="s">
        <v>194</v>
      </c>
      <c r="P3562" s="2" t="s">
        <v>6237</v>
      </c>
      <c r="Q3562" s="2" t="s">
        <v>6238</v>
      </c>
      <c r="R3562" s="2" t="s">
        <v>29</v>
      </c>
      <c r="S3562" s="2" t="s">
        <v>30</v>
      </c>
    </row>
    <row r="3563" spans="1:19">
      <c r="A3563" s="1">
        <v>45658</v>
      </c>
      <c r="B3563" s="1">
        <v>45658</v>
      </c>
      <c r="C3563">
        <v>2025</v>
      </c>
      <c r="D3563">
        <v>1</v>
      </c>
      <c r="E3563" s="2" t="s">
        <v>197</v>
      </c>
      <c r="F3563" s="2" t="s">
        <v>198</v>
      </c>
      <c r="G3563" s="2" t="s">
        <v>185</v>
      </c>
      <c r="H3563" s="2" t="s">
        <v>22</v>
      </c>
      <c r="I3563" s="2" t="s">
        <v>186</v>
      </c>
      <c r="J3563" s="2" t="s">
        <v>59</v>
      </c>
      <c r="K3563">
        <v>4167.05</v>
      </c>
      <c r="L3563">
        <v>11639720.76</v>
      </c>
      <c r="M3563">
        <v>279327.59999999998</v>
      </c>
      <c r="N3563" s="2" t="s">
        <v>199</v>
      </c>
      <c r="O3563" s="2" t="s">
        <v>200</v>
      </c>
      <c r="P3563" s="2" t="s">
        <v>6239</v>
      </c>
      <c r="Q3563" s="2" t="s">
        <v>6240</v>
      </c>
      <c r="R3563" s="2" t="s">
        <v>29</v>
      </c>
      <c r="S3563" s="2" t="s">
        <v>30</v>
      </c>
    </row>
    <row r="3564" spans="1:19">
      <c r="A3564" s="1">
        <v>45658</v>
      </c>
      <c r="B3564" s="1">
        <v>45658</v>
      </c>
      <c r="C3564">
        <v>2025</v>
      </c>
      <c r="D3564">
        <v>1</v>
      </c>
      <c r="E3564" s="2" t="s">
        <v>203</v>
      </c>
      <c r="F3564" s="2" t="s">
        <v>204</v>
      </c>
      <c r="G3564" s="2" t="s">
        <v>39</v>
      </c>
      <c r="H3564" s="2" t="s">
        <v>22</v>
      </c>
      <c r="I3564" s="2" t="s">
        <v>40</v>
      </c>
      <c r="J3564" s="2" t="s">
        <v>24</v>
      </c>
      <c r="K3564">
        <v>915.09</v>
      </c>
      <c r="L3564">
        <v>23246.11</v>
      </c>
      <c r="M3564">
        <v>2540.31</v>
      </c>
      <c r="N3564" s="2" t="s">
        <v>205</v>
      </c>
      <c r="O3564" s="2" t="s">
        <v>206</v>
      </c>
      <c r="P3564" s="2" t="s">
        <v>6241</v>
      </c>
      <c r="Q3564" s="2" t="s">
        <v>6242</v>
      </c>
      <c r="R3564" s="2" t="s">
        <v>29</v>
      </c>
      <c r="S3564" s="2" t="s">
        <v>30</v>
      </c>
    </row>
    <row r="3565" spans="1:19">
      <c r="A3565" s="1">
        <v>45658</v>
      </c>
      <c r="B3565" s="1">
        <v>45658</v>
      </c>
      <c r="C3565">
        <v>2025</v>
      </c>
      <c r="D3565">
        <v>1</v>
      </c>
      <c r="E3565" s="2" t="s">
        <v>209</v>
      </c>
      <c r="F3565" s="2" t="s">
        <v>210</v>
      </c>
      <c r="G3565" s="2" t="s">
        <v>39</v>
      </c>
      <c r="H3565" s="2" t="s">
        <v>22</v>
      </c>
      <c r="I3565" s="2" t="s">
        <v>40</v>
      </c>
      <c r="J3565" s="2" t="s">
        <v>59</v>
      </c>
      <c r="K3565">
        <v>915.09</v>
      </c>
      <c r="L3565">
        <v>23246.11</v>
      </c>
      <c r="M3565">
        <v>2540.31</v>
      </c>
      <c r="N3565" s="2" t="s">
        <v>211</v>
      </c>
      <c r="O3565" s="2" t="s">
        <v>212</v>
      </c>
      <c r="P3565" s="2" t="s">
        <v>6241</v>
      </c>
      <c r="Q3565" s="2" t="s">
        <v>6242</v>
      </c>
      <c r="R3565" s="2" t="s">
        <v>29</v>
      </c>
      <c r="S3565" s="2" t="s">
        <v>30</v>
      </c>
    </row>
    <row r="3566" spans="1:19">
      <c r="A3566" s="1">
        <v>45658</v>
      </c>
      <c r="B3566" s="1">
        <v>45658</v>
      </c>
      <c r="C3566">
        <v>2025</v>
      </c>
      <c r="D3566">
        <v>1</v>
      </c>
      <c r="E3566" s="2" t="s">
        <v>213</v>
      </c>
      <c r="F3566" s="2" t="s">
        <v>214</v>
      </c>
      <c r="G3566" s="2" t="s">
        <v>185</v>
      </c>
      <c r="H3566" s="2" t="s">
        <v>22</v>
      </c>
      <c r="I3566" s="2" t="s">
        <v>215</v>
      </c>
      <c r="J3566" s="2" t="s">
        <v>24</v>
      </c>
      <c r="K3566">
        <v>149560.06</v>
      </c>
      <c r="L3566">
        <v>2844324.61</v>
      </c>
      <c r="M3566">
        <v>1901.79</v>
      </c>
      <c r="N3566" s="2" t="s">
        <v>216</v>
      </c>
      <c r="O3566" s="2" t="s">
        <v>217</v>
      </c>
      <c r="P3566" s="2" t="s">
        <v>6243</v>
      </c>
      <c r="Q3566" s="2" t="s">
        <v>6244</v>
      </c>
      <c r="R3566" s="2" t="s">
        <v>29</v>
      </c>
      <c r="S3566" s="2" t="s">
        <v>30</v>
      </c>
    </row>
    <row r="3567" spans="1:19">
      <c r="A3567" s="1">
        <v>45658</v>
      </c>
      <c r="B3567" s="1">
        <v>45658</v>
      </c>
      <c r="C3567">
        <v>2025</v>
      </c>
      <c r="D3567">
        <v>1</v>
      </c>
      <c r="E3567" s="2" t="s">
        <v>220</v>
      </c>
      <c r="F3567" s="2" t="s">
        <v>221</v>
      </c>
      <c r="G3567" s="2" t="s">
        <v>185</v>
      </c>
      <c r="H3567" s="2" t="s">
        <v>22</v>
      </c>
      <c r="I3567" s="2" t="s">
        <v>215</v>
      </c>
      <c r="J3567" s="2" t="s">
        <v>24</v>
      </c>
      <c r="K3567">
        <v>9234.7199999999993</v>
      </c>
      <c r="L3567">
        <v>607540.80000000005</v>
      </c>
      <c r="M3567">
        <v>6578.88</v>
      </c>
      <c r="N3567" s="2" t="s">
        <v>222</v>
      </c>
      <c r="O3567" s="2" t="s">
        <v>223</v>
      </c>
      <c r="P3567" s="2" t="s">
        <v>6245</v>
      </c>
      <c r="Q3567" s="2" t="s">
        <v>6246</v>
      </c>
      <c r="R3567" s="2" t="s">
        <v>29</v>
      </c>
      <c r="S3567" s="2" t="s">
        <v>30</v>
      </c>
    </row>
    <row r="3568" spans="1:19">
      <c r="A3568" s="1">
        <v>45658</v>
      </c>
      <c r="B3568" s="1">
        <v>45658</v>
      </c>
      <c r="C3568">
        <v>2025</v>
      </c>
      <c r="D3568">
        <v>1</v>
      </c>
      <c r="E3568" s="2" t="s">
        <v>226</v>
      </c>
      <c r="F3568" s="2" t="s">
        <v>227</v>
      </c>
      <c r="G3568" s="2" t="s">
        <v>185</v>
      </c>
      <c r="H3568" s="2" t="s">
        <v>22</v>
      </c>
      <c r="I3568" s="2" t="s">
        <v>215</v>
      </c>
      <c r="J3568" s="2" t="s">
        <v>59</v>
      </c>
      <c r="K3568">
        <v>158794.78</v>
      </c>
      <c r="L3568">
        <v>3451865.41</v>
      </c>
      <c r="M3568">
        <v>2173.79</v>
      </c>
      <c r="N3568" s="2" t="s">
        <v>228</v>
      </c>
      <c r="O3568" s="2" t="s">
        <v>229</v>
      </c>
      <c r="P3568" s="2" t="s">
        <v>6247</v>
      </c>
      <c r="Q3568" s="2" t="s">
        <v>6248</v>
      </c>
      <c r="R3568" s="2" t="s">
        <v>29</v>
      </c>
      <c r="S3568" s="2" t="s">
        <v>30</v>
      </c>
    </row>
    <row r="3569" spans="1:19">
      <c r="A3569" s="1">
        <v>45658</v>
      </c>
      <c r="B3569" s="1">
        <v>45658</v>
      </c>
      <c r="C3569">
        <v>2025</v>
      </c>
      <c r="D3569">
        <v>1</v>
      </c>
      <c r="E3569" s="2" t="s">
        <v>232</v>
      </c>
      <c r="F3569" s="2" t="s">
        <v>233</v>
      </c>
      <c r="G3569" s="2" t="s">
        <v>21</v>
      </c>
      <c r="H3569" s="2" t="s">
        <v>22</v>
      </c>
      <c r="I3569" s="2" t="s">
        <v>23</v>
      </c>
      <c r="J3569" s="2" t="s">
        <v>24</v>
      </c>
      <c r="K3569">
        <v>1304.72</v>
      </c>
      <c r="L3569">
        <v>145699.25</v>
      </c>
      <c r="M3569">
        <v>11167.09</v>
      </c>
      <c r="N3569" s="2" t="s">
        <v>234</v>
      </c>
      <c r="O3569" s="2" t="s">
        <v>235</v>
      </c>
      <c r="P3569" s="2" t="s">
        <v>6249</v>
      </c>
      <c r="Q3569" s="2" t="s">
        <v>6250</v>
      </c>
      <c r="R3569" s="2" t="s">
        <v>29</v>
      </c>
      <c r="S3569" s="2" t="s">
        <v>30</v>
      </c>
    </row>
    <row r="3570" spans="1:19">
      <c r="A3570" s="1">
        <v>45658</v>
      </c>
      <c r="B3570" s="1">
        <v>45658</v>
      </c>
      <c r="C3570">
        <v>2025</v>
      </c>
      <c r="D3570">
        <v>1</v>
      </c>
      <c r="E3570" s="2" t="s">
        <v>238</v>
      </c>
      <c r="F3570" s="2" t="s">
        <v>239</v>
      </c>
      <c r="G3570" s="2" t="s">
        <v>21</v>
      </c>
      <c r="H3570" s="2" t="s">
        <v>22</v>
      </c>
      <c r="I3570" s="2" t="s">
        <v>66</v>
      </c>
      <c r="J3570" s="2" t="s">
        <v>24</v>
      </c>
      <c r="K3570">
        <v>1715.83</v>
      </c>
      <c r="L3570">
        <v>198856.84</v>
      </c>
      <c r="M3570">
        <v>11589.54</v>
      </c>
      <c r="N3570" s="2" t="s">
        <v>240</v>
      </c>
      <c r="O3570" s="2" t="s">
        <v>241</v>
      </c>
      <c r="P3570" s="2" t="s">
        <v>6251</v>
      </c>
      <c r="Q3570" s="2" t="s">
        <v>6252</v>
      </c>
      <c r="R3570" s="2" t="s">
        <v>29</v>
      </c>
      <c r="S3570" s="2" t="s">
        <v>30</v>
      </c>
    </row>
    <row r="3571" spans="1:19">
      <c r="A3571" s="1">
        <v>45658</v>
      </c>
      <c r="B3571" s="1">
        <v>45658</v>
      </c>
      <c r="C3571">
        <v>2025</v>
      </c>
      <c r="D3571">
        <v>1</v>
      </c>
      <c r="E3571" s="2" t="s">
        <v>244</v>
      </c>
      <c r="F3571" s="2" t="s">
        <v>245</v>
      </c>
      <c r="G3571" s="2" t="s">
        <v>21</v>
      </c>
      <c r="H3571" s="2" t="s">
        <v>22</v>
      </c>
      <c r="I3571" s="2" t="s">
        <v>23</v>
      </c>
      <c r="J3571" s="2" t="s">
        <v>24</v>
      </c>
      <c r="K3571">
        <v>8567.93</v>
      </c>
      <c r="L3571">
        <v>3848032.95</v>
      </c>
      <c r="M3571">
        <v>44912.05</v>
      </c>
      <c r="N3571" s="2" t="s">
        <v>246</v>
      </c>
      <c r="O3571" s="2" t="s">
        <v>247</v>
      </c>
      <c r="P3571" s="2" t="s">
        <v>6253</v>
      </c>
      <c r="Q3571" s="2" t="s">
        <v>6254</v>
      </c>
      <c r="R3571" s="2" t="s">
        <v>29</v>
      </c>
      <c r="S3571" s="2" t="s">
        <v>30</v>
      </c>
    </row>
    <row r="3572" spans="1:19">
      <c r="A3572" s="1">
        <v>45658</v>
      </c>
      <c r="B3572" s="1">
        <v>45658</v>
      </c>
      <c r="C3572">
        <v>2025</v>
      </c>
      <c r="D3572">
        <v>1</v>
      </c>
      <c r="E3572" s="2" t="s">
        <v>250</v>
      </c>
      <c r="F3572" s="2" t="s">
        <v>251</v>
      </c>
      <c r="G3572" s="2" t="s">
        <v>21</v>
      </c>
      <c r="H3572" s="2" t="s">
        <v>22</v>
      </c>
      <c r="I3572" s="2" t="s">
        <v>66</v>
      </c>
      <c r="J3572" s="2" t="s">
        <v>24</v>
      </c>
      <c r="K3572">
        <v>146.83000000000001</v>
      </c>
      <c r="L3572">
        <v>192.64</v>
      </c>
      <c r="M3572">
        <v>131.19999999999999</v>
      </c>
      <c r="N3572" s="2" t="s">
        <v>252</v>
      </c>
      <c r="O3572" s="2" t="s">
        <v>253</v>
      </c>
      <c r="P3572" s="2" t="s">
        <v>6255</v>
      </c>
      <c r="Q3572" s="2" t="s">
        <v>6256</v>
      </c>
      <c r="R3572" s="2" t="s">
        <v>29</v>
      </c>
      <c r="S3572" s="2" t="s">
        <v>30</v>
      </c>
    </row>
    <row r="3573" spans="1:19">
      <c r="A3573" s="1">
        <v>45658</v>
      </c>
      <c r="B3573" s="1">
        <v>45658</v>
      </c>
      <c r="C3573">
        <v>2025</v>
      </c>
      <c r="D3573">
        <v>1</v>
      </c>
      <c r="E3573" s="2" t="s">
        <v>256</v>
      </c>
      <c r="F3573" s="2" t="s">
        <v>257</v>
      </c>
      <c r="G3573" s="2" t="s">
        <v>21</v>
      </c>
      <c r="H3573" s="2" t="s">
        <v>22</v>
      </c>
      <c r="I3573" s="2" t="s">
        <v>258</v>
      </c>
      <c r="J3573" s="2" t="s">
        <v>24</v>
      </c>
      <c r="K3573">
        <v>516.61</v>
      </c>
      <c r="L3573">
        <v>606755.71</v>
      </c>
      <c r="M3573">
        <v>117449.47</v>
      </c>
      <c r="N3573" s="2" t="s">
        <v>259</v>
      </c>
      <c r="O3573" s="2" t="s">
        <v>260</v>
      </c>
      <c r="P3573" s="2" t="s">
        <v>6257</v>
      </c>
      <c r="Q3573" s="2" t="s">
        <v>6258</v>
      </c>
      <c r="R3573" s="2" t="s">
        <v>29</v>
      </c>
      <c r="S3573" s="2" t="s">
        <v>30</v>
      </c>
    </row>
    <row r="3574" spans="1:19">
      <c r="A3574" s="1">
        <v>45658</v>
      </c>
      <c r="B3574" s="1">
        <v>45658</v>
      </c>
      <c r="C3574">
        <v>2025</v>
      </c>
      <c r="D3574">
        <v>1</v>
      </c>
      <c r="E3574" s="2" t="s">
        <v>263</v>
      </c>
      <c r="F3574" s="2" t="s">
        <v>264</v>
      </c>
      <c r="G3574" s="2" t="s">
        <v>21</v>
      </c>
      <c r="H3574" s="2" t="s">
        <v>22</v>
      </c>
      <c r="I3574" s="2" t="s">
        <v>258</v>
      </c>
      <c r="J3574" s="2" t="s">
        <v>24</v>
      </c>
      <c r="K3574">
        <v>0</v>
      </c>
      <c r="L3574">
        <v>0</v>
      </c>
      <c r="N3574" s="2" t="s">
        <v>265</v>
      </c>
      <c r="O3574" s="2" t="s">
        <v>266</v>
      </c>
      <c r="P3574" s="2" t="s">
        <v>639</v>
      </c>
      <c r="Q3574" s="2" t="s">
        <v>639</v>
      </c>
      <c r="R3574" s="2" t="s">
        <v>29</v>
      </c>
      <c r="S3574" s="2" t="s">
        <v>30</v>
      </c>
    </row>
    <row r="3575" spans="1:19">
      <c r="A3575" s="1">
        <v>45658</v>
      </c>
      <c r="B3575" s="1">
        <v>45658</v>
      </c>
      <c r="C3575">
        <v>2025</v>
      </c>
      <c r="D3575">
        <v>1</v>
      </c>
      <c r="E3575" s="2" t="s">
        <v>269</v>
      </c>
      <c r="F3575" s="2" t="s">
        <v>270</v>
      </c>
      <c r="G3575" s="2" t="s">
        <v>21</v>
      </c>
      <c r="H3575" s="2" t="s">
        <v>22</v>
      </c>
      <c r="I3575" s="2" t="s">
        <v>258</v>
      </c>
      <c r="J3575" s="2" t="s">
        <v>59</v>
      </c>
      <c r="K3575">
        <v>516.61</v>
      </c>
      <c r="L3575">
        <v>606755.71</v>
      </c>
      <c r="M3575">
        <v>117449.47</v>
      </c>
      <c r="N3575" s="2" t="s">
        <v>271</v>
      </c>
      <c r="O3575" s="2" t="s">
        <v>272</v>
      </c>
      <c r="P3575" s="2" t="s">
        <v>6257</v>
      </c>
      <c r="Q3575" s="2" t="s">
        <v>6258</v>
      </c>
      <c r="R3575" s="2" t="s">
        <v>29</v>
      </c>
      <c r="S3575" s="2" t="s">
        <v>30</v>
      </c>
    </row>
    <row r="3576" spans="1:19">
      <c r="A3576" s="1">
        <v>45658</v>
      </c>
      <c r="B3576" s="1">
        <v>45658</v>
      </c>
      <c r="C3576">
        <v>2025</v>
      </c>
      <c r="D3576">
        <v>1</v>
      </c>
      <c r="E3576" s="2" t="s">
        <v>275</v>
      </c>
      <c r="F3576" s="2" t="s">
        <v>276</v>
      </c>
      <c r="G3576" s="2" t="s">
        <v>39</v>
      </c>
      <c r="H3576" s="2" t="s">
        <v>22</v>
      </c>
      <c r="I3576" s="2" t="s">
        <v>40</v>
      </c>
      <c r="J3576" s="2" t="s">
        <v>24</v>
      </c>
      <c r="K3576">
        <v>0.24</v>
      </c>
      <c r="L3576">
        <v>2.77</v>
      </c>
      <c r="M3576">
        <v>1154.17</v>
      </c>
      <c r="N3576" s="2" t="s">
        <v>277</v>
      </c>
      <c r="O3576" s="2" t="s">
        <v>278</v>
      </c>
      <c r="P3576" s="2" t="s">
        <v>1650</v>
      </c>
      <c r="Q3576" s="2" t="s">
        <v>4647</v>
      </c>
      <c r="R3576" s="2" t="s">
        <v>29</v>
      </c>
      <c r="S3576" s="2" t="s">
        <v>30</v>
      </c>
    </row>
    <row r="3577" spans="1:19">
      <c r="A3577" s="1">
        <v>45658</v>
      </c>
      <c r="B3577" s="1">
        <v>45658</v>
      </c>
      <c r="C3577">
        <v>2025</v>
      </c>
      <c r="D3577">
        <v>1</v>
      </c>
      <c r="E3577" s="2" t="s">
        <v>281</v>
      </c>
      <c r="F3577" s="2" t="s">
        <v>282</v>
      </c>
      <c r="G3577" s="2" t="s">
        <v>39</v>
      </c>
      <c r="H3577" s="2" t="s">
        <v>22</v>
      </c>
      <c r="I3577" s="2" t="s">
        <v>40</v>
      </c>
      <c r="J3577" s="2" t="s">
        <v>24</v>
      </c>
      <c r="K3577">
        <v>0.03</v>
      </c>
      <c r="L3577">
        <v>0.35</v>
      </c>
      <c r="M3577">
        <v>1166.67</v>
      </c>
      <c r="N3577" s="2" t="s">
        <v>283</v>
      </c>
      <c r="O3577" s="2" t="s">
        <v>284</v>
      </c>
      <c r="P3577" s="2" t="s">
        <v>1247</v>
      </c>
      <c r="Q3577" s="2" t="s">
        <v>4029</v>
      </c>
      <c r="R3577" s="2" t="s">
        <v>29</v>
      </c>
      <c r="S3577" s="2" t="s">
        <v>30</v>
      </c>
    </row>
    <row r="3578" spans="1:19">
      <c r="A3578" s="1">
        <v>45658</v>
      </c>
      <c r="B3578" s="1">
        <v>45658</v>
      </c>
      <c r="C3578">
        <v>2025</v>
      </c>
      <c r="D3578">
        <v>1</v>
      </c>
      <c r="E3578" s="2" t="s">
        <v>287</v>
      </c>
      <c r="F3578" s="2" t="s">
        <v>288</v>
      </c>
      <c r="G3578" s="2" t="s">
        <v>39</v>
      </c>
      <c r="H3578" s="2" t="s">
        <v>22</v>
      </c>
      <c r="I3578" s="2" t="s">
        <v>40</v>
      </c>
      <c r="J3578" s="2" t="s">
        <v>59</v>
      </c>
      <c r="K3578">
        <v>0.27</v>
      </c>
      <c r="L3578">
        <v>3.12</v>
      </c>
      <c r="M3578">
        <v>1155.56</v>
      </c>
      <c r="N3578" s="2" t="s">
        <v>289</v>
      </c>
      <c r="O3578" s="2" t="s">
        <v>290</v>
      </c>
      <c r="P3578" s="2" t="s">
        <v>980</v>
      </c>
      <c r="Q3578" s="2" t="s">
        <v>6259</v>
      </c>
      <c r="R3578" s="2" t="s">
        <v>29</v>
      </c>
      <c r="S3578" s="2" t="s">
        <v>30</v>
      </c>
    </row>
    <row r="3579" spans="1:19">
      <c r="A3579" s="1">
        <v>45658</v>
      </c>
      <c r="B3579" s="1">
        <v>45658</v>
      </c>
      <c r="C3579">
        <v>2025</v>
      </c>
      <c r="D3579">
        <v>1</v>
      </c>
      <c r="E3579" s="2" t="s">
        <v>293</v>
      </c>
      <c r="F3579" s="2" t="s">
        <v>294</v>
      </c>
      <c r="G3579" s="2" t="s">
        <v>21</v>
      </c>
      <c r="H3579" s="2" t="s">
        <v>22</v>
      </c>
      <c r="I3579" s="2" t="s">
        <v>295</v>
      </c>
      <c r="J3579" s="2" t="s">
        <v>24</v>
      </c>
      <c r="K3579">
        <v>970.79</v>
      </c>
      <c r="L3579">
        <v>3796.33</v>
      </c>
      <c r="M3579">
        <v>391.06</v>
      </c>
      <c r="N3579" s="2" t="s">
        <v>296</v>
      </c>
      <c r="O3579" s="2" t="s">
        <v>297</v>
      </c>
      <c r="P3579" s="2" t="s">
        <v>6260</v>
      </c>
      <c r="Q3579" s="2" t="s">
        <v>6261</v>
      </c>
      <c r="R3579" s="2" t="s">
        <v>29</v>
      </c>
      <c r="S3579" s="2" t="s">
        <v>30</v>
      </c>
    </row>
    <row r="3580" spans="1:19">
      <c r="A3580" s="1">
        <v>45658</v>
      </c>
      <c r="B3580" s="1">
        <v>45658</v>
      </c>
      <c r="C3580">
        <v>2025</v>
      </c>
      <c r="D3580">
        <v>1</v>
      </c>
      <c r="E3580" s="2" t="s">
        <v>300</v>
      </c>
      <c r="F3580" s="2" t="s">
        <v>301</v>
      </c>
      <c r="G3580" s="2" t="s">
        <v>21</v>
      </c>
      <c r="H3580" s="2" t="s">
        <v>22</v>
      </c>
      <c r="I3580" s="2" t="s">
        <v>295</v>
      </c>
      <c r="J3580" s="2" t="s">
        <v>24</v>
      </c>
      <c r="K3580">
        <v>701.18</v>
      </c>
      <c r="L3580">
        <v>999.7</v>
      </c>
      <c r="M3580">
        <v>142.57</v>
      </c>
      <c r="N3580" s="2" t="s">
        <v>302</v>
      </c>
      <c r="O3580" s="2" t="s">
        <v>303</v>
      </c>
      <c r="P3580" s="2" t="s">
        <v>6262</v>
      </c>
      <c r="Q3580" s="2" t="s">
        <v>6263</v>
      </c>
      <c r="R3580" s="2" t="s">
        <v>29</v>
      </c>
      <c r="S3580" s="2" t="s">
        <v>30</v>
      </c>
    </row>
    <row r="3581" spans="1:19">
      <c r="A3581" s="1">
        <v>45658</v>
      </c>
      <c r="B3581" s="1">
        <v>45658</v>
      </c>
      <c r="C3581">
        <v>2025</v>
      </c>
      <c r="D3581">
        <v>1</v>
      </c>
      <c r="E3581" s="2" t="s">
        <v>306</v>
      </c>
      <c r="F3581" s="2" t="s">
        <v>307</v>
      </c>
      <c r="G3581" s="2" t="s">
        <v>21</v>
      </c>
      <c r="H3581" s="2" t="s">
        <v>22</v>
      </c>
      <c r="I3581" s="2" t="s">
        <v>295</v>
      </c>
      <c r="J3581" s="2" t="s">
        <v>101</v>
      </c>
      <c r="K3581">
        <v>1671.97</v>
      </c>
      <c r="L3581">
        <v>4796.03</v>
      </c>
      <c r="M3581">
        <v>286.85000000000002</v>
      </c>
      <c r="N3581" s="2" t="s">
        <v>308</v>
      </c>
      <c r="O3581" s="2" t="s">
        <v>309</v>
      </c>
      <c r="P3581" s="2" t="s">
        <v>6264</v>
      </c>
      <c r="Q3581" s="2" t="s">
        <v>6265</v>
      </c>
      <c r="R3581" s="2" t="s">
        <v>29</v>
      </c>
      <c r="S3581" s="2" t="s">
        <v>30</v>
      </c>
    </row>
    <row r="3582" spans="1:19">
      <c r="A3582" s="1">
        <v>45658</v>
      </c>
      <c r="B3582" s="1">
        <v>45658</v>
      </c>
      <c r="C3582">
        <v>2025</v>
      </c>
      <c r="D3582">
        <v>1</v>
      </c>
      <c r="E3582" s="2" t="s">
        <v>312</v>
      </c>
      <c r="F3582" s="2" t="s">
        <v>313</v>
      </c>
      <c r="G3582" s="2" t="s">
        <v>21</v>
      </c>
      <c r="H3582" s="2" t="s">
        <v>22</v>
      </c>
      <c r="I3582" s="2" t="s">
        <v>295</v>
      </c>
      <c r="J3582" s="2" t="s">
        <v>59</v>
      </c>
      <c r="K3582">
        <v>6547.1</v>
      </c>
      <c r="L3582">
        <v>19496.3</v>
      </c>
      <c r="M3582">
        <v>297.79000000000002</v>
      </c>
      <c r="N3582" s="2" t="s">
        <v>314</v>
      </c>
      <c r="O3582" s="2" t="s">
        <v>315</v>
      </c>
      <c r="P3582" s="2" t="s">
        <v>6266</v>
      </c>
      <c r="Q3582" s="2" t="s">
        <v>6267</v>
      </c>
      <c r="R3582" s="2" t="s">
        <v>29</v>
      </c>
      <c r="S3582" s="2" t="s">
        <v>30</v>
      </c>
    </row>
    <row r="3583" spans="1:19">
      <c r="A3583" s="1">
        <v>45658</v>
      </c>
      <c r="B3583" s="1">
        <v>45658</v>
      </c>
      <c r="C3583">
        <v>2025</v>
      </c>
      <c r="D3583">
        <v>1</v>
      </c>
      <c r="E3583" s="2" t="s">
        <v>318</v>
      </c>
      <c r="F3583" s="2" t="s">
        <v>319</v>
      </c>
      <c r="G3583" s="2" t="s">
        <v>21</v>
      </c>
      <c r="H3583" s="2" t="s">
        <v>22</v>
      </c>
      <c r="I3583" s="2" t="s">
        <v>295</v>
      </c>
      <c r="J3583" s="2" t="s">
        <v>24</v>
      </c>
      <c r="K3583">
        <v>4875.1400000000003</v>
      </c>
      <c r="L3583">
        <v>14700.26</v>
      </c>
      <c r="M3583">
        <v>301.54000000000002</v>
      </c>
      <c r="N3583" s="2" t="s">
        <v>320</v>
      </c>
      <c r="O3583" s="2" t="s">
        <v>321</v>
      </c>
      <c r="P3583" s="2" t="s">
        <v>6268</v>
      </c>
      <c r="Q3583" s="2" t="s">
        <v>6269</v>
      </c>
      <c r="R3583" s="2" t="s">
        <v>29</v>
      </c>
      <c r="S3583" s="2" t="s">
        <v>30</v>
      </c>
    </row>
    <row r="3584" spans="1:19">
      <c r="A3584" s="1">
        <v>45658</v>
      </c>
      <c r="B3584" s="1">
        <v>45658</v>
      </c>
      <c r="C3584">
        <v>2025</v>
      </c>
      <c r="D3584">
        <v>1</v>
      </c>
      <c r="E3584" s="2" t="s">
        <v>324</v>
      </c>
      <c r="F3584" s="2" t="s">
        <v>325</v>
      </c>
      <c r="G3584" s="2" t="s">
        <v>21</v>
      </c>
      <c r="H3584" s="2" t="s">
        <v>22</v>
      </c>
      <c r="I3584" s="2" t="s">
        <v>23</v>
      </c>
      <c r="J3584" s="2" t="s">
        <v>59</v>
      </c>
      <c r="K3584">
        <v>186538.41</v>
      </c>
      <c r="L3584">
        <v>7000486.6100000003</v>
      </c>
      <c r="M3584">
        <v>3752.84</v>
      </c>
      <c r="N3584" s="2" t="s">
        <v>326</v>
      </c>
      <c r="O3584" s="2" t="s">
        <v>327</v>
      </c>
      <c r="P3584" s="2" t="s">
        <v>6270</v>
      </c>
      <c r="Q3584" s="2" t="s">
        <v>6271</v>
      </c>
      <c r="R3584" s="2" t="s">
        <v>29</v>
      </c>
      <c r="S3584" s="2" t="s">
        <v>30</v>
      </c>
    </row>
    <row r="3585" spans="1:19">
      <c r="A3585" s="1">
        <v>45658</v>
      </c>
      <c r="B3585" s="1">
        <v>45658</v>
      </c>
      <c r="C3585">
        <v>2025</v>
      </c>
      <c r="D3585">
        <v>1</v>
      </c>
      <c r="E3585" s="2" t="s">
        <v>330</v>
      </c>
      <c r="F3585" s="2" t="s">
        <v>331</v>
      </c>
      <c r="G3585" s="2" t="s">
        <v>21</v>
      </c>
      <c r="H3585" s="2" t="s">
        <v>332</v>
      </c>
      <c r="I3585" s="2" t="s">
        <v>333</v>
      </c>
      <c r="J3585" s="2" t="s">
        <v>24</v>
      </c>
      <c r="K3585">
        <v>266.89</v>
      </c>
      <c r="L3585">
        <v>15571747.789999999</v>
      </c>
      <c r="M3585">
        <v>5834519.0099999998</v>
      </c>
      <c r="N3585" s="2" t="s">
        <v>334</v>
      </c>
      <c r="O3585" s="2" t="s">
        <v>335</v>
      </c>
      <c r="P3585" s="2" t="s">
        <v>6272</v>
      </c>
      <c r="Q3585" s="2" t="s">
        <v>6273</v>
      </c>
      <c r="R3585" s="2" t="s">
        <v>29</v>
      </c>
      <c r="S3585" s="2" t="s">
        <v>30</v>
      </c>
    </row>
    <row r="3586" spans="1:19">
      <c r="A3586" s="1">
        <v>45658</v>
      </c>
      <c r="B3586" s="1">
        <v>45658</v>
      </c>
      <c r="C3586">
        <v>2025</v>
      </c>
      <c r="D3586">
        <v>1</v>
      </c>
      <c r="E3586" s="2" t="s">
        <v>338</v>
      </c>
      <c r="F3586" s="2" t="s">
        <v>339</v>
      </c>
      <c r="G3586" s="2" t="s">
        <v>21</v>
      </c>
      <c r="H3586" s="2" t="s">
        <v>332</v>
      </c>
      <c r="I3586" s="2" t="s">
        <v>333</v>
      </c>
      <c r="J3586" s="2" t="s">
        <v>24</v>
      </c>
      <c r="K3586">
        <v>1.26</v>
      </c>
      <c r="L3586">
        <v>1927614.91</v>
      </c>
      <c r="M3586">
        <v>152985310.31999999</v>
      </c>
      <c r="N3586" s="2" t="s">
        <v>340</v>
      </c>
      <c r="O3586" s="2" t="s">
        <v>341</v>
      </c>
      <c r="P3586" s="2" t="s">
        <v>267</v>
      </c>
      <c r="Q3586" s="2" t="s">
        <v>6274</v>
      </c>
      <c r="R3586" s="2" t="s">
        <v>29</v>
      </c>
      <c r="S3586" s="2" t="s">
        <v>30</v>
      </c>
    </row>
    <row r="3587" spans="1:19">
      <c r="A3587" s="1">
        <v>45658</v>
      </c>
      <c r="B3587" s="1">
        <v>45658</v>
      </c>
      <c r="C3587">
        <v>2025</v>
      </c>
      <c r="D3587">
        <v>1</v>
      </c>
      <c r="E3587" s="2" t="s">
        <v>344</v>
      </c>
      <c r="F3587" s="2" t="s">
        <v>345</v>
      </c>
      <c r="G3587" s="2" t="s">
        <v>21</v>
      </c>
      <c r="H3587" s="2" t="s">
        <v>332</v>
      </c>
      <c r="I3587" s="2" t="s">
        <v>333</v>
      </c>
      <c r="J3587" s="2" t="s">
        <v>59</v>
      </c>
      <c r="K3587">
        <v>268.14999999999998</v>
      </c>
      <c r="L3587">
        <v>17499362.699999999</v>
      </c>
      <c r="M3587">
        <v>6525960.3600000003</v>
      </c>
      <c r="N3587" s="2" t="s">
        <v>346</v>
      </c>
      <c r="O3587" s="2" t="s">
        <v>347</v>
      </c>
      <c r="P3587" s="2" t="s">
        <v>6275</v>
      </c>
      <c r="Q3587" s="2" t="s">
        <v>6276</v>
      </c>
      <c r="R3587" s="2" t="s">
        <v>29</v>
      </c>
      <c r="S3587" s="2" t="s">
        <v>30</v>
      </c>
    </row>
    <row r="3588" spans="1:19">
      <c r="A3588" s="1">
        <v>45658</v>
      </c>
      <c r="B3588" s="1">
        <v>45658</v>
      </c>
      <c r="C3588">
        <v>2025</v>
      </c>
      <c r="D3588">
        <v>1</v>
      </c>
      <c r="E3588" s="2" t="s">
        <v>350</v>
      </c>
      <c r="F3588" s="2" t="s">
        <v>351</v>
      </c>
      <c r="G3588" s="2" t="s">
        <v>21</v>
      </c>
      <c r="H3588" s="2" t="s">
        <v>22</v>
      </c>
      <c r="I3588" s="2" t="s">
        <v>352</v>
      </c>
      <c r="J3588" s="2" t="s">
        <v>353</v>
      </c>
      <c r="K3588">
        <v>200754.53</v>
      </c>
      <c r="L3588">
        <v>24941970.199999999</v>
      </c>
      <c r="M3588">
        <v>12424.11</v>
      </c>
      <c r="N3588" s="2" t="s">
        <v>354</v>
      </c>
      <c r="O3588" s="2" t="s">
        <v>355</v>
      </c>
      <c r="P3588" s="2" t="s">
        <v>6277</v>
      </c>
      <c r="Q3588" s="2" t="s">
        <v>6278</v>
      </c>
      <c r="R3588" s="2" t="s">
        <v>29</v>
      </c>
      <c r="S3588" s="2" t="s">
        <v>30</v>
      </c>
    </row>
    <row r="3589" spans="1:19">
      <c r="A3589" s="1">
        <v>45658</v>
      </c>
      <c r="B3589" s="1">
        <v>45658</v>
      </c>
      <c r="C3589">
        <v>2025</v>
      </c>
      <c r="D3589">
        <v>1</v>
      </c>
      <c r="E3589" s="2" t="s">
        <v>358</v>
      </c>
      <c r="F3589" s="2" t="s">
        <v>359</v>
      </c>
      <c r="G3589" s="2" t="s">
        <v>21</v>
      </c>
      <c r="H3589" s="2" t="s">
        <v>22</v>
      </c>
      <c r="I3589" s="2" t="s">
        <v>352</v>
      </c>
      <c r="J3589" s="2" t="s">
        <v>353</v>
      </c>
      <c r="K3589">
        <v>201271.14</v>
      </c>
      <c r="L3589">
        <v>25548725.91</v>
      </c>
      <c r="M3589">
        <v>12693.69</v>
      </c>
      <c r="N3589" s="2" t="s">
        <v>360</v>
      </c>
      <c r="O3589" s="2" t="s">
        <v>361</v>
      </c>
      <c r="P3589" s="2" t="s">
        <v>6279</v>
      </c>
      <c r="Q3589" s="2" t="s">
        <v>6280</v>
      </c>
      <c r="R3589" s="2" t="s">
        <v>29</v>
      </c>
      <c r="S3589" s="2" t="s">
        <v>30</v>
      </c>
    </row>
    <row r="3590" spans="1:19">
      <c r="A3590" s="1">
        <v>45658</v>
      </c>
      <c r="B3590" s="1">
        <v>45658</v>
      </c>
      <c r="C3590">
        <v>2025</v>
      </c>
      <c r="D3590">
        <v>1</v>
      </c>
      <c r="E3590" s="2" t="s">
        <v>364</v>
      </c>
      <c r="F3590" s="2" t="s">
        <v>365</v>
      </c>
      <c r="G3590" s="2" t="s">
        <v>21</v>
      </c>
      <c r="H3590" s="2" t="s">
        <v>22</v>
      </c>
      <c r="I3590" s="2" t="s">
        <v>352</v>
      </c>
      <c r="J3590" s="2" t="s">
        <v>353</v>
      </c>
      <c r="K3590">
        <v>201003</v>
      </c>
      <c r="L3590">
        <v>8049363.21</v>
      </c>
      <c r="M3590">
        <v>4004.6</v>
      </c>
      <c r="N3590" s="2" t="s">
        <v>366</v>
      </c>
      <c r="O3590" s="2" t="s">
        <v>367</v>
      </c>
      <c r="P3590" s="2" t="s">
        <v>6281</v>
      </c>
      <c r="Q3590" s="2" t="s">
        <v>6282</v>
      </c>
      <c r="R3590" s="2" t="s">
        <v>29</v>
      </c>
      <c r="S3590" s="2" t="s">
        <v>30</v>
      </c>
    </row>
    <row r="3591" spans="1:19">
      <c r="A3591" s="1">
        <v>45658</v>
      </c>
      <c r="B3591" s="1">
        <v>45658</v>
      </c>
      <c r="C3591">
        <v>2025</v>
      </c>
      <c r="D3591">
        <v>1</v>
      </c>
      <c r="E3591" s="2" t="s">
        <v>370</v>
      </c>
      <c r="F3591" s="2" t="s">
        <v>371</v>
      </c>
      <c r="G3591" s="2" t="s">
        <v>21</v>
      </c>
      <c r="H3591" s="2" t="s">
        <v>22</v>
      </c>
      <c r="I3591" s="2" t="s">
        <v>23</v>
      </c>
      <c r="J3591" s="2" t="s">
        <v>24</v>
      </c>
      <c r="K3591">
        <v>169960.01</v>
      </c>
      <c r="L3591">
        <v>2348037.11</v>
      </c>
      <c r="M3591">
        <v>1381.52</v>
      </c>
      <c r="N3591" s="2" t="s">
        <v>372</v>
      </c>
      <c r="O3591" s="2" t="s">
        <v>373</v>
      </c>
      <c r="P3591" s="2" t="s">
        <v>6283</v>
      </c>
      <c r="Q3591" s="2" t="s">
        <v>6284</v>
      </c>
      <c r="R3591" s="2" t="s">
        <v>29</v>
      </c>
      <c r="S3591" s="2" t="s">
        <v>30</v>
      </c>
    </row>
    <row r="3592" spans="1:19">
      <c r="A3592" s="1">
        <v>45658</v>
      </c>
      <c r="B3592" s="1">
        <v>45658</v>
      </c>
      <c r="C3592">
        <v>2025</v>
      </c>
      <c r="D3592">
        <v>1</v>
      </c>
      <c r="E3592" s="2" t="s">
        <v>376</v>
      </c>
      <c r="F3592" s="2" t="s">
        <v>377</v>
      </c>
      <c r="G3592" s="2" t="s">
        <v>21</v>
      </c>
      <c r="H3592" s="2" t="s">
        <v>22</v>
      </c>
      <c r="I3592" s="2" t="s">
        <v>23</v>
      </c>
      <c r="J3592" s="2" t="s">
        <v>378</v>
      </c>
      <c r="K3592">
        <v>1.38</v>
      </c>
      <c r="L3592">
        <v>16.100000000000001</v>
      </c>
      <c r="M3592">
        <v>1166.67</v>
      </c>
      <c r="N3592" s="2" t="s">
        <v>379</v>
      </c>
      <c r="O3592" s="2" t="s">
        <v>380</v>
      </c>
      <c r="P3592" s="2" t="s">
        <v>6285</v>
      </c>
      <c r="Q3592" s="2" t="s">
        <v>6194</v>
      </c>
      <c r="R3592" s="2" t="s">
        <v>29</v>
      </c>
      <c r="S3592" s="2" t="s">
        <v>30</v>
      </c>
    </row>
    <row r="3593" spans="1:19">
      <c r="A3593" s="1">
        <v>45689</v>
      </c>
      <c r="B3593" s="1">
        <v>45689</v>
      </c>
      <c r="C3593">
        <v>2025</v>
      </c>
      <c r="D3593">
        <v>2</v>
      </c>
      <c r="E3593" s="2" t="s">
        <v>19</v>
      </c>
      <c r="F3593" s="2" t="s">
        <v>20</v>
      </c>
      <c r="G3593" s="2" t="s">
        <v>21</v>
      </c>
      <c r="H3593" s="2" t="s">
        <v>22</v>
      </c>
      <c r="I3593" s="2" t="s">
        <v>23</v>
      </c>
      <c r="J3593" s="2" t="s">
        <v>24</v>
      </c>
      <c r="K3593">
        <v>0.28000000000000003</v>
      </c>
      <c r="L3593">
        <v>15.65</v>
      </c>
      <c r="M3593">
        <v>5589.29</v>
      </c>
      <c r="N3593" s="2" t="s">
        <v>25</v>
      </c>
      <c r="O3593" s="2" t="s">
        <v>26</v>
      </c>
      <c r="P3593" s="2" t="s">
        <v>2910</v>
      </c>
      <c r="Q3593" s="2" t="s">
        <v>6286</v>
      </c>
      <c r="R3593" s="2" t="s">
        <v>29</v>
      </c>
      <c r="S3593" s="2" t="s">
        <v>30</v>
      </c>
    </row>
    <row r="3594" spans="1:19">
      <c r="A3594" s="1">
        <v>45689</v>
      </c>
      <c r="B3594" s="1">
        <v>45689</v>
      </c>
      <c r="C3594">
        <v>2025</v>
      </c>
      <c r="D3594">
        <v>2</v>
      </c>
      <c r="E3594" s="2" t="s">
        <v>31</v>
      </c>
      <c r="F3594" s="2" t="s">
        <v>32</v>
      </c>
      <c r="G3594" s="2" t="s">
        <v>21</v>
      </c>
      <c r="H3594" s="2" t="s">
        <v>22</v>
      </c>
      <c r="I3594" s="2" t="s">
        <v>23</v>
      </c>
      <c r="J3594" s="2" t="s">
        <v>24</v>
      </c>
      <c r="K3594">
        <v>3103.12</v>
      </c>
      <c r="L3594">
        <v>57096.94</v>
      </c>
      <c r="M3594">
        <v>1839.98</v>
      </c>
      <c r="N3594" s="2" t="s">
        <v>33</v>
      </c>
      <c r="O3594" s="2" t="s">
        <v>34</v>
      </c>
      <c r="P3594" s="2" t="s">
        <v>6287</v>
      </c>
      <c r="Q3594" s="2" t="s">
        <v>6288</v>
      </c>
      <c r="R3594" s="2" t="s">
        <v>29</v>
      </c>
      <c r="S3594" s="2" t="s">
        <v>30</v>
      </c>
    </row>
    <row r="3595" spans="1:19">
      <c r="A3595" s="1">
        <v>45689</v>
      </c>
      <c r="B3595" s="1">
        <v>45689</v>
      </c>
      <c r="C3595">
        <v>2025</v>
      </c>
      <c r="D3595">
        <v>2</v>
      </c>
      <c r="E3595" s="2" t="s">
        <v>37</v>
      </c>
      <c r="F3595" s="2" t="s">
        <v>38</v>
      </c>
      <c r="G3595" s="2" t="s">
        <v>39</v>
      </c>
      <c r="H3595" s="2" t="s">
        <v>22</v>
      </c>
      <c r="I3595" s="2" t="s">
        <v>40</v>
      </c>
      <c r="J3595" s="2" t="s">
        <v>24</v>
      </c>
      <c r="K3595">
        <v>6.84</v>
      </c>
      <c r="L3595">
        <v>369.76</v>
      </c>
      <c r="M3595">
        <v>5405.85</v>
      </c>
      <c r="N3595" s="2" t="s">
        <v>41</v>
      </c>
      <c r="O3595" s="2" t="s">
        <v>42</v>
      </c>
      <c r="P3595" s="2" t="s">
        <v>6289</v>
      </c>
      <c r="Q3595" s="2" t="s">
        <v>6290</v>
      </c>
      <c r="R3595" s="2" t="s">
        <v>29</v>
      </c>
      <c r="S3595" s="2" t="s">
        <v>30</v>
      </c>
    </row>
    <row r="3596" spans="1:19">
      <c r="A3596" s="1">
        <v>45689</v>
      </c>
      <c r="B3596" s="1">
        <v>45689</v>
      </c>
      <c r="C3596">
        <v>2025</v>
      </c>
      <c r="D3596">
        <v>2</v>
      </c>
      <c r="E3596" s="2" t="s">
        <v>45</v>
      </c>
      <c r="F3596" s="2" t="s">
        <v>46</v>
      </c>
      <c r="G3596" s="2" t="s">
        <v>39</v>
      </c>
      <c r="H3596" s="2" t="s">
        <v>22</v>
      </c>
      <c r="I3596" s="2" t="s">
        <v>40</v>
      </c>
      <c r="J3596" s="2" t="s">
        <v>24</v>
      </c>
      <c r="K3596">
        <v>4473.7700000000004</v>
      </c>
      <c r="L3596">
        <v>234407.96</v>
      </c>
      <c r="M3596">
        <v>5239.6099999999997</v>
      </c>
      <c r="N3596" s="2" t="s">
        <v>47</v>
      </c>
      <c r="O3596" s="2" t="s">
        <v>48</v>
      </c>
      <c r="P3596" s="2" t="s">
        <v>6291</v>
      </c>
      <c r="Q3596" s="2" t="s">
        <v>6292</v>
      </c>
      <c r="R3596" s="2" t="s">
        <v>29</v>
      </c>
      <c r="S3596" s="2" t="s">
        <v>30</v>
      </c>
    </row>
    <row r="3597" spans="1:19">
      <c r="A3597" s="1">
        <v>45689</v>
      </c>
      <c r="B3597" s="1">
        <v>45689</v>
      </c>
      <c r="C3597">
        <v>2025</v>
      </c>
      <c r="D3597">
        <v>2</v>
      </c>
      <c r="E3597" s="2" t="s">
        <v>51</v>
      </c>
      <c r="F3597" s="2" t="s">
        <v>52</v>
      </c>
      <c r="G3597" s="2" t="s">
        <v>39</v>
      </c>
      <c r="H3597" s="2" t="s">
        <v>22</v>
      </c>
      <c r="I3597" s="2" t="s">
        <v>40</v>
      </c>
      <c r="J3597" s="2" t="s">
        <v>24</v>
      </c>
      <c r="K3597">
        <v>17.36</v>
      </c>
      <c r="L3597">
        <v>840.29</v>
      </c>
      <c r="M3597">
        <v>4840.38</v>
      </c>
      <c r="N3597" s="2" t="s">
        <v>53</v>
      </c>
      <c r="O3597" s="2" t="s">
        <v>54</v>
      </c>
      <c r="P3597" s="2" t="s">
        <v>6293</v>
      </c>
      <c r="Q3597" s="2" t="s">
        <v>6294</v>
      </c>
      <c r="R3597" s="2" t="s">
        <v>29</v>
      </c>
      <c r="S3597" s="2" t="s">
        <v>30</v>
      </c>
    </row>
    <row r="3598" spans="1:19">
      <c r="A3598" s="1">
        <v>45689</v>
      </c>
      <c r="B3598" s="1">
        <v>45689</v>
      </c>
      <c r="C3598">
        <v>2025</v>
      </c>
      <c r="D3598">
        <v>2</v>
      </c>
      <c r="E3598" s="2" t="s">
        <v>57</v>
      </c>
      <c r="F3598" s="2" t="s">
        <v>58</v>
      </c>
      <c r="G3598" s="2" t="s">
        <v>39</v>
      </c>
      <c r="H3598" s="2" t="s">
        <v>22</v>
      </c>
      <c r="I3598" s="2" t="s">
        <v>40</v>
      </c>
      <c r="J3598" s="2" t="s">
        <v>59</v>
      </c>
      <c r="K3598">
        <v>4497.97</v>
      </c>
      <c r="L3598">
        <v>235618.02</v>
      </c>
      <c r="M3598">
        <v>5238.32</v>
      </c>
      <c r="N3598" s="2" t="s">
        <v>60</v>
      </c>
      <c r="O3598" s="2" t="s">
        <v>61</v>
      </c>
      <c r="P3598" s="2" t="s">
        <v>6295</v>
      </c>
      <c r="Q3598" s="2" t="s">
        <v>6296</v>
      </c>
      <c r="R3598" s="2" t="s">
        <v>29</v>
      </c>
      <c r="S3598" s="2" t="s">
        <v>30</v>
      </c>
    </row>
    <row r="3599" spans="1:19">
      <c r="A3599" s="1">
        <v>45689</v>
      </c>
      <c r="B3599" s="1">
        <v>45689</v>
      </c>
      <c r="C3599">
        <v>2025</v>
      </c>
      <c r="D3599">
        <v>2</v>
      </c>
      <c r="E3599" s="2" t="s">
        <v>64</v>
      </c>
      <c r="F3599" s="2" t="s">
        <v>65</v>
      </c>
      <c r="G3599" s="2" t="s">
        <v>21</v>
      </c>
      <c r="H3599" s="2" t="s">
        <v>22</v>
      </c>
      <c r="I3599" s="2" t="s">
        <v>66</v>
      </c>
      <c r="J3599" s="2" t="s">
        <v>24</v>
      </c>
      <c r="K3599">
        <v>15.67</v>
      </c>
      <c r="L3599">
        <v>494.42</v>
      </c>
      <c r="M3599">
        <v>3155.2</v>
      </c>
      <c r="N3599" s="2" t="s">
        <v>67</v>
      </c>
      <c r="O3599" s="2" t="s">
        <v>68</v>
      </c>
      <c r="P3599" s="2" t="s">
        <v>6297</v>
      </c>
      <c r="Q3599" s="2" t="s">
        <v>6298</v>
      </c>
      <c r="R3599" s="2" t="s">
        <v>29</v>
      </c>
      <c r="S3599" s="2" t="s">
        <v>30</v>
      </c>
    </row>
    <row r="3600" spans="1:19">
      <c r="A3600" s="1">
        <v>45689</v>
      </c>
      <c r="B3600" s="1">
        <v>45689</v>
      </c>
      <c r="C3600">
        <v>2025</v>
      </c>
      <c r="D3600">
        <v>2</v>
      </c>
      <c r="E3600" s="2" t="s">
        <v>71</v>
      </c>
      <c r="F3600" s="2" t="s">
        <v>72</v>
      </c>
      <c r="G3600" s="2" t="s">
        <v>21</v>
      </c>
      <c r="H3600" s="2" t="s">
        <v>22</v>
      </c>
      <c r="I3600" s="2" t="s">
        <v>73</v>
      </c>
      <c r="J3600" s="2" t="s">
        <v>59</v>
      </c>
      <c r="K3600">
        <v>5052.09</v>
      </c>
      <c r="L3600">
        <v>201522.01</v>
      </c>
      <c r="M3600">
        <v>3988.88</v>
      </c>
      <c r="N3600" s="2" t="s">
        <v>74</v>
      </c>
      <c r="O3600" s="2" t="s">
        <v>75</v>
      </c>
      <c r="P3600" s="2" t="s">
        <v>6299</v>
      </c>
      <c r="Q3600" s="2" t="s">
        <v>6300</v>
      </c>
      <c r="R3600" s="2" t="s">
        <v>29</v>
      </c>
      <c r="S3600" s="2" t="s">
        <v>30</v>
      </c>
    </row>
    <row r="3601" spans="1:19">
      <c r="A3601" s="1">
        <v>45689</v>
      </c>
      <c r="B3601" s="1">
        <v>45689</v>
      </c>
      <c r="C3601">
        <v>2025</v>
      </c>
      <c r="D3601">
        <v>2</v>
      </c>
      <c r="E3601" s="2" t="s">
        <v>78</v>
      </c>
      <c r="F3601" s="2" t="s">
        <v>79</v>
      </c>
      <c r="G3601" s="2" t="s">
        <v>80</v>
      </c>
      <c r="H3601" s="2" t="s">
        <v>81</v>
      </c>
      <c r="I3601" s="2" t="s">
        <v>82</v>
      </c>
      <c r="J3601" s="2" t="s">
        <v>24</v>
      </c>
      <c r="K3601">
        <v>2.4500000000000002</v>
      </c>
      <c r="L3601">
        <v>9957432.4000000004</v>
      </c>
      <c r="M3601">
        <v>406425812.24000001</v>
      </c>
      <c r="N3601" s="2" t="s">
        <v>83</v>
      </c>
      <c r="O3601" s="2" t="s">
        <v>84</v>
      </c>
      <c r="P3601" s="2" t="s">
        <v>1553</v>
      </c>
      <c r="Q3601" s="2" t="s">
        <v>6301</v>
      </c>
      <c r="R3601" s="2" t="s">
        <v>29</v>
      </c>
      <c r="S3601" s="2" t="s">
        <v>30</v>
      </c>
    </row>
    <row r="3602" spans="1:19">
      <c r="A3602" s="1">
        <v>45689</v>
      </c>
      <c r="B3602" s="1">
        <v>45689</v>
      </c>
      <c r="C3602">
        <v>2025</v>
      </c>
      <c r="D3602">
        <v>2</v>
      </c>
      <c r="E3602" s="2" t="s">
        <v>87</v>
      </c>
      <c r="F3602" s="2" t="s">
        <v>88</v>
      </c>
      <c r="G3602" s="2" t="s">
        <v>80</v>
      </c>
      <c r="H3602" s="2" t="s">
        <v>81</v>
      </c>
      <c r="I3602" s="2" t="s">
        <v>82</v>
      </c>
      <c r="J3602" s="2" t="s">
        <v>24</v>
      </c>
      <c r="K3602">
        <v>0.63</v>
      </c>
      <c r="L3602">
        <v>1088597.6299999999</v>
      </c>
      <c r="M3602">
        <v>172793274.59999999</v>
      </c>
      <c r="N3602" s="2" t="s">
        <v>89</v>
      </c>
      <c r="O3602" s="2" t="s">
        <v>90</v>
      </c>
      <c r="P3602" s="2" t="s">
        <v>91</v>
      </c>
      <c r="Q3602" s="2" t="s">
        <v>6302</v>
      </c>
      <c r="R3602" s="2" t="s">
        <v>29</v>
      </c>
      <c r="S3602" s="2" t="s">
        <v>30</v>
      </c>
    </row>
    <row r="3603" spans="1:19">
      <c r="A3603" s="1">
        <v>45689</v>
      </c>
      <c r="B3603" s="1">
        <v>45689</v>
      </c>
      <c r="C3603">
        <v>2025</v>
      </c>
      <c r="D3603">
        <v>2</v>
      </c>
      <c r="E3603" s="2" t="s">
        <v>93</v>
      </c>
      <c r="F3603" s="2" t="s">
        <v>94</v>
      </c>
      <c r="G3603" s="2" t="s">
        <v>80</v>
      </c>
      <c r="H3603" s="2" t="s">
        <v>81</v>
      </c>
      <c r="I3603" s="2" t="s">
        <v>82</v>
      </c>
      <c r="J3603" s="2" t="s">
        <v>24</v>
      </c>
      <c r="K3603">
        <v>0.33</v>
      </c>
      <c r="L3603">
        <v>5916603.1299999999</v>
      </c>
      <c r="M3603">
        <v>1792910039.3900001</v>
      </c>
      <c r="N3603" s="2" t="s">
        <v>95</v>
      </c>
      <c r="O3603" s="2" t="s">
        <v>96</v>
      </c>
      <c r="P3603" s="2" t="s">
        <v>773</v>
      </c>
      <c r="Q3603" s="2" t="s">
        <v>6303</v>
      </c>
      <c r="R3603" s="2" t="s">
        <v>29</v>
      </c>
      <c r="S3603" s="2" t="s">
        <v>30</v>
      </c>
    </row>
    <row r="3604" spans="1:19">
      <c r="A3604" s="1">
        <v>45689</v>
      </c>
      <c r="B3604" s="1">
        <v>45689</v>
      </c>
      <c r="C3604">
        <v>2025</v>
      </c>
      <c r="D3604">
        <v>2</v>
      </c>
      <c r="E3604" s="2" t="s">
        <v>99</v>
      </c>
      <c r="F3604" s="2" t="s">
        <v>100</v>
      </c>
      <c r="G3604" s="2" t="s">
        <v>80</v>
      </c>
      <c r="H3604" s="2" t="s">
        <v>81</v>
      </c>
      <c r="I3604" s="2" t="s">
        <v>82</v>
      </c>
      <c r="J3604" s="2" t="s">
        <v>101</v>
      </c>
      <c r="K3604">
        <v>1.1599999999999999</v>
      </c>
      <c r="L3604">
        <v>14137926.109999999</v>
      </c>
      <c r="M3604">
        <v>1218786733.6199999</v>
      </c>
      <c r="N3604" s="2" t="s">
        <v>102</v>
      </c>
      <c r="O3604" s="2" t="s">
        <v>103</v>
      </c>
      <c r="P3604" s="2" t="s">
        <v>1921</v>
      </c>
      <c r="Q3604" s="2" t="s">
        <v>6304</v>
      </c>
      <c r="R3604" s="2" t="s">
        <v>29</v>
      </c>
      <c r="S3604" s="2" t="s">
        <v>30</v>
      </c>
    </row>
    <row r="3605" spans="1:19">
      <c r="A3605" s="1">
        <v>45689</v>
      </c>
      <c r="B3605" s="1">
        <v>45689</v>
      </c>
      <c r="C3605">
        <v>2025</v>
      </c>
      <c r="D3605">
        <v>2</v>
      </c>
      <c r="E3605" s="2" t="s">
        <v>106</v>
      </c>
      <c r="F3605" s="2" t="s">
        <v>107</v>
      </c>
      <c r="G3605" s="2" t="s">
        <v>80</v>
      </c>
      <c r="H3605" s="2" t="s">
        <v>81</v>
      </c>
      <c r="I3605" s="2" t="s">
        <v>82</v>
      </c>
      <c r="J3605" s="2" t="s">
        <v>24</v>
      </c>
      <c r="K3605">
        <v>0.2</v>
      </c>
      <c r="L3605">
        <v>7132725.3499999996</v>
      </c>
      <c r="M3605">
        <v>3566362675</v>
      </c>
      <c r="N3605" s="2" t="s">
        <v>108</v>
      </c>
      <c r="O3605" s="2" t="s">
        <v>109</v>
      </c>
      <c r="P3605" s="2" t="s">
        <v>1142</v>
      </c>
      <c r="Q3605" s="2" t="s">
        <v>6305</v>
      </c>
      <c r="R3605" s="2" t="s">
        <v>29</v>
      </c>
      <c r="S3605" s="2" t="s">
        <v>30</v>
      </c>
    </row>
    <row r="3606" spans="1:19">
      <c r="A3606" s="1">
        <v>45689</v>
      </c>
      <c r="B3606" s="1">
        <v>45689</v>
      </c>
      <c r="C3606">
        <v>2025</v>
      </c>
      <c r="D3606">
        <v>2</v>
      </c>
      <c r="E3606" s="2" t="s">
        <v>111</v>
      </c>
      <c r="F3606" s="2" t="s">
        <v>112</v>
      </c>
      <c r="G3606" s="2" t="s">
        <v>80</v>
      </c>
      <c r="H3606" s="2" t="s">
        <v>81</v>
      </c>
      <c r="I3606" s="2" t="s">
        <v>82</v>
      </c>
      <c r="J3606" s="2" t="s">
        <v>24</v>
      </c>
      <c r="K3606">
        <v>0.12</v>
      </c>
      <c r="L3606">
        <v>1076374.4099999999</v>
      </c>
      <c r="M3606">
        <v>896978675</v>
      </c>
      <c r="N3606" s="2" t="s">
        <v>113</v>
      </c>
      <c r="O3606" s="2" t="s">
        <v>114</v>
      </c>
      <c r="P3606" s="2" t="s">
        <v>1547</v>
      </c>
      <c r="Q3606" s="2" t="s">
        <v>6306</v>
      </c>
      <c r="R3606" s="2" t="s">
        <v>29</v>
      </c>
      <c r="S3606" s="2" t="s">
        <v>30</v>
      </c>
    </row>
    <row r="3607" spans="1:19">
      <c r="A3607" s="1">
        <v>45689</v>
      </c>
      <c r="B3607" s="1">
        <v>45689</v>
      </c>
      <c r="C3607">
        <v>2025</v>
      </c>
      <c r="D3607">
        <v>2</v>
      </c>
      <c r="E3607" s="2" t="s">
        <v>117</v>
      </c>
      <c r="F3607" s="2" t="s">
        <v>118</v>
      </c>
      <c r="G3607" s="2" t="s">
        <v>80</v>
      </c>
      <c r="H3607" s="2" t="s">
        <v>81</v>
      </c>
      <c r="I3607" s="2" t="s">
        <v>82</v>
      </c>
      <c r="J3607" s="2" t="s">
        <v>59</v>
      </c>
      <c r="K3607">
        <v>3.72</v>
      </c>
      <c r="L3607">
        <v>25171732.920000002</v>
      </c>
      <c r="M3607">
        <v>676659487.10000002</v>
      </c>
      <c r="N3607" s="2" t="s">
        <v>119</v>
      </c>
      <c r="O3607" s="2" t="s">
        <v>120</v>
      </c>
      <c r="P3607" s="2" t="s">
        <v>6307</v>
      </c>
      <c r="Q3607" s="2" t="s">
        <v>6308</v>
      </c>
      <c r="R3607" s="2" t="s">
        <v>29</v>
      </c>
      <c r="S3607" s="2" t="s">
        <v>30</v>
      </c>
    </row>
    <row r="3608" spans="1:19">
      <c r="A3608" s="1">
        <v>45689</v>
      </c>
      <c r="B3608" s="1">
        <v>45689</v>
      </c>
      <c r="C3608">
        <v>2025</v>
      </c>
      <c r="D3608">
        <v>2</v>
      </c>
      <c r="E3608" s="2" t="s">
        <v>123</v>
      </c>
      <c r="F3608" s="2" t="s">
        <v>124</v>
      </c>
      <c r="G3608" s="2" t="s">
        <v>21</v>
      </c>
      <c r="H3608" s="2" t="s">
        <v>22</v>
      </c>
      <c r="I3608" s="2" t="s">
        <v>73</v>
      </c>
      <c r="J3608" s="2" t="s">
        <v>24</v>
      </c>
      <c r="K3608">
        <v>1969.63</v>
      </c>
      <c r="L3608">
        <v>105083.05</v>
      </c>
      <c r="M3608">
        <v>5335.17</v>
      </c>
      <c r="N3608" s="2" t="s">
        <v>125</v>
      </c>
      <c r="O3608" s="2" t="s">
        <v>126</v>
      </c>
      <c r="P3608" s="2" t="s">
        <v>6309</v>
      </c>
      <c r="Q3608" s="2" t="s">
        <v>6310</v>
      </c>
      <c r="R3608" s="2" t="s">
        <v>29</v>
      </c>
      <c r="S3608" s="2" t="s">
        <v>30</v>
      </c>
    </row>
    <row r="3609" spans="1:19">
      <c r="A3609" s="1">
        <v>45689</v>
      </c>
      <c r="B3609" s="1">
        <v>45689</v>
      </c>
      <c r="C3609">
        <v>2025</v>
      </c>
      <c r="D3609">
        <v>2</v>
      </c>
      <c r="E3609" s="2" t="s">
        <v>129</v>
      </c>
      <c r="F3609" s="2" t="s">
        <v>130</v>
      </c>
      <c r="G3609" s="2" t="s">
        <v>21</v>
      </c>
      <c r="H3609" s="2" t="s">
        <v>22</v>
      </c>
      <c r="I3609" s="2" t="s">
        <v>73</v>
      </c>
      <c r="J3609" s="2" t="s">
        <v>24</v>
      </c>
      <c r="K3609">
        <v>1999.96</v>
      </c>
      <c r="L3609">
        <v>62124.91</v>
      </c>
      <c r="M3609">
        <v>3106.31</v>
      </c>
      <c r="N3609" s="2" t="s">
        <v>131</v>
      </c>
      <c r="O3609" s="2" t="s">
        <v>132</v>
      </c>
      <c r="P3609" s="2" t="s">
        <v>6311</v>
      </c>
      <c r="Q3609" s="2" t="s">
        <v>6312</v>
      </c>
      <c r="R3609" s="2" t="s">
        <v>29</v>
      </c>
      <c r="S3609" s="2" t="s">
        <v>30</v>
      </c>
    </row>
    <row r="3610" spans="1:19">
      <c r="A3610" s="1">
        <v>45689</v>
      </c>
      <c r="B3610" s="1">
        <v>45689</v>
      </c>
      <c r="C3610">
        <v>2025</v>
      </c>
      <c r="D3610">
        <v>2</v>
      </c>
      <c r="E3610" s="2" t="s">
        <v>135</v>
      </c>
      <c r="F3610" s="2" t="s">
        <v>136</v>
      </c>
      <c r="G3610" s="2" t="s">
        <v>21</v>
      </c>
      <c r="H3610" s="2" t="s">
        <v>22</v>
      </c>
      <c r="I3610" s="2" t="s">
        <v>73</v>
      </c>
      <c r="J3610" s="2" t="s">
        <v>101</v>
      </c>
      <c r="K3610">
        <v>3969.59</v>
      </c>
      <c r="L3610">
        <v>167207.96</v>
      </c>
      <c r="M3610">
        <v>4212.22</v>
      </c>
      <c r="N3610" s="2" t="s">
        <v>137</v>
      </c>
      <c r="O3610" s="2" t="s">
        <v>138</v>
      </c>
      <c r="P3610" s="2" t="s">
        <v>6313</v>
      </c>
      <c r="Q3610" s="2" t="s">
        <v>6314</v>
      </c>
      <c r="R3610" s="2" t="s">
        <v>29</v>
      </c>
      <c r="S3610" s="2" t="s">
        <v>30</v>
      </c>
    </row>
    <row r="3611" spans="1:19">
      <c r="A3611" s="1">
        <v>45689</v>
      </c>
      <c r="B3611" s="1">
        <v>45689</v>
      </c>
      <c r="C3611">
        <v>2025</v>
      </c>
      <c r="D3611">
        <v>2</v>
      </c>
      <c r="E3611" s="2" t="s">
        <v>141</v>
      </c>
      <c r="F3611" s="2" t="s">
        <v>142</v>
      </c>
      <c r="G3611" s="2" t="s">
        <v>21</v>
      </c>
      <c r="H3611" s="2" t="s">
        <v>22</v>
      </c>
      <c r="I3611" s="2" t="s">
        <v>73</v>
      </c>
      <c r="J3611" s="2" t="s">
        <v>24</v>
      </c>
      <c r="K3611">
        <v>279.07</v>
      </c>
      <c r="L3611">
        <v>11097.83</v>
      </c>
      <c r="M3611">
        <v>3976.72</v>
      </c>
      <c r="N3611" s="2" t="s">
        <v>143</v>
      </c>
      <c r="O3611" s="2" t="s">
        <v>144</v>
      </c>
      <c r="P3611" s="2" t="s">
        <v>6315</v>
      </c>
      <c r="Q3611" s="2" t="s">
        <v>6316</v>
      </c>
      <c r="R3611" s="2" t="s">
        <v>29</v>
      </c>
      <c r="S3611" s="2" t="s">
        <v>30</v>
      </c>
    </row>
    <row r="3612" spans="1:19">
      <c r="A3612" s="1">
        <v>45689</v>
      </c>
      <c r="B3612" s="1">
        <v>45689</v>
      </c>
      <c r="C3612">
        <v>2025</v>
      </c>
      <c r="D3612">
        <v>2</v>
      </c>
      <c r="E3612" s="2" t="s">
        <v>147</v>
      </c>
      <c r="F3612" s="2" t="s">
        <v>148</v>
      </c>
      <c r="G3612" s="2" t="s">
        <v>21</v>
      </c>
      <c r="H3612" s="2" t="s">
        <v>22</v>
      </c>
      <c r="I3612" s="2" t="s">
        <v>73</v>
      </c>
      <c r="J3612" s="2" t="s">
        <v>24</v>
      </c>
      <c r="K3612">
        <v>803.42</v>
      </c>
      <c r="L3612">
        <v>23216.22</v>
      </c>
      <c r="M3612">
        <v>2889.67</v>
      </c>
      <c r="N3612" s="2" t="s">
        <v>149</v>
      </c>
      <c r="O3612" s="2" t="s">
        <v>150</v>
      </c>
      <c r="P3612" s="2" t="s">
        <v>6317</v>
      </c>
      <c r="Q3612" s="2" t="s">
        <v>6318</v>
      </c>
      <c r="R3612" s="2" t="s">
        <v>29</v>
      </c>
      <c r="S3612" s="2" t="s">
        <v>30</v>
      </c>
    </row>
    <row r="3613" spans="1:19">
      <c r="A3613" s="1">
        <v>45689</v>
      </c>
      <c r="B3613" s="1">
        <v>45689</v>
      </c>
      <c r="C3613">
        <v>2025</v>
      </c>
      <c r="D3613">
        <v>2</v>
      </c>
      <c r="E3613" s="2" t="s">
        <v>153</v>
      </c>
      <c r="F3613" s="2" t="s">
        <v>154</v>
      </c>
      <c r="G3613" s="2" t="s">
        <v>21</v>
      </c>
      <c r="H3613" s="2" t="s">
        <v>22</v>
      </c>
      <c r="I3613" s="2" t="s">
        <v>73</v>
      </c>
      <c r="J3613" s="2" t="s">
        <v>101</v>
      </c>
      <c r="K3613">
        <v>1082.5</v>
      </c>
      <c r="L3613">
        <v>34314.04</v>
      </c>
      <c r="M3613">
        <v>3169.89</v>
      </c>
      <c r="N3613" s="2" t="s">
        <v>155</v>
      </c>
      <c r="O3613" s="2" t="s">
        <v>156</v>
      </c>
      <c r="P3613" s="2" t="s">
        <v>6319</v>
      </c>
      <c r="Q3613" s="2" t="s">
        <v>6320</v>
      </c>
      <c r="R3613" s="2" t="s">
        <v>29</v>
      </c>
      <c r="S3613" s="2" t="s">
        <v>30</v>
      </c>
    </row>
    <row r="3614" spans="1:19">
      <c r="A3614" s="1">
        <v>45689</v>
      </c>
      <c r="B3614" s="1">
        <v>45689</v>
      </c>
      <c r="C3614">
        <v>2025</v>
      </c>
      <c r="D3614">
        <v>2</v>
      </c>
      <c r="E3614" s="2" t="s">
        <v>159</v>
      </c>
      <c r="F3614" s="2" t="s">
        <v>160</v>
      </c>
      <c r="G3614" s="2" t="s">
        <v>21</v>
      </c>
      <c r="H3614" s="2" t="s">
        <v>22</v>
      </c>
      <c r="I3614" s="2" t="s">
        <v>66</v>
      </c>
      <c r="J3614" s="2" t="s">
        <v>59</v>
      </c>
      <c r="K3614">
        <v>1862.8</v>
      </c>
      <c r="L3614">
        <v>193068.11</v>
      </c>
      <c r="M3614">
        <v>10364.4</v>
      </c>
      <c r="N3614" s="2" t="s">
        <v>161</v>
      </c>
      <c r="O3614" s="2" t="s">
        <v>162</v>
      </c>
      <c r="P3614" s="2" t="s">
        <v>6321</v>
      </c>
      <c r="Q3614" s="2" t="s">
        <v>6322</v>
      </c>
      <c r="R3614" s="2" t="s">
        <v>29</v>
      </c>
      <c r="S3614" s="2" t="s">
        <v>30</v>
      </c>
    </row>
    <row r="3615" spans="1:19">
      <c r="A3615" s="1">
        <v>45689</v>
      </c>
      <c r="B3615" s="1">
        <v>45689</v>
      </c>
      <c r="C3615">
        <v>2025</v>
      </c>
      <c r="D3615">
        <v>2</v>
      </c>
      <c r="E3615" s="2" t="s">
        <v>165</v>
      </c>
      <c r="F3615" s="2" t="s">
        <v>166</v>
      </c>
      <c r="G3615" s="2" t="s">
        <v>21</v>
      </c>
      <c r="H3615" s="2" t="s">
        <v>22</v>
      </c>
      <c r="I3615" s="2" t="s">
        <v>23</v>
      </c>
      <c r="J3615" s="2" t="s">
        <v>24</v>
      </c>
      <c r="N3615" s="2" t="s">
        <v>167</v>
      </c>
      <c r="O3615" s="2" t="s">
        <v>168</v>
      </c>
      <c r="P3615" s="2" t="s">
        <v>175</v>
      </c>
      <c r="Q3615" s="2" t="s">
        <v>175</v>
      </c>
      <c r="R3615" s="2" t="s">
        <v>640</v>
      </c>
      <c r="S3615" s="2" t="s">
        <v>641</v>
      </c>
    </row>
    <row r="3616" spans="1:19">
      <c r="A3616" s="1">
        <v>45689</v>
      </c>
      <c r="B3616" s="1">
        <v>45689</v>
      </c>
      <c r="C3616">
        <v>2025</v>
      </c>
      <c r="D3616">
        <v>2</v>
      </c>
      <c r="E3616" s="2" t="s">
        <v>171</v>
      </c>
      <c r="F3616" s="2" t="s">
        <v>172</v>
      </c>
      <c r="G3616" s="2" t="s">
        <v>21</v>
      </c>
      <c r="H3616" s="2" t="s">
        <v>22</v>
      </c>
      <c r="I3616" s="2" t="s">
        <v>66</v>
      </c>
      <c r="J3616" s="2" t="s">
        <v>24</v>
      </c>
      <c r="N3616" s="2" t="s">
        <v>173</v>
      </c>
      <c r="O3616" s="2" t="s">
        <v>174</v>
      </c>
      <c r="P3616" s="2" t="s">
        <v>175</v>
      </c>
      <c r="Q3616" s="2" t="s">
        <v>175</v>
      </c>
      <c r="R3616" s="2" t="s">
        <v>640</v>
      </c>
      <c r="S3616" s="2" t="s">
        <v>641</v>
      </c>
    </row>
    <row r="3617" spans="1:19">
      <c r="A3617" s="1">
        <v>45689</v>
      </c>
      <c r="B3617" s="1">
        <v>45689</v>
      </c>
      <c r="C3617">
        <v>2025</v>
      </c>
      <c r="D3617">
        <v>2</v>
      </c>
      <c r="E3617" s="2" t="s">
        <v>177</v>
      </c>
      <c r="F3617" s="2" t="s">
        <v>178</v>
      </c>
      <c r="G3617" s="2" t="s">
        <v>21</v>
      </c>
      <c r="H3617" s="2" t="s">
        <v>22</v>
      </c>
      <c r="I3617" s="2" t="s">
        <v>23</v>
      </c>
      <c r="J3617" s="2" t="s">
        <v>24</v>
      </c>
      <c r="K3617">
        <v>4048.29</v>
      </c>
      <c r="L3617">
        <v>563081.64</v>
      </c>
      <c r="M3617">
        <v>13909.12</v>
      </c>
      <c r="N3617" s="2" t="s">
        <v>179</v>
      </c>
      <c r="O3617" s="2" t="s">
        <v>180</v>
      </c>
      <c r="P3617" s="2" t="s">
        <v>6323</v>
      </c>
      <c r="Q3617" s="2" t="s">
        <v>6324</v>
      </c>
      <c r="R3617" s="2" t="s">
        <v>29</v>
      </c>
      <c r="S3617" s="2" t="s">
        <v>30</v>
      </c>
    </row>
    <row r="3618" spans="1:19">
      <c r="A3618" s="1">
        <v>45689</v>
      </c>
      <c r="B3618" s="1">
        <v>45689</v>
      </c>
      <c r="C3618">
        <v>2025</v>
      </c>
      <c r="D3618">
        <v>2</v>
      </c>
      <c r="E3618" s="2" t="s">
        <v>183</v>
      </c>
      <c r="F3618" s="2" t="s">
        <v>184</v>
      </c>
      <c r="G3618" s="2" t="s">
        <v>185</v>
      </c>
      <c r="H3618" s="2" t="s">
        <v>22</v>
      </c>
      <c r="I3618" s="2" t="s">
        <v>186</v>
      </c>
      <c r="J3618" s="2" t="s">
        <v>24</v>
      </c>
      <c r="K3618">
        <v>2632.11</v>
      </c>
      <c r="L3618">
        <v>4984648.92</v>
      </c>
      <c r="M3618">
        <v>189378.44</v>
      </c>
      <c r="N3618" s="2" t="s">
        <v>187</v>
      </c>
      <c r="O3618" s="2" t="s">
        <v>188</v>
      </c>
      <c r="P3618" s="2" t="s">
        <v>6325</v>
      </c>
      <c r="Q3618" s="2" t="s">
        <v>6326</v>
      </c>
      <c r="R3618" s="2" t="s">
        <v>29</v>
      </c>
      <c r="S3618" s="2" t="s">
        <v>30</v>
      </c>
    </row>
    <row r="3619" spans="1:19">
      <c r="A3619" s="1">
        <v>45689</v>
      </c>
      <c r="B3619" s="1">
        <v>45689</v>
      </c>
      <c r="C3619">
        <v>2025</v>
      </c>
      <c r="D3619">
        <v>2</v>
      </c>
      <c r="E3619" s="2" t="s">
        <v>191</v>
      </c>
      <c r="F3619" s="2" t="s">
        <v>192</v>
      </c>
      <c r="G3619" s="2" t="s">
        <v>185</v>
      </c>
      <c r="H3619" s="2" t="s">
        <v>22</v>
      </c>
      <c r="I3619" s="2" t="s">
        <v>186</v>
      </c>
      <c r="J3619" s="2" t="s">
        <v>24</v>
      </c>
      <c r="K3619">
        <v>1003.69</v>
      </c>
      <c r="L3619">
        <v>5354634.7699999996</v>
      </c>
      <c r="M3619">
        <v>533494.88</v>
      </c>
      <c r="N3619" s="2" t="s">
        <v>193</v>
      </c>
      <c r="O3619" s="2" t="s">
        <v>194</v>
      </c>
      <c r="P3619" s="2" t="s">
        <v>6327</v>
      </c>
      <c r="Q3619" s="2" t="s">
        <v>6328</v>
      </c>
      <c r="R3619" s="2" t="s">
        <v>29</v>
      </c>
      <c r="S3619" s="2" t="s">
        <v>30</v>
      </c>
    </row>
    <row r="3620" spans="1:19">
      <c r="A3620" s="1">
        <v>45689</v>
      </c>
      <c r="B3620" s="1">
        <v>45689</v>
      </c>
      <c r="C3620">
        <v>2025</v>
      </c>
      <c r="D3620">
        <v>2</v>
      </c>
      <c r="E3620" s="2" t="s">
        <v>197</v>
      </c>
      <c r="F3620" s="2" t="s">
        <v>198</v>
      </c>
      <c r="G3620" s="2" t="s">
        <v>185</v>
      </c>
      <c r="H3620" s="2" t="s">
        <v>22</v>
      </c>
      <c r="I3620" s="2" t="s">
        <v>186</v>
      </c>
      <c r="J3620" s="2" t="s">
        <v>59</v>
      </c>
      <c r="K3620">
        <v>3635.8</v>
      </c>
      <c r="L3620">
        <v>10339283.689999999</v>
      </c>
      <c r="M3620">
        <v>284374.38</v>
      </c>
      <c r="N3620" s="2" t="s">
        <v>199</v>
      </c>
      <c r="O3620" s="2" t="s">
        <v>200</v>
      </c>
      <c r="P3620" s="2" t="s">
        <v>6329</v>
      </c>
      <c r="Q3620" s="2" t="s">
        <v>6330</v>
      </c>
      <c r="R3620" s="2" t="s">
        <v>29</v>
      </c>
      <c r="S3620" s="2" t="s">
        <v>30</v>
      </c>
    </row>
    <row r="3621" spans="1:19">
      <c r="A3621" s="1">
        <v>45689</v>
      </c>
      <c r="B3621" s="1">
        <v>45689</v>
      </c>
      <c r="C3621">
        <v>2025</v>
      </c>
      <c r="D3621">
        <v>2</v>
      </c>
      <c r="E3621" s="2" t="s">
        <v>203</v>
      </c>
      <c r="F3621" s="2" t="s">
        <v>204</v>
      </c>
      <c r="G3621" s="2" t="s">
        <v>39</v>
      </c>
      <c r="H3621" s="2" t="s">
        <v>22</v>
      </c>
      <c r="I3621" s="2" t="s">
        <v>40</v>
      </c>
      <c r="J3621" s="2" t="s">
        <v>24</v>
      </c>
      <c r="K3621">
        <v>921.64</v>
      </c>
      <c r="L3621">
        <v>23604.71</v>
      </c>
      <c r="M3621">
        <v>2561.16</v>
      </c>
      <c r="N3621" s="2" t="s">
        <v>205</v>
      </c>
      <c r="O3621" s="2" t="s">
        <v>206</v>
      </c>
      <c r="P3621" s="2" t="s">
        <v>6331</v>
      </c>
      <c r="Q3621" s="2" t="s">
        <v>6332</v>
      </c>
      <c r="R3621" s="2" t="s">
        <v>29</v>
      </c>
      <c r="S3621" s="2" t="s">
        <v>30</v>
      </c>
    </row>
    <row r="3622" spans="1:19">
      <c r="A3622" s="1">
        <v>45689</v>
      </c>
      <c r="B3622" s="1">
        <v>45689</v>
      </c>
      <c r="C3622">
        <v>2025</v>
      </c>
      <c r="D3622">
        <v>2</v>
      </c>
      <c r="E3622" s="2" t="s">
        <v>209</v>
      </c>
      <c r="F3622" s="2" t="s">
        <v>210</v>
      </c>
      <c r="G3622" s="2" t="s">
        <v>39</v>
      </c>
      <c r="H3622" s="2" t="s">
        <v>22</v>
      </c>
      <c r="I3622" s="2" t="s">
        <v>40</v>
      </c>
      <c r="J3622" s="2" t="s">
        <v>59</v>
      </c>
      <c r="K3622">
        <v>921.64</v>
      </c>
      <c r="L3622">
        <v>23604.71</v>
      </c>
      <c r="M3622">
        <v>2561.16</v>
      </c>
      <c r="N3622" s="2" t="s">
        <v>211</v>
      </c>
      <c r="O3622" s="2" t="s">
        <v>212</v>
      </c>
      <c r="P3622" s="2" t="s">
        <v>6331</v>
      </c>
      <c r="Q3622" s="2" t="s">
        <v>6332</v>
      </c>
      <c r="R3622" s="2" t="s">
        <v>29</v>
      </c>
      <c r="S3622" s="2" t="s">
        <v>30</v>
      </c>
    </row>
    <row r="3623" spans="1:19">
      <c r="A3623" s="1">
        <v>45689</v>
      </c>
      <c r="B3623" s="1">
        <v>45689</v>
      </c>
      <c r="C3623">
        <v>2025</v>
      </c>
      <c r="D3623">
        <v>2</v>
      </c>
      <c r="E3623" s="2" t="s">
        <v>213</v>
      </c>
      <c r="F3623" s="2" t="s">
        <v>214</v>
      </c>
      <c r="G3623" s="2" t="s">
        <v>185</v>
      </c>
      <c r="H3623" s="2" t="s">
        <v>22</v>
      </c>
      <c r="I3623" s="2" t="s">
        <v>215</v>
      </c>
      <c r="J3623" s="2" t="s">
        <v>24</v>
      </c>
      <c r="K3623">
        <v>141328.04</v>
      </c>
      <c r="L3623">
        <v>2657162.2799999998</v>
      </c>
      <c r="M3623">
        <v>1880.14</v>
      </c>
      <c r="N3623" s="2" t="s">
        <v>216</v>
      </c>
      <c r="O3623" s="2" t="s">
        <v>217</v>
      </c>
      <c r="P3623" s="2" t="s">
        <v>6333</v>
      </c>
      <c r="Q3623" s="2" t="s">
        <v>6334</v>
      </c>
      <c r="R3623" s="2" t="s">
        <v>29</v>
      </c>
      <c r="S3623" s="2" t="s">
        <v>30</v>
      </c>
    </row>
    <row r="3624" spans="1:19">
      <c r="A3624" s="1">
        <v>45689</v>
      </c>
      <c r="B3624" s="1">
        <v>45689</v>
      </c>
      <c r="C3624">
        <v>2025</v>
      </c>
      <c r="D3624">
        <v>2</v>
      </c>
      <c r="E3624" s="2" t="s">
        <v>220</v>
      </c>
      <c r="F3624" s="2" t="s">
        <v>221</v>
      </c>
      <c r="G3624" s="2" t="s">
        <v>185</v>
      </c>
      <c r="H3624" s="2" t="s">
        <v>22</v>
      </c>
      <c r="I3624" s="2" t="s">
        <v>215</v>
      </c>
      <c r="J3624" s="2" t="s">
        <v>24</v>
      </c>
      <c r="K3624">
        <v>8703.42</v>
      </c>
      <c r="L3624">
        <v>558354.93000000005</v>
      </c>
      <c r="M3624">
        <v>6415.35</v>
      </c>
      <c r="N3624" s="2" t="s">
        <v>222</v>
      </c>
      <c r="O3624" s="2" t="s">
        <v>223</v>
      </c>
      <c r="P3624" s="2" t="s">
        <v>6335</v>
      </c>
      <c r="Q3624" s="2" t="s">
        <v>6336</v>
      </c>
      <c r="R3624" s="2" t="s">
        <v>29</v>
      </c>
      <c r="S3624" s="2" t="s">
        <v>30</v>
      </c>
    </row>
    <row r="3625" spans="1:19">
      <c r="A3625" s="1">
        <v>45689</v>
      </c>
      <c r="B3625" s="1">
        <v>45689</v>
      </c>
      <c r="C3625">
        <v>2025</v>
      </c>
      <c r="D3625">
        <v>2</v>
      </c>
      <c r="E3625" s="2" t="s">
        <v>226</v>
      </c>
      <c r="F3625" s="2" t="s">
        <v>227</v>
      </c>
      <c r="G3625" s="2" t="s">
        <v>185</v>
      </c>
      <c r="H3625" s="2" t="s">
        <v>22</v>
      </c>
      <c r="I3625" s="2" t="s">
        <v>215</v>
      </c>
      <c r="J3625" s="2" t="s">
        <v>59</v>
      </c>
      <c r="K3625">
        <v>150031.46</v>
      </c>
      <c r="L3625">
        <v>3215517.21</v>
      </c>
      <c r="M3625">
        <v>2143.23</v>
      </c>
      <c r="N3625" s="2" t="s">
        <v>228</v>
      </c>
      <c r="O3625" s="2" t="s">
        <v>229</v>
      </c>
      <c r="P3625" s="2" t="s">
        <v>6337</v>
      </c>
      <c r="Q3625" s="2" t="s">
        <v>6338</v>
      </c>
      <c r="R3625" s="2" t="s">
        <v>29</v>
      </c>
      <c r="S3625" s="2" t="s">
        <v>30</v>
      </c>
    </row>
    <row r="3626" spans="1:19">
      <c r="A3626" s="1">
        <v>45689</v>
      </c>
      <c r="B3626" s="1">
        <v>45689</v>
      </c>
      <c r="C3626">
        <v>2025</v>
      </c>
      <c r="D3626">
        <v>2</v>
      </c>
      <c r="E3626" s="2" t="s">
        <v>232</v>
      </c>
      <c r="F3626" s="2" t="s">
        <v>233</v>
      </c>
      <c r="G3626" s="2" t="s">
        <v>21</v>
      </c>
      <c r="H3626" s="2" t="s">
        <v>22</v>
      </c>
      <c r="I3626" s="2" t="s">
        <v>23</v>
      </c>
      <c r="J3626" s="2" t="s">
        <v>24</v>
      </c>
      <c r="K3626">
        <v>1533.06</v>
      </c>
      <c r="L3626">
        <v>140880.51</v>
      </c>
      <c r="M3626">
        <v>9189.5</v>
      </c>
      <c r="N3626" s="2" t="s">
        <v>234</v>
      </c>
      <c r="O3626" s="2" t="s">
        <v>235</v>
      </c>
      <c r="P3626" s="2" t="s">
        <v>6339</v>
      </c>
      <c r="Q3626" s="2" t="s">
        <v>6340</v>
      </c>
      <c r="R3626" s="2" t="s">
        <v>29</v>
      </c>
      <c r="S3626" s="2" t="s">
        <v>30</v>
      </c>
    </row>
    <row r="3627" spans="1:19">
      <c r="A3627" s="1">
        <v>45689</v>
      </c>
      <c r="B3627" s="1">
        <v>45689</v>
      </c>
      <c r="C3627">
        <v>2025</v>
      </c>
      <c r="D3627">
        <v>2</v>
      </c>
      <c r="E3627" s="2" t="s">
        <v>238</v>
      </c>
      <c r="F3627" s="2" t="s">
        <v>239</v>
      </c>
      <c r="G3627" s="2" t="s">
        <v>21</v>
      </c>
      <c r="H3627" s="2" t="s">
        <v>22</v>
      </c>
      <c r="I3627" s="2" t="s">
        <v>66</v>
      </c>
      <c r="J3627" s="2" t="s">
        <v>24</v>
      </c>
      <c r="K3627">
        <v>1701.1</v>
      </c>
      <c r="L3627">
        <v>192387.20000000001</v>
      </c>
      <c r="M3627">
        <v>11309.58</v>
      </c>
      <c r="N3627" s="2" t="s">
        <v>240</v>
      </c>
      <c r="O3627" s="2" t="s">
        <v>241</v>
      </c>
      <c r="P3627" s="2" t="s">
        <v>6341</v>
      </c>
      <c r="Q3627" s="2" t="s">
        <v>6342</v>
      </c>
      <c r="R3627" s="2" t="s">
        <v>29</v>
      </c>
      <c r="S3627" s="2" t="s">
        <v>30</v>
      </c>
    </row>
    <row r="3628" spans="1:19">
      <c r="A3628" s="1">
        <v>45689</v>
      </c>
      <c r="B3628" s="1">
        <v>45689</v>
      </c>
      <c r="C3628">
        <v>2025</v>
      </c>
      <c r="D3628">
        <v>2</v>
      </c>
      <c r="E3628" s="2" t="s">
        <v>244</v>
      </c>
      <c r="F3628" s="2" t="s">
        <v>245</v>
      </c>
      <c r="G3628" s="2" t="s">
        <v>21</v>
      </c>
      <c r="H3628" s="2" t="s">
        <v>22</v>
      </c>
      <c r="I3628" s="2" t="s">
        <v>23</v>
      </c>
      <c r="J3628" s="2" t="s">
        <v>24</v>
      </c>
      <c r="K3628">
        <v>7647.93</v>
      </c>
      <c r="L3628">
        <v>3540103.38</v>
      </c>
      <c r="M3628">
        <v>46288.39</v>
      </c>
      <c r="N3628" s="2" t="s">
        <v>246</v>
      </c>
      <c r="O3628" s="2" t="s">
        <v>247</v>
      </c>
      <c r="P3628" s="2" t="s">
        <v>6343</v>
      </c>
      <c r="Q3628" s="2" t="s">
        <v>6344</v>
      </c>
      <c r="R3628" s="2" t="s">
        <v>29</v>
      </c>
      <c r="S3628" s="2" t="s">
        <v>30</v>
      </c>
    </row>
    <row r="3629" spans="1:19">
      <c r="A3629" s="1">
        <v>45689</v>
      </c>
      <c r="B3629" s="1">
        <v>45689</v>
      </c>
      <c r="C3629">
        <v>2025</v>
      </c>
      <c r="D3629">
        <v>2</v>
      </c>
      <c r="E3629" s="2" t="s">
        <v>250</v>
      </c>
      <c r="F3629" s="2" t="s">
        <v>251</v>
      </c>
      <c r="G3629" s="2" t="s">
        <v>21</v>
      </c>
      <c r="H3629" s="2" t="s">
        <v>22</v>
      </c>
      <c r="I3629" s="2" t="s">
        <v>66</v>
      </c>
      <c r="J3629" s="2" t="s">
        <v>24</v>
      </c>
      <c r="K3629">
        <v>146.03</v>
      </c>
      <c r="L3629">
        <v>186.49</v>
      </c>
      <c r="M3629">
        <v>127.71</v>
      </c>
      <c r="N3629" s="2" t="s">
        <v>252</v>
      </c>
      <c r="O3629" s="2" t="s">
        <v>253</v>
      </c>
      <c r="P3629" s="2" t="s">
        <v>6345</v>
      </c>
      <c r="Q3629" s="2" t="s">
        <v>6346</v>
      </c>
      <c r="R3629" s="2" t="s">
        <v>29</v>
      </c>
      <c r="S3629" s="2" t="s">
        <v>30</v>
      </c>
    </row>
    <row r="3630" spans="1:19">
      <c r="A3630" s="1">
        <v>45689</v>
      </c>
      <c r="B3630" s="1">
        <v>45689</v>
      </c>
      <c r="C3630">
        <v>2025</v>
      </c>
      <c r="D3630">
        <v>2</v>
      </c>
      <c r="E3630" s="2" t="s">
        <v>256</v>
      </c>
      <c r="F3630" s="2" t="s">
        <v>257</v>
      </c>
      <c r="G3630" s="2" t="s">
        <v>21</v>
      </c>
      <c r="H3630" s="2" t="s">
        <v>22</v>
      </c>
      <c r="I3630" s="2" t="s">
        <v>258</v>
      </c>
      <c r="J3630" s="2" t="s">
        <v>24</v>
      </c>
      <c r="K3630">
        <v>462.02</v>
      </c>
      <c r="L3630">
        <v>540834.48</v>
      </c>
      <c r="M3630">
        <v>117058.67</v>
      </c>
      <c r="N3630" s="2" t="s">
        <v>259</v>
      </c>
      <c r="O3630" s="2" t="s">
        <v>260</v>
      </c>
      <c r="P3630" s="2" t="s">
        <v>6347</v>
      </c>
      <c r="Q3630" s="2" t="s">
        <v>6348</v>
      </c>
      <c r="R3630" s="2" t="s">
        <v>29</v>
      </c>
      <c r="S3630" s="2" t="s">
        <v>30</v>
      </c>
    </row>
    <row r="3631" spans="1:19">
      <c r="A3631" s="1">
        <v>45689</v>
      </c>
      <c r="B3631" s="1">
        <v>45689</v>
      </c>
      <c r="C3631">
        <v>2025</v>
      </c>
      <c r="D3631">
        <v>2</v>
      </c>
      <c r="E3631" s="2" t="s">
        <v>263</v>
      </c>
      <c r="F3631" s="2" t="s">
        <v>264</v>
      </c>
      <c r="G3631" s="2" t="s">
        <v>21</v>
      </c>
      <c r="H3631" s="2" t="s">
        <v>22</v>
      </c>
      <c r="I3631" s="2" t="s">
        <v>258</v>
      </c>
      <c r="J3631" s="2" t="s">
        <v>24</v>
      </c>
      <c r="K3631">
        <v>0</v>
      </c>
      <c r="L3631">
        <v>0</v>
      </c>
      <c r="N3631" s="2" t="s">
        <v>265</v>
      </c>
      <c r="O3631" s="2" t="s">
        <v>266</v>
      </c>
      <c r="P3631" s="2" t="s">
        <v>639</v>
      </c>
      <c r="Q3631" s="2" t="s">
        <v>639</v>
      </c>
      <c r="R3631" s="2" t="s">
        <v>29</v>
      </c>
      <c r="S3631" s="2" t="s">
        <v>30</v>
      </c>
    </row>
    <row r="3632" spans="1:19">
      <c r="A3632" s="1">
        <v>45689</v>
      </c>
      <c r="B3632" s="1">
        <v>45689</v>
      </c>
      <c r="C3632">
        <v>2025</v>
      </c>
      <c r="D3632">
        <v>2</v>
      </c>
      <c r="E3632" s="2" t="s">
        <v>269</v>
      </c>
      <c r="F3632" s="2" t="s">
        <v>270</v>
      </c>
      <c r="G3632" s="2" t="s">
        <v>21</v>
      </c>
      <c r="H3632" s="2" t="s">
        <v>22</v>
      </c>
      <c r="I3632" s="2" t="s">
        <v>258</v>
      </c>
      <c r="J3632" s="2" t="s">
        <v>59</v>
      </c>
      <c r="K3632">
        <v>462.02</v>
      </c>
      <c r="L3632">
        <v>540834.48</v>
      </c>
      <c r="M3632">
        <v>117058.67</v>
      </c>
      <c r="N3632" s="2" t="s">
        <v>271</v>
      </c>
      <c r="O3632" s="2" t="s">
        <v>272</v>
      </c>
      <c r="P3632" s="2" t="s">
        <v>6347</v>
      </c>
      <c r="Q3632" s="2" t="s">
        <v>6348</v>
      </c>
      <c r="R3632" s="2" t="s">
        <v>29</v>
      </c>
      <c r="S3632" s="2" t="s">
        <v>30</v>
      </c>
    </row>
    <row r="3633" spans="1:19">
      <c r="A3633" s="1">
        <v>45689</v>
      </c>
      <c r="B3633" s="1">
        <v>45689</v>
      </c>
      <c r="C3633">
        <v>2025</v>
      </c>
      <c r="D3633">
        <v>2</v>
      </c>
      <c r="E3633" s="2" t="s">
        <v>275</v>
      </c>
      <c r="F3633" s="2" t="s">
        <v>276</v>
      </c>
      <c r="G3633" s="2" t="s">
        <v>39</v>
      </c>
      <c r="H3633" s="2" t="s">
        <v>22</v>
      </c>
      <c r="I3633" s="2" t="s">
        <v>40</v>
      </c>
      <c r="J3633" s="2" t="s">
        <v>24</v>
      </c>
      <c r="K3633">
        <v>0.19</v>
      </c>
      <c r="L3633">
        <v>2.14</v>
      </c>
      <c r="M3633">
        <v>1126.32</v>
      </c>
      <c r="N3633" s="2" t="s">
        <v>277</v>
      </c>
      <c r="O3633" s="2" t="s">
        <v>278</v>
      </c>
      <c r="P3633" s="2" t="s">
        <v>97</v>
      </c>
      <c r="Q3633" s="2" t="s">
        <v>3799</v>
      </c>
      <c r="R3633" s="2" t="s">
        <v>29</v>
      </c>
      <c r="S3633" s="2" t="s">
        <v>30</v>
      </c>
    </row>
    <row r="3634" spans="1:19">
      <c r="A3634" s="1">
        <v>45689</v>
      </c>
      <c r="B3634" s="1">
        <v>45689</v>
      </c>
      <c r="C3634">
        <v>2025</v>
      </c>
      <c r="D3634">
        <v>2</v>
      </c>
      <c r="E3634" s="2" t="s">
        <v>281</v>
      </c>
      <c r="F3634" s="2" t="s">
        <v>282</v>
      </c>
      <c r="G3634" s="2" t="s">
        <v>39</v>
      </c>
      <c r="H3634" s="2" t="s">
        <v>22</v>
      </c>
      <c r="I3634" s="2" t="s">
        <v>40</v>
      </c>
      <c r="J3634" s="2" t="s">
        <v>24</v>
      </c>
      <c r="K3634">
        <v>0.03</v>
      </c>
      <c r="L3634">
        <v>0.31</v>
      </c>
      <c r="M3634">
        <v>1033.33</v>
      </c>
      <c r="N3634" s="2" t="s">
        <v>283</v>
      </c>
      <c r="O3634" s="2" t="s">
        <v>284</v>
      </c>
      <c r="P3634" s="2" t="s">
        <v>1247</v>
      </c>
      <c r="Q3634" s="2" t="s">
        <v>2811</v>
      </c>
      <c r="R3634" s="2" t="s">
        <v>29</v>
      </c>
      <c r="S3634" s="2" t="s">
        <v>30</v>
      </c>
    </row>
    <row r="3635" spans="1:19">
      <c r="A3635" s="1">
        <v>45689</v>
      </c>
      <c r="B3635" s="1">
        <v>45689</v>
      </c>
      <c r="C3635">
        <v>2025</v>
      </c>
      <c r="D3635">
        <v>2</v>
      </c>
      <c r="E3635" s="2" t="s">
        <v>287</v>
      </c>
      <c r="F3635" s="2" t="s">
        <v>288</v>
      </c>
      <c r="G3635" s="2" t="s">
        <v>39</v>
      </c>
      <c r="H3635" s="2" t="s">
        <v>22</v>
      </c>
      <c r="I3635" s="2" t="s">
        <v>40</v>
      </c>
      <c r="J3635" s="2" t="s">
        <v>59</v>
      </c>
      <c r="K3635">
        <v>0.22</v>
      </c>
      <c r="L3635">
        <v>2.4500000000000002</v>
      </c>
      <c r="M3635">
        <v>1113.6400000000001</v>
      </c>
      <c r="N3635" s="2" t="s">
        <v>289</v>
      </c>
      <c r="O3635" s="2" t="s">
        <v>290</v>
      </c>
      <c r="P3635" s="2" t="s">
        <v>514</v>
      </c>
      <c r="Q3635" s="2" t="s">
        <v>1553</v>
      </c>
      <c r="R3635" s="2" t="s">
        <v>29</v>
      </c>
      <c r="S3635" s="2" t="s">
        <v>30</v>
      </c>
    </row>
    <row r="3636" spans="1:19">
      <c r="A3636" s="1">
        <v>45689</v>
      </c>
      <c r="B3636" s="1">
        <v>45689</v>
      </c>
      <c r="C3636">
        <v>2025</v>
      </c>
      <c r="D3636">
        <v>2</v>
      </c>
      <c r="E3636" s="2" t="s">
        <v>293</v>
      </c>
      <c r="F3636" s="2" t="s">
        <v>294</v>
      </c>
      <c r="G3636" s="2" t="s">
        <v>21</v>
      </c>
      <c r="H3636" s="2" t="s">
        <v>22</v>
      </c>
      <c r="I3636" s="2" t="s">
        <v>295</v>
      </c>
      <c r="J3636" s="2" t="s">
        <v>24</v>
      </c>
      <c r="K3636">
        <v>905.86</v>
      </c>
      <c r="L3636">
        <v>3863.07</v>
      </c>
      <c r="M3636">
        <v>426.45</v>
      </c>
      <c r="N3636" s="2" t="s">
        <v>296</v>
      </c>
      <c r="O3636" s="2" t="s">
        <v>297</v>
      </c>
      <c r="P3636" s="2" t="s">
        <v>6349</v>
      </c>
      <c r="Q3636" s="2" t="s">
        <v>6350</v>
      </c>
      <c r="R3636" s="2" t="s">
        <v>29</v>
      </c>
      <c r="S3636" s="2" t="s">
        <v>30</v>
      </c>
    </row>
    <row r="3637" spans="1:19">
      <c r="A3637" s="1">
        <v>45689</v>
      </c>
      <c r="B3637" s="1">
        <v>45689</v>
      </c>
      <c r="C3637">
        <v>2025</v>
      </c>
      <c r="D3637">
        <v>2</v>
      </c>
      <c r="E3637" s="2" t="s">
        <v>300</v>
      </c>
      <c r="F3637" s="2" t="s">
        <v>301</v>
      </c>
      <c r="G3637" s="2" t="s">
        <v>21</v>
      </c>
      <c r="H3637" s="2" t="s">
        <v>22</v>
      </c>
      <c r="I3637" s="2" t="s">
        <v>295</v>
      </c>
      <c r="J3637" s="2" t="s">
        <v>24</v>
      </c>
      <c r="K3637">
        <v>641.84</v>
      </c>
      <c r="L3637">
        <v>969.44</v>
      </c>
      <c r="M3637">
        <v>151.04</v>
      </c>
      <c r="N3637" s="2" t="s">
        <v>302</v>
      </c>
      <c r="O3637" s="2" t="s">
        <v>303</v>
      </c>
      <c r="P3637" s="2" t="s">
        <v>6351</v>
      </c>
      <c r="Q3637" s="2" t="s">
        <v>6352</v>
      </c>
      <c r="R3637" s="2" t="s">
        <v>29</v>
      </c>
      <c r="S3637" s="2" t="s">
        <v>30</v>
      </c>
    </row>
    <row r="3638" spans="1:19">
      <c r="A3638" s="1">
        <v>45689</v>
      </c>
      <c r="B3638" s="1">
        <v>45689</v>
      </c>
      <c r="C3638">
        <v>2025</v>
      </c>
      <c r="D3638">
        <v>2</v>
      </c>
      <c r="E3638" s="2" t="s">
        <v>306</v>
      </c>
      <c r="F3638" s="2" t="s">
        <v>307</v>
      </c>
      <c r="G3638" s="2" t="s">
        <v>21</v>
      </c>
      <c r="H3638" s="2" t="s">
        <v>22</v>
      </c>
      <c r="I3638" s="2" t="s">
        <v>295</v>
      </c>
      <c r="J3638" s="2" t="s">
        <v>101</v>
      </c>
      <c r="K3638">
        <v>1547.69</v>
      </c>
      <c r="L3638">
        <v>4832.51</v>
      </c>
      <c r="M3638">
        <v>312.24</v>
      </c>
      <c r="N3638" s="2" t="s">
        <v>308</v>
      </c>
      <c r="O3638" s="2" t="s">
        <v>309</v>
      </c>
      <c r="P3638" s="2" t="s">
        <v>6353</v>
      </c>
      <c r="Q3638" s="2" t="s">
        <v>6354</v>
      </c>
      <c r="R3638" s="2" t="s">
        <v>29</v>
      </c>
      <c r="S3638" s="2" t="s">
        <v>30</v>
      </c>
    </row>
    <row r="3639" spans="1:19">
      <c r="A3639" s="1">
        <v>45689</v>
      </c>
      <c r="B3639" s="1">
        <v>45689</v>
      </c>
      <c r="C3639">
        <v>2025</v>
      </c>
      <c r="D3639">
        <v>2</v>
      </c>
      <c r="E3639" s="2" t="s">
        <v>312</v>
      </c>
      <c r="F3639" s="2" t="s">
        <v>313</v>
      </c>
      <c r="G3639" s="2" t="s">
        <v>21</v>
      </c>
      <c r="H3639" s="2" t="s">
        <v>22</v>
      </c>
      <c r="I3639" s="2" t="s">
        <v>295</v>
      </c>
      <c r="J3639" s="2" t="s">
        <v>59</v>
      </c>
      <c r="K3639">
        <v>6398.44</v>
      </c>
      <c r="L3639">
        <v>19236.22</v>
      </c>
      <c r="M3639">
        <v>300.64</v>
      </c>
      <c r="N3639" s="2" t="s">
        <v>314</v>
      </c>
      <c r="O3639" s="2" t="s">
        <v>315</v>
      </c>
      <c r="P3639" s="2" t="s">
        <v>6355</v>
      </c>
      <c r="Q3639" s="2" t="s">
        <v>6356</v>
      </c>
      <c r="R3639" s="2" t="s">
        <v>29</v>
      </c>
      <c r="S3639" s="2" t="s">
        <v>30</v>
      </c>
    </row>
    <row r="3640" spans="1:19">
      <c r="A3640" s="1">
        <v>45689</v>
      </c>
      <c r="B3640" s="1">
        <v>45689</v>
      </c>
      <c r="C3640">
        <v>2025</v>
      </c>
      <c r="D3640">
        <v>2</v>
      </c>
      <c r="E3640" s="2" t="s">
        <v>318</v>
      </c>
      <c r="F3640" s="2" t="s">
        <v>319</v>
      </c>
      <c r="G3640" s="2" t="s">
        <v>21</v>
      </c>
      <c r="H3640" s="2" t="s">
        <v>22</v>
      </c>
      <c r="I3640" s="2" t="s">
        <v>295</v>
      </c>
      <c r="J3640" s="2" t="s">
        <v>24</v>
      </c>
      <c r="K3640">
        <v>4850.75</v>
      </c>
      <c r="L3640">
        <v>14403.7</v>
      </c>
      <c r="M3640">
        <v>296.94</v>
      </c>
      <c r="N3640" s="2" t="s">
        <v>320</v>
      </c>
      <c r="O3640" s="2" t="s">
        <v>321</v>
      </c>
      <c r="P3640" s="2" t="s">
        <v>6357</v>
      </c>
      <c r="Q3640" s="2" t="s">
        <v>6358</v>
      </c>
      <c r="R3640" s="2" t="s">
        <v>29</v>
      </c>
      <c r="S3640" s="2" t="s">
        <v>30</v>
      </c>
    </row>
    <row r="3641" spans="1:19">
      <c r="A3641" s="1">
        <v>45689</v>
      </c>
      <c r="B3641" s="1">
        <v>45689</v>
      </c>
      <c r="C3641">
        <v>2025</v>
      </c>
      <c r="D3641">
        <v>2</v>
      </c>
      <c r="E3641" s="2" t="s">
        <v>324</v>
      </c>
      <c r="F3641" s="2" t="s">
        <v>325</v>
      </c>
      <c r="G3641" s="2" t="s">
        <v>21</v>
      </c>
      <c r="H3641" s="2" t="s">
        <v>22</v>
      </c>
      <c r="I3641" s="2" t="s">
        <v>23</v>
      </c>
      <c r="J3641" s="2" t="s">
        <v>59</v>
      </c>
      <c r="K3641">
        <v>177394.61</v>
      </c>
      <c r="L3641">
        <v>6497659.8200000003</v>
      </c>
      <c r="M3641">
        <v>3662.83</v>
      </c>
      <c r="N3641" s="2" t="s">
        <v>326</v>
      </c>
      <c r="O3641" s="2" t="s">
        <v>327</v>
      </c>
      <c r="P3641" s="2" t="s">
        <v>6359</v>
      </c>
      <c r="Q3641" s="2" t="s">
        <v>6360</v>
      </c>
      <c r="R3641" s="2" t="s">
        <v>29</v>
      </c>
      <c r="S3641" s="2" t="s">
        <v>30</v>
      </c>
    </row>
    <row r="3642" spans="1:19">
      <c r="A3642" s="1">
        <v>45689</v>
      </c>
      <c r="B3642" s="1">
        <v>45689</v>
      </c>
      <c r="C3642">
        <v>2025</v>
      </c>
      <c r="D3642">
        <v>2</v>
      </c>
      <c r="E3642" s="2" t="s">
        <v>330</v>
      </c>
      <c r="F3642" s="2" t="s">
        <v>331</v>
      </c>
      <c r="G3642" s="2" t="s">
        <v>21</v>
      </c>
      <c r="H3642" s="2" t="s">
        <v>332</v>
      </c>
      <c r="I3642" s="2" t="s">
        <v>333</v>
      </c>
      <c r="J3642" s="2" t="s">
        <v>24</v>
      </c>
      <c r="K3642">
        <v>243.05</v>
      </c>
      <c r="L3642">
        <v>14226026.939999999</v>
      </c>
      <c r="M3642">
        <v>5853127.7300000004</v>
      </c>
      <c r="N3642" s="2" t="s">
        <v>334</v>
      </c>
      <c r="O3642" s="2" t="s">
        <v>335</v>
      </c>
      <c r="P3642" s="2" t="s">
        <v>6361</v>
      </c>
      <c r="Q3642" s="2" t="s">
        <v>6362</v>
      </c>
      <c r="R3642" s="2" t="s">
        <v>29</v>
      </c>
      <c r="S3642" s="2" t="s">
        <v>30</v>
      </c>
    </row>
    <row r="3643" spans="1:19">
      <c r="A3643" s="1">
        <v>45689</v>
      </c>
      <c r="B3643" s="1">
        <v>45689</v>
      </c>
      <c r="C3643">
        <v>2025</v>
      </c>
      <c r="D3643">
        <v>2</v>
      </c>
      <c r="E3643" s="2" t="s">
        <v>338</v>
      </c>
      <c r="F3643" s="2" t="s">
        <v>339</v>
      </c>
      <c r="G3643" s="2" t="s">
        <v>21</v>
      </c>
      <c r="H3643" s="2" t="s">
        <v>332</v>
      </c>
      <c r="I3643" s="2" t="s">
        <v>333</v>
      </c>
      <c r="J3643" s="2" t="s">
        <v>24</v>
      </c>
      <c r="K3643">
        <v>1.1599999999999999</v>
      </c>
      <c r="L3643">
        <v>1873343.96</v>
      </c>
      <c r="M3643">
        <v>161495168.97</v>
      </c>
      <c r="N3643" s="2" t="s">
        <v>340</v>
      </c>
      <c r="O3643" s="2" t="s">
        <v>341</v>
      </c>
      <c r="P3643" s="2" t="s">
        <v>1921</v>
      </c>
      <c r="Q3643" s="2" t="s">
        <v>6363</v>
      </c>
      <c r="R3643" s="2" t="s">
        <v>29</v>
      </c>
      <c r="S3643" s="2" t="s">
        <v>30</v>
      </c>
    </row>
    <row r="3644" spans="1:19">
      <c r="A3644" s="1">
        <v>45689</v>
      </c>
      <c r="B3644" s="1">
        <v>45689</v>
      </c>
      <c r="C3644">
        <v>2025</v>
      </c>
      <c r="D3644">
        <v>2</v>
      </c>
      <c r="E3644" s="2" t="s">
        <v>344</v>
      </c>
      <c r="F3644" s="2" t="s">
        <v>345</v>
      </c>
      <c r="G3644" s="2" t="s">
        <v>21</v>
      </c>
      <c r="H3644" s="2" t="s">
        <v>332</v>
      </c>
      <c r="I3644" s="2" t="s">
        <v>333</v>
      </c>
      <c r="J3644" s="2" t="s">
        <v>59</v>
      </c>
      <c r="K3644">
        <v>244.2</v>
      </c>
      <c r="L3644">
        <v>16099370.9</v>
      </c>
      <c r="M3644">
        <v>6592698.9800000004</v>
      </c>
      <c r="N3644" s="2" t="s">
        <v>346</v>
      </c>
      <c r="O3644" s="2" t="s">
        <v>347</v>
      </c>
      <c r="P3644" s="2" t="s">
        <v>6364</v>
      </c>
      <c r="Q3644" s="2" t="s">
        <v>6365</v>
      </c>
      <c r="R3644" s="2" t="s">
        <v>29</v>
      </c>
      <c r="S3644" s="2" t="s">
        <v>30</v>
      </c>
    </row>
    <row r="3645" spans="1:19">
      <c r="A3645" s="1">
        <v>45689</v>
      </c>
      <c r="B3645" s="1">
        <v>45689</v>
      </c>
      <c r="C3645">
        <v>2025</v>
      </c>
      <c r="D3645">
        <v>2</v>
      </c>
      <c r="E3645" s="2" t="s">
        <v>350</v>
      </c>
      <c r="F3645" s="2" t="s">
        <v>351</v>
      </c>
      <c r="G3645" s="2" t="s">
        <v>21</v>
      </c>
      <c r="H3645" s="2" t="s">
        <v>22</v>
      </c>
      <c r="I3645" s="2" t="s">
        <v>352</v>
      </c>
      <c r="J3645" s="2" t="s">
        <v>353</v>
      </c>
      <c r="K3645">
        <v>190952.14</v>
      </c>
      <c r="L3645">
        <v>23010857.059999999</v>
      </c>
      <c r="M3645">
        <v>12050.59</v>
      </c>
      <c r="N3645" s="2" t="s">
        <v>354</v>
      </c>
      <c r="O3645" s="2" t="s">
        <v>355</v>
      </c>
      <c r="P3645" s="2" t="s">
        <v>6366</v>
      </c>
      <c r="Q3645" s="2" t="s">
        <v>6367</v>
      </c>
      <c r="R3645" s="2" t="s">
        <v>29</v>
      </c>
      <c r="S3645" s="2" t="s">
        <v>30</v>
      </c>
    </row>
    <row r="3646" spans="1:19">
      <c r="A3646" s="1">
        <v>45689</v>
      </c>
      <c r="B3646" s="1">
        <v>45689</v>
      </c>
      <c r="C3646">
        <v>2025</v>
      </c>
      <c r="D3646">
        <v>2</v>
      </c>
      <c r="E3646" s="2" t="s">
        <v>358</v>
      </c>
      <c r="F3646" s="2" t="s">
        <v>359</v>
      </c>
      <c r="G3646" s="2" t="s">
        <v>21</v>
      </c>
      <c r="H3646" s="2" t="s">
        <v>22</v>
      </c>
      <c r="I3646" s="2" t="s">
        <v>352</v>
      </c>
      <c r="J3646" s="2" t="s">
        <v>353</v>
      </c>
      <c r="K3646">
        <v>191414.16</v>
      </c>
      <c r="L3646">
        <v>23551691.539999999</v>
      </c>
      <c r="M3646">
        <v>12304.05</v>
      </c>
      <c r="N3646" s="2" t="s">
        <v>360</v>
      </c>
      <c r="O3646" s="2" t="s">
        <v>361</v>
      </c>
      <c r="P3646" s="2" t="s">
        <v>6368</v>
      </c>
      <c r="Q3646" s="2" t="s">
        <v>6369</v>
      </c>
      <c r="R3646" s="2" t="s">
        <v>29</v>
      </c>
      <c r="S3646" s="2" t="s">
        <v>30</v>
      </c>
    </row>
    <row r="3647" spans="1:19">
      <c r="A3647" s="1">
        <v>45689</v>
      </c>
      <c r="B3647" s="1">
        <v>45689</v>
      </c>
      <c r="C3647">
        <v>2025</v>
      </c>
      <c r="D3647">
        <v>2</v>
      </c>
      <c r="E3647" s="2" t="s">
        <v>364</v>
      </c>
      <c r="F3647" s="2" t="s">
        <v>365</v>
      </c>
      <c r="G3647" s="2" t="s">
        <v>21</v>
      </c>
      <c r="H3647" s="2" t="s">
        <v>22</v>
      </c>
      <c r="I3647" s="2" t="s">
        <v>352</v>
      </c>
      <c r="J3647" s="2" t="s">
        <v>353</v>
      </c>
      <c r="K3647">
        <v>191169.95</v>
      </c>
      <c r="L3647">
        <v>7452320.6399999997</v>
      </c>
      <c r="M3647">
        <v>3898.27</v>
      </c>
      <c r="N3647" s="2" t="s">
        <v>366</v>
      </c>
      <c r="O3647" s="2" t="s">
        <v>367</v>
      </c>
      <c r="P3647" s="2" t="s">
        <v>6370</v>
      </c>
      <c r="Q3647" s="2" t="s">
        <v>6371</v>
      </c>
      <c r="R3647" s="2" t="s">
        <v>29</v>
      </c>
      <c r="S3647" s="2" t="s">
        <v>30</v>
      </c>
    </row>
    <row r="3648" spans="1:19">
      <c r="A3648" s="1">
        <v>45689</v>
      </c>
      <c r="B3648" s="1">
        <v>45689</v>
      </c>
      <c r="C3648">
        <v>2025</v>
      </c>
      <c r="D3648">
        <v>2</v>
      </c>
      <c r="E3648" s="2" t="s">
        <v>370</v>
      </c>
      <c r="F3648" s="2" t="s">
        <v>371</v>
      </c>
      <c r="G3648" s="2" t="s">
        <v>21</v>
      </c>
      <c r="H3648" s="2" t="s">
        <v>22</v>
      </c>
      <c r="I3648" s="2" t="s">
        <v>23</v>
      </c>
      <c r="J3648" s="2" t="s">
        <v>24</v>
      </c>
      <c r="K3648">
        <v>161061.93</v>
      </c>
      <c r="L3648">
        <v>2196481.7000000002</v>
      </c>
      <c r="M3648">
        <v>1363.75</v>
      </c>
      <c r="N3648" s="2" t="s">
        <v>372</v>
      </c>
      <c r="O3648" s="2" t="s">
        <v>373</v>
      </c>
      <c r="P3648" s="2" t="s">
        <v>6372</v>
      </c>
      <c r="Q3648" s="2" t="s">
        <v>6373</v>
      </c>
      <c r="R3648" s="2" t="s">
        <v>29</v>
      </c>
      <c r="S3648" s="2" t="s">
        <v>30</v>
      </c>
    </row>
    <row r="3649" spans="1:19">
      <c r="A3649" s="1">
        <v>45689</v>
      </c>
      <c r="B3649" s="1">
        <v>45689</v>
      </c>
      <c r="C3649">
        <v>2025</v>
      </c>
      <c r="D3649">
        <v>2</v>
      </c>
      <c r="E3649" s="2" t="s">
        <v>376</v>
      </c>
      <c r="F3649" s="2" t="s">
        <v>377</v>
      </c>
      <c r="G3649" s="2" t="s">
        <v>21</v>
      </c>
      <c r="H3649" s="2" t="s">
        <v>22</v>
      </c>
      <c r="I3649" s="2" t="s">
        <v>23</v>
      </c>
      <c r="J3649" s="2" t="s">
        <v>378</v>
      </c>
      <c r="K3649">
        <v>1.1499999999999999</v>
      </c>
      <c r="L3649">
        <v>12.52</v>
      </c>
      <c r="M3649">
        <v>1088.7</v>
      </c>
      <c r="N3649" s="2" t="s">
        <v>379</v>
      </c>
      <c r="O3649" s="2" t="s">
        <v>380</v>
      </c>
      <c r="P3649" s="2" t="s">
        <v>3814</v>
      </c>
      <c r="Q3649" s="2" t="s">
        <v>6374</v>
      </c>
      <c r="R3649" s="2" t="s">
        <v>29</v>
      </c>
      <c r="S3649" s="2" t="s">
        <v>30</v>
      </c>
    </row>
    <row r="3650" spans="1:19">
      <c r="A3650" s="1">
        <v>45717</v>
      </c>
      <c r="B3650" s="1">
        <v>45717</v>
      </c>
      <c r="C3650">
        <v>2025</v>
      </c>
      <c r="D3650">
        <v>3</v>
      </c>
      <c r="E3650" s="2" t="s">
        <v>19</v>
      </c>
      <c r="F3650" s="2" t="s">
        <v>20</v>
      </c>
      <c r="G3650" s="2" t="s">
        <v>21</v>
      </c>
      <c r="H3650" s="2" t="s">
        <v>22</v>
      </c>
      <c r="I3650" s="2" t="s">
        <v>23</v>
      </c>
      <c r="J3650" s="2" t="s">
        <v>24</v>
      </c>
      <c r="K3650">
        <v>0.31</v>
      </c>
      <c r="L3650">
        <v>15.91</v>
      </c>
      <c r="M3650">
        <v>5132.26</v>
      </c>
      <c r="N3650" s="2" t="s">
        <v>25</v>
      </c>
      <c r="O3650" s="2" t="s">
        <v>26</v>
      </c>
      <c r="P3650" s="2" t="s">
        <v>2811</v>
      </c>
      <c r="Q3650" s="2" t="s">
        <v>6375</v>
      </c>
      <c r="R3650" s="2" t="s">
        <v>29</v>
      </c>
      <c r="S3650" s="2" t="s">
        <v>30</v>
      </c>
    </row>
    <row r="3651" spans="1:19">
      <c r="A3651" s="1">
        <v>45717</v>
      </c>
      <c r="B3651" s="1">
        <v>45717</v>
      </c>
      <c r="C3651">
        <v>2025</v>
      </c>
      <c r="D3651">
        <v>3</v>
      </c>
      <c r="E3651" s="2" t="s">
        <v>31</v>
      </c>
      <c r="F3651" s="2" t="s">
        <v>32</v>
      </c>
      <c r="G3651" s="2" t="s">
        <v>21</v>
      </c>
      <c r="H3651" s="2" t="s">
        <v>22</v>
      </c>
      <c r="I3651" s="2" t="s">
        <v>23</v>
      </c>
      <c r="J3651" s="2" t="s">
        <v>24</v>
      </c>
      <c r="K3651">
        <v>3506.6</v>
      </c>
      <c r="L3651">
        <v>66841.16</v>
      </c>
      <c r="M3651">
        <v>1906.15</v>
      </c>
      <c r="N3651" s="2" t="s">
        <v>33</v>
      </c>
      <c r="O3651" s="2" t="s">
        <v>34</v>
      </c>
      <c r="P3651" s="2" t="s">
        <v>6376</v>
      </c>
      <c r="Q3651" s="2" t="s">
        <v>6377</v>
      </c>
      <c r="R3651" s="2" t="s">
        <v>29</v>
      </c>
      <c r="S3651" s="2" t="s">
        <v>30</v>
      </c>
    </row>
    <row r="3652" spans="1:19">
      <c r="A3652" s="1">
        <v>45717</v>
      </c>
      <c r="B3652" s="1">
        <v>45717</v>
      </c>
      <c r="C3652">
        <v>2025</v>
      </c>
      <c r="D3652">
        <v>3</v>
      </c>
      <c r="E3652" s="2" t="s">
        <v>37</v>
      </c>
      <c r="F3652" s="2" t="s">
        <v>38</v>
      </c>
      <c r="G3652" s="2" t="s">
        <v>39</v>
      </c>
      <c r="H3652" s="2" t="s">
        <v>22</v>
      </c>
      <c r="I3652" s="2" t="s">
        <v>40</v>
      </c>
      <c r="J3652" s="2" t="s">
        <v>24</v>
      </c>
      <c r="K3652">
        <v>7.43</v>
      </c>
      <c r="L3652">
        <v>410.14</v>
      </c>
      <c r="M3652">
        <v>5520.05</v>
      </c>
      <c r="N3652" s="2" t="s">
        <v>41</v>
      </c>
      <c r="O3652" s="2" t="s">
        <v>42</v>
      </c>
      <c r="P3652" s="2" t="s">
        <v>4469</v>
      </c>
      <c r="Q3652" s="2" t="s">
        <v>6378</v>
      </c>
      <c r="R3652" s="2" t="s">
        <v>29</v>
      </c>
      <c r="S3652" s="2" t="s">
        <v>30</v>
      </c>
    </row>
    <row r="3653" spans="1:19">
      <c r="A3653" s="1">
        <v>45717</v>
      </c>
      <c r="B3653" s="1">
        <v>45717</v>
      </c>
      <c r="C3653">
        <v>2025</v>
      </c>
      <c r="D3653">
        <v>3</v>
      </c>
      <c r="E3653" s="2" t="s">
        <v>45</v>
      </c>
      <c r="F3653" s="2" t="s">
        <v>46</v>
      </c>
      <c r="G3653" s="2" t="s">
        <v>39</v>
      </c>
      <c r="H3653" s="2" t="s">
        <v>22</v>
      </c>
      <c r="I3653" s="2" t="s">
        <v>40</v>
      </c>
      <c r="J3653" s="2" t="s">
        <v>24</v>
      </c>
      <c r="K3653">
        <v>4957.22</v>
      </c>
      <c r="L3653">
        <v>262539.78999999998</v>
      </c>
      <c r="M3653">
        <v>5296.11</v>
      </c>
      <c r="N3653" s="2" t="s">
        <v>47</v>
      </c>
      <c r="O3653" s="2" t="s">
        <v>48</v>
      </c>
      <c r="P3653" s="2" t="s">
        <v>6379</v>
      </c>
      <c r="Q3653" s="2" t="s">
        <v>6380</v>
      </c>
      <c r="R3653" s="2" t="s">
        <v>29</v>
      </c>
      <c r="S3653" s="2" t="s">
        <v>30</v>
      </c>
    </row>
    <row r="3654" spans="1:19">
      <c r="A3654" s="1">
        <v>45717</v>
      </c>
      <c r="B3654" s="1">
        <v>45717</v>
      </c>
      <c r="C3654">
        <v>2025</v>
      </c>
      <c r="D3654">
        <v>3</v>
      </c>
      <c r="E3654" s="2" t="s">
        <v>51</v>
      </c>
      <c r="F3654" s="2" t="s">
        <v>52</v>
      </c>
      <c r="G3654" s="2" t="s">
        <v>39</v>
      </c>
      <c r="H3654" s="2" t="s">
        <v>22</v>
      </c>
      <c r="I3654" s="2" t="s">
        <v>40</v>
      </c>
      <c r="J3654" s="2" t="s">
        <v>24</v>
      </c>
      <c r="K3654">
        <v>19.13</v>
      </c>
      <c r="L3654">
        <v>942.12</v>
      </c>
      <c r="M3654">
        <v>4924.83</v>
      </c>
      <c r="N3654" s="2" t="s">
        <v>53</v>
      </c>
      <c r="O3654" s="2" t="s">
        <v>54</v>
      </c>
      <c r="P3654" s="2" t="s">
        <v>6381</v>
      </c>
      <c r="Q3654" s="2" t="s">
        <v>6382</v>
      </c>
      <c r="R3654" s="2" t="s">
        <v>29</v>
      </c>
      <c r="S3654" s="2" t="s">
        <v>30</v>
      </c>
    </row>
    <row r="3655" spans="1:19">
      <c r="A3655" s="1">
        <v>45717</v>
      </c>
      <c r="B3655" s="1">
        <v>45717</v>
      </c>
      <c r="C3655">
        <v>2025</v>
      </c>
      <c r="D3655">
        <v>3</v>
      </c>
      <c r="E3655" s="2" t="s">
        <v>57</v>
      </c>
      <c r="F3655" s="2" t="s">
        <v>58</v>
      </c>
      <c r="G3655" s="2" t="s">
        <v>39</v>
      </c>
      <c r="H3655" s="2" t="s">
        <v>22</v>
      </c>
      <c r="I3655" s="2" t="s">
        <v>40</v>
      </c>
      <c r="J3655" s="2" t="s">
        <v>59</v>
      </c>
      <c r="K3655">
        <v>4983.78</v>
      </c>
      <c r="L3655">
        <v>263892.05</v>
      </c>
      <c r="M3655">
        <v>5295.02</v>
      </c>
      <c r="N3655" s="2" t="s">
        <v>60</v>
      </c>
      <c r="O3655" s="2" t="s">
        <v>61</v>
      </c>
      <c r="P3655" s="2" t="s">
        <v>6383</v>
      </c>
      <c r="Q3655" s="2" t="s">
        <v>6384</v>
      </c>
      <c r="R3655" s="2" t="s">
        <v>29</v>
      </c>
      <c r="S3655" s="2" t="s">
        <v>30</v>
      </c>
    </row>
    <row r="3656" spans="1:19">
      <c r="A3656" s="1">
        <v>45717</v>
      </c>
      <c r="B3656" s="1">
        <v>45717</v>
      </c>
      <c r="C3656">
        <v>2025</v>
      </c>
      <c r="D3656">
        <v>3</v>
      </c>
      <c r="E3656" s="2" t="s">
        <v>64</v>
      </c>
      <c r="F3656" s="2" t="s">
        <v>65</v>
      </c>
      <c r="G3656" s="2" t="s">
        <v>21</v>
      </c>
      <c r="H3656" s="2" t="s">
        <v>22</v>
      </c>
      <c r="I3656" s="2" t="s">
        <v>66</v>
      </c>
      <c r="J3656" s="2" t="s">
        <v>24</v>
      </c>
      <c r="K3656">
        <v>19.59</v>
      </c>
      <c r="L3656">
        <v>610.79</v>
      </c>
      <c r="M3656">
        <v>3117.87</v>
      </c>
      <c r="N3656" s="2" t="s">
        <v>67</v>
      </c>
      <c r="O3656" s="2" t="s">
        <v>68</v>
      </c>
      <c r="P3656" s="2" t="s">
        <v>2800</v>
      </c>
      <c r="Q3656" s="2" t="s">
        <v>6385</v>
      </c>
      <c r="R3656" s="2" t="s">
        <v>29</v>
      </c>
      <c r="S3656" s="2" t="s">
        <v>30</v>
      </c>
    </row>
    <row r="3657" spans="1:19">
      <c r="A3657" s="1">
        <v>45717</v>
      </c>
      <c r="B3657" s="1">
        <v>45717</v>
      </c>
      <c r="C3657">
        <v>2025</v>
      </c>
      <c r="D3657">
        <v>3</v>
      </c>
      <c r="E3657" s="2" t="s">
        <v>71</v>
      </c>
      <c r="F3657" s="2" t="s">
        <v>72</v>
      </c>
      <c r="G3657" s="2" t="s">
        <v>21</v>
      </c>
      <c r="H3657" s="2" t="s">
        <v>22</v>
      </c>
      <c r="I3657" s="2" t="s">
        <v>73</v>
      </c>
      <c r="J3657" s="2" t="s">
        <v>59</v>
      </c>
      <c r="K3657">
        <v>5789.52</v>
      </c>
      <c r="L3657">
        <v>240548.58</v>
      </c>
      <c r="M3657">
        <v>4154.8999999999996</v>
      </c>
      <c r="N3657" s="2" t="s">
        <v>74</v>
      </c>
      <c r="O3657" s="2" t="s">
        <v>75</v>
      </c>
      <c r="P3657" s="2" t="s">
        <v>6386</v>
      </c>
      <c r="Q3657" s="2" t="s">
        <v>6387</v>
      </c>
      <c r="R3657" s="2" t="s">
        <v>29</v>
      </c>
      <c r="S3657" s="2" t="s">
        <v>30</v>
      </c>
    </row>
    <row r="3658" spans="1:19">
      <c r="A3658" s="1">
        <v>45717</v>
      </c>
      <c r="B3658" s="1">
        <v>45717</v>
      </c>
      <c r="C3658">
        <v>2025</v>
      </c>
      <c r="D3658">
        <v>3</v>
      </c>
      <c r="E3658" s="2" t="s">
        <v>78</v>
      </c>
      <c r="F3658" s="2" t="s">
        <v>79</v>
      </c>
      <c r="G3658" s="2" t="s">
        <v>80</v>
      </c>
      <c r="H3658" s="2" t="s">
        <v>81</v>
      </c>
      <c r="I3658" s="2" t="s">
        <v>82</v>
      </c>
      <c r="J3658" s="2" t="s">
        <v>24</v>
      </c>
      <c r="K3658">
        <v>2.94</v>
      </c>
      <c r="L3658">
        <v>11758723.619999999</v>
      </c>
      <c r="M3658">
        <v>399956585.70999998</v>
      </c>
      <c r="N3658" s="2" t="s">
        <v>83</v>
      </c>
      <c r="O3658" s="2" t="s">
        <v>84</v>
      </c>
      <c r="P3658" s="2" t="s">
        <v>6210</v>
      </c>
      <c r="Q3658" s="2" t="s">
        <v>6388</v>
      </c>
      <c r="R3658" s="2" t="s">
        <v>29</v>
      </c>
      <c r="S3658" s="2" t="s">
        <v>30</v>
      </c>
    </row>
    <row r="3659" spans="1:19">
      <c r="A3659" s="1">
        <v>45717</v>
      </c>
      <c r="B3659" s="1">
        <v>45717</v>
      </c>
      <c r="C3659">
        <v>2025</v>
      </c>
      <c r="D3659">
        <v>3</v>
      </c>
      <c r="E3659" s="2" t="s">
        <v>87</v>
      </c>
      <c r="F3659" s="2" t="s">
        <v>88</v>
      </c>
      <c r="G3659" s="2" t="s">
        <v>80</v>
      </c>
      <c r="H3659" s="2" t="s">
        <v>81</v>
      </c>
      <c r="I3659" s="2" t="s">
        <v>82</v>
      </c>
      <c r="J3659" s="2" t="s">
        <v>24</v>
      </c>
      <c r="K3659">
        <v>0.76</v>
      </c>
      <c r="L3659">
        <v>1297378.02</v>
      </c>
      <c r="M3659">
        <v>170707634.21000001</v>
      </c>
      <c r="N3659" s="2" t="s">
        <v>89</v>
      </c>
      <c r="O3659" s="2" t="s">
        <v>90</v>
      </c>
      <c r="P3659" s="2" t="s">
        <v>491</v>
      </c>
      <c r="Q3659" s="2" t="s">
        <v>6389</v>
      </c>
      <c r="R3659" s="2" t="s">
        <v>29</v>
      </c>
      <c r="S3659" s="2" t="s">
        <v>30</v>
      </c>
    </row>
    <row r="3660" spans="1:19">
      <c r="A3660" s="1">
        <v>45717</v>
      </c>
      <c r="B3660" s="1">
        <v>45717</v>
      </c>
      <c r="C3660">
        <v>2025</v>
      </c>
      <c r="D3660">
        <v>3</v>
      </c>
      <c r="E3660" s="2" t="s">
        <v>93</v>
      </c>
      <c r="F3660" s="2" t="s">
        <v>94</v>
      </c>
      <c r="G3660" s="2" t="s">
        <v>80</v>
      </c>
      <c r="H3660" s="2" t="s">
        <v>81</v>
      </c>
      <c r="I3660" s="2" t="s">
        <v>82</v>
      </c>
      <c r="J3660" s="2" t="s">
        <v>24</v>
      </c>
      <c r="K3660">
        <v>0.36</v>
      </c>
      <c r="L3660">
        <v>6589738.0300000003</v>
      </c>
      <c r="M3660">
        <v>1830482786.1099999</v>
      </c>
      <c r="N3660" s="2" t="s">
        <v>95</v>
      </c>
      <c r="O3660" s="2" t="s">
        <v>96</v>
      </c>
      <c r="P3660" s="2" t="s">
        <v>3657</v>
      </c>
      <c r="Q3660" s="2" t="s">
        <v>6390</v>
      </c>
      <c r="R3660" s="2" t="s">
        <v>29</v>
      </c>
      <c r="S3660" s="2" t="s">
        <v>30</v>
      </c>
    </row>
    <row r="3661" spans="1:19">
      <c r="A3661" s="1">
        <v>45717</v>
      </c>
      <c r="B3661" s="1">
        <v>45717</v>
      </c>
      <c r="C3661">
        <v>2025</v>
      </c>
      <c r="D3661">
        <v>3</v>
      </c>
      <c r="E3661" s="2" t="s">
        <v>99</v>
      </c>
      <c r="F3661" s="2" t="s">
        <v>100</v>
      </c>
      <c r="G3661" s="2" t="s">
        <v>80</v>
      </c>
      <c r="H3661" s="2" t="s">
        <v>81</v>
      </c>
      <c r="I3661" s="2" t="s">
        <v>82</v>
      </c>
      <c r="J3661" s="2" t="s">
        <v>101</v>
      </c>
      <c r="K3661">
        <v>1.33</v>
      </c>
      <c r="L3661">
        <v>15356047.800000001</v>
      </c>
      <c r="M3661">
        <v>1154590060.1500001</v>
      </c>
      <c r="N3661" s="2" t="s">
        <v>102</v>
      </c>
      <c r="O3661" s="2" t="s">
        <v>103</v>
      </c>
      <c r="P3661" s="2" t="s">
        <v>2105</v>
      </c>
      <c r="Q3661" s="2" t="s">
        <v>6391</v>
      </c>
      <c r="R3661" s="2" t="s">
        <v>29</v>
      </c>
      <c r="S3661" s="2" t="s">
        <v>30</v>
      </c>
    </row>
    <row r="3662" spans="1:19">
      <c r="A3662" s="1">
        <v>45717</v>
      </c>
      <c r="B3662" s="1">
        <v>45717</v>
      </c>
      <c r="C3662">
        <v>2025</v>
      </c>
      <c r="D3662">
        <v>3</v>
      </c>
      <c r="E3662" s="2" t="s">
        <v>106</v>
      </c>
      <c r="F3662" s="2" t="s">
        <v>107</v>
      </c>
      <c r="G3662" s="2" t="s">
        <v>80</v>
      </c>
      <c r="H3662" s="2" t="s">
        <v>81</v>
      </c>
      <c r="I3662" s="2" t="s">
        <v>82</v>
      </c>
      <c r="J3662" s="2" t="s">
        <v>24</v>
      </c>
      <c r="K3662">
        <v>0.21</v>
      </c>
      <c r="L3662">
        <v>7468931.75</v>
      </c>
      <c r="M3662">
        <v>3556634166.6700001</v>
      </c>
      <c r="N3662" s="2" t="s">
        <v>108</v>
      </c>
      <c r="O3662" s="2" t="s">
        <v>109</v>
      </c>
      <c r="P3662" s="2" t="s">
        <v>403</v>
      </c>
      <c r="Q3662" s="2" t="s">
        <v>6392</v>
      </c>
      <c r="R3662" s="2" t="s">
        <v>29</v>
      </c>
      <c r="S3662" s="2" t="s">
        <v>30</v>
      </c>
    </row>
    <row r="3663" spans="1:19">
      <c r="A3663" s="1">
        <v>45717</v>
      </c>
      <c r="B3663" s="1">
        <v>45717</v>
      </c>
      <c r="C3663">
        <v>2025</v>
      </c>
      <c r="D3663">
        <v>3</v>
      </c>
      <c r="E3663" s="2" t="s">
        <v>111</v>
      </c>
      <c r="F3663" s="2" t="s">
        <v>112</v>
      </c>
      <c r="G3663" s="2" t="s">
        <v>80</v>
      </c>
      <c r="H3663" s="2" t="s">
        <v>81</v>
      </c>
      <c r="I3663" s="2" t="s">
        <v>82</v>
      </c>
      <c r="J3663" s="2" t="s">
        <v>24</v>
      </c>
      <c r="K3663">
        <v>0.09</v>
      </c>
      <c r="L3663">
        <v>821386.93</v>
      </c>
      <c r="M3663">
        <v>912652144.44000006</v>
      </c>
      <c r="N3663" s="2" t="s">
        <v>113</v>
      </c>
      <c r="O3663" s="2" t="s">
        <v>114</v>
      </c>
      <c r="P3663" s="2" t="s">
        <v>534</v>
      </c>
      <c r="Q3663" s="2" t="s">
        <v>6393</v>
      </c>
      <c r="R3663" s="2" t="s">
        <v>29</v>
      </c>
      <c r="S3663" s="2" t="s">
        <v>30</v>
      </c>
    </row>
    <row r="3664" spans="1:19">
      <c r="A3664" s="1">
        <v>45717</v>
      </c>
      <c r="B3664" s="1">
        <v>45717</v>
      </c>
      <c r="C3664">
        <v>2025</v>
      </c>
      <c r="D3664">
        <v>3</v>
      </c>
      <c r="E3664" s="2" t="s">
        <v>117</v>
      </c>
      <c r="F3664" s="2" t="s">
        <v>118</v>
      </c>
      <c r="G3664" s="2" t="s">
        <v>80</v>
      </c>
      <c r="H3664" s="2" t="s">
        <v>81</v>
      </c>
      <c r="I3664" s="2" t="s">
        <v>82</v>
      </c>
      <c r="J3664" s="2" t="s">
        <v>59</v>
      </c>
      <c r="K3664">
        <v>4.3600000000000003</v>
      </c>
      <c r="L3664">
        <v>27936158.350000001</v>
      </c>
      <c r="M3664">
        <v>640737576.83000004</v>
      </c>
      <c r="N3664" s="2" t="s">
        <v>119</v>
      </c>
      <c r="O3664" s="2" t="s">
        <v>120</v>
      </c>
      <c r="P3664" s="2" t="s">
        <v>1332</v>
      </c>
      <c r="Q3664" s="2" t="s">
        <v>6394</v>
      </c>
      <c r="R3664" s="2" t="s">
        <v>29</v>
      </c>
      <c r="S3664" s="2" t="s">
        <v>30</v>
      </c>
    </row>
    <row r="3665" spans="1:19">
      <c r="A3665" s="1">
        <v>45717</v>
      </c>
      <c r="B3665" s="1">
        <v>45717</v>
      </c>
      <c r="C3665">
        <v>2025</v>
      </c>
      <c r="D3665">
        <v>3</v>
      </c>
      <c r="E3665" s="2" t="s">
        <v>123</v>
      </c>
      <c r="F3665" s="2" t="s">
        <v>124</v>
      </c>
      <c r="G3665" s="2" t="s">
        <v>21</v>
      </c>
      <c r="H3665" s="2" t="s">
        <v>22</v>
      </c>
      <c r="I3665" s="2" t="s">
        <v>73</v>
      </c>
      <c r="J3665" s="2" t="s">
        <v>24</v>
      </c>
      <c r="K3665">
        <v>2283.84</v>
      </c>
      <c r="L3665">
        <v>130020.89</v>
      </c>
      <c r="M3665">
        <v>5693.08</v>
      </c>
      <c r="N3665" s="2" t="s">
        <v>125</v>
      </c>
      <c r="O3665" s="2" t="s">
        <v>126</v>
      </c>
      <c r="P3665" s="2" t="s">
        <v>6395</v>
      </c>
      <c r="Q3665" s="2" t="s">
        <v>6396</v>
      </c>
      <c r="R3665" s="2" t="s">
        <v>29</v>
      </c>
      <c r="S3665" s="2" t="s">
        <v>30</v>
      </c>
    </row>
    <row r="3666" spans="1:19">
      <c r="A3666" s="1">
        <v>45717</v>
      </c>
      <c r="B3666" s="1">
        <v>45717</v>
      </c>
      <c r="C3666">
        <v>2025</v>
      </c>
      <c r="D3666">
        <v>3</v>
      </c>
      <c r="E3666" s="2" t="s">
        <v>129</v>
      </c>
      <c r="F3666" s="2" t="s">
        <v>130</v>
      </c>
      <c r="G3666" s="2" t="s">
        <v>21</v>
      </c>
      <c r="H3666" s="2" t="s">
        <v>22</v>
      </c>
      <c r="I3666" s="2" t="s">
        <v>73</v>
      </c>
      <c r="J3666" s="2" t="s">
        <v>24</v>
      </c>
      <c r="K3666">
        <v>2302.66</v>
      </c>
      <c r="L3666">
        <v>71473.009999999995</v>
      </c>
      <c r="M3666">
        <v>3103.93</v>
      </c>
      <c r="N3666" s="2" t="s">
        <v>131</v>
      </c>
      <c r="O3666" s="2" t="s">
        <v>132</v>
      </c>
      <c r="P3666" s="2" t="s">
        <v>6397</v>
      </c>
      <c r="Q3666" s="2" t="s">
        <v>6398</v>
      </c>
      <c r="R3666" s="2" t="s">
        <v>29</v>
      </c>
      <c r="S3666" s="2" t="s">
        <v>30</v>
      </c>
    </row>
    <row r="3667" spans="1:19">
      <c r="A3667" s="1">
        <v>45717</v>
      </c>
      <c r="B3667" s="1">
        <v>45717</v>
      </c>
      <c r="C3667">
        <v>2025</v>
      </c>
      <c r="D3667">
        <v>3</v>
      </c>
      <c r="E3667" s="2" t="s">
        <v>135</v>
      </c>
      <c r="F3667" s="2" t="s">
        <v>136</v>
      </c>
      <c r="G3667" s="2" t="s">
        <v>21</v>
      </c>
      <c r="H3667" s="2" t="s">
        <v>22</v>
      </c>
      <c r="I3667" s="2" t="s">
        <v>73</v>
      </c>
      <c r="J3667" s="2" t="s">
        <v>101</v>
      </c>
      <c r="K3667">
        <v>4586.5</v>
      </c>
      <c r="L3667">
        <v>201493.9</v>
      </c>
      <c r="M3667">
        <v>4393.2</v>
      </c>
      <c r="N3667" s="2" t="s">
        <v>137</v>
      </c>
      <c r="O3667" s="2" t="s">
        <v>138</v>
      </c>
      <c r="P3667" s="2" t="s">
        <v>6399</v>
      </c>
      <c r="Q3667" s="2" t="s">
        <v>6400</v>
      </c>
      <c r="R3667" s="2" t="s">
        <v>29</v>
      </c>
      <c r="S3667" s="2" t="s">
        <v>30</v>
      </c>
    </row>
    <row r="3668" spans="1:19">
      <c r="A3668" s="1">
        <v>45717</v>
      </c>
      <c r="B3668" s="1">
        <v>45717</v>
      </c>
      <c r="C3668">
        <v>2025</v>
      </c>
      <c r="D3668">
        <v>3</v>
      </c>
      <c r="E3668" s="2" t="s">
        <v>141</v>
      </c>
      <c r="F3668" s="2" t="s">
        <v>142</v>
      </c>
      <c r="G3668" s="2" t="s">
        <v>21</v>
      </c>
      <c r="H3668" s="2" t="s">
        <v>22</v>
      </c>
      <c r="I3668" s="2" t="s">
        <v>73</v>
      </c>
      <c r="J3668" s="2" t="s">
        <v>24</v>
      </c>
      <c r="K3668">
        <v>307.2</v>
      </c>
      <c r="L3668">
        <v>13236.64</v>
      </c>
      <c r="M3668">
        <v>4308.8</v>
      </c>
      <c r="N3668" s="2" t="s">
        <v>143</v>
      </c>
      <c r="O3668" s="2" t="s">
        <v>144</v>
      </c>
      <c r="P3668" s="2" t="s">
        <v>6401</v>
      </c>
      <c r="Q3668" s="2" t="s">
        <v>6402</v>
      </c>
      <c r="R3668" s="2" t="s">
        <v>29</v>
      </c>
      <c r="S3668" s="2" t="s">
        <v>30</v>
      </c>
    </row>
    <row r="3669" spans="1:19">
      <c r="A3669" s="1">
        <v>45717</v>
      </c>
      <c r="B3669" s="1">
        <v>45717</v>
      </c>
      <c r="C3669">
        <v>2025</v>
      </c>
      <c r="D3669">
        <v>3</v>
      </c>
      <c r="E3669" s="2" t="s">
        <v>147</v>
      </c>
      <c r="F3669" s="2" t="s">
        <v>148</v>
      </c>
      <c r="G3669" s="2" t="s">
        <v>21</v>
      </c>
      <c r="H3669" s="2" t="s">
        <v>22</v>
      </c>
      <c r="I3669" s="2" t="s">
        <v>73</v>
      </c>
      <c r="J3669" s="2" t="s">
        <v>24</v>
      </c>
      <c r="K3669">
        <v>895.82</v>
      </c>
      <c r="L3669">
        <v>25818.04</v>
      </c>
      <c r="M3669">
        <v>2882.06</v>
      </c>
      <c r="N3669" s="2" t="s">
        <v>149</v>
      </c>
      <c r="O3669" s="2" t="s">
        <v>150</v>
      </c>
      <c r="P3669" s="2" t="s">
        <v>6403</v>
      </c>
      <c r="Q3669" s="2" t="s">
        <v>6404</v>
      </c>
      <c r="R3669" s="2" t="s">
        <v>29</v>
      </c>
      <c r="S3669" s="2" t="s">
        <v>30</v>
      </c>
    </row>
    <row r="3670" spans="1:19">
      <c r="A3670" s="1">
        <v>45717</v>
      </c>
      <c r="B3670" s="1">
        <v>45717</v>
      </c>
      <c r="C3670">
        <v>2025</v>
      </c>
      <c r="D3670">
        <v>3</v>
      </c>
      <c r="E3670" s="2" t="s">
        <v>153</v>
      </c>
      <c r="F3670" s="2" t="s">
        <v>154</v>
      </c>
      <c r="G3670" s="2" t="s">
        <v>21</v>
      </c>
      <c r="H3670" s="2" t="s">
        <v>22</v>
      </c>
      <c r="I3670" s="2" t="s">
        <v>73</v>
      </c>
      <c r="J3670" s="2" t="s">
        <v>101</v>
      </c>
      <c r="K3670">
        <v>1203.02</v>
      </c>
      <c r="L3670">
        <v>39054.68</v>
      </c>
      <c r="M3670">
        <v>3246.39</v>
      </c>
      <c r="N3670" s="2" t="s">
        <v>155</v>
      </c>
      <c r="O3670" s="2" t="s">
        <v>156</v>
      </c>
      <c r="P3670" s="2" t="s">
        <v>6405</v>
      </c>
      <c r="Q3670" s="2" t="s">
        <v>6406</v>
      </c>
      <c r="R3670" s="2" t="s">
        <v>29</v>
      </c>
      <c r="S3670" s="2" t="s">
        <v>30</v>
      </c>
    </row>
    <row r="3671" spans="1:19">
      <c r="A3671" s="1">
        <v>45717</v>
      </c>
      <c r="B3671" s="1">
        <v>45717</v>
      </c>
      <c r="C3671">
        <v>2025</v>
      </c>
      <c r="D3671">
        <v>3</v>
      </c>
      <c r="E3671" s="2" t="s">
        <v>159</v>
      </c>
      <c r="F3671" s="2" t="s">
        <v>160</v>
      </c>
      <c r="G3671" s="2" t="s">
        <v>21</v>
      </c>
      <c r="H3671" s="2" t="s">
        <v>22</v>
      </c>
      <c r="I3671" s="2" t="s">
        <v>66</v>
      </c>
      <c r="J3671" s="2" t="s">
        <v>59</v>
      </c>
      <c r="K3671">
        <v>1891.35</v>
      </c>
      <c r="L3671">
        <v>211047.17</v>
      </c>
      <c r="M3671">
        <v>11158.55</v>
      </c>
      <c r="N3671" s="2" t="s">
        <v>161</v>
      </c>
      <c r="O3671" s="2" t="s">
        <v>162</v>
      </c>
      <c r="P3671" s="2" t="s">
        <v>6407</v>
      </c>
      <c r="Q3671" s="2" t="s">
        <v>6408</v>
      </c>
      <c r="R3671" s="2" t="s">
        <v>29</v>
      </c>
      <c r="S3671" s="2" t="s">
        <v>30</v>
      </c>
    </row>
    <row r="3672" spans="1:19">
      <c r="A3672" s="1">
        <v>45717</v>
      </c>
      <c r="B3672" s="1">
        <v>45717</v>
      </c>
      <c r="C3672">
        <v>2025</v>
      </c>
      <c r="D3672">
        <v>3</v>
      </c>
      <c r="E3672" s="2" t="s">
        <v>165</v>
      </c>
      <c r="F3672" s="2" t="s">
        <v>166</v>
      </c>
      <c r="G3672" s="2" t="s">
        <v>21</v>
      </c>
      <c r="H3672" s="2" t="s">
        <v>22</v>
      </c>
      <c r="I3672" s="2" t="s">
        <v>23</v>
      </c>
      <c r="J3672" s="2" t="s">
        <v>24</v>
      </c>
      <c r="N3672" s="2" t="s">
        <v>167</v>
      </c>
      <c r="O3672" s="2" t="s">
        <v>168</v>
      </c>
      <c r="P3672" s="2" t="s">
        <v>175</v>
      </c>
      <c r="Q3672" s="2" t="s">
        <v>175</v>
      </c>
      <c r="R3672" s="2" t="s">
        <v>640</v>
      </c>
      <c r="S3672" s="2" t="s">
        <v>641</v>
      </c>
    </row>
    <row r="3673" spans="1:19">
      <c r="A3673" s="1">
        <v>45717</v>
      </c>
      <c r="B3673" s="1">
        <v>45717</v>
      </c>
      <c r="C3673">
        <v>2025</v>
      </c>
      <c r="D3673">
        <v>3</v>
      </c>
      <c r="E3673" s="2" t="s">
        <v>171</v>
      </c>
      <c r="F3673" s="2" t="s">
        <v>172</v>
      </c>
      <c r="G3673" s="2" t="s">
        <v>21</v>
      </c>
      <c r="H3673" s="2" t="s">
        <v>22</v>
      </c>
      <c r="I3673" s="2" t="s">
        <v>66</v>
      </c>
      <c r="J3673" s="2" t="s">
        <v>24</v>
      </c>
      <c r="N3673" s="2" t="s">
        <v>173</v>
      </c>
      <c r="O3673" s="2" t="s">
        <v>174</v>
      </c>
      <c r="P3673" s="2" t="s">
        <v>175</v>
      </c>
      <c r="Q3673" s="2" t="s">
        <v>175</v>
      </c>
      <c r="R3673" s="2" t="s">
        <v>640</v>
      </c>
      <c r="S3673" s="2" t="s">
        <v>641</v>
      </c>
    </row>
    <row r="3674" spans="1:19">
      <c r="A3674" s="1">
        <v>45717</v>
      </c>
      <c r="B3674" s="1">
        <v>45717</v>
      </c>
      <c r="C3674">
        <v>2025</v>
      </c>
      <c r="D3674">
        <v>3</v>
      </c>
      <c r="E3674" s="2" t="s">
        <v>177</v>
      </c>
      <c r="F3674" s="2" t="s">
        <v>178</v>
      </c>
      <c r="G3674" s="2" t="s">
        <v>21</v>
      </c>
      <c r="H3674" s="2" t="s">
        <v>22</v>
      </c>
      <c r="I3674" s="2" t="s">
        <v>23</v>
      </c>
      <c r="J3674" s="2" t="s">
        <v>24</v>
      </c>
      <c r="K3674">
        <v>4616.3900000000003</v>
      </c>
      <c r="L3674">
        <v>667812.80000000005</v>
      </c>
      <c r="M3674">
        <v>14466.13</v>
      </c>
      <c r="N3674" s="2" t="s">
        <v>179</v>
      </c>
      <c r="O3674" s="2" t="s">
        <v>180</v>
      </c>
      <c r="P3674" s="2" t="s">
        <v>6409</v>
      </c>
      <c r="Q3674" s="2" t="s">
        <v>6410</v>
      </c>
      <c r="R3674" s="2" t="s">
        <v>29</v>
      </c>
      <c r="S3674" s="2" t="s">
        <v>30</v>
      </c>
    </row>
    <row r="3675" spans="1:19">
      <c r="A3675" s="1">
        <v>45717</v>
      </c>
      <c r="B3675" s="1">
        <v>45717</v>
      </c>
      <c r="C3675">
        <v>2025</v>
      </c>
      <c r="D3675">
        <v>3</v>
      </c>
      <c r="E3675" s="2" t="s">
        <v>183</v>
      </c>
      <c r="F3675" s="2" t="s">
        <v>184</v>
      </c>
      <c r="G3675" s="2" t="s">
        <v>185</v>
      </c>
      <c r="H3675" s="2" t="s">
        <v>22</v>
      </c>
      <c r="I3675" s="2" t="s">
        <v>186</v>
      </c>
      <c r="J3675" s="2" t="s">
        <v>24</v>
      </c>
      <c r="K3675">
        <v>3087.15</v>
      </c>
      <c r="L3675">
        <v>6673090.9900000002</v>
      </c>
      <c r="M3675">
        <v>216157.01</v>
      </c>
      <c r="N3675" s="2" t="s">
        <v>187</v>
      </c>
      <c r="O3675" s="2" t="s">
        <v>188</v>
      </c>
      <c r="P3675" s="2" t="s">
        <v>6411</v>
      </c>
      <c r="Q3675" s="2" t="s">
        <v>6412</v>
      </c>
      <c r="R3675" s="2" t="s">
        <v>29</v>
      </c>
      <c r="S3675" s="2" t="s">
        <v>30</v>
      </c>
    </row>
    <row r="3676" spans="1:19">
      <c r="A3676" s="1">
        <v>45717</v>
      </c>
      <c r="B3676" s="1">
        <v>45717</v>
      </c>
      <c r="C3676">
        <v>2025</v>
      </c>
      <c r="D3676">
        <v>3</v>
      </c>
      <c r="E3676" s="2" t="s">
        <v>191</v>
      </c>
      <c r="F3676" s="2" t="s">
        <v>192</v>
      </c>
      <c r="G3676" s="2" t="s">
        <v>185</v>
      </c>
      <c r="H3676" s="2" t="s">
        <v>22</v>
      </c>
      <c r="I3676" s="2" t="s">
        <v>186</v>
      </c>
      <c r="J3676" s="2" t="s">
        <v>24</v>
      </c>
      <c r="K3676">
        <v>1009.09</v>
      </c>
      <c r="L3676">
        <v>7319249.2599999998</v>
      </c>
      <c r="M3676">
        <v>725331.66</v>
      </c>
      <c r="N3676" s="2" t="s">
        <v>193</v>
      </c>
      <c r="O3676" s="2" t="s">
        <v>194</v>
      </c>
      <c r="P3676" s="2" t="s">
        <v>6413</v>
      </c>
      <c r="Q3676" s="2" t="s">
        <v>6414</v>
      </c>
      <c r="R3676" s="2" t="s">
        <v>29</v>
      </c>
      <c r="S3676" s="2" t="s">
        <v>30</v>
      </c>
    </row>
    <row r="3677" spans="1:19">
      <c r="A3677" s="1">
        <v>45717</v>
      </c>
      <c r="B3677" s="1">
        <v>45717</v>
      </c>
      <c r="C3677">
        <v>2025</v>
      </c>
      <c r="D3677">
        <v>3</v>
      </c>
      <c r="E3677" s="2" t="s">
        <v>197</v>
      </c>
      <c r="F3677" s="2" t="s">
        <v>198</v>
      </c>
      <c r="G3677" s="2" t="s">
        <v>185</v>
      </c>
      <c r="H3677" s="2" t="s">
        <v>22</v>
      </c>
      <c r="I3677" s="2" t="s">
        <v>186</v>
      </c>
      <c r="J3677" s="2" t="s">
        <v>59</v>
      </c>
      <c r="K3677">
        <v>4096.24</v>
      </c>
      <c r="L3677">
        <v>13992340.25</v>
      </c>
      <c r="M3677">
        <v>341589.85</v>
      </c>
      <c r="N3677" s="2" t="s">
        <v>199</v>
      </c>
      <c r="O3677" s="2" t="s">
        <v>200</v>
      </c>
      <c r="P3677" s="2" t="s">
        <v>6415</v>
      </c>
      <c r="Q3677" s="2" t="s">
        <v>6416</v>
      </c>
      <c r="R3677" s="2" t="s">
        <v>29</v>
      </c>
      <c r="S3677" s="2" t="s">
        <v>30</v>
      </c>
    </row>
    <row r="3678" spans="1:19">
      <c r="A3678" s="1">
        <v>45717</v>
      </c>
      <c r="B3678" s="1">
        <v>45717</v>
      </c>
      <c r="C3678">
        <v>2025</v>
      </c>
      <c r="D3678">
        <v>3</v>
      </c>
      <c r="E3678" s="2" t="s">
        <v>203</v>
      </c>
      <c r="F3678" s="2" t="s">
        <v>204</v>
      </c>
      <c r="G3678" s="2" t="s">
        <v>39</v>
      </c>
      <c r="H3678" s="2" t="s">
        <v>22</v>
      </c>
      <c r="I3678" s="2" t="s">
        <v>40</v>
      </c>
      <c r="J3678" s="2" t="s">
        <v>24</v>
      </c>
      <c r="K3678">
        <v>1102.31</v>
      </c>
      <c r="L3678">
        <v>29560.560000000001</v>
      </c>
      <c r="M3678">
        <v>2681.69</v>
      </c>
      <c r="N3678" s="2" t="s">
        <v>205</v>
      </c>
      <c r="O3678" s="2" t="s">
        <v>206</v>
      </c>
      <c r="P3678" s="2" t="s">
        <v>6417</v>
      </c>
      <c r="Q3678" s="2" t="s">
        <v>6418</v>
      </c>
      <c r="R3678" s="2" t="s">
        <v>29</v>
      </c>
      <c r="S3678" s="2" t="s">
        <v>30</v>
      </c>
    </row>
    <row r="3679" spans="1:19">
      <c r="A3679" s="1">
        <v>45717</v>
      </c>
      <c r="B3679" s="1">
        <v>45717</v>
      </c>
      <c r="C3679">
        <v>2025</v>
      </c>
      <c r="D3679">
        <v>3</v>
      </c>
      <c r="E3679" s="2" t="s">
        <v>209</v>
      </c>
      <c r="F3679" s="2" t="s">
        <v>210</v>
      </c>
      <c r="G3679" s="2" t="s">
        <v>39</v>
      </c>
      <c r="H3679" s="2" t="s">
        <v>22</v>
      </c>
      <c r="I3679" s="2" t="s">
        <v>40</v>
      </c>
      <c r="J3679" s="2" t="s">
        <v>59</v>
      </c>
      <c r="K3679">
        <v>1102.31</v>
      </c>
      <c r="L3679">
        <v>29560.560000000001</v>
      </c>
      <c r="M3679">
        <v>2681.69</v>
      </c>
      <c r="N3679" s="2" t="s">
        <v>211</v>
      </c>
      <c r="O3679" s="2" t="s">
        <v>212</v>
      </c>
      <c r="P3679" s="2" t="s">
        <v>6417</v>
      </c>
      <c r="Q3679" s="2" t="s">
        <v>6418</v>
      </c>
      <c r="R3679" s="2" t="s">
        <v>29</v>
      </c>
      <c r="S3679" s="2" t="s">
        <v>30</v>
      </c>
    </row>
    <row r="3680" spans="1:19">
      <c r="A3680" s="1">
        <v>45717</v>
      </c>
      <c r="B3680" s="1">
        <v>45717</v>
      </c>
      <c r="C3680">
        <v>2025</v>
      </c>
      <c r="D3680">
        <v>3</v>
      </c>
      <c r="E3680" s="2" t="s">
        <v>213</v>
      </c>
      <c r="F3680" s="2" t="s">
        <v>214</v>
      </c>
      <c r="G3680" s="2" t="s">
        <v>185</v>
      </c>
      <c r="H3680" s="2" t="s">
        <v>22</v>
      </c>
      <c r="I3680" s="2" t="s">
        <v>215</v>
      </c>
      <c r="J3680" s="2" t="s">
        <v>24</v>
      </c>
      <c r="K3680">
        <v>161310.47</v>
      </c>
      <c r="L3680">
        <v>3099399.72</v>
      </c>
      <c r="M3680">
        <v>1921.39</v>
      </c>
      <c r="N3680" s="2" t="s">
        <v>216</v>
      </c>
      <c r="O3680" s="2" t="s">
        <v>217</v>
      </c>
      <c r="P3680" s="2" t="s">
        <v>6419</v>
      </c>
      <c r="Q3680" s="2" t="s">
        <v>6420</v>
      </c>
      <c r="R3680" s="2" t="s">
        <v>29</v>
      </c>
      <c r="S3680" s="2" t="s">
        <v>30</v>
      </c>
    </row>
    <row r="3681" spans="1:19">
      <c r="A3681" s="1">
        <v>45717</v>
      </c>
      <c r="B3681" s="1">
        <v>45717</v>
      </c>
      <c r="C3681">
        <v>2025</v>
      </c>
      <c r="D3681">
        <v>3</v>
      </c>
      <c r="E3681" s="2" t="s">
        <v>220</v>
      </c>
      <c r="F3681" s="2" t="s">
        <v>221</v>
      </c>
      <c r="G3681" s="2" t="s">
        <v>185</v>
      </c>
      <c r="H3681" s="2" t="s">
        <v>22</v>
      </c>
      <c r="I3681" s="2" t="s">
        <v>215</v>
      </c>
      <c r="J3681" s="2" t="s">
        <v>24</v>
      </c>
      <c r="K3681">
        <v>9863.76</v>
      </c>
      <c r="L3681">
        <v>670271.77</v>
      </c>
      <c r="M3681">
        <v>6795.3</v>
      </c>
      <c r="N3681" s="2" t="s">
        <v>222</v>
      </c>
      <c r="O3681" s="2" t="s">
        <v>223</v>
      </c>
      <c r="P3681" s="2" t="s">
        <v>6421</v>
      </c>
      <c r="Q3681" s="2" t="s">
        <v>6422</v>
      </c>
      <c r="R3681" s="2" t="s">
        <v>29</v>
      </c>
      <c r="S3681" s="2" t="s">
        <v>30</v>
      </c>
    </row>
    <row r="3682" spans="1:19">
      <c r="A3682" s="1">
        <v>45717</v>
      </c>
      <c r="B3682" s="1">
        <v>45717</v>
      </c>
      <c r="C3682">
        <v>2025</v>
      </c>
      <c r="D3682">
        <v>3</v>
      </c>
      <c r="E3682" s="2" t="s">
        <v>226</v>
      </c>
      <c r="F3682" s="2" t="s">
        <v>227</v>
      </c>
      <c r="G3682" s="2" t="s">
        <v>185</v>
      </c>
      <c r="H3682" s="2" t="s">
        <v>22</v>
      </c>
      <c r="I3682" s="2" t="s">
        <v>215</v>
      </c>
      <c r="J3682" s="2" t="s">
        <v>59</v>
      </c>
      <c r="K3682">
        <v>171174.23</v>
      </c>
      <c r="L3682">
        <v>3769671.5</v>
      </c>
      <c r="M3682">
        <v>2202.2399999999998</v>
      </c>
      <c r="N3682" s="2" t="s">
        <v>228</v>
      </c>
      <c r="O3682" s="2" t="s">
        <v>229</v>
      </c>
      <c r="P3682" s="2" t="s">
        <v>6423</v>
      </c>
      <c r="Q3682" s="2" t="s">
        <v>6424</v>
      </c>
      <c r="R3682" s="2" t="s">
        <v>29</v>
      </c>
      <c r="S3682" s="2" t="s">
        <v>30</v>
      </c>
    </row>
    <row r="3683" spans="1:19">
      <c r="A3683" s="1">
        <v>45717</v>
      </c>
      <c r="B3683" s="1">
        <v>45717</v>
      </c>
      <c r="C3683">
        <v>2025</v>
      </c>
      <c r="D3683">
        <v>3</v>
      </c>
      <c r="E3683" s="2" t="s">
        <v>232</v>
      </c>
      <c r="F3683" s="2" t="s">
        <v>233</v>
      </c>
      <c r="G3683" s="2" t="s">
        <v>21</v>
      </c>
      <c r="H3683" s="2" t="s">
        <v>22</v>
      </c>
      <c r="I3683" s="2" t="s">
        <v>23</v>
      </c>
      <c r="J3683" s="2" t="s">
        <v>24</v>
      </c>
      <c r="K3683">
        <v>1861.26</v>
      </c>
      <c r="L3683">
        <v>176401.23</v>
      </c>
      <c r="M3683">
        <v>9477.52</v>
      </c>
      <c r="N3683" s="2" t="s">
        <v>234</v>
      </c>
      <c r="O3683" s="2" t="s">
        <v>235</v>
      </c>
      <c r="P3683" s="2" t="s">
        <v>6425</v>
      </c>
      <c r="Q3683" s="2" t="s">
        <v>6426</v>
      </c>
      <c r="R3683" s="2" t="s">
        <v>29</v>
      </c>
      <c r="S3683" s="2" t="s">
        <v>30</v>
      </c>
    </row>
    <row r="3684" spans="1:19">
      <c r="A3684" s="1">
        <v>45717</v>
      </c>
      <c r="B3684" s="1">
        <v>45717</v>
      </c>
      <c r="C3684">
        <v>2025</v>
      </c>
      <c r="D3684">
        <v>3</v>
      </c>
      <c r="E3684" s="2" t="s">
        <v>238</v>
      </c>
      <c r="F3684" s="2" t="s">
        <v>239</v>
      </c>
      <c r="G3684" s="2" t="s">
        <v>21</v>
      </c>
      <c r="H3684" s="2" t="s">
        <v>22</v>
      </c>
      <c r="I3684" s="2" t="s">
        <v>66</v>
      </c>
      <c r="J3684" s="2" t="s">
        <v>24</v>
      </c>
      <c r="K3684">
        <v>1724.79</v>
      </c>
      <c r="L3684">
        <v>210245.52</v>
      </c>
      <c r="M3684">
        <v>12189.63</v>
      </c>
      <c r="N3684" s="2" t="s">
        <v>240</v>
      </c>
      <c r="O3684" s="2" t="s">
        <v>241</v>
      </c>
      <c r="P3684" s="2" t="s">
        <v>6427</v>
      </c>
      <c r="Q3684" s="2" t="s">
        <v>6428</v>
      </c>
      <c r="R3684" s="2" t="s">
        <v>29</v>
      </c>
      <c r="S3684" s="2" t="s">
        <v>30</v>
      </c>
    </row>
    <row r="3685" spans="1:19">
      <c r="A3685" s="1">
        <v>45717</v>
      </c>
      <c r="B3685" s="1">
        <v>45717</v>
      </c>
      <c r="C3685">
        <v>2025</v>
      </c>
      <c r="D3685">
        <v>3</v>
      </c>
      <c r="E3685" s="2" t="s">
        <v>244</v>
      </c>
      <c r="F3685" s="2" t="s">
        <v>245</v>
      </c>
      <c r="G3685" s="2" t="s">
        <v>21</v>
      </c>
      <c r="H3685" s="2" t="s">
        <v>22</v>
      </c>
      <c r="I3685" s="2" t="s">
        <v>23</v>
      </c>
      <c r="J3685" s="2" t="s">
        <v>24</v>
      </c>
      <c r="K3685">
        <v>9008.9699999999993</v>
      </c>
      <c r="L3685">
        <v>4854308.4800000004</v>
      </c>
      <c r="M3685">
        <v>53883.06</v>
      </c>
      <c r="N3685" s="2" t="s">
        <v>246</v>
      </c>
      <c r="O3685" s="2" t="s">
        <v>247</v>
      </c>
      <c r="P3685" s="2" t="s">
        <v>6429</v>
      </c>
      <c r="Q3685" s="2" t="s">
        <v>6430</v>
      </c>
      <c r="R3685" s="2" t="s">
        <v>29</v>
      </c>
      <c r="S3685" s="2" t="s">
        <v>30</v>
      </c>
    </row>
    <row r="3686" spans="1:19">
      <c r="A3686" s="1">
        <v>45717</v>
      </c>
      <c r="B3686" s="1">
        <v>45717</v>
      </c>
      <c r="C3686">
        <v>2025</v>
      </c>
      <c r="D3686">
        <v>3</v>
      </c>
      <c r="E3686" s="2" t="s">
        <v>250</v>
      </c>
      <c r="F3686" s="2" t="s">
        <v>251</v>
      </c>
      <c r="G3686" s="2" t="s">
        <v>21</v>
      </c>
      <c r="H3686" s="2" t="s">
        <v>22</v>
      </c>
      <c r="I3686" s="2" t="s">
        <v>66</v>
      </c>
      <c r="J3686" s="2" t="s">
        <v>24</v>
      </c>
      <c r="K3686">
        <v>146.97</v>
      </c>
      <c r="L3686">
        <v>190.86</v>
      </c>
      <c r="M3686">
        <v>129.86000000000001</v>
      </c>
      <c r="N3686" s="2" t="s">
        <v>252</v>
      </c>
      <c r="O3686" s="2" t="s">
        <v>253</v>
      </c>
      <c r="P3686" s="2" t="s">
        <v>6431</v>
      </c>
      <c r="Q3686" s="2" t="s">
        <v>6432</v>
      </c>
      <c r="R3686" s="2" t="s">
        <v>29</v>
      </c>
      <c r="S3686" s="2" t="s">
        <v>30</v>
      </c>
    </row>
    <row r="3687" spans="1:19">
      <c r="A3687" s="1">
        <v>45717</v>
      </c>
      <c r="B3687" s="1">
        <v>45717</v>
      </c>
      <c r="C3687">
        <v>2025</v>
      </c>
      <c r="D3687">
        <v>3</v>
      </c>
      <c r="E3687" s="2" t="s">
        <v>256</v>
      </c>
      <c r="F3687" s="2" t="s">
        <v>257</v>
      </c>
      <c r="G3687" s="2" t="s">
        <v>21</v>
      </c>
      <c r="H3687" s="2" t="s">
        <v>22</v>
      </c>
      <c r="I3687" s="2" t="s">
        <v>258</v>
      </c>
      <c r="J3687" s="2" t="s">
        <v>24</v>
      </c>
      <c r="K3687">
        <v>531.76</v>
      </c>
      <c r="L3687">
        <v>659873.48</v>
      </c>
      <c r="M3687">
        <v>124092.35</v>
      </c>
      <c r="N3687" s="2" t="s">
        <v>259</v>
      </c>
      <c r="O3687" s="2" t="s">
        <v>260</v>
      </c>
      <c r="P3687" s="2" t="s">
        <v>6433</v>
      </c>
      <c r="Q3687" s="2" t="s">
        <v>6434</v>
      </c>
      <c r="R3687" s="2" t="s">
        <v>29</v>
      </c>
      <c r="S3687" s="2" t="s">
        <v>30</v>
      </c>
    </row>
    <row r="3688" spans="1:19">
      <c r="A3688" s="1">
        <v>45717</v>
      </c>
      <c r="B3688" s="1">
        <v>45717</v>
      </c>
      <c r="C3688">
        <v>2025</v>
      </c>
      <c r="D3688">
        <v>3</v>
      </c>
      <c r="E3688" s="2" t="s">
        <v>263</v>
      </c>
      <c r="F3688" s="2" t="s">
        <v>264</v>
      </c>
      <c r="G3688" s="2" t="s">
        <v>21</v>
      </c>
      <c r="H3688" s="2" t="s">
        <v>22</v>
      </c>
      <c r="I3688" s="2" t="s">
        <v>258</v>
      </c>
      <c r="J3688" s="2" t="s">
        <v>24</v>
      </c>
      <c r="K3688">
        <v>0</v>
      </c>
      <c r="L3688">
        <v>0</v>
      </c>
      <c r="N3688" s="2" t="s">
        <v>265</v>
      </c>
      <c r="O3688" s="2" t="s">
        <v>266</v>
      </c>
      <c r="P3688" s="2" t="s">
        <v>639</v>
      </c>
      <c r="Q3688" s="2" t="s">
        <v>639</v>
      </c>
      <c r="R3688" s="2" t="s">
        <v>29</v>
      </c>
      <c r="S3688" s="2" t="s">
        <v>30</v>
      </c>
    </row>
    <row r="3689" spans="1:19">
      <c r="A3689" s="1">
        <v>45717</v>
      </c>
      <c r="B3689" s="1">
        <v>45717</v>
      </c>
      <c r="C3689">
        <v>2025</v>
      </c>
      <c r="D3689">
        <v>3</v>
      </c>
      <c r="E3689" s="2" t="s">
        <v>269</v>
      </c>
      <c r="F3689" s="2" t="s">
        <v>270</v>
      </c>
      <c r="G3689" s="2" t="s">
        <v>21</v>
      </c>
      <c r="H3689" s="2" t="s">
        <v>22</v>
      </c>
      <c r="I3689" s="2" t="s">
        <v>258</v>
      </c>
      <c r="J3689" s="2" t="s">
        <v>59</v>
      </c>
      <c r="K3689">
        <v>531.76</v>
      </c>
      <c r="L3689">
        <v>659873.48</v>
      </c>
      <c r="M3689">
        <v>124092.35</v>
      </c>
      <c r="N3689" s="2" t="s">
        <v>271</v>
      </c>
      <c r="O3689" s="2" t="s">
        <v>272</v>
      </c>
      <c r="P3689" s="2" t="s">
        <v>6433</v>
      </c>
      <c r="Q3689" s="2" t="s">
        <v>6434</v>
      </c>
      <c r="R3689" s="2" t="s">
        <v>29</v>
      </c>
      <c r="S3689" s="2" t="s">
        <v>30</v>
      </c>
    </row>
    <row r="3690" spans="1:19">
      <c r="A3690" s="1">
        <v>45717</v>
      </c>
      <c r="B3690" s="1">
        <v>45717</v>
      </c>
      <c r="C3690">
        <v>2025</v>
      </c>
      <c r="D3690">
        <v>3</v>
      </c>
      <c r="E3690" s="2" t="s">
        <v>275</v>
      </c>
      <c r="F3690" s="2" t="s">
        <v>276</v>
      </c>
      <c r="G3690" s="2" t="s">
        <v>39</v>
      </c>
      <c r="H3690" s="2" t="s">
        <v>22</v>
      </c>
      <c r="I3690" s="2" t="s">
        <v>40</v>
      </c>
      <c r="J3690" s="2" t="s">
        <v>24</v>
      </c>
      <c r="K3690">
        <v>0.19</v>
      </c>
      <c r="L3690">
        <v>2.0699999999999998</v>
      </c>
      <c r="M3690">
        <v>1089.47</v>
      </c>
      <c r="N3690" s="2" t="s">
        <v>277</v>
      </c>
      <c r="O3690" s="2" t="s">
        <v>278</v>
      </c>
      <c r="P3690" s="2" t="s">
        <v>97</v>
      </c>
      <c r="Q3690" s="2" t="s">
        <v>6435</v>
      </c>
      <c r="R3690" s="2" t="s">
        <v>29</v>
      </c>
      <c r="S3690" s="2" t="s">
        <v>30</v>
      </c>
    </row>
    <row r="3691" spans="1:19">
      <c r="A3691" s="1">
        <v>45717</v>
      </c>
      <c r="B3691" s="1">
        <v>45717</v>
      </c>
      <c r="C3691">
        <v>2025</v>
      </c>
      <c r="D3691">
        <v>3</v>
      </c>
      <c r="E3691" s="2" t="s">
        <v>281</v>
      </c>
      <c r="F3691" s="2" t="s">
        <v>282</v>
      </c>
      <c r="G3691" s="2" t="s">
        <v>39</v>
      </c>
      <c r="H3691" s="2" t="s">
        <v>22</v>
      </c>
      <c r="I3691" s="2" t="s">
        <v>40</v>
      </c>
      <c r="J3691" s="2" t="s">
        <v>24</v>
      </c>
      <c r="K3691">
        <v>0.03</v>
      </c>
      <c r="L3691">
        <v>0.38</v>
      </c>
      <c r="M3691">
        <v>1266.67</v>
      </c>
      <c r="N3691" s="2" t="s">
        <v>283</v>
      </c>
      <c r="O3691" s="2" t="s">
        <v>284</v>
      </c>
      <c r="P3691" s="2" t="s">
        <v>1247</v>
      </c>
      <c r="Q3691" s="2" t="s">
        <v>827</v>
      </c>
      <c r="R3691" s="2" t="s">
        <v>29</v>
      </c>
      <c r="S3691" s="2" t="s">
        <v>30</v>
      </c>
    </row>
    <row r="3692" spans="1:19">
      <c r="A3692" s="1">
        <v>45717</v>
      </c>
      <c r="B3692" s="1">
        <v>45717</v>
      </c>
      <c r="C3692">
        <v>2025</v>
      </c>
      <c r="D3692">
        <v>3</v>
      </c>
      <c r="E3692" s="2" t="s">
        <v>287</v>
      </c>
      <c r="F3692" s="2" t="s">
        <v>288</v>
      </c>
      <c r="G3692" s="2" t="s">
        <v>39</v>
      </c>
      <c r="H3692" s="2" t="s">
        <v>22</v>
      </c>
      <c r="I3692" s="2" t="s">
        <v>40</v>
      </c>
      <c r="J3692" s="2" t="s">
        <v>59</v>
      </c>
      <c r="K3692">
        <v>0.22</v>
      </c>
      <c r="L3692">
        <v>2.46</v>
      </c>
      <c r="M3692">
        <v>1118.18</v>
      </c>
      <c r="N3692" s="2" t="s">
        <v>289</v>
      </c>
      <c r="O3692" s="2" t="s">
        <v>290</v>
      </c>
      <c r="P3692" s="2" t="s">
        <v>514</v>
      </c>
      <c r="Q3692" s="2" t="s">
        <v>6436</v>
      </c>
      <c r="R3692" s="2" t="s">
        <v>29</v>
      </c>
      <c r="S3692" s="2" t="s">
        <v>30</v>
      </c>
    </row>
    <row r="3693" spans="1:19">
      <c r="A3693" s="1">
        <v>45717</v>
      </c>
      <c r="B3693" s="1">
        <v>45717</v>
      </c>
      <c r="C3693">
        <v>2025</v>
      </c>
      <c r="D3693">
        <v>3</v>
      </c>
      <c r="E3693" s="2" t="s">
        <v>293</v>
      </c>
      <c r="F3693" s="2" t="s">
        <v>294</v>
      </c>
      <c r="G3693" s="2" t="s">
        <v>21</v>
      </c>
      <c r="H3693" s="2" t="s">
        <v>22</v>
      </c>
      <c r="I3693" s="2" t="s">
        <v>295</v>
      </c>
      <c r="J3693" s="2" t="s">
        <v>24</v>
      </c>
      <c r="K3693">
        <v>1074.28</v>
      </c>
      <c r="L3693">
        <v>4372.1099999999997</v>
      </c>
      <c r="M3693">
        <v>406.98</v>
      </c>
      <c r="N3693" s="2" t="s">
        <v>296</v>
      </c>
      <c r="O3693" s="2" t="s">
        <v>297</v>
      </c>
      <c r="P3693" s="2" t="s">
        <v>6437</v>
      </c>
      <c r="Q3693" s="2" t="s">
        <v>6438</v>
      </c>
      <c r="R3693" s="2" t="s">
        <v>29</v>
      </c>
      <c r="S3693" s="2" t="s">
        <v>30</v>
      </c>
    </row>
    <row r="3694" spans="1:19">
      <c r="A3694" s="1">
        <v>45717</v>
      </c>
      <c r="B3694" s="1">
        <v>45717</v>
      </c>
      <c r="C3694">
        <v>2025</v>
      </c>
      <c r="D3694">
        <v>3</v>
      </c>
      <c r="E3694" s="2" t="s">
        <v>300</v>
      </c>
      <c r="F3694" s="2" t="s">
        <v>301</v>
      </c>
      <c r="G3694" s="2" t="s">
        <v>21</v>
      </c>
      <c r="H3694" s="2" t="s">
        <v>22</v>
      </c>
      <c r="I3694" s="2" t="s">
        <v>295</v>
      </c>
      <c r="J3694" s="2" t="s">
        <v>24</v>
      </c>
      <c r="K3694">
        <v>648.24</v>
      </c>
      <c r="L3694">
        <v>1016.31</v>
      </c>
      <c r="M3694">
        <v>156.78</v>
      </c>
      <c r="N3694" s="2" t="s">
        <v>302</v>
      </c>
      <c r="O3694" s="2" t="s">
        <v>303</v>
      </c>
      <c r="P3694" s="2" t="s">
        <v>6439</v>
      </c>
      <c r="Q3694" s="2" t="s">
        <v>6440</v>
      </c>
      <c r="R3694" s="2" t="s">
        <v>29</v>
      </c>
      <c r="S3694" s="2" t="s">
        <v>30</v>
      </c>
    </row>
    <row r="3695" spans="1:19">
      <c r="A3695" s="1">
        <v>45717</v>
      </c>
      <c r="B3695" s="1">
        <v>45717</v>
      </c>
      <c r="C3695">
        <v>2025</v>
      </c>
      <c r="D3695">
        <v>3</v>
      </c>
      <c r="E3695" s="2" t="s">
        <v>306</v>
      </c>
      <c r="F3695" s="2" t="s">
        <v>307</v>
      </c>
      <c r="G3695" s="2" t="s">
        <v>21</v>
      </c>
      <c r="H3695" s="2" t="s">
        <v>22</v>
      </c>
      <c r="I3695" s="2" t="s">
        <v>295</v>
      </c>
      <c r="J3695" s="2" t="s">
        <v>101</v>
      </c>
      <c r="K3695">
        <v>1722.52</v>
      </c>
      <c r="L3695">
        <v>5388.42</v>
      </c>
      <c r="M3695">
        <v>312.82</v>
      </c>
      <c r="N3695" s="2" t="s">
        <v>308</v>
      </c>
      <c r="O3695" s="2" t="s">
        <v>309</v>
      </c>
      <c r="P3695" s="2" t="s">
        <v>6441</v>
      </c>
      <c r="Q3695" s="2" t="s">
        <v>6442</v>
      </c>
      <c r="R3695" s="2" t="s">
        <v>29</v>
      </c>
      <c r="S3695" s="2" t="s">
        <v>30</v>
      </c>
    </row>
    <row r="3696" spans="1:19">
      <c r="A3696" s="1">
        <v>45717</v>
      </c>
      <c r="B3696" s="1">
        <v>45717</v>
      </c>
      <c r="C3696">
        <v>2025</v>
      </c>
      <c r="D3696">
        <v>3</v>
      </c>
      <c r="E3696" s="2" t="s">
        <v>312</v>
      </c>
      <c r="F3696" s="2" t="s">
        <v>313</v>
      </c>
      <c r="G3696" s="2" t="s">
        <v>21</v>
      </c>
      <c r="H3696" s="2" t="s">
        <v>22</v>
      </c>
      <c r="I3696" s="2" t="s">
        <v>295</v>
      </c>
      <c r="J3696" s="2" t="s">
        <v>59</v>
      </c>
      <c r="K3696">
        <v>6783.69</v>
      </c>
      <c r="L3696">
        <v>21465.03</v>
      </c>
      <c r="M3696">
        <v>316.42</v>
      </c>
      <c r="N3696" s="2" t="s">
        <v>314</v>
      </c>
      <c r="O3696" s="2" t="s">
        <v>315</v>
      </c>
      <c r="P3696" s="2" t="s">
        <v>6443</v>
      </c>
      <c r="Q3696" s="2" t="s">
        <v>6444</v>
      </c>
      <c r="R3696" s="2" t="s">
        <v>29</v>
      </c>
      <c r="S3696" s="2" t="s">
        <v>30</v>
      </c>
    </row>
    <row r="3697" spans="1:19">
      <c r="A3697" s="1">
        <v>45717</v>
      </c>
      <c r="B3697" s="1">
        <v>45717</v>
      </c>
      <c r="C3697">
        <v>2025</v>
      </c>
      <c r="D3697">
        <v>3</v>
      </c>
      <c r="E3697" s="2" t="s">
        <v>318</v>
      </c>
      <c r="F3697" s="2" t="s">
        <v>319</v>
      </c>
      <c r="G3697" s="2" t="s">
        <v>21</v>
      </c>
      <c r="H3697" s="2" t="s">
        <v>22</v>
      </c>
      <c r="I3697" s="2" t="s">
        <v>295</v>
      </c>
      <c r="J3697" s="2" t="s">
        <v>24</v>
      </c>
      <c r="K3697">
        <v>5061.17</v>
      </c>
      <c r="L3697">
        <v>16076.61</v>
      </c>
      <c r="M3697">
        <v>317.64999999999998</v>
      </c>
      <c r="N3697" s="2" t="s">
        <v>320</v>
      </c>
      <c r="O3697" s="2" t="s">
        <v>321</v>
      </c>
      <c r="P3697" s="2" t="s">
        <v>6445</v>
      </c>
      <c r="Q3697" s="2" t="s">
        <v>6446</v>
      </c>
      <c r="R3697" s="2" t="s">
        <v>29</v>
      </c>
      <c r="S3697" s="2" t="s">
        <v>30</v>
      </c>
    </row>
    <row r="3698" spans="1:19">
      <c r="A3698" s="1">
        <v>45717</v>
      </c>
      <c r="B3698" s="1">
        <v>45717</v>
      </c>
      <c r="C3698">
        <v>2025</v>
      </c>
      <c r="D3698">
        <v>3</v>
      </c>
      <c r="E3698" s="2" t="s">
        <v>324</v>
      </c>
      <c r="F3698" s="2" t="s">
        <v>325</v>
      </c>
      <c r="G3698" s="2" t="s">
        <v>21</v>
      </c>
      <c r="H3698" s="2" t="s">
        <v>22</v>
      </c>
      <c r="I3698" s="2" t="s">
        <v>23</v>
      </c>
      <c r="J3698" s="2" t="s">
        <v>59</v>
      </c>
      <c r="K3698">
        <v>202008.61</v>
      </c>
      <c r="L3698">
        <v>8242601.1699999999</v>
      </c>
      <c r="M3698">
        <v>4080.32</v>
      </c>
      <c r="N3698" s="2" t="s">
        <v>326</v>
      </c>
      <c r="O3698" s="2" t="s">
        <v>327</v>
      </c>
      <c r="P3698" s="2" t="s">
        <v>6447</v>
      </c>
      <c r="Q3698" s="2" t="s">
        <v>6448</v>
      </c>
      <c r="R3698" s="2" t="s">
        <v>29</v>
      </c>
      <c r="S3698" s="2" t="s">
        <v>30</v>
      </c>
    </row>
    <row r="3699" spans="1:19">
      <c r="A3699" s="1">
        <v>45717</v>
      </c>
      <c r="B3699" s="1">
        <v>45717</v>
      </c>
      <c r="C3699">
        <v>2025</v>
      </c>
      <c r="D3699">
        <v>3</v>
      </c>
      <c r="E3699" s="2" t="s">
        <v>330</v>
      </c>
      <c r="F3699" s="2" t="s">
        <v>331</v>
      </c>
      <c r="G3699" s="2" t="s">
        <v>21</v>
      </c>
      <c r="H3699" s="2" t="s">
        <v>332</v>
      </c>
      <c r="I3699" s="2" t="s">
        <v>333</v>
      </c>
      <c r="J3699" s="2" t="s">
        <v>24</v>
      </c>
      <c r="K3699">
        <v>305.70999999999998</v>
      </c>
      <c r="L3699">
        <v>19394682.600000001</v>
      </c>
      <c r="M3699">
        <v>6344143.9900000002</v>
      </c>
      <c r="N3699" s="2" t="s">
        <v>334</v>
      </c>
      <c r="O3699" s="2" t="s">
        <v>335</v>
      </c>
      <c r="P3699" s="2" t="s">
        <v>6449</v>
      </c>
      <c r="Q3699" s="2" t="s">
        <v>6450</v>
      </c>
      <c r="R3699" s="2" t="s">
        <v>29</v>
      </c>
      <c r="S3699" s="2" t="s">
        <v>30</v>
      </c>
    </row>
    <row r="3700" spans="1:19">
      <c r="A3700" s="1">
        <v>45717</v>
      </c>
      <c r="B3700" s="1">
        <v>45717</v>
      </c>
      <c r="C3700">
        <v>2025</v>
      </c>
      <c r="D3700">
        <v>3</v>
      </c>
      <c r="E3700" s="2" t="s">
        <v>338</v>
      </c>
      <c r="F3700" s="2" t="s">
        <v>339</v>
      </c>
      <c r="G3700" s="2" t="s">
        <v>21</v>
      </c>
      <c r="H3700" s="2" t="s">
        <v>332</v>
      </c>
      <c r="I3700" s="2" t="s">
        <v>333</v>
      </c>
      <c r="J3700" s="2" t="s">
        <v>24</v>
      </c>
      <c r="K3700">
        <v>1.32</v>
      </c>
      <c r="L3700">
        <v>2007286.5</v>
      </c>
      <c r="M3700">
        <v>152067159.09</v>
      </c>
      <c r="N3700" s="2" t="s">
        <v>340</v>
      </c>
      <c r="O3700" s="2" t="s">
        <v>341</v>
      </c>
      <c r="P3700" s="2" t="s">
        <v>3375</v>
      </c>
      <c r="Q3700" s="2" t="s">
        <v>6451</v>
      </c>
      <c r="R3700" s="2" t="s">
        <v>29</v>
      </c>
      <c r="S3700" s="2" t="s">
        <v>30</v>
      </c>
    </row>
    <row r="3701" spans="1:19">
      <c r="A3701" s="1">
        <v>45717</v>
      </c>
      <c r="B3701" s="1">
        <v>45717</v>
      </c>
      <c r="C3701">
        <v>2025</v>
      </c>
      <c r="D3701">
        <v>3</v>
      </c>
      <c r="E3701" s="2" t="s">
        <v>344</v>
      </c>
      <c r="F3701" s="2" t="s">
        <v>345</v>
      </c>
      <c r="G3701" s="2" t="s">
        <v>21</v>
      </c>
      <c r="H3701" s="2" t="s">
        <v>332</v>
      </c>
      <c r="I3701" s="2" t="s">
        <v>333</v>
      </c>
      <c r="J3701" s="2" t="s">
        <v>59</v>
      </c>
      <c r="K3701">
        <v>307.02999999999997</v>
      </c>
      <c r="L3701">
        <v>21401969.100000001</v>
      </c>
      <c r="M3701">
        <v>6970644.2699999996</v>
      </c>
      <c r="N3701" s="2" t="s">
        <v>346</v>
      </c>
      <c r="O3701" s="2" t="s">
        <v>347</v>
      </c>
      <c r="P3701" s="2" t="s">
        <v>6452</v>
      </c>
      <c r="Q3701" s="2" t="s">
        <v>6453</v>
      </c>
      <c r="R3701" s="2" t="s">
        <v>29</v>
      </c>
      <c r="S3701" s="2" t="s">
        <v>30</v>
      </c>
    </row>
    <row r="3702" spans="1:19">
      <c r="A3702" s="1">
        <v>45717</v>
      </c>
      <c r="B3702" s="1">
        <v>45717</v>
      </c>
      <c r="C3702">
        <v>2025</v>
      </c>
      <c r="D3702">
        <v>3</v>
      </c>
      <c r="E3702" s="2" t="s">
        <v>350</v>
      </c>
      <c r="F3702" s="2" t="s">
        <v>351</v>
      </c>
      <c r="G3702" s="2" t="s">
        <v>21</v>
      </c>
      <c r="H3702" s="2" t="s">
        <v>22</v>
      </c>
      <c r="I3702" s="2" t="s">
        <v>352</v>
      </c>
      <c r="J3702" s="2" t="s">
        <v>353</v>
      </c>
      <c r="K3702">
        <v>216780.2</v>
      </c>
      <c r="L3702">
        <v>30117631.050000001</v>
      </c>
      <c r="M3702">
        <v>13893.17</v>
      </c>
      <c r="N3702" s="2" t="s">
        <v>354</v>
      </c>
      <c r="O3702" s="2" t="s">
        <v>355</v>
      </c>
      <c r="P3702" s="2" t="s">
        <v>6454</v>
      </c>
      <c r="Q3702" s="2" t="s">
        <v>6455</v>
      </c>
      <c r="R3702" s="2" t="s">
        <v>29</v>
      </c>
      <c r="S3702" s="2" t="s">
        <v>30</v>
      </c>
    </row>
    <row r="3703" spans="1:19">
      <c r="A3703" s="1">
        <v>45717</v>
      </c>
      <c r="B3703" s="1">
        <v>45717</v>
      </c>
      <c r="C3703">
        <v>2025</v>
      </c>
      <c r="D3703">
        <v>3</v>
      </c>
      <c r="E3703" s="2" t="s">
        <v>358</v>
      </c>
      <c r="F3703" s="2" t="s">
        <v>359</v>
      </c>
      <c r="G3703" s="2" t="s">
        <v>21</v>
      </c>
      <c r="H3703" s="2" t="s">
        <v>22</v>
      </c>
      <c r="I3703" s="2" t="s">
        <v>352</v>
      </c>
      <c r="J3703" s="2" t="s">
        <v>353</v>
      </c>
      <c r="K3703">
        <v>217311.96</v>
      </c>
      <c r="L3703">
        <v>30777504.530000001</v>
      </c>
      <c r="M3703">
        <v>14162.82</v>
      </c>
      <c r="N3703" s="2" t="s">
        <v>360</v>
      </c>
      <c r="O3703" s="2" t="s">
        <v>361</v>
      </c>
      <c r="P3703" s="2" t="s">
        <v>6456</v>
      </c>
      <c r="Q3703" s="2" t="s">
        <v>6457</v>
      </c>
      <c r="R3703" s="2" t="s">
        <v>29</v>
      </c>
      <c r="S3703" s="2" t="s">
        <v>30</v>
      </c>
    </row>
    <row r="3704" spans="1:19">
      <c r="A3704" s="1">
        <v>45717</v>
      </c>
      <c r="B3704" s="1">
        <v>45717</v>
      </c>
      <c r="C3704">
        <v>2025</v>
      </c>
      <c r="D3704">
        <v>3</v>
      </c>
      <c r="E3704" s="2" t="s">
        <v>364</v>
      </c>
      <c r="F3704" s="2" t="s">
        <v>365</v>
      </c>
      <c r="G3704" s="2" t="s">
        <v>21</v>
      </c>
      <c r="H3704" s="2" t="s">
        <v>22</v>
      </c>
      <c r="I3704" s="2" t="s">
        <v>352</v>
      </c>
      <c r="J3704" s="2" t="s">
        <v>353</v>
      </c>
      <c r="K3704">
        <v>217004.93</v>
      </c>
      <c r="L3704">
        <v>9375535.4399999995</v>
      </c>
      <c r="M3704">
        <v>4320.43</v>
      </c>
      <c r="N3704" s="2" t="s">
        <v>366</v>
      </c>
      <c r="O3704" s="2" t="s">
        <v>367</v>
      </c>
      <c r="P3704" s="2" t="s">
        <v>6458</v>
      </c>
      <c r="Q3704" s="2" t="s">
        <v>6459</v>
      </c>
      <c r="R3704" s="2" t="s">
        <v>29</v>
      </c>
      <c r="S3704" s="2" t="s">
        <v>30</v>
      </c>
    </row>
    <row r="3705" spans="1:19">
      <c r="A3705" s="1">
        <v>45717</v>
      </c>
      <c r="B3705" s="1">
        <v>45717</v>
      </c>
      <c r="C3705">
        <v>2025</v>
      </c>
      <c r="D3705">
        <v>3</v>
      </c>
      <c r="E3705" s="2" t="s">
        <v>370</v>
      </c>
      <c r="F3705" s="2" t="s">
        <v>371</v>
      </c>
      <c r="G3705" s="2" t="s">
        <v>21</v>
      </c>
      <c r="H3705" s="2" t="s">
        <v>22</v>
      </c>
      <c r="I3705" s="2" t="s">
        <v>23</v>
      </c>
      <c r="J3705" s="2" t="s">
        <v>24</v>
      </c>
      <c r="K3705">
        <v>183015.08</v>
      </c>
      <c r="L3705">
        <v>2477221.59</v>
      </c>
      <c r="M3705">
        <v>1353.56</v>
      </c>
      <c r="N3705" s="2" t="s">
        <v>372</v>
      </c>
      <c r="O3705" s="2" t="s">
        <v>373</v>
      </c>
      <c r="P3705" s="2" t="s">
        <v>6460</v>
      </c>
      <c r="Q3705" s="2" t="s">
        <v>6461</v>
      </c>
      <c r="R3705" s="2" t="s">
        <v>29</v>
      </c>
      <c r="S3705" s="2" t="s">
        <v>30</v>
      </c>
    </row>
    <row r="3706" spans="1:19">
      <c r="A3706" s="1">
        <v>45717</v>
      </c>
      <c r="B3706" s="1">
        <v>45717</v>
      </c>
      <c r="C3706">
        <v>2025</v>
      </c>
      <c r="D3706">
        <v>3</v>
      </c>
      <c r="E3706" s="2" t="s">
        <v>376</v>
      </c>
      <c r="F3706" s="2" t="s">
        <v>377</v>
      </c>
      <c r="G3706" s="2" t="s">
        <v>21</v>
      </c>
      <c r="H3706" s="2" t="s">
        <v>22</v>
      </c>
      <c r="I3706" s="2" t="s">
        <v>23</v>
      </c>
      <c r="J3706" s="2" t="s">
        <v>378</v>
      </c>
      <c r="K3706">
        <v>1.26</v>
      </c>
      <c r="L3706">
        <v>13.69</v>
      </c>
      <c r="M3706">
        <v>1086.51</v>
      </c>
      <c r="N3706" s="2" t="s">
        <v>379</v>
      </c>
      <c r="O3706" s="2" t="s">
        <v>380</v>
      </c>
      <c r="P3706" s="2" t="s">
        <v>267</v>
      </c>
      <c r="Q3706" s="2" t="s">
        <v>5834</v>
      </c>
      <c r="R3706" s="2" t="s">
        <v>29</v>
      </c>
      <c r="S3706" s="2" t="s">
        <v>30</v>
      </c>
    </row>
    <row r="3707" spans="1:19">
      <c r="A3707" s="1">
        <v>45748</v>
      </c>
      <c r="B3707" s="1">
        <v>45748</v>
      </c>
      <c r="C3707">
        <v>2025</v>
      </c>
      <c r="D3707">
        <v>4</v>
      </c>
      <c r="E3707" s="2" t="s">
        <v>19</v>
      </c>
      <c r="F3707" s="2" t="s">
        <v>20</v>
      </c>
      <c r="G3707" s="2" t="s">
        <v>21</v>
      </c>
      <c r="H3707" s="2" t="s">
        <v>22</v>
      </c>
      <c r="I3707" s="2" t="s">
        <v>23</v>
      </c>
      <c r="J3707" s="2" t="s">
        <v>24</v>
      </c>
      <c r="K3707">
        <v>0.3</v>
      </c>
      <c r="L3707">
        <v>16.43</v>
      </c>
      <c r="M3707">
        <v>5476.67</v>
      </c>
      <c r="N3707" s="2" t="s">
        <v>25</v>
      </c>
      <c r="O3707" s="2" t="s">
        <v>26</v>
      </c>
      <c r="P3707" s="2" t="s">
        <v>2807</v>
      </c>
      <c r="Q3707" s="2" t="s">
        <v>6462</v>
      </c>
      <c r="R3707" s="2" t="s">
        <v>29</v>
      </c>
      <c r="S3707" s="2" t="s">
        <v>30</v>
      </c>
    </row>
    <row r="3708" spans="1:19">
      <c r="A3708" s="1">
        <v>45748</v>
      </c>
      <c r="B3708" s="1">
        <v>45748</v>
      </c>
      <c r="C3708">
        <v>2025</v>
      </c>
      <c r="D3708">
        <v>4</v>
      </c>
      <c r="E3708" s="2" t="s">
        <v>31</v>
      </c>
      <c r="F3708" s="2" t="s">
        <v>32</v>
      </c>
      <c r="G3708" s="2" t="s">
        <v>21</v>
      </c>
      <c r="H3708" s="2" t="s">
        <v>22</v>
      </c>
      <c r="I3708" s="2" t="s">
        <v>23</v>
      </c>
      <c r="J3708" s="2" t="s">
        <v>24</v>
      </c>
      <c r="K3708">
        <v>2610.5100000000002</v>
      </c>
      <c r="L3708">
        <v>57565.78</v>
      </c>
      <c r="M3708">
        <v>2205.15</v>
      </c>
      <c r="N3708" s="2" t="s">
        <v>33</v>
      </c>
      <c r="O3708" s="2" t="s">
        <v>34</v>
      </c>
      <c r="P3708" s="2" t="s">
        <v>6463</v>
      </c>
      <c r="Q3708" s="2" t="s">
        <v>6464</v>
      </c>
      <c r="R3708" s="2" t="s">
        <v>29</v>
      </c>
      <c r="S3708" s="2" t="s">
        <v>30</v>
      </c>
    </row>
    <row r="3709" spans="1:19">
      <c r="A3709" s="1">
        <v>45748</v>
      </c>
      <c r="B3709" s="1">
        <v>45748</v>
      </c>
      <c r="C3709">
        <v>2025</v>
      </c>
      <c r="D3709">
        <v>4</v>
      </c>
      <c r="E3709" s="2" t="s">
        <v>37</v>
      </c>
      <c r="F3709" s="2" t="s">
        <v>38</v>
      </c>
      <c r="G3709" s="2" t="s">
        <v>39</v>
      </c>
      <c r="H3709" s="2" t="s">
        <v>22</v>
      </c>
      <c r="I3709" s="2" t="s">
        <v>40</v>
      </c>
      <c r="J3709" s="2" t="s">
        <v>24</v>
      </c>
      <c r="K3709">
        <v>6.86</v>
      </c>
      <c r="L3709">
        <v>372.73</v>
      </c>
      <c r="M3709">
        <v>5433.38</v>
      </c>
      <c r="N3709" s="2" t="s">
        <v>41</v>
      </c>
      <c r="O3709" s="2" t="s">
        <v>42</v>
      </c>
      <c r="P3709" s="2" t="s">
        <v>6465</v>
      </c>
      <c r="Q3709" s="2" t="s">
        <v>6466</v>
      </c>
      <c r="R3709" s="2" t="s">
        <v>29</v>
      </c>
      <c r="S3709" s="2" t="s">
        <v>30</v>
      </c>
    </row>
    <row r="3710" spans="1:19">
      <c r="A3710" s="1">
        <v>45748</v>
      </c>
      <c r="B3710" s="1">
        <v>45748</v>
      </c>
      <c r="C3710">
        <v>2025</v>
      </c>
      <c r="D3710">
        <v>4</v>
      </c>
      <c r="E3710" s="2" t="s">
        <v>45</v>
      </c>
      <c r="F3710" s="2" t="s">
        <v>46</v>
      </c>
      <c r="G3710" s="2" t="s">
        <v>39</v>
      </c>
      <c r="H3710" s="2" t="s">
        <v>22</v>
      </c>
      <c r="I3710" s="2" t="s">
        <v>40</v>
      </c>
      <c r="J3710" s="2" t="s">
        <v>24</v>
      </c>
      <c r="K3710">
        <v>4578.0600000000004</v>
      </c>
      <c r="L3710">
        <v>243493.55</v>
      </c>
      <c r="M3710">
        <v>5318.71</v>
      </c>
      <c r="N3710" s="2" t="s">
        <v>47</v>
      </c>
      <c r="O3710" s="2" t="s">
        <v>48</v>
      </c>
      <c r="P3710" s="2" t="s">
        <v>6467</v>
      </c>
      <c r="Q3710" s="2" t="s">
        <v>6468</v>
      </c>
      <c r="R3710" s="2" t="s">
        <v>29</v>
      </c>
      <c r="S3710" s="2" t="s">
        <v>30</v>
      </c>
    </row>
    <row r="3711" spans="1:19">
      <c r="A3711" s="1">
        <v>45748</v>
      </c>
      <c r="B3711" s="1">
        <v>45748</v>
      </c>
      <c r="C3711">
        <v>2025</v>
      </c>
      <c r="D3711">
        <v>4</v>
      </c>
      <c r="E3711" s="2" t="s">
        <v>51</v>
      </c>
      <c r="F3711" s="2" t="s">
        <v>52</v>
      </c>
      <c r="G3711" s="2" t="s">
        <v>39</v>
      </c>
      <c r="H3711" s="2" t="s">
        <v>22</v>
      </c>
      <c r="I3711" s="2" t="s">
        <v>40</v>
      </c>
      <c r="J3711" s="2" t="s">
        <v>24</v>
      </c>
      <c r="K3711">
        <v>17.73</v>
      </c>
      <c r="L3711">
        <v>880.51</v>
      </c>
      <c r="M3711">
        <v>4966.22</v>
      </c>
      <c r="N3711" s="2" t="s">
        <v>53</v>
      </c>
      <c r="O3711" s="2" t="s">
        <v>54</v>
      </c>
      <c r="P3711" s="2" t="s">
        <v>6469</v>
      </c>
      <c r="Q3711" s="2" t="s">
        <v>6470</v>
      </c>
      <c r="R3711" s="2" t="s">
        <v>29</v>
      </c>
      <c r="S3711" s="2" t="s">
        <v>30</v>
      </c>
    </row>
    <row r="3712" spans="1:19">
      <c r="A3712" s="1">
        <v>45748</v>
      </c>
      <c r="B3712" s="1">
        <v>45748</v>
      </c>
      <c r="C3712">
        <v>2025</v>
      </c>
      <c r="D3712">
        <v>4</v>
      </c>
      <c r="E3712" s="2" t="s">
        <v>57</v>
      </c>
      <c r="F3712" s="2" t="s">
        <v>58</v>
      </c>
      <c r="G3712" s="2" t="s">
        <v>39</v>
      </c>
      <c r="H3712" s="2" t="s">
        <v>22</v>
      </c>
      <c r="I3712" s="2" t="s">
        <v>40</v>
      </c>
      <c r="J3712" s="2" t="s">
        <v>59</v>
      </c>
      <c r="K3712">
        <v>4602.6499999999996</v>
      </c>
      <c r="L3712">
        <v>244746.79</v>
      </c>
      <c r="M3712">
        <v>5317.52</v>
      </c>
      <c r="N3712" s="2" t="s">
        <v>60</v>
      </c>
      <c r="O3712" s="2" t="s">
        <v>61</v>
      </c>
      <c r="P3712" s="2" t="s">
        <v>6471</v>
      </c>
      <c r="Q3712" s="2" t="s">
        <v>6472</v>
      </c>
      <c r="R3712" s="2" t="s">
        <v>29</v>
      </c>
      <c r="S3712" s="2" t="s">
        <v>30</v>
      </c>
    </row>
    <row r="3713" spans="1:19">
      <c r="A3713" s="1">
        <v>45748</v>
      </c>
      <c r="B3713" s="1">
        <v>45748</v>
      </c>
      <c r="C3713">
        <v>2025</v>
      </c>
      <c r="D3713">
        <v>4</v>
      </c>
      <c r="E3713" s="2" t="s">
        <v>64</v>
      </c>
      <c r="F3713" s="2" t="s">
        <v>65</v>
      </c>
      <c r="G3713" s="2" t="s">
        <v>21</v>
      </c>
      <c r="H3713" s="2" t="s">
        <v>22</v>
      </c>
      <c r="I3713" s="2" t="s">
        <v>66</v>
      </c>
      <c r="J3713" s="2" t="s">
        <v>24</v>
      </c>
      <c r="K3713">
        <v>17.39</v>
      </c>
      <c r="L3713">
        <v>600.99</v>
      </c>
      <c r="M3713">
        <v>3455.95</v>
      </c>
      <c r="N3713" s="2" t="s">
        <v>67</v>
      </c>
      <c r="O3713" s="2" t="s">
        <v>68</v>
      </c>
      <c r="P3713" s="2" t="s">
        <v>6473</v>
      </c>
      <c r="Q3713" s="2" t="s">
        <v>6474</v>
      </c>
      <c r="R3713" s="2" t="s">
        <v>29</v>
      </c>
      <c r="S3713" s="2" t="s">
        <v>30</v>
      </c>
    </row>
    <row r="3714" spans="1:19">
      <c r="A3714" s="1">
        <v>45748</v>
      </c>
      <c r="B3714" s="1">
        <v>45748</v>
      </c>
      <c r="C3714">
        <v>2025</v>
      </c>
      <c r="D3714">
        <v>4</v>
      </c>
      <c r="E3714" s="2" t="s">
        <v>71</v>
      </c>
      <c r="F3714" s="2" t="s">
        <v>72</v>
      </c>
      <c r="G3714" s="2" t="s">
        <v>21</v>
      </c>
      <c r="H3714" s="2" t="s">
        <v>22</v>
      </c>
      <c r="I3714" s="2" t="s">
        <v>73</v>
      </c>
      <c r="J3714" s="2" t="s">
        <v>59</v>
      </c>
      <c r="K3714">
        <v>5673.64</v>
      </c>
      <c r="L3714">
        <v>222350.52</v>
      </c>
      <c r="M3714">
        <v>3919.01</v>
      </c>
      <c r="N3714" s="2" t="s">
        <v>74</v>
      </c>
      <c r="O3714" s="2" t="s">
        <v>75</v>
      </c>
      <c r="P3714" s="2" t="s">
        <v>6475</v>
      </c>
      <c r="Q3714" s="2" t="s">
        <v>6476</v>
      </c>
      <c r="R3714" s="2" t="s">
        <v>29</v>
      </c>
      <c r="S3714" s="2" t="s">
        <v>30</v>
      </c>
    </row>
    <row r="3715" spans="1:19">
      <c r="A3715" s="1">
        <v>45748</v>
      </c>
      <c r="B3715" s="1">
        <v>45748</v>
      </c>
      <c r="C3715">
        <v>2025</v>
      </c>
      <c r="D3715">
        <v>4</v>
      </c>
      <c r="E3715" s="2" t="s">
        <v>78</v>
      </c>
      <c r="F3715" s="2" t="s">
        <v>79</v>
      </c>
      <c r="G3715" s="2" t="s">
        <v>80</v>
      </c>
      <c r="H3715" s="2" t="s">
        <v>81</v>
      </c>
      <c r="I3715" s="2" t="s">
        <v>82</v>
      </c>
      <c r="J3715" s="2" t="s">
        <v>24</v>
      </c>
      <c r="K3715">
        <v>3.07</v>
      </c>
      <c r="L3715">
        <v>11992138.74</v>
      </c>
      <c r="M3715">
        <v>390623411.73000002</v>
      </c>
      <c r="N3715" s="2" t="s">
        <v>83</v>
      </c>
      <c r="O3715" s="2" t="s">
        <v>84</v>
      </c>
      <c r="P3715" s="2" t="s">
        <v>6477</v>
      </c>
      <c r="Q3715" s="2" t="s">
        <v>6478</v>
      </c>
      <c r="R3715" s="2" t="s">
        <v>29</v>
      </c>
      <c r="S3715" s="2" t="s">
        <v>30</v>
      </c>
    </row>
    <row r="3716" spans="1:19">
      <c r="A3716" s="1">
        <v>45748</v>
      </c>
      <c r="B3716" s="1">
        <v>45748</v>
      </c>
      <c r="C3716">
        <v>2025</v>
      </c>
      <c r="D3716">
        <v>4</v>
      </c>
      <c r="E3716" s="2" t="s">
        <v>87</v>
      </c>
      <c r="F3716" s="2" t="s">
        <v>88</v>
      </c>
      <c r="G3716" s="2" t="s">
        <v>80</v>
      </c>
      <c r="H3716" s="2" t="s">
        <v>81</v>
      </c>
      <c r="I3716" s="2" t="s">
        <v>82</v>
      </c>
      <c r="J3716" s="2" t="s">
        <v>24</v>
      </c>
      <c r="K3716">
        <v>1.3</v>
      </c>
      <c r="L3716">
        <v>2017823.14</v>
      </c>
      <c r="M3716">
        <v>155217164.62</v>
      </c>
      <c r="N3716" s="2" t="s">
        <v>89</v>
      </c>
      <c r="O3716" s="2" t="s">
        <v>90</v>
      </c>
      <c r="P3716" s="2" t="s">
        <v>2374</v>
      </c>
      <c r="Q3716" s="2" t="s">
        <v>6479</v>
      </c>
      <c r="R3716" s="2" t="s">
        <v>29</v>
      </c>
      <c r="S3716" s="2" t="s">
        <v>30</v>
      </c>
    </row>
    <row r="3717" spans="1:19">
      <c r="A3717" s="1">
        <v>45748</v>
      </c>
      <c r="B3717" s="1">
        <v>45748</v>
      </c>
      <c r="C3717">
        <v>2025</v>
      </c>
      <c r="D3717">
        <v>4</v>
      </c>
      <c r="E3717" s="2" t="s">
        <v>93</v>
      </c>
      <c r="F3717" s="2" t="s">
        <v>94</v>
      </c>
      <c r="G3717" s="2" t="s">
        <v>80</v>
      </c>
      <c r="H3717" s="2" t="s">
        <v>81</v>
      </c>
      <c r="I3717" s="2" t="s">
        <v>82</v>
      </c>
      <c r="J3717" s="2" t="s">
        <v>24</v>
      </c>
      <c r="K3717">
        <v>0.38</v>
      </c>
      <c r="L3717">
        <v>7078422.3700000001</v>
      </c>
      <c r="M3717">
        <v>1862742728.95</v>
      </c>
      <c r="N3717" s="2" t="s">
        <v>95</v>
      </c>
      <c r="O3717" s="2" t="s">
        <v>96</v>
      </c>
      <c r="P3717" s="2" t="s">
        <v>827</v>
      </c>
      <c r="Q3717" s="2" t="s">
        <v>6480</v>
      </c>
      <c r="R3717" s="2" t="s">
        <v>29</v>
      </c>
      <c r="S3717" s="2" t="s">
        <v>30</v>
      </c>
    </row>
    <row r="3718" spans="1:19">
      <c r="A3718" s="1">
        <v>45748</v>
      </c>
      <c r="B3718" s="1">
        <v>45748</v>
      </c>
      <c r="C3718">
        <v>2025</v>
      </c>
      <c r="D3718">
        <v>4</v>
      </c>
      <c r="E3718" s="2" t="s">
        <v>99</v>
      </c>
      <c r="F3718" s="2" t="s">
        <v>100</v>
      </c>
      <c r="G3718" s="2" t="s">
        <v>80</v>
      </c>
      <c r="H3718" s="2" t="s">
        <v>81</v>
      </c>
      <c r="I3718" s="2" t="s">
        <v>82</v>
      </c>
      <c r="J3718" s="2" t="s">
        <v>101</v>
      </c>
      <c r="K3718">
        <v>1.89</v>
      </c>
      <c r="L3718">
        <v>16657576.460000001</v>
      </c>
      <c r="M3718">
        <v>881353251.85000002</v>
      </c>
      <c r="N3718" s="2" t="s">
        <v>102</v>
      </c>
      <c r="O3718" s="2" t="s">
        <v>103</v>
      </c>
      <c r="P3718" s="2" t="s">
        <v>796</v>
      </c>
      <c r="Q3718" s="2" t="s">
        <v>6481</v>
      </c>
      <c r="R3718" s="2" t="s">
        <v>29</v>
      </c>
      <c r="S3718" s="2" t="s">
        <v>30</v>
      </c>
    </row>
    <row r="3719" spans="1:19">
      <c r="A3719" s="1">
        <v>45748</v>
      </c>
      <c r="B3719" s="1">
        <v>45748</v>
      </c>
      <c r="C3719">
        <v>2025</v>
      </c>
      <c r="D3719">
        <v>4</v>
      </c>
      <c r="E3719" s="2" t="s">
        <v>106</v>
      </c>
      <c r="F3719" s="2" t="s">
        <v>107</v>
      </c>
      <c r="G3719" s="2" t="s">
        <v>80</v>
      </c>
      <c r="H3719" s="2" t="s">
        <v>81</v>
      </c>
      <c r="I3719" s="2" t="s">
        <v>82</v>
      </c>
      <c r="J3719" s="2" t="s">
        <v>24</v>
      </c>
      <c r="K3719">
        <v>0.2</v>
      </c>
      <c r="L3719">
        <v>7561330.9500000002</v>
      </c>
      <c r="M3719">
        <v>3780665475</v>
      </c>
      <c r="N3719" s="2" t="s">
        <v>108</v>
      </c>
      <c r="O3719" s="2" t="s">
        <v>109</v>
      </c>
      <c r="P3719" s="2" t="s">
        <v>1142</v>
      </c>
      <c r="Q3719" s="2" t="s">
        <v>6482</v>
      </c>
      <c r="R3719" s="2" t="s">
        <v>29</v>
      </c>
      <c r="S3719" s="2" t="s">
        <v>30</v>
      </c>
    </row>
    <row r="3720" spans="1:19">
      <c r="A3720" s="1">
        <v>45748</v>
      </c>
      <c r="B3720" s="1">
        <v>45748</v>
      </c>
      <c r="C3720">
        <v>2025</v>
      </c>
      <c r="D3720">
        <v>4</v>
      </c>
      <c r="E3720" s="2" t="s">
        <v>111</v>
      </c>
      <c r="F3720" s="2" t="s">
        <v>112</v>
      </c>
      <c r="G3720" s="2" t="s">
        <v>80</v>
      </c>
      <c r="H3720" s="2" t="s">
        <v>81</v>
      </c>
      <c r="I3720" s="2" t="s">
        <v>82</v>
      </c>
      <c r="J3720" s="2" t="s">
        <v>24</v>
      </c>
      <c r="K3720">
        <v>0.11</v>
      </c>
      <c r="L3720">
        <v>750098.54</v>
      </c>
      <c r="M3720">
        <v>681907763.63999999</v>
      </c>
      <c r="N3720" s="2" t="s">
        <v>113</v>
      </c>
      <c r="O3720" s="2" t="s">
        <v>114</v>
      </c>
      <c r="P3720" s="2" t="s">
        <v>1291</v>
      </c>
      <c r="Q3720" s="2" t="s">
        <v>6483</v>
      </c>
      <c r="R3720" s="2" t="s">
        <v>29</v>
      </c>
      <c r="S3720" s="2" t="s">
        <v>30</v>
      </c>
    </row>
    <row r="3721" spans="1:19">
      <c r="A3721" s="1">
        <v>45748</v>
      </c>
      <c r="B3721" s="1">
        <v>45748</v>
      </c>
      <c r="C3721">
        <v>2025</v>
      </c>
      <c r="D3721">
        <v>4</v>
      </c>
      <c r="E3721" s="2" t="s">
        <v>117</v>
      </c>
      <c r="F3721" s="2" t="s">
        <v>118</v>
      </c>
      <c r="G3721" s="2" t="s">
        <v>80</v>
      </c>
      <c r="H3721" s="2" t="s">
        <v>81</v>
      </c>
      <c r="I3721" s="2" t="s">
        <v>82</v>
      </c>
      <c r="J3721" s="2" t="s">
        <v>59</v>
      </c>
      <c r="K3721">
        <v>5.07</v>
      </c>
      <c r="L3721">
        <v>29399813.739999998</v>
      </c>
      <c r="M3721">
        <v>579877983.03999996</v>
      </c>
      <c r="N3721" s="2" t="s">
        <v>119</v>
      </c>
      <c r="O3721" s="2" t="s">
        <v>120</v>
      </c>
      <c r="P3721" s="2" t="s">
        <v>5262</v>
      </c>
      <c r="Q3721" s="2" t="s">
        <v>6484</v>
      </c>
      <c r="R3721" s="2" t="s">
        <v>29</v>
      </c>
      <c r="S3721" s="2" t="s">
        <v>30</v>
      </c>
    </row>
    <row r="3722" spans="1:19">
      <c r="A3722" s="1">
        <v>45748</v>
      </c>
      <c r="B3722" s="1">
        <v>45748</v>
      </c>
      <c r="C3722">
        <v>2025</v>
      </c>
      <c r="D3722">
        <v>4</v>
      </c>
      <c r="E3722" s="2" t="s">
        <v>123</v>
      </c>
      <c r="F3722" s="2" t="s">
        <v>124</v>
      </c>
      <c r="G3722" s="2" t="s">
        <v>21</v>
      </c>
      <c r="H3722" s="2" t="s">
        <v>22</v>
      </c>
      <c r="I3722" s="2" t="s">
        <v>73</v>
      </c>
      <c r="J3722" s="2" t="s">
        <v>24</v>
      </c>
      <c r="K3722">
        <v>2221.29</v>
      </c>
      <c r="L3722">
        <v>116338.12</v>
      </c>
      <c r="M3722">
        <v>5237.41</v>
      </c>
      <c r="N3722" s="2" t="s">
        <v>125</v>
      </c>
      <c r="O3722" s="2" t="s">
        <v>126</v>
      </c>
      <c r="P3722" s="2" t="s">
        <v>6485</v>
      </c>
      <c r="Q3722" s="2" t="s">
        <v>6486</v>
      </c>
      <c r="R3722" s="2" t="s">
        <v>29</v>
      </c>
      <c r="S3722" s="2" t="s">
        <v>30</v>
      </c>
    </row>
    <row r="3723" spans="1:19">
      <c r="A3723" s="1">
        <v>45748</v>
      </c>
      <c r="B3723" s="1">
        <v>45748</v>
      </c>
      <c r="C3723">
        <v>2025</v>
      </c>
      <c r="D3723">
        <v>4</v>
      </c>
      <c r="E3723" s="2" t="s">
        <v>129</v>
      </c>
      <c r="F3723" s="2" t="s">
        <v>130</v>
      </c>
      <c r="G3723" s="2" t="s">
        <v>21</v>
      </c>
      <c r="H3723" s="2" t="s">
        <v>22</v>
      </c>
      <c r="I3723" s="2" t="s">
        <v>73</v>
      </c>
      <c r="J3723" s="2" t="s">
        <v>24</v>
      </c>
      <c r="K3723">
        <v>2281.41</v>
      </c>
      <c r="L3723">
        <v>67899.289999999994</v>
      </c>
      <c r="M3723">
        <v>2976.2</v>
      </c>
      <c r="N3723" s="2" t="s">
        <v>131</v>
      </c>
      <c r="O3723" s="2" t="s">
        <v>132</v>
      </c>
      <c r="P3723" s="2" t="s">
        <v>6487</v>
      </c>
      <c r="Q3723" s="2" t="s">
        <v>6488</v>
      </c>
      <c r="R3723" s="2" t="s">
        <v>29</v>
      </c>
      <c r="S3723" s="2" t="s">
        <v>30</v>
      </c>
    </row>
    <row r="3724" spans="1:19">
      <c r="A3724" s="1">
        <v>45748</v>
      </c>
      <c r="B3724" s="1">
        <v>45748</v>
      </c>
      <c r="C3724">
        <v>2025</v>
      </c>
      <c r="D3724">
        <v>4</v>
      </c>
      <c r="E3724" s="2" t="s">
        <v>135</v>
      </c>
      <c r="F3724" s="2" t="s">
        <v>136</v>
      </c>
      <c r="G3724" s="2" t="s">
        <v>21</v>
      </c>
      <c r="H3724" s="2" t="s">
        <v>22</v>
      </c>
      <c r="I3724" s="2" t="s">
        <v>73</v>
      </c>
      <c r="J3724" s="2" t="s">
        <v>101</v>
      </c>
      <c r="K3724">
        <v>4502.7</v>
      </c>
      <c r="L3724">
        <v>184237.41</v>
      </c>
      <c r="M3724">
        <v>4091.71</v>
      </c>
      <c r="N3724" s="2" t="s">
        <v>137</v>
      </c>
      <c r="O3724" s="2" t="s">
        <v>138</v>
      </c>
      <c r="P3724" s="2" t="s">
        <v>6489</v>
      </c>
      <c r="Q3724" s="2" t="s">
        <v>6490</v>
      </c>
      <c r="R3724" s="2" t="s">
        <v>29</v>
      </c>
      <c r="S3724" s="2" t="s">
        <v>30</v>
      </c>
    </row>
    <row r="3725" spans="1:19">
      <c r="A3725" s="1">
        <v>45748</v>
      </c>
      <c r="B3725" s="1">
        <v>45748</v>
      </c>
      <c r="C3725">
        <v>2025</v>
      </c>
      <c r="D3725">
        <v>4</v>
      </c>
      <c r="E3725" s="2" t="s">
        <v>141</v>
      </c>
      <c r="F3725" s="2" t="s">
        <v>142</v>
      </c>
      <c r="G3725" s="2" t="s">
        <v>21</v>
      </c>
      <c r="H3725" s="2" t="s">
        <v>22</v>
      </c>
      <c r="I3725" s="2" t="s">
        <v>73</v>
      </c>
      <c r="J3725" s="2" t="s">
        <v>24</v>
      </c>
      <c r="K3725">
        <v>295.63</v>
      </c>
      <c r="L3725">
        <v>11925.63</v>
      </c>
      <c r="M3725">
        <v>4033.97</v>
      </c>
      <c r="N3725" s="2" t="s">
        <v>143</v>
      </c>
      <c r="O3725" s="2" t="s">
        <v>144</v>
      </c>
      <c r="P3725" s="2" t="s">
        <v>6491</v>
      </c>
      <c r="Q3725" s="2" t="s">
        <v>6492</v>
      </c>
      <c r="R3725" s="2" t="s">
        <v>29</v>
      </c>
      <c r="S3725" s="2" t="s">
        <v>30</v>
      </c>
    </row>
    <row r="3726" spans="1:19">
      <c r="A3726" s="1">
        <v>45748</v>
      </c>
      <c r="B3726" s="1">
        <v>45748</v>
      </c>
      <c r="C3726">
        <v>2025</v>
      </c>
      <c r="D3726">
        <v>4</v>
      </c>
      <c r="E3726" s="2" t="s">
        <v>147</v>
      </c>
      <c r="F3726" s="2" t="s">
        <v>148</v>
      </c>
      <c r="G3726" s="2" t="s">
        <v>21</v>
      </c>
      <c r="H3726" s="2" t="s">
        <v>22</v>
      </c>
      <c r="I3726" s="2" t="s">
        <v>73</v>
      </c>
      <c r="J3726" s="2" t="s">
        <v>24</v>
      </c>
      <c r="K3726">
        <v>875.3</v>
      </c>
      <c r="L3726">
        <v>26187.49</v>
      </c>
      <c r="M3726">
        <v>2991.83</v>
      </c>
      <c r="N3726" s="2" t="s">
        <v>149</v>
      </c>
      <c r="O3726" s="2" t="s">
        <v>150</v>
      </c>
      <c r="P3726" s="2" t="s">
        <v>6493</v>
      </c>
      <c r="Q3726" s="2" t="s">
        <v>6494</v>
      </c>
      <c r="R3726" s="2" t="s">
        <v>29</v>
      </c>
      <c r="S3726" s="2" t="s">
        <v>30</v>
      </c>
    </row>
    <row r="3727" spans="1:19">
      <c r="A3727" s="1">
        <v>45748</v>
      </c>
      <c r="B3727" s="1">
        <v>45748</v>
      </c>
      <c r="C3727">
        <v>2025</v>
      </c>
      <c r="D3727">
        <v>4</v>
      </c>
      <c r="E3727" s="2" t="s">
        <v>153</v>
      </c>
      <c r="F3727" s="2" t="s">
        <v>154</v>
      </c>
      <c r="G3727" s="2" t="s">
        <v>21</v>
      </c>
      <c r="H3727" s="2" t="s">
        <v>22</v>
      </c>
      <c r="I3727" s="2" t="s">
        <v>73</v>
      </c>
      <c r="J3727" s="2" t="s">
        <v>101</v>
      </c>
      <c r="K3727">
        <v>1170.93</v>
      </c>
      <c r="L3727">
        <v>38113.120000000003</v>
      </c>
      <c r="M3727">
        <v>3254.94</v>
      </c>
      <c r="N3727" s="2" t="s">
        <v>155</v>
      </c>
      <c r="O3727" s="2" t="s">
        <v>156</v>
      </c>
      <c r="P3727" s="2" t="s">
        <v>6495</v>
      </c>
      <c r="Q3727" s="2" t="s">
        <v>6496</v>
      </c>
      <c r="R3727" s="2" t="s">
        <v>29</v>
      </c>
      <c r="S3727" s="2" t="s">
        <v>30</v>
      </c>
    </row>
    <row r="3728" spans="1:19">
      <c r="A3728" s="1">
        <v>45748</v>
      </c>
      <c r="B3728" s="1">
        <v>45748</v>
      </c>
      <c r="C3728">
        <v>2025</v>
      </c>
      <c r="D3728">
        <v>4</v>
      </c>
      <c r="E3728" s="2" t="s">
        <v>159</v>
      </c>
      <c r="F3728" s="2" t="s">
        <v>160</v>
      </c>
      <c r="G3728" s="2" t="s">
        <v>21</v>
      </c>
      <c r="H3728" s="2" t="s">
        <v>22</v>
      </c>
      <c r="I3728" s="2" t="s">
        <v>66</v>
      </c>
      <c r="J3728" s="2" t="s">
        <v>59</v>
      </c>
      <c r="K3728">
        <v>1869.9</v>
      </c>
      <c r="L3728">
        <v>198564.77</v>
      </c>
      <c r="M3728">
        <v>10619</v>
      </c>
      <c r="N3728" s="2" t="s">
        <v>161</v>
      </c>
      <c r="O3728" s="2" t="s">
        <v>162</v>
      </c>
      <c r="P3728" s="2" t="s">
        <v>6497</v>
      </c>
      <c r="Q3728" s="2" t="s">
        <v>6498</v>
      </c>
      <c r="R3728" s="2" t="s">
        <v>29</v>
      </c>
      <c r="S3728" s="2" t="s">
        <v>30</v>
      </c>
    </row>
    <row r="3729" spans="1:19">
      <c r="A3729" s="1">
        <v>45748</v>
      </c>
      <c r="B3729" s="1">
        <v>45748</v>
      </c>
      <c r="C3729">
        <v>2025</v>
      </c>
      <c r="D3729">
        <v>4</v>
      </c>
      <c r="E3729" s="2" t="s">
        <v>165</v>
      </c>
      <c r="F3729" s="2" t="s">
        <v>166</v>
      </c>
      <c r="G3729" s="2" t="s">
        <v>21</v>
      </c>
      <c r="H3729" s="2" t="s">
        <v>22</v>
      </c>
      <c r="I3729" s="2" t="s">
        <v>23</v>
      </c>
      <c r="J3729" s="2" t="s">
        <v>24</v>
      </c>
      <c r="N3729" s="2" t="s">
        <v>167</v>
      </c>
      <c r="O3729" s="2" t="s">
        <v>168</v>
      </c>
      <c r="P3729" s="2" t="s">
        <v>175</v>
      </c>
      <c r="Q3729" s="2" t="s">
        <v>175</v>
      </c>
      <c r="R3729" s="2" t="s">
        <v>640</v>
      </c>
      <c r="S3729" s="2" t="s">
        <v>641</v>
      </c>
    </row>
    <row r="3730" spans="1:19">
      <c r="A3730" s="1">
        <v>45748</v>
      </c>
      <c r="B3730" s="1">
        <v>45748</v>
      </c>
      <c r="C3730">
        <v>2025</v>
      </c>
      <c r="D3730">
        <v>4</v>
      </c>
      <c r="E3730" s="2" t="s">
        <v>171</v>
      </c>
      <c r="F3730" s="2" t="s">
        <v>172</v>
      </c>
      <c r="G3730" s="2" t="s">
        <v>21</v>
      </c>
      <c r="H3730" s="2" t="s">
        <v>22</v>
      </c>
      <c r="I3730" s="2" t="s">
        <v>66</v>
      </c>
      <c r="J3730" s="2" t="s">
        <v>24</v>
      </c>
      <c r="N3730" s="2" t="s">
        <v>173</v>
      </c>
      <c r="O3730" s="2" t="s">
        <v>174</v>
      </c>
      <c r="P3730" s="2" t="s">
        <v>175</v>
      </c>
      <c r="Q3730" s="2" t="s">
        <v>175</v>
      </c>
      <c r="R3730" s="2" t="s">
        <v>640</v>
      </c>
      <c r="S3730" s="2" t="s">
        <v>641</v>
      </c>
    </row>
    <row r="3731" spans="1:19">
      <c r="A3731" s="1">
        <v>45748</v>
      </c>
      <c r="B3731" s="1">
        <v>45748</v>
      </c>
      <c r="C3731">
        <v>2025</v>
      </c>
      <c r="D3731">
        <v>4</v>
      </c>
      <c r="E3731" s="2" t="s">
        <v>177</v>
      </c>
      <c r="F3731" s="2" t="s">
        <v>178</v>
      </c>
      <c r="G3731" s="2" t="s">
        <v>21</v>
      </c>
      <c r="H3731" s="2" t="s">
        <v>22</v>
      </c>
      <c r="I3731" s="2" t="s">
        <v>23</v>
      </c>
      <c r="J3731" s="2" t="s">
        <v>24</v>
      </c>
      <c r="K3731">
        <v>4492.53</v>
      </c>
      <c r="L3731">
        <v>621666.37</v>
      </c>
      <c r="M3731">
        <v>13837.78</v>
      </c>
      <c r="N3731" s="2" t="s">
        <v>179</v>
      </c>
      <c r="O3731" s="2" t="s">
        <v>180</v>
      </c>
      <c r="P3731" s="2" t="s">
        <v>6499</v>
      </c>
      <c r="Q3731" s="2" t="s">
        <v>6500</v>
      </c>
      <c r="R3731" s="2" t="s">
        <v>29</v>
      </c>
      <c r="S3731" s="2" t="s">
        <v>30</v>
      </c>
    </row>
    <row r="3732" spans="1:19">
      <c r="A3732" s="1">
        <v>45748</v>
      </c>
      <c r="B3732" s="1">
        <v>45748</v>
      </c>
      <c r="C3732">
        <v>2025</v>
      </c>
      <c r="D3732">
        <v>4</v>
      </c>
      <c r="E3732" s="2" t="s">
        <v>183</v>
      </c>
      <c r="F3732" s="2" t="s">
        <v>184</v>
      </c>
      <c r="G3732" s="2" t="s">
        <v>185</v>
      </c>
      <c r="H3732" s="2" t="s">
        <v>22</v>
      </c>
      <c r="I3732" s="2" t="s">
        <v>186</v>
      </c>
      <c r="J3732" s="2" t="s">
        <v>24</v>
      </c>
      <c r="K3732">
        <v>2815.49</v>
      </c>
      <c r="L3732">
        <v>5585409.4199999999</v>
      </c>
      <c r="M3732">
        <v>198381.43</v>
      </c>
      <c r="N3732" s="2" t="s">
        <v>187</v>
      </c>
      <c r="O3732" s="2" t="s">
        <v>188</v>
      </c>
      <c r="P3732" s="2" t="s">
        <v>6501</v>
      </c>
      <c r="Q3732" s="2" t="s">
        <v>6502</v>
      </c>
      <c r="R3732" s="2" t="s">
        <v>29</v>
      </c>
      <c r="S3732" s="2" t="s">
        <v>30</v>
      </c>
    </row>
    <row r="3733" spans="1:19">
      <c r="A3733" s="1">
        <v>45748</v>
      </c>
      <c r="B3733" s="1">
        <v>45748</v>
      </c>
      <c r="C3733">
        <v>2025</v>
      </c>
      <c r="D3733">
        <v>4</v>
      </c>
      <c r="E3733" s="2" t="s">
        <v>191</v>
      </c>
      <c r="F3733" s="2" t="s">
        <v>192</v>
      </c>
      <c r="G3733" s="2" t="s">
        <v>185</v>
      </c>
      <c r="H3733" s="2" t="s">
        <v>22</v>
      </c>
      <c r="I3733" s="2" t="s">
        <v>186</v>
      </c>
      <c r="J3733" s="2" t="s">
        <v>24</v>
      </c>
      <c r="K3733">
        <v>838</v>
      </c>
      <c r="L3733">
        <v>6048107.29</v>
      </c>
      <c r="M3733">
        <v>721731.18</v>
      </c>
      <c r="N3733" s="2" t="s">
        <v>193</v>
      </c>
      <c r="O3733" s="2" t="s">
        <v>194</v>
      </c>
      <c r="P3733" s="2" t="s">
        <v>6503</v>
      </c>
      <c r="Q3733" s="2" t="s">
        <v>6504</v>
      </c>
      <c r="R3733" s="2" t="s">
        <v>29</v>
      </c>
      <c r="S3733" s="2" t="s">
        <v>30</v>
      </c>
    </row>
    <row r="3734" spans="1:19">
      <c r="A3734" s="1">
        <v>45748</v>
      </c>
      <c r="B3734" s="1">
        <v>45748</v>
      </c>
      <c r="C3734">
        <v>2025</v>
      </c>
      <c r="D3734">
        <v>4</v>
      </c>
      <c r="E3734" s="2" t="s">
        <v>197</v>
      </c>
      <c r="F3734" s="2" t="s">
        <v>198</v>
      </c>
      <c r="G3734" s="2" t="s">
        <v>185</v>
      </c>
      <c r="H3734" s="2" t="s">
        <v>22</v>
      </c>
      <c r="I3734" s="2" t="s">
        <v>186</v>
      </c>
      <c r="J3734" s="2" t="s">
        <v>59</v>
      </c>
      <c r="K3734">
        <v>3653.49</v>
      </c>
      <c r="L3734">
        <v>11633516.720000001</v>
      </c>
      <c r="M3734">
        <v>318422.02</v>
      </c>
      <c r="N3734" s="2" t="s">
        <v>199</v>
      </c>
      <c r="O3734" s="2" t="s">
        <v>200</v>
      </c>
      <c r="P3734" s="2" t="s">
        <v>6505</v>
      </c>
      <c r="Q3734" s="2" t="s">
        <v>6506</v>
      </c>
      <c r="R3734" s="2" t="s">
        <v>29</v>
      </c>
      <c r="S3734" s="2" t="s">
        <v>30</v>
      </c>
    </row>
    <row r="3735" spans="1:19">
      <c r="A3735" s="1">
        <v>45748</v>
      </c>
      <c r="B3735" s="1">
        <v>45748</v>
      </c>
      <c r="C3735">
        <v>2025</v>
      </c>
      <c r="D3735">
        <v>4</v>
      </c>
      <c r="E3735" s="2" t="s">
        <v>203</v>
      </c>
      <c r="F3735" s="2" t="s">
        <v>204</v>
      </c>
      <c r="G3735" s="2" t="s">
        <v>39</v>
      </c>
      <c r="H3735" s="2" t="s">
        <v>22</v>
      </c>
      <c r="I3735" s="2" t="s">
        <v>40</v>
      </c>
      <c r="J3735" s="2" t="s">
        <v>24</v>
      </c>
      <c r="K3735">
        <v>928.36</v>
      </c>
      <c r="L3735">
        <v>25662.05</v>
      </c>
      <c r="M3735">
        <v>2764.23</v>
      </c>
      <c r="N3735" s="2" t="s">
        <v>205</v>
      </c>
      <c r="O3735" s="2" t="s">
        <v>206</v>
      </c>
      <c r="P3735" s="2" t="s">
        <v>6507</v>
      </c>
      <c r="Q3735" s="2" t="s">
        <v>6508</v>
      </c>
      <c r="R3735" s="2" t="s">
        <v>29</v>
      </c>
      <c r="S3735" s="2" t="s">
        <v>30</v>
      </c>
    </row>
    <row r="3736" spans="1:19">
      <c r="A3736" s="1">
        <v>45748</v>
      </c>
      <c r="B3736" s="1">
        <v>45748</v>
      </c>
      <c r="C3736">
        <v>2025</v>
      </c>
      <c r="D3736">
        <v>4</v>
      </c>
      <c r="E3736" s="2" t="s">
        <v>209</v>
      </c>
      <c r="F3736" s="2" t="s">
        <v>210</v>
      </c>
      <c r="G3736" s="2" t="s">
        <v>39</v>
      </c>
      <c r="H3736" s="2" t="s">
        <v>22</v>
      </c>
      <c r="I3736" s="2" t="s">
        <v>40</v>
      </c>
      <c r="J3736" s="2" t="s">
        <v>59</v>
      </c>
      <c r="K3736">
        <v>928.36</v>
      </c>
      <c r="L3736">
        <v>25662.05</v>
      </c>
      <c r="M3736">
        <v>2764.23</v>
      </c>
      <c r="N3736" s="2" t="s">
        <v>211</v>
      </c>
      <c r="O3736" s="2" t="s">
        <v>212</v>
      </c>
      <c r="P3736" s="2" t="s">
        <v>6507</v>
      </c>
      <c r="Q3736" s="2" t="s">
        <v>6508</v>
      </c>
      <c r="R3736" s="2" t="s">
        <v>29</v>
      </c>
      <c r="S3736" s="2" t="s">
        <v>30</v>
      </c>
    </row>
    <row r="3737" spans="1:19">
      <c r="A3737" s="1">
        <v>45748</v>
      </c>
      <c r="B3737" s="1">
        <v>45748</v>
      </c>
      <c r="C3737">
        <v>2025</v>
      </c>
      <c r="D3737">
        <v>4</v>
      </c>
      <c r="E3737" s="2" t="s">
        <v>213</v>
      </c>
      <c r="F3737" s="2" t="s">
        <v>214</v>
      </c>
      <c r="G3737" s="2" t="s">
        <v>185</v>
      </c>
      <c r="H3737" s="2" t="s">
        <v>22</v>
      </c>
      <c r="I3737" s="2" t="s">
        <v>215</v>
      </c>
      <c r="J3737" s="2" t="s">
        <v>24</v>
      </c>
      <c r="K3737">
        <v>156521.42000000001</v>
      </c>
      <c r="L3737">
        <v>2886702.59</v>
      </c>
      <c r="M3737">
        <v>1844.29</v>
      </c>
      <c r="N3737" s="2" t="s">
        <v>216</v>
      </c>
      <c r="O3737" s="2" t="s">
        <v>217</v>
      </c>
      <c r="P3737" s="2" t="s">
        <v>6509</v>
      </c>
      <c r="Q3737" s="2" t="s">
        <v>6510</v>
      </c>
      <c r="R3737" s="2" t="s">
        <v>29</v>
      </c>
      <c r="S3737" s="2" t="s">
        <v>30</v>
      </c>
    </row>
    <row r="3738" spans="1:19">
      <c r="A3738" s="1">
        <v>45748</v>
      </c>
      <c r="B3738" s="1">
        <v>45748</v>
      </c>
      <c r="C3738">
        <v>2025</v>
      </c>
      <c r="D3738">
        <v>4</v>
      </c>
      <c r="E3738" s="2" t="s">
        <v>220</v>
      </c>
      <c r="F3738" s="2" t="s">
        <v>221</v>
      </c>
      <c r="G3738" s="2" t="s">
        <v>185</v>
      </c>
      <c r="H3738" s="2" t="s">
        <v>22</v>
      </c>
      <c r="I3738" s="2" t="s">
        <v>215</v>
      </c>
      <c r="J3738" s="2" t="s">
        <v>24</v>
      </c>
      <c r="K3738">
        <v>9304.7999999999993</v>
      </c>
      <c r="L3738">
        <v>617807.41</v>
      </c>
      <c r="M3738">
        <v>6639.66</v>
      </c>
      <c r="N3738" s="2" t="s">
        <v>222</v>
      </c>
      <c r="O3738" s="2" t="s">
        <v>223</v>
      </c>
      <c r="P3738" s="2" t="s">
        <v>6511</v>
      </c>
      <c r="Q3738" s="2" t="s">
        <v>6512</v>
      </c>
      <c r="R3738" s="2" t="s">
        <v>29</v>
      </c>
      <c r="S3738" s="2" t="s">
        <v>30</v>
      </c>
    </row>
    <row r="3739" spans="1:19">
      <c r="A3739" s="1">
        <v>45748</v>
      </c>
      <c r="B3739" s="1">
        <v>45748</v>
      </c>
      <c r="C3739">
        <v>2025</v>
      </c>
      <c r="D3739">
        <v>4</v>
      </c>
      <c r="E3739" s="2" t="s">
        <v>226</v>
      </c>
      <c r="F3739" s="2" t="s">
        <v>227</v>
      </c>
      <c r="G3739" s="2" t="s">
        <v>185</v>
      </c>
      <c r="H3739" s="2" t="s">
        <v>22</v>
      </c>
      <c r="I3739" s="2" t="s">
        <v>215</v>
      </c>
      <c r="J3739" s="2" t="s">
        <v>59</v>
      </c>
      <c r="K3739">
        <v>165826.22</v>
      </c>
      <c r="L3739">
        <v>3504510</v>
      </c>
      <c r="M3739">
        <v>2113.36</v>
      </c>
      <c r="N3739" s="2" t="s">
        <v>228</v>
      </c>
      <c r="O3739" s="2" t="s">
        <v>229</v>
      </c>
      <c r="P3739" s="2" t="s">
        <v>6513</v>
      </c>
      <c r="Q3739" s="2" t="s">
        <v>6514</v>
      </c>
      <c r="R3739" s="2" t="s">
        <v>29</v>
      </c>
      <c r="S3739" s="2" t="s">
        <v>30</v>
      </c>
    </row>
    <row r="3740" spans="1:19">
      <c r="A3740" s="1">
        <v>45748</v>
      </c>
      <c r="B3740" s="1">
        <v>45748</v>
      </c>
      <c r="C3740">
        <v>2025</v>
      </c>
      <c r="D3740">
        <v>4</v>
      </c>
      <c r="E3740" s="2" t="s">
        <v>232</v>
      </c>
      <c r="F3740" s="2" t="s">
        <v>233</v>
      </c>
      <c r="G3740" s="2" t="s">
        <v>21</v>
      </c>
      <c r="H3740" s="2" t="s">
        <v>22</v>
      </c>
      <c r="I3740" s="2" t="s">
        <v>23</v>
      </c>
      <c r="J3740" s="2" t="s">
        <v>24</v>
      </c>
      <c r="K3740">
        <v>1200.8399999999999</v>
      </c>
      <c r="L3740">
        <v>154683.01</v>
      </c>
      <c r="M3740">
        <v>12881.23</v>
      </c>
      <c r="N3740" s="2" t="s">
        <v>234</v>
      </c>
      <c r="O3740" s="2" t="s">
        <v>235</v>
      </c>
      <c r="P3740" s="2" t="s">
        <v>6515</v>
      </c>
      <c r="Q3740" s="2" t="s">
        <v>6516</v>
      </c>
      <c r="R3740" s="2" t="s">
        <v>29</v>
      </c>
      <c r="S3740" s="2" t="s">
        <v>30</v>
      </c>
    </row>
    <row r="3741" spans="1:19">
      <c r="A3741" s="1">
        <v>45748</v>
      </c>
      <c r="B3741" s="1">
        <v>45748</v>
      </c>
      <c r="C3741">
        <v>2025</v>
      </c>
      <c r="D3741">
        <v>4</v>
      </c>
      <c r="E3741" s="2" t="s">
        <v>238</v>
      </c>
      <c r="F3741" s="2" t="s">
        <v>239</v>
      </c>
      <c r="G3741" s="2" t="s">
        <v>21</v>
      </c>
      <c r="H3741" s="2" t="s">
        <v>22</v>
      </c>
      <c r="I3741" s="2" t="s">
        <v>66</v>
      </c>
      <c r="J3741" s="2" t="s">
        <v>24</v>
      </c>
      <c r="K3741">
        <v>1709.27</v>
      </c>
      <c r="L3741">
        <v>197779.98</v>
      </c>
      <c r="M3741">
        <v>11571.02</v>
      </c>
      <c r="N3741" s="2" t="s">
        <v>240</v>
      </c>
      <c r="O3741" s="2" t="s">
        <v>241</v>
      </c>
      <c r="P3741" s="2" t="s">
        <v>6517</v>
      </c>
      <c r="Q3741" s="2" t="s">
        <v>6518</v>
      </c>
      <c r="R3741" s="2" t="s">
        <v>29</v>
      </c>
      <c r="S3741" s="2" t="s">
        <v>30</v>
      </c>
    </row>
    <row r="3742" spans="1:19">
      <c r="A3742" s="1">
        <v>45748</v>
      </c>
      <c r="B3742" s="1">
        <v>45748</v>
      </c>
      <c r="C3742">
        <v>2025</v>
      </c>
      <c r="D3742">
        <v>4</v>
      </c>
      <c r="E3742" s="2" t="s">
        <v>244</v>
      </c>
      <c r="F3742" s="2" t="s">
        <v>245</v>
      </c>
      <c r="G3742" s="2" t="s">
        <v>21</v>
      </c>
      <c r="H3742" s="2" t="s">
        <v>22</v>
      </c>
      <c r="I3742" s="2" t="s">
        <v>23</v>
      </c>
      <c r="J3742" s="2" t="s">
        <v>24</v>
      </c>
      <c r="K3742">
        <v>7687.52</v>
      </c>
      <c r="L3742">
        <v>3897347.9</v>
      </c>
      <c r="M3742">
        <v>50697.08</v>
      </c>
      <c r="N3742" s="2" t="s">
        <v>246</v>
      </c>
      <c r="O3742" s="2" t="s">
        <v>247</v>
      </c>
      <c r="P3742" s="2" t="s">
        <v>6519</v>
      </c>
      <c r="Q3742" s="2" t="s">
        <v>6520</v>
      </c>
      <c r="R3742" s="2" t="s">
        <v>29</v>
      </c>
      <c r="S3742" s="2" t="s">
        <v>30</v>
      </c>
    </row>
    <row r="3743" spans="1:19">
      <c r="A3743" s="1">
        <v>45748</v>
      </c>
      <c r="B3743" s="1">
        <v>45748</v>
      </c>
      <c r="C3743">
        <v>2025</v>
      </c>
      <c r="D3743">
        <v>4</v>
      </c>
      <c r="E3743" s="2" t="s">
        <v>250</v>
      </c>
      <c r="F3743" s="2" t="s">
        <v>251</v>
      </c>
      <c r="G3743" s="2" t="s">
        <v>21</v>
      </c>
      <c r="H3743" s="2" t="s">
        <v>22</v>
      </c>
      <c r="I3743" s="2" t="s">
        <v>66</v>
      </c>
      <c r="J3743" s="2" t="s">
        <v>24</v>
      </c>
      <c r="K3743">
        <v>143.24</v>
      </c>
      <c r="L3743">
        <v>183.8</v>
      </c>
      <c r="M3743">
        <v>128.32</v>
      </c>
      <c r="N3743" s="2" t="s">
        <v>252</v>
      </c>
      <c r="O3743" s="2" t="s">
        <v>253</v>
      </c>
      <c r="P3743" s="2" t="s">
        <v>6521</v>
      </c>
      <c r="Q3743" s="2" t="s">
        <v>6522</v>
      </c>
      <c r="R3743" s="2" t="s">
        <v>29</v>
      </c>
      <c r="S3743" s="2" t="s">
        <v>30</v>
      </c>
    </row>
    <row r="3744" spans="1:19">
      <c r="A3744" s="1">
        <v>45748</v>
      </c>
      <c r="B3744" s="1">
        <v>45748</v>
      </c>
      <c r="C3744">
        <v>2025</v>
      </c>
      <c r="D3744">
        <v>4</v>
      </c>
      <c r="E3744" s="2" t="s">
        <v>256</v>
      </c>
      <c r="F3744" s="2" t="s">
        <v>257</v>
      </c>
      <c r="G3744" s="2" t="s">
        <v>21</v>
      </c>
      <c r="H3744" s="2" t="s">
        <v>22</v>
      </c>
      <c r="I3744" s="2" t="s">
        <v>258</v>
      </c>
      <c r="J3744" s="2" t="s">
        <v>24</v>
      </c>
      <c r="K3744">
        <v>494.77</v>
      </c>
      <c r="L3744">
        <v>645079.15</v>
      </c>
      <c r="M3744">
        <v>130379.6</v>
      </c>
      <c r="N3744" s="2" t="s">
        <v>259</v>
      </c>
      <c r="O3744" s="2" t="s">
        <v>260</v>
      </c>
      <c r="P3744" s="2" t="s">
        <v>6523</v>
      </c>
      <c r="Q3744" s="2" t="s">
        <v>6524</v>
      </c>
      <c r="R3744" s="2" t="s">
        <v>29</v>
      </c>
      <c r="S3744" s="2" t="s">
        <v>30</v>
      </c>
    </row>
    <row r="3745" spans="1:19">
      <c r="A3745" s="1">
        <v>45748</v>
      </c>
      <c r="B3745" s="1">
        <v>45748</v>
      </c>
      <c r="C3745">
        <v>2025</v>
      </c>
      <c r="D3745">
        <v>4</v>
      </c>
      <c r="E3745" s="2" t="s">
        <v>263</v>
      </c>
      <c r="F3745" s="2" t="s">
        <v>264</v>
      </c>
      <c r="G3745" s="2" t="s">
        <v>21</v>
      </c>
      <c r="H3745" s="2" t="s">
        <v>22</v>
      </c>
      <c r="I3745" s="2" t="s">
        <v>258</v>
      </c>
      <c r="J3745" s="2" t="s">
        <v>24</v>
      </c>
      <c r="K3745">
        <v>0</v>
      </c>
      <c r="L3745">
        <v>0</v>
      </c>
      <c r="N3745" s="2" t="s">
        <v>265</v>
      </c>
      <c r="O3745" s="2" t="s">
        <v>266</v>
      </c>
      <c r="P3745" s="2" t="s">
        <v>639</v>
      </c>
      <c r="Q3745" s="2" t="s">
        <v>639</v>
      </c>
      <c r="R3745" s="2" t="s">
        <v>29</v>
      </c>
      <c r="S3745" s="2" t="s">
        <v>30</v>
      </c>
    </row>
    <row r="3746" spans="1:19">
      <c r="A3746" s="1">
        <v>45748</v>
      </c>
      <c r="B3746" s="1">
        <v>45748</v>
      </c>
      <c r="C3746">
        <v>2025</v>
      </c>
      <c r="D3746">
        <v>4</v>
      </c>
      <c r="E3746" s="2" t="s">
        <v>269</v>
      </c>
      <c r="F3746" s="2" t="s">
        <v>270</v>
      </c>
      <c r="G3746" s="2" t="s">
        <v>21</v>
      </c>
      <c r="H3746" s="2" t="s">
        <v>22</v>
      </c>
      <c r="I3746" s="2" t="s">
        <v>258</v>
      </c>
      <c r="J3746" s="2" t="s">
        <v>59</v>
      </c>
      <c r="K3746">
        <v>494.77</v>
      </c>
      <c r="L3746">
        <v>645079.15</v>
      </c>
      <c r="M3746">
        <v>130379.6</v>
      </c>
      <c r="N3746" s="2" t="s">
        <v>271</v>
      </c>
      <c r="O3746" s="2" t="s">
        <v>272</v>
      </c>
      <c r="P3746" s="2" t="s">
        <v>6523</v>
      </c>
      <c r="Q3746" s="2" t="s">
        <v>6524</v>
      </c>
      <c r="R3746" s="2" t="s">
        <v>29</v>
      </c>
      <c r="S3746" s="2" t="s">
        <v>30</v>
      </c>
    </row>
    <row r="3747" spans="1:19">
      <c r="A3747" s="1">
        <v>45748</v>
      </c>
      <c r="B3747" s="1">
        <v>45748</v>
      </c>
      <c r="C3747">
        <v>2025</v>
      </c>
      <c r="D3747">
        <v>4</v>
      </c>
      <c r="E3747" s="2" t="s">
        <v>275</v>
      </c>
      <c r="F3747" s="2" t="s">
        <v>276</v>
      </c>
      <c r="G3747" s="2" t="s">
        <v>39</v>
      </c>
      <c r="H3747" s="2" t="s">
        <v>22</v>
      </c>
      <c r="I3747" s="2" t="s">
        <v>40</v>
      </c>
      <c r="J3747" s="2" t="s">
        <v>24</v>
      </c>
      <c r="K3747">
        <v>0.15</v>
      </c>
      <c r="L3747">
        <v>1.43</v>
      </c>
      <c r="M3747">
        <v>953.33</v>
      </c>
      <c r="N3747" s="2" t="s">
        <v>277</v>
      </c>
      <c r="O3747" s="2" t="s">
        <v>278</v>
      </c>
      <c r="P3747" s="2" t="s">
        <v>5445</v>
      </c>
      <c r="Q3747" s="2" t="s">
        <v>6525</v>
      </c>
      <c r="R3747" s="2" t="s">
        <v>29</v>
      </c>
      <c r="S3747" s="2" t="s">
        <v>30</v>
      </c>
    </row>
    <row r="3748" spans="1:19">
      <c r="A3748" s="1">
        <v>45748</v>
      </c>
      <c r="B3748" s="1">
        <v>45748</v>
      </c>
      <c r="C3748">
        <v>2025</v>
      </c>
      <c r="D3748">
        <v>4</v>
      </c>
      <c r="E3748" s="2" t="s">
        <v>281</v>
      </c>
      <c r="F3748" s="2" t="s">
        <v>282</v>
      </c>
      <c r="G3748" s="2" t="s">
        <v>39</v>
      </c>
      <c r="H3748" s="2" t="s">
        <v>22</v>
      </c>
      <c r="I3748" s="2" t="s">
        <v>40</v>
      </c>
      <c r="J3748" s="2" t="s">
        <v>24</v>
      </c>
      <c r="K3748">
        <v>0.02</v>
      </c>
      <c r="L3748">
        <v>0.31</v>
      </c>
      <c r="M3748">
        <v>1550</v>
      </c>
      <c r="N3748" s="2" t="s">
        <v>283</v>
      </c>
      <c r="O3748" s="2" t="s">
        <v>284</v>
      </c>
      <c r="P3748" s="2" t="s">
        <v>1039</v>
      </c>
      <c r="Q3748" s="2" t="s">
        <v>2811</v>
      </c>
      <c r="R3748" s="2" t="s">
        <v>29</v>
      </c>
      <c r="S3748" s="2" t="s">
        <v>30</v>
      </c>
    </row>
    <row r="3749" spans="1:19">
      <c r="A3749" s="1">
        <v>45748</v>
      </c>
      <c r="B3749" s="1">
        <v>45748</v>
      </c>
      <c r="C3749">
        <v>2025</v>
      </c>
      <c r="D3749">
        <v>4</v>
      </c>
      <c r="E3749" s="2" t="s">
        <v>287</v>
      </c>
      <c r="F3749" s="2" t="s">
        <v>288</v>
      </c>
      <c r="G3749" s="2" t="s">
        <v>39</v>
      </c>
      <c r="H3749" s="2" t="s">
        <v>22</v>
      </c>
      <c r="I3749" s="2" t="s">
        <v>40</v>
      </c>
      <c r="J3749" s="2" t="s">
        <v>59</v>
      </c>
      <c r="K3749">
        <v>0.17</v>
      </c>
      <c r="L3749">
        <v>1.73</v>
      </c>
      <c r="M3749">
        <v>1017.65</v>
      </c>
      <c r="N3749" s="2" t="s">
        <v>289</v>
      </c>
      <c r="O3749" s="2" t="s">
        <v>290</v>
      </c>
      <c r="P3749" s="2" t="s">
        <v>169</v>
      </c>
      <c r="Q3749" s="2" t="s">
        <v>2611</v>
      </c>
      <c r="R3749" s="2" t="s">
        <v>29</v>
      </c>
      <c r="S3749" s="2" t="s">
        <v>30</v>
      </c>
    </row>
    <row r="3750" spans="1:19">
      <c r="A3750" s="1">
        <v>45748</v>
      </c>
      <c r="B3750" s="1">
        <v>45748</v>
      </c>
      <c r="C3750">
        <v>2025</v>
      </c>
      <c r="D3750">
        <v>4</v>
      </c>
      <c r="E3750" s="2" t="s">
        <v>293</v>
      </c>
      <c r="F3750" s="2" t="s">
        <v>294</v>
      </c>
      <c r="G3750" s="2" t="s">
        <v>21</v>
      </c>
      <c r="H3750" s="2" t="s">
        <v>22</v>
      </c>
      <c r="I3750" s="2" t="s">
        <v>295</v>
      </c>
      <c r="J3750" s="2" t="s">
        <v>24</v>
      </c>
      <c r="K3750">
        <v>961.79</v>
      </c>
      <c r="L3750">
        <v>4264.87</v>
      </c>
      <c r="M3750">
        <v>443.43</v>
      </c>
      <c r="N3750" s="2" t="s">
        <v>296</v>
      </c>
      <c r="O3750" s="2" t="s">
        <v>297</v>
      </c>
      <c r="P3750" s="2" t="s">
        <v>6526</v>
      </c>
      <c r="Q3750" s="2" t="s">
        <v>6527</v>
      </c>
      <c r="R3750" s="2" t="s">
        <v>29</v>
      </c>
      <c r="S3750" s="2" t="s">
        <v>30</v>
      </c>
    </row>
    <row r="3751" spans="1:19">
      <c r="A3751" s="1">
        <v>45748</v>
      </c>
      <c r="B3751" s="1">
        <v>45748</v>
      </c>
      <c r="C3751">
        <v>2025</v>
      </c>
      <c r="D3751">
        <v>4</v>
      </c>
      <c r="E3751" s="2" t="s">
        <v>300</v>
      </c>
      <c r="F3751" s="2" t="s">
        <v>301</v>
      </c>
      <c r="G3751" s="2" t="s">
        <v>21</v>
      </c>
      <c r="H3751" s="2" t="s">
        <v>22</v>
      </c>
      <c r="I3751" s="2" t="s">
        <v>295</v>
      </c>
      <c r="J3751" s="2" t="s">
        <v>24</v>
      </c>
      <c r="K3751">
        <v>649.25</v>
      </c>
      <c r="L3751">
        <v>1093.3699999999999</v>
      </c>
      <c r="M3751">
        <v>168.41</v>
      </c>
      <c r="N3751" s="2" t="s">
        <v>302</v>
      </c>
      <c r="O3751" s="2" t="s">
        <v>303</v>
      </c>
      <c r="P3751" s="2" t="s">
        <v>6528</v>
      </c>
      <c r="Q3751" s="2" t="s">
        <v>6529</v>
      </c>
      <c r="R3751" s="2" t="s">
        <v>29</v>
      </c>
      <c r="S3751" s="2" t="s">
        <v>30</v>
      </c>
    </row>
    <row r="3752" spans="1:19">
      <c r="A3752" s="1">
        <v>45748</v>
      </c>
      <c r="B3752" s="1">
        <v>45748</v>
      </c>
      <c r="C3752">
        <v>2025</v>
      </c>
      <c r="D3752">
        <v>4</v>
      </c>
      <c r="E3752" s="2" t="s">
        <v>306</v>
      </c>
      <c r="F3752" s="2" t="s">
        <v>307</v>
      </c>
      <c r="G3752" s="2" t="s">
        <v>21</v>
      </c>
      <c r="H3752" s="2" t="s">
        <v>22</v>
      </c>
      <c r="I3752" s="2" t="s">
        <v>295</v>
      </c>
      <c r="J3752" s="2" t="s">
        <v>101</v>
      </c>
      <c r="K3752">
        <v>1611.04</v>
      </c>
      <c r="L3752">
        <v>5358.24</v>
      </c>
      <c r="M3752">
        <v>332.6</v>
      </c>
      <c r="N3752" s="2" t="s">
        <v>308</v>
      </c>
      <c r="O3752" s="2" t="s">
        <v>309</v>
      </c>
      <c r="P3752" s="2" t="s">
        <v>6530</v>
      </c>
      <c r="Q3752" s="2" t="s">
        <v>6531</v>
      </c>
      <c r="R3752" s="2" t="s">
        <v>29</v>
      </c>
      <c r="S3752" s="2" t="s">
        <v>30</v>
      </c>
    </row>
    <row r="3753" spans="1:19">
      <c r="A3753" s="1">
        <v>45748</v>
      </c>
      <c r="B3753" s="1">
        <v>45748</v>
      </c>
      <c r="C3753">
        <v>2025</v>
      </c>
      <c r="D3753">
        <v>4</v>
      </c>
      <c r="E3753" s="2" t="s">
        <v>312</v>
      </c>
      <c r="F3753" s="2" t="s">
        <v>313</v>
      </c>
      <c r="G3753" s="2" t="s">
        <v>21</v>
      </c>
      <c r="H3753" s="2" t="s">
        <v>22</v>
      </c>
      <c r="I3753" s="2" t="s">
        <v>295</v>
      </c>
      <c r="J3753" s="2" t="s">
        <v>59</v>
      </c>
      <c r="K3753">
        <v>6768.43</v>
      </c>
      <c r="L3753">
        <v>21253.759999999998</v>
      </c>
      <c r="M3753">
        <v>314.01</v>
      </c>
      <c r="N3753" s="2" t="s">
        <v>314</v>
      </c>
      <c r="O3753" s="2" t="s">
        <v>315</v>
      </c>
      <c r="P3753" s="2" t="s">
        <v>6532</v>
      </c>
      <c r="Q3753" s="2" t="s">
        <v>6533</v>
      </c>
      <c r="R3753" s="2" t="s">
        <v>29</v>
      </c>
      <c r="S3753" s="2" t="s">
        <v>30</v>
      </c>
    </row>
    <row r="3754" spans="1:19">
      <c r="A3754" s="1">
        <v>45748</v>
      </c>
      <c r="B3754" s="1">
        <v>45748</v>
      </c>
      <c r="C3754">
        <v>2025</v>
      </c>
      <c r="D3754">
        <v>4</v>
      </c>
      <c r="E3754" s="2" t="s">
        <v>318</v>
      </c>
      <c r="F3754" s="2" t="s">
        <v>319</v>
      </c>
      <c r="G3754" s="2" t="s">
        <v>21</v>
      </c>
      <c r="H3754" s="2" t="s">
        <v>22</v>
      </c>
      <c r="I3754" s="2" t="s">
        <v>295</v>
      </c>
      <c r="J3754" s="2" t="s">
        <v>24</v>
      </c>
      <c r="K3754">
        <v>5157.38</v>
      </c>
      <c r="L3754">
        <v>15895.52</v>
      </c>
      <c r="M3754">
        <v>308.20999999999998</v>
      </c>
      <c r="N3754" s="2" t="s">
        <v>320</v>
      </c>
      <c r="O3754" s="2" t="s">
        <v>321</v>
      </c>
      <c r="P3754" s="2" t="s">
        <v>6534</v>
      </c>
      <c r="Q3754" s="2" t="s">
        <v>6535</v>
      </c>
      <c r="R3754" s="2" t="s">
        <v>29</v>
      </c>
      <c r="S3754" s="2" t="s">
        <v>30</v>
      </c>
    </row>
    <row r="3755" spans="1:19">
      <c r="A3755" s="1">
        <v>45748</v>
      </c>
      <c r="B3755" s="1">
        <v>45748</v>
      </c>
      <c r="C3755">
        <v>2025</v>
      </c>
      <c r="D3755">
        <v>4</v>
      </c>
      <c r="E3755" s="2" t="s">
        <v>324</v>
      </c>
      <c r="F3755" s="2" t="s">
        <v>325</v>
      </c>
      <c r="G3755" s="2" t="s">
        <v>21</v>
      </c>
      <c r="H3755" s="2" t="s">
        <v>22</v>
      </c>
      <c r="I3755" s="2" t="s">
        <v>23</v>
      </c>
      <c r="J3755" s="2" t="s">
        <v>59</v>
      </c>
      <c r="K3755">
        <v>194925.94</v>
      </c>
      <c r="L3755">
        <v>7126205.3600000003</v>
      </c>
      <c r="M3755">
        <v>3655.85</v>
      </c>
      <c r="N3755" s="2" t="s">
        <v>326</v>
      </c>
      <c r="O3755" s="2" t="s">
        <v>327</v>
      </c>
      <c r="P3755" s="2" t="s">
        <v>6536</v>
      </c>
      <c r="Q3755" s="2" t="s">
        <v>6537</v>
      </c>
      <c r="R3755" s="2" t="s">
        <v>29</v>
      </c>
      <c r="S3755" s="2" t="s">
        <v>30</v>
      </c>
    </row>
    <row r="3756" spans="1:19">
      <c r="A3756" s="1">
        <v>45748</v>
      </c>
      <c r="B3756" s="1">
        <v>45748</v>
      </c>
      <c r="C3756">
        <v>2025</v>
      </c>
      <c r="D3756">
        <v>4</v>
      </c>
      <c r="E3756" s="2" t="s">
        <v>330</v>
      </c>
      <c r="F3756" s="2" t="s">
        <v>331</v>
      </c>
      <c r="G3756" s="2" t="s">
        <v>21</v>
      </c>
      <c r="H3756" s="2" t="s">
        <v>332</v>
      </c>
      <c r="I3756" s="2" t="s">
        <v>333</v>
      </c>
      <c r="J3756" s="2" t="s">
        <v>24</v>
      </c>
      <c r="K3756">
        <v>261.16000000000003</v>
      </c>
      <c r="L3756">
        <v>15060026.369999999</v>
      </c>
      <c r="M3756">
        <v>5766589.9699999997</v>
      </c>
      <c r="N3756" s="2" t="s">
        <v>334</v>
      </c>
      <c r="O3756" s="2" t="s">
        <v>335</v>
      </c>
      <c r="P3756" s="2" t="s">
        <v>6538</v>
      </c>
      <c r="Q3756" s="2" t="s">
        <v>6539</v>
      </c>
      <c r="R3756" s="2" t="s">
        <v>29</v>
      </c>
      <c r="S3756" s="2" t="s">
        <v>30</v>
      </c>
    </row>
    <row r="3757" spans="1:19">
      <c r="A3757" s="1">
        <v>45748</v>
      </c>
      <c r="B3757" s="1">
        <v>45748</v>
      </c>
      <c r="C3757">
        <v>2025</v>
      </c>
      <c r="D3757">
        <v>4</v>
      </c>
      <c r="E3757" s="2" t="s">
        <v>338</v>
      </c>
      <c r="F3757" s="2" t="s">
        <v>339</v>
      </c>
      <c r="G3757" s="2" t="s">
        <v>21</v>
      </c>
      <c r="H3757" s="2" t="s">
        <v>332</v>
      </c>
      <c r="I3757" s="2" t="s">
        <v>333</v>
      </c>
      <c r="J3757" s="2" t="s">
        <v>24</v>
      </c>
      <c r="K3757">
        <v>1.24</v>
      </c>
      <c r="L3757">
        <v>1835763.02</v>
      </c>
      <c r="M3757">
        <v>148045404.84</v>
      </c>
      <c r="N3757" s="2" t="s">
        <v>340</v>
      </c>
      <c r="O3757" s="2" t="s">
        <v>341</v>
      </c>
      <c r="P3757" s="2" t="s">
        <v>2583</v>
      </c>
      <c r="Q3757" s="2" t="s">
        <v>6540</v>
      </c>
      <c r="R3757" s="2" t="s">
        <v>29</v>
      </c>
      <c r="S3757" s="2" t="s">
        <v>30</v>
      </c>
    </row>
    <row r="3758" spans="1:19">
      <c r="A3758" s="1">
        <v>45748</v>
      </c>
      <c r="B3758" s="1">
        <v>45748</v>
      </c>
      <c r="C3758">
        <v>2025</v>
      </c>
      <c r="D3758">
        <v>4</v>
      </c>
      <c r="E3758" s="2" t="s">
        <v>344</v>
      </c>
      <c r="F3758" s="2" t="s">
        <v>345</v>
      </c>
      <c r="G3758" s="2" t="s">
        <v>21</v>
      </c>
      <c r="H3758" s="2" t="s">
        <v>332</v>
      </c>
      <c r="I3758" s="2" t="s">
        <v>333</v>
      </c>
      <c r="J3758" s="2" t="s">
        <v>59</v>
      </c>
      <c r="K3758">
        <v>262.41000000000003</v>
      </c>
      <c r="L3758">
        <v>16895789.390000001</v>
      </c>
      <c r="M3758">
        <v>6438698.75</v>
      </c>
      <c r="N3758" s="2" t="s">
        <v>346</v>
      </c>
      <c r="O3758" s="2" t="s">
        <v>347</v>
      </c>
      <c r="P3758" s="2" t="s">
        <v>6541</v>
      </c>
      <c r="Q3758" s="2" t="s">
        <v>6542</v>
      </c>
      <c r="R3758" s="2" t="s">
        <v>29</v>
      </c>
      <c r="S3758" s="2" t="s">
        <v>30</v>
      </c>
    </row>
    <row r="3759" spans="1:19">
      <c r="A3759" s="1">
        <v>45748</v>
      </c>
      <c r="B3759" s="1">
        <v>45748</v>
      </c>
      <c r="C3759">
        <v>2025</v>
      </c>
      <c r="D3759">
        <v>4</v>
      </c>
      <c r="E3759" s="2" t="s">
        <v>350</v>
      </c>
      <c r="F3759" s="2" t="s">
        <v>351</v>
      </c>
      <c r="G3759" s="2" t="s">
        <v>21</v>
      </c>
      <c r="H3759" s="2" t="s">
        <v>22</v>
      </c>
      <c r="I3759" s="2" t="s">
        <v>352</v>
      </c>
      <c r="J3759" s="2" t="s">
        <v>353</v>
      </c>
      <c r="K3759">
        <v>209500.31</v>
      </c>
      <c r="L3759">
        <v>24464163.809999999</v>
      </c>
      <c r="M3759">
        <v>11677.39</v>
      </c>
      <c r="N3759" s="2" t="s">
        <v>354</v>
      </c>
      <c r="O3759" s="2" t="s">
        <v>355</v>
      </c>
      <c r="P3759" s="2" t="s">
        <v>6543</v>
      </c>
      <c r="Q3759" s="2" t="s">
        <v>6544</v>
      </c>
      <c r="R3759" s="2" t="s">
        <v>29</v>
      </c>
      <c r="S3759" s="2" t="s">
        <v>30</v>
      </c>
    </row>
    <row r="3760" spans="1:19">
      <c r="A3760" s="1">
        <v>45748</v>
      </c>
      <c r="B3760" s="1">
        <v>45748</v>
      </c>
      <c r="C3760">
        <v>2025</v>
      </c>
      <c r="D3760">
        <v>4</v>
      </c>
      <c r="E3760" s="2" t="s">
        <v>358</v>
      </c>
      <c r="F3760" s="2" t="s">
        <v>359</v>
      </c>
      <c r="G3760" s="2" t="s">
        <v>21</v>
      </c>
      <c r="H3760" s="2" t="s">
        <v>22</v>
      </c>
      <c r="I3760" s="2" t="s">
        <v>352</v>
      </c>
      <c r="J3760" s="2" t="s">
        <v>353</v>
      </c>
      <c r="K3760">
        <v>209995.08</v>
      </c>
      <c r="L3760">
        <v>25109242.960000001</v>
      </c>
      <c r="M3760">
        <v>11957.06</v>
      </c>
      <c r="N3760" s="2" t="s">
        <v>360</v>
      </c>
      <c r="O3760" s="2" t="s">
        <v>361</v>
      </c>
      <c r="P3760" s="2" t="s">
        <v>6545</v>
      </c>
      <c r="Q3760" s="2" t="s">
        <v>6546</v>
      </c>
      <c r="R3760" s="2" t="s">
        <v>29</v>
      </c>
      <c r="S3760" s="2" t="s">
        <v>30</v>
      </c>
    </row>
    <row r="3761" spans="1:19">
      <c r="A3761" s="1">
        <v>45748</v>
      </c>
      <c r="B3761" s="1">
        <v>45748</v>
      </c>
      <c r="C3761">
        <v>2025</v>
      </c>
      <c r="D3761">
        <v>4</v>
      </c>
      <c r="E3761" s="2" t="s">
        <v>364</v>
      </c>
      <c r="F3761" s="2" t="s">
        <v>365</v>
      </c>
      <c r="G3761" s="2" t="s">
        <v>21</v>
      </c>
      <c r="H3761" s="2" t="s">
        <v>22</v>
      </c>
      <c r="I3761" s="2" t="s">
        <v>352</v>
      </c>
      <c r="J3761" s="2" t="s">
        <v>353</v>
      </c>
      <c r="K3761">
        <v>209732.67</v>
      </c>
      <c r="L3761">
        <v>8213453.5599999996</v>
      </c>
      <c r="M3761">
        <v>3916.15</v>
      </c>
      <c r="N3761" s="2" t="s">
        <v>366</v>
      </c>
      <c r="O3761" s="2" t="s">
        <v>367</v>
      </c>
      <c r="P3761" s="2" t="s">
        <v>6547</v>
      </c>
      <c r="Q3761" s="2" t="s">
        <v>6548</v>
      </c>
      <c r="R3761" s="2" t="s">
        <v>29</v>
      </c>
      <c r="S3761" s="2" t="s">
        <v>30</v>
      </c>
    </row>
    <row r="3762" spans="1:19">
      <c r="A3762" s="1">
        <v>45748</v>
      </c>
      <c r="B3762" s="1">
        <v>45748</v>
      </c>
      <c r="C3762">
        <v>2025</v>
      </c>
      <c r="D3762">
        <v>4</v>
      </c>
      <c r="E3762" s="2" t="s">
        <v>370</v>
      </c>
      <c r="F3762" s="2" t="s">
        <v>371</v>
      </c>
      <c r="G3762" s="2" t="s">
        <v>21</v>
      </c>
      <c r="H3762" s="2" t="s">
        <v>22</v>
      </c>
      <c r="I3762" s="2" t="s">
        <v>23</v>
      </c>
      <c r="J3762" s="2" t="s">
        <v>24</v>
      </c>
      <c r="K3762">
        <v>178934.24</v>
      </c>
      <c r="L3762">
        <v>2394925.87</v>
      </c>
      <c r="M3762">
        <v>1338.44</v>
      </c>
      <c r="N3762" s="2" t="s">
        <v>372</v>
      </c>
      <c r="O3762" s="2" t="s">
        <v>373</v>
      </c>
      <c r="P3762" s="2" t="s">
        <v>6549</v>
      </c>
      <c r="Q3762" s="2" t="s">
        <v>6550</v>
      </c>
      <c r="R3762" s="2" t="s">
        <v>29</v>
      </c>
      <c r="S3762" s="2" t="s">
        <v>30</v>
      </c>
    </row>
    <row r="3763" spans="1:19">
      <c r="A3763" s="1">
        <v>45748</v>
      </c>
      <c r="B3763" s="1">
        <v>45748</v>
      </c>
      <c r="C3763">
        <v>2025</v>
      </c>
      <c r="D3763">
        <v>4</v>
      </c>
      <c r="E3763" s="2" t="s">
        <v>376</v>
      </c>
      <c r="F3763" s="2" t="s">
        <v>377</v>
      </c>
      <c r="G3763" s="2" t="s">
        <v>21</v>
      </c>
      <c r="H3763" s="2" t="s">
        <v>22</v>
      </c>
      <c r="I3763" s="2" t="s">
        <v>23</v>
      </c>
      <c r="J3763" s="2" t="s">
        <v>378</v>
      </c>
      <c r="K3763">
        <v>1.22</v>
      </c>
      <c r="L3763">
        <v>13.19</v>
      </c>
      <c r="M3763">
        <v>1081.1500000000001</v>
      </c>
      <c r="N3763" s="2" t="s">
        <v>379</v>
      </c>
      <c r="O3763" s="2" t="s">
        <v>380</v>
      </c>
      <c r="P3763" s="2" t="s">
        <v>1140</v>
      </c>
      <c r="Q3763" s="2" t="s">
        <v>6551</v>
      </c>
      <c r="R3763" s="2" t="s">
        <v>29</v>
      </c>
      <c r="S3763" s="2" t="s">
        <v>30</v>
      </c>
    </row>
    <row r="3764" spans="1:19">
      <c r="A3764" s="1">
        <v>45778</v>
      </c>
      <c r="B3764" s="1">
        <v>45778</v>
      </c>
      <c r="C3764">
        <v>2025</v>
      </c>
      <c r="D3764">
        <v>5</v>
      </c>
      <c r="E3764" s="2" t="s">
        <v>19</v>
      </c>
      <c r="F3764" s="2" t="s">
        <v>20</v>
      </c>
      <c r="G3764" s="2" t="s">
        <v>21</v>
      </c>
      <c r="H3764" s="2" t="s">
        <v>22</v>
      </c>
      <c r="I3764" s="2" t="s">
        <v>23</v>
      </c>
      <c r="J3764" s="2" t="s">
        <v>24</v>
      </c>
      <c r="K3764">
        <v>0.31</v>
      </c>
      <c r="L3764">
        <v>16.97</v>
      </c>
      <c r="M3764">
        <v>5474.19</v>
      </c>
      <c r="N3764" s="2" t="s">
        <v>25</v>
      </c>
      <c r="O3764" s="2" t="s">
        <v>26</v>
      </c>
      <c r="P3764" s="2" t="s">
        <v>2811</v>
      </c>
      <c r="Q3764" s="2" t="s">
        <v>6552</v>
      </c>
      <c r="R3764" s="2" t="s">
        <v>29</v>
      </c>
      <c r="S3764" s="2" t="s">
        <v>30</v>
      </c>
    </row>
    <row r="3765" spans="1:19">
      <c r="A3765" s="1">
        <v>45778</v>
      </c>
      <c r="B3765" s="1">
        <v>45778</v>
      </c>
      <c r="C3765">
        <v>2025</v>
      </c>
      <c r="D3765">
        <v>5</v>
      </c>
      <c r="E3765" s="2" t="s">
        <v>31</v>
      </c>
      <c r="F3765" s="2" t="s">
        <v>32</v>
      </c>
      <c r="G3765" s="2" t="s">
        <v>21</v>
      </c>
      <c r="H3765" s="2" t="s">
        <v>22</v>
      </c>
      <c r="I3765" s="2" t="s">
        <v>23</v>
      </c>
      <c r="J3765" s="2" t="s">
        <v>24</v>
      </c>
      <c r="K3765">
        <v>2786.17</v>
      </c>
      <c r="L3765">
        <v>50985.21</v>
      </c>
      <c r="M3765">
        <v>1829.94</v>
      </c>
      <c r="N3765" s="2" t="s">
        <v>33</v>
      </c>
      <c r="O3765" s="2" t="s">
        <v>34</v>
      </c>
      <c r="P3765" s="2" t="s">
        <v>6553</v>
      </c>
      <c r="Q3765" s="2" t="s">
        <v>6554</v>
      </c>
      <c r="R3765" s="2" t="s">
        <v>29</v>
      </c>
      <c r="S3765" s="2" t="s">
        <v>30</v>
      </c>
    </row>
    <row r="3766" spans="1:19">
      <c r="A3766" s="1">
        <v>45778</v>
      </c>
      <c r="B3766" s="1">
        <v>45778</v>
      </c>
      <c r="C3766">
        <v>2025</v>
      </c>
      <c r="D3766">
        <v>5</v>
      </c>
      <c r="E3766" s="2" t="s">
        <v>37</v>
      </c>
      <c r="F3766" s="2" t="s">
        <v>38</v>
      </c>
      <c r="G3766" s="2" t="s">
        <v>39</v>
      </c>
      <c r="H3766" s="2" t="s">
        <v>22</v>
      </c>
      <c r="I3766" s="2" t="s">
        <v>40</v>
      </c>
      <c r="J3766" s="2" t="s">
        <v>24</v>
      </c>
      <c r="K3766">
        <v>6.7</v>
      </c>
      <c r="L3766">
        <v>370.13</v>
      </c>
      <c r="M3766">
        <v>5524.33</v>
      </c>
      <c r="N3766" s="2" t="s">
        <v>41</v>
      </c>
      <c r="O3766" s="2" t="s">
        <v>42</v>
      </c>
      <c r="P3766" s="2" t="s">
        <v>6555</v>
      </c>
      <c r="Q3766" s="2" t="s">
        <v>6556</v>
      </c>
      <c r="R3766" s="2" t="s">
        <v>29</v>
      </c>
      <c r="S3766" s="2" t="s">
        <v>30</v>
      </c>
    </row>
    <row r="3767" spans="1:19">
      <c r="A3767" s="1">
        <v>45778</v>
      </c>
      <c r="B3767" s="1">
        <v>45778</v>
      </c>
      <c r="C3767">
        <v>2025</v>
      </c>
      <c r="D3767">
        <v>5</v>
      </c>
      <c r="E3767" s="2" t="s">
        <v>45</v>
      </c>
      <c r="F3767" s="2" t="s">
        <v>46</v>
      </c>
      <c r="G3767" s="2" t="s">
        <v>39</v>
      </c>
      <c r="H3767" s="2" t="s">
        <v>22</v>
      </c>
      <c r="I3767" s="2" t="s">
        <v>40</v>
      </c>
      <c r="J3767" s="2" t="s">
        <v>24</v>
      </c>
      <c r="K3767">
        <v>4579.88</v>
      </c>
      <c r="L3767">
        <v>244944.91</v>
      </c>
      <c r="M3767">
        <v>5348.28</v>
      </c>
      <c r="N3767" s="2" t="s">
        <v>47</v>
      </c>
      <c r="O3767" s="2" t="s">
        <v>48</v>
      </c>
      <c r="P3767" s="2" t="s">
        <v>6557</v>
      </c>
      <c r="Q3767" s="2" t="s">
        <v>6558</v>
      </c>
      <c r="R3767" s="2" t="s">
        <v>29</v>
      </c>
      <c r="S3767" s="2" t="s">
        <v>30</v>
      </c>
    </row>
    <row r="3768" spans="1:19">
      <c r="A3768" s="1">
        <v>45778</v>
      </c>
      <c r="B3768" s="1">
        <v>45778</v>
      </c>
      <c r="C3768">
        <v>2025</v>
      </c>
      <c r="D3768">
        <v>5</v>
      </c>
      <c r="E3768" s="2" t="s">
        <v>51</v>
      </c>
      <c r="F3768" s="2" t="s">
        <v>52</v>
      </c>
      <c r="G3768" s="2" t="s">
        <v>39</v>
      </c>
      <c r="H3768" s="2" t="s">
        <v>22</v>
      </c>
      <c r="I3768" s="2" t="s">
        <v>40</v>
      </c>
      <c r="J3768" s="2" t="s">
        <v>24</v>
      </c>
      <c r="K3768">
        <v>18.03</v>
      </c>
      <c r="L3768">
        <v>886.08</v>
      </c>
      <c r="M3768">
        <v>4914.4799999999996</v>
      </c>
      <c r="N3768" s="2" t="s">
        <v>53</v>
      </c>
      <c r="O3768" s="2" t="s">
        <v>54</v>
      </c>
      <c r="P3768" s="2" t="s">
        <v>6559</v>
      </c>
      <c r="Q3768" s="2" t="s">
        <v>6560</v>
      </c>
      <c r="R3768" s="2" t="s">
        <v>29</v>
      </c>
      <c r="S3768" s="2" t="s">
        <v>30</v>
      </c>
    </row>
    <row r="3769" spans="1:19">
      <c r="A3769" s="1">
        <v>45778</v>
      </c>
      <c r="B3769" s="1">
        <v>45778</v>
      </c>
      <c r="C3769">
        <v>2025</v>
      </c>
      <c r="D3769">
        <v>5</v>
      </c>
      <c r="E3769" s="2" t="s">
        <v>57</v>
      </c>
      <c r="F3769" s="2" t="s">
        <v>58</v>
      </c>
      <c r="G3769" s="2" t="s">
        <v>39</v>
      </c>
      <c r="H3769" s="2" t="s">
        <v>22</v>
      </c>
      <c r="I3769" s="2" t="s">
        <v>40</v>
      </c>
      <c r="J3769" s="2" t="s">
        <v>59</v>
      </c>
      <c r="K3769">
        <v>4604.6099999999997</v>
      </c>
      <c r="L3769">
        <v>246201.12</v>
      </c>
      <c r="M3769">
        <v>5346.84</v>
      </c>
      <c r="N3769" s="2" t="s">
        <v>60</v>
      </c>
      <c r="O3769" s="2" t="s">
        <v>61</v>
      </c>
      <c r="P3769" s="2" t="s">
        <v>6561</v>
      </c>
      <c r="Q3769" s="2" t="s">
        <v>6562</v>
      </c>
      <c r="R3769" s="2" t="s">
        <v>29</v>
      </c>
      <c r="S3769" s="2" t="s">
        <v>30</v>
      </c>
    </row>
    <row r="3770" spans="1:19">
      <c r="A3770" s="1">
        <v>45778</v>
      </c>
      <c r="B3770" s="1">
        <v>45778</v>
      </c>
      <c r="C3770">
        <v>2025</v>
      </c>
      <c r="D3770">
        <v>5</v>
      </c>
      <c r="E3770" s="2" t="s">
        <v>64</v>
      </c>
      <c r="F3770" s="2" t="s">
        <v>65</v>
      </c>
      <c r="G3770" s="2" t="s">
        <v>21</v>
      </c>
      <c r="H3770" s="2" t="s">
        <v>22</v>
      </c>
      <c r="I3770" s="2" t="s">
        <v>66</v>
      </c>
      <c r="J3770" s="2" t="s">
        <v>24</v>
      </c>
      <c r="K3770">
        <v>19.510000000000002</v>
      </c>
      <c r="L3770">
        <v>640.66999999999996</v>
      </c>
      <c r="M3770">
        <v>3283.8</v>
      </c>
      <c r="N3770" s="2" t="s">
        <v>67</v>
      </c>
      <c r="O3770" s="2" t="s">
        <v>68</v>
      </c>
      <c r="P3770" s="2" t="s">
        <v>6563</v>
      </c>
      <c r="Q3770" s="2" t="s">
        <v>6564</v>
      </c>
      <c r="R3770" s="2" t="s">
        <v>29</v>
      </c>
      <c r="S3770" s="2" t="s">
        <v>30</v>
      </c>
    </row>
    <row r="3771" spans="1:19">
      <c r="A3771" s="1">
        <v>45778</v>
      </c>
      <c r="B3771" s="1">
        <v>45778</v>
      </c>
      <c r="C3771">
        <v>2025</v>
      </c>
      <c r="D3771">
        <v>5</v>
      </c>
      <c r="E3771" s="2" t="s">
        <v>71</v>
      </c>
      <c r="F3771" s="2" t="s">
        <v>72</v>
      </c>
      <c r="G3771" s="2" t="s">
        <v>21</v>
      </c>
      <c r="H3771" s="2" t="s">
        <v>22</v>
      </c>
      <c r="I3771" s="2" t="s">
        <v>73</v>
      </c>
      <c r="J3771" s="2" t="s">
        <v>59</v>
      </c>
      <c r="K3771">
        <v>5827.4</v>
      </c>
      <c r="L3771">
        <v>226810.08</v>
      </c>
      <c r="M3771">
        <v>3892.13</v>
      </c>
      <c r="N3771" s="2" t="s">
        <v>74</v>
      </c>
      <c r="O3771" s="2" t="s">
        <v>75</v>
      </c>
      <c r="P3771" s="2" t="s">
        <v>6565</v>
      </c>
      <c r="Q3771" s="2" t="s">
        <v>6566</v>
      </c>
      <c r="R3771" s="2" t="s">
        <v>29</v>
      </c>
      <c r="S3771" s="2" t="s">
        <v>30</v>
      </c>
    </row>
    <row r="3772" spans="1:19">
      <c r="A3772" s="1">
        <v>45778</v>
      </c>
      <c r="B3772" s="1">
        <v>45778</v>
      </c>
      <c r="C3772">
        <v>2025</v>
      </c>
      <c r="D3772">
        <v>5</v>
      </c>
      <c r="E3772" s="2" t="s">
        <v>78</v>
      </c>
      <c r="F3772" s="2" t="s">
        <v>79</v>
      </c>
      <c r="G3772" s="2" t="s">
        <v>80</v>
      </c>
      <c r="H3772" s="2" t="s">
        <v>81</v>
      </c>
      <c r="I3772" s="2" t="s">
        <v>82</v>
      </c>
      <c r="J3772" s="2" t="s">
        <v>24</v>
      </c>
      <c r="K3772">
        <v>3.44</v>
      </c>
      <c r="L3772">
        <v>11363617.109999999</v>
      </c>
      <c r="M3772">
        <v>330337706.69</v>
      </c>
      <c r="N3772" s="2" t="s">
        <v>83</v>
      </c>
      <c r="O3772" s="2" t="s">
        <v>84</v>
      </c>
      <c r="P3772" s="2" t="s">
        <v>6567</v>
      </c>
      <c r="Q3772" s="2" t="s">
        <v>6568</v>
      </c>
      <c r="R3772" s="2" t="s">
        <v>29</v>
      </c>
      <c r="S3772" s="2" t="s">
        <v>30</v>
      </c>
    </row>
    <row r="3773" spans="1:19">
      <c r="A3773" s="1">
        <v>45778</v>
      </c>
      <c r="B3773" s="1">
        <v>45778</v>
      </c>
      <c r="C3773">
        <v>2025</v>
      </c>
      <c r="D3773">
        <v>5</v>
      </c>
      <c r="E3773" s="2" t="s">
        <v>87</v>
      </c>
      <c r="F3773" s="2" t="s">
        <v>88</v>
      </c>
      <c r="G3773" s="2" t="s">
        <v>80</v>
      </c>
      <c r="H3773" s="2" t="s">
        <v>81</v>
      </c>
      <c r="I3773" s="2" t="s">
        <v>82</v>
      </c>
      <c r="J3773" s="2" t="s">
        <v>24</v>
      </c>
      <c r="K3773">
        <v>1.28</v>
      </c>
      <c r="L3773">
        <v>1875057</v>
      </c>
      <c r="M3773">
        <v>146488828.12</v>
      </c>
      <c r="N3773" s="2" t="s">
        <v>89</v>
      </c>
      <c r="O3773" s="2" t="s">
        <v>90</v>
      </c>
      <c r="P3773" s="2" t="s">
        <v>1134</v>
      </c>
      <c r="Q3773" s="2" t="s">
        <v>6569</v>
      </c>
      <c r="R3773" s="2" t="s">
        <v>29</v>
      </c>
      <c r="S3773" s="2" t="s">
        <v>30</v>
      </c>
    </row>
    <row r="3774" spans="1:19">
      <c r="A3774" s="1">
        <v>45778</v>
      </c>
      <c r="B3774" s="1">
        <v>45778</v>
      </c>
      <c r="C3774">
        <v>2025</v>
      </c>
      <c r="D3774">
        <v>5</v>
      </c>
      <c r="E3774" s="2" t="s">
        <v>93</v>
      </c>
      <c r="F3774" s="2" t="s">
        <v>94</v>
      </c>
      <c r="G3774" s="2" t="s">
        <v>80</v>
      </c>
      <c r="H3774" s="2" t="s">
        <v>81</v>
      </c>
      <c r="I3774" s="2" t="s">
        <v>82</v>
      </c>
      <c r="J3774" s="2" t="s">
        <v>24</v>
      </c>
      <c r="K3774">
        <v>0.45</v>
      </c>
      <c r="L3774">
        <v>7645792.4900000002</v>
      </c>
      <c r="M3774">
        <v>1699064997.78</v>
      </c>
      <c r="N3774" s="2" t="s">
        <v>95</v>
      </c>
      <c r="O3774" s="2" t="s">
        <v>96</v>
      </c>
      <c r="P3774" s="2" t="s">
        <v>4394</v>
      </c>
      <c r="Q3774" s="2" t="s">
        <v>6570</v>
      </c>
      <c r="R3774" s="2" t="s">
        <v>29</v>
      </c>
      <c r="S3774" s="2" t="s">
        <v>30</v>
      </c>
    </row>
    <row r="3775" spans="1:19">
      <c r="A3775" s="1">
        <v>45778</v>
      </c>
      <c r="B3775" s="1">
        <v>45778</v>
      </c>
      <c r="C3775">
        <v>2025</v>
      </c>
      <c r="D3775">
        <v>5</v>
      </c>
      <c r="E3775" s="2" t="s">
        <v>99</v>
      </c>
      <c r="F3775" s="2" t="s">
        <v>100</v>
      </c>
      <c r="G3775" s="2" t="s">
        <v>80</v>
      </c>
      <c r="H3775" s="2" t="s">
        <v>81</v>
      </c>
      <c r="I3775" s="2" t="s">
        <v>82</v>
      </c>
      <c r="J3775" s="2" t="s">
        <v>101</v>
      </c>
      <c r="K3775">
        <v>1.94</v>
      </c>
      <c r="L3775">
        <v>17500816.489999998</v>
      </c>
      <c r="M3775">
        <v>902103942.77999997</v>
      </c>
      <c r="N3775" s="2" t="s">
        <v>102</v>
      </c>
      <c r="O3775" s="2" t="s">
        <v>103</v>
      </c>
      <c r="P3775" s="2" t="s">
        <v>6571</v>
      </c>
      <c r="Q3775" s="2" t="s">
        <v>6572</v>
      </c>
      <c r="R3775" s="2" t="s">
        <v>29</v>
      </c>
      <c r="S3775" s="2" t="s">
        <v>30</v>
      </c>
    </row>
    <row r="3776" spans="1:19">
      <c r="A3776" s="1">
        <v>45778</v>
      </c>
      <c r="B3776" s="1">
        <v>45778</v>
      </c>
      <c r="C3776">
        <v>2025</v>
      </c>
      <c r="D3776">
        <v>5</v>
      </c>
      <c r="E3776" s="2" t="s">
        <v>106</v>
      </c>
      <c r="F3776" s="2" t="s">
        <v>107</v>
      </c>
      <c r="G3776" s="2" t="s">
        <v>80</v>
      </c>
      <c r="H3776" s="2" t="s">
        <v>81</v>
      </c>
      <c r="I3776" s="2" t="s">
        <v>82</v>
      </c>
      <c r="J3776" s="2" t="s">
        <v>24</v>
      </c>
      <c r="K3776">
        <v>0.21</v>
      </c>
      <c r="L3776">
        <v>7979967</v>
      </c>
      <c r="M3776">
        <v>3799984285.71</v>
      </c>
      <c r="N3776" s="2" t="s">
        <v>108</v>
      </c>
      <c r="O3776" s="2" t="s">
        <v>109</v>
      </c>
      <c r="P3776" s="2" t="s">
        <v>403</v>
      </c>
      <c r="Q3776" s="2" t="s">
        <v>6573</v>
      </c>
      <c r="R3776" s="2" t="s">
        <v>29</v>
      </c>
      <c r="S3776" s="2" t="s">
        <v>30</v>
      </c>
    </row>
    <row r="3777" spans="1:19">
      <c r="A3777" s="1">
        <v>45778</v>
      </c>
      <c r="B3777" s="1">
        <v>45778</v>
      </c>
      <c r="C3777">
        <v>2025</v>
      </c>
      <c r="D3777">
        <v>5</v>
      </c>
      <c r="E3777" s="2" t="s">
        <v>111</v>
      </c>
      <c r="F3777" s="2" t="s">
        <v>112</v>
      </c>
      <c r="G3777" s="2" t="s">
        <v>80</v>
      </c>
      <c r="H3777" s="2" t="s">
        <v>81</v>
      </c>
      <c r="I3777" s="2" t="s">
        <v>82</v>
      </c>
      <c r="J3777" s="2" t="s">
        <v>24</v>
      </c>
      <c r="K3777">
        <v>0.1</v>
      </c>
      <c r="L3777">
        <v>791608.45</v>
      </c>
      <c r="M3777">
        <v>791608450</v>
      </c>
      <c r="N3777" s="2" t="s">
        <v>113</v>
      </c>
      <c r="O3777" s="2" t="s">
        <v>114</v>
      </c>
      <c r="P3777" s="2" t="s">
        <v>425</v>
      </c>
      <c r="Q3777" s="2" t="s">
        <v>6574</v>
      </c>
      <c r="R3777" s="2" t="s">
        <v>29</v>
      </c>
      <c r="S3777" s="2" t="s">
        <v>30</v>
      </c>
    </row>
    <row r="3778" spans="1:19">
      <c r="A3778" s="1">
        <v>45778</v>
      </c>
      <c r="B3778" s="1">
        <v>45778</v>
      </c>
      <c r="C3778">
        <v>2025</v>
      </c>
      <c r="D3778">
        <v>5</v>
      </c>
      <c r="E3778" s="2" t="s">
        <v>117</v>
      </c>
      <c r="F3778" s="2" t="s">
        <v>118</v>
      </c>
      <c r="G3778" s="2" t="s">
        <v>80</v>
      </c>
      <c r="H3778" s="2" t="s">
        <v>81</v>
      </c>
      <c r="I3778" s="2" t="s">
        <v>82</v>
      </c>
      <c r="J3778" s="2" t="s">
        <v>59</v>
      </c>
      <c r="K3778">
        <v>5.48</v>
      </c>
      <c r="L3778">
        <v>29656042.050000001</v>
      </c>
      <c r="M3778">
        <v>541168650.54999995</v>
      </c>
      <c r="N3778" s="2" t="s">
        <v>119</v>
      </c>
      <c r="O3778" s="2" t="s">
        <v>120</v>
      </c>
      <c r="P3778" s="2" t="s">
        <v>6575</v>
      </c>
      <c r="Q3778" s="2" t="s">
        <v>6576</v>
      </c>
      <c r="R3778" s="2" t="s">
        <v>29</v>
      </c>
      <c r="S3778" s="2" t="s">
        <v>30</v>
      </c>
    </row>
    <row r="3779" spans="1:19">
      <c r="A3779" s="1">
        <v>45778</v>
      </c>
      <c r="B3779" s="1">
        <v>45778</v>
      </c>
      <c r="C3779">
        <v>2025</v>
      </c>
      <c r="D3779">
        <v>5</v>
      </c>
      <c r="E3779" s="2" t="s">
        <v>123</v>
      </c>
      <c r="F3779" s="2" t="s">
        <v>124</v>
      </c>
      <c r="G3779" s="2" t="s">
        <v>21</v>
      </c>
      <c r="H3779" s="2" t="s">
        <v>22</v>
      </c>
      <c r="I3779" s="2" t="s">
        <v>73</v>
      </c>
      <c r="J3779" s="2" t="s">
        <v>24</v>
      </c>
      <c r="K3779">
        <v>2317.79</v>
      </c>
      <c r="L3779">
        <v>120224.23</v>
      </c>
      <c r="M3779">
        <v>5187.0200000000004</v>
      </c>
      <c r="N3779" s="2" t="s">
        <v>125</v>
      </c>
      <c r="O3779" s="2" t="s">
        <v>126</v>
      </c>
      <c r="P3779" s="2" t="s">
        <v>6577</v>
      </c>
      <c r="Q3779" s="2" t="s">
        <v>6578</v>
      </c>
      <c r="R3779" s="2" t="s">
        <v>29</v>
      </c>
      <c r="S3779" s="2" t="s">
        <v>30</v>
      </c>
    </row>
    <row r="3780" spans="1:19">
      <c r="A3780" s="1">
        <v>45778</v>
      </c>
      <c r="B3780" s="1">
        <v>45778</v>
      </c>
      <c r="C3780">
        <v>2025</v>
      </c>
      <c r="D3780">
        <v>5</v>
      </c>
      <c r="E3780" s="2" t="s">
        <v>129</v>
      </c>
      <c r="F3780" s="2" t="s">
        <v>130</v>
      </c>
      <c r="G3780" s="2" t="s">
        <v>21</v>
      </c>
      <c r="H3780" s="2" t="s">
        <v>22</v>
      </c>
      <c r="I3780" s="2" t="s">
        <v>73</v>
      </c>
      <c r="J3780" s="2" t="s">
        <v>24</v>
      </c>
      <c r="K3780">
        <v>2359.14</v>
      </c>
      <c r="L3780">
        <v>69607.42</v>
      </c>
      <c r="M3780">
        <v>2950.54</v>
      </c>
      <c r="N3780" s="2" t="s">
        <v>131</v>
      </c>
      <c r="O3780" s="2" t="s">
        <v>132</v>
      </c>
      <c r="P3780" s="2" t="s">
        <v>6579</v>
      </c>
      <c r="Q3780" s="2" t="s">
        <v>6580</v>
      </c>
      <c r="R3780" s="2" t="s">
        <v>29</v>
      </c>
      <c r="S3780" s="2" t="s">
        <v>30</v>
      </c>
    </row>
    <row r="3781" spans="1:19">
      <c r="A3781" s="1">
        <v>45778</v>
      </c>
      <c r="B3781" s="1">
        <v>45778</v>
      </c>
      <c r="C3781">
        <v>2025</v>
      </c>
      <c r="D3781">
        <v>5</v>
      </c>
      <c r="E3781" s="2" t="s">
        <v>135</v>
      </c>
      <c r="F3781" s="2" t="s">
        <v>136</v>
      </c>
      <c r="G3781" s="2" t="s">
        <v>21</v>
      </c>
      <c r="H3781" s="2" t="s">
        <v>22</v>
      </c>
      <c r="I3781" s="2" t="s">
        <v>73</v>
      </c>
      <c r="J3781" s="2" t="s">
        <v>101</v>
      </c>
      <c r="K3781">
        <v>4676.93</v>
      </c>
      <c r="L3781">
        <v>189831.64</v>
      </c>
      <c r="M3781">
        <v>4058.89</v>
      </c>
      <c r="N3781" s="2" t="s">
        <v>137</v>
      </c>
      <c r="O3781" s="2" t="s">
        <v>138</v>
      </c>
      <c r="P3781" s="2" t="s">
        <v>6581</v>
      </c>
      <c r="Q3781" s="2" t="s">
        <v>6582</v>
      </c>
      <c r="R3781" s="2" t="s">
        <v>29</v>
      </c>
      <c r="S3781" s="2" t="s">
        <v>30</v>
      </c>
    </row>
    <row r="3782" spans="1:19">
      <c r="A3782" s="1">
        <v>45778</v>
      </c>
      <c r="B3782" s="1">
        <v>45778</v>
      </c>
      <c r="C3782">
        <v>2025</v>
      </c>
      <c r="D3782">
        <v>5</v>
      </c>
      <c r="E3782" s="2" t="s">
        <v>141</v>
      </c>
      <c r="F3782" s="2" t="s">
        <v>142</v>
      </c>
      <c r="G3782" s="2" t="s">
        <v>21</v>
      </c>
      <c r="H3782" s="2" t="s">
        <v>22</v>
      </c>
      <c r="I3782" s="2" t="s">
        <v>73</v>
      </c>
      <c r="J3782" s="2" t="s">
        <v>24</v>
      </c>
      <c r="K3782">
        <v>288.89999999999998</v>
      </c>
      <c r="L3782">
        <v>12242.99</v>
      </c>
      <c r="M3782">
        <v>4237.8</v>
      </c>
      <c r="N3782" s="2" t="s">
        <v>143</v>
      </c>
      <c r="O3782" s="2" t="s">
        <v>144</v>
      </c>
      <c r="P3782" s="2" t="s">
        <v>6583</v>
      </c>
      <c r="Q3782" s="2" t="s">
        <v>6584</v>
      </c>
      <c r="R3782" s="2" t="s">
        <v>29</v>
      </c>
      <c r="S3782" s="2" t="s">
        <v>30</v>
      </c>
    </row>
    <row r="3783" spans="1:19">
      <c r="A3783" s="1">
        <v>45778</v>
      </c>
      <c r="B3783" s="1">
        <v>45778</v>
      </c>
      <c r="C3783">
        <v>2025</v>
      </c>
      <c r="D3783">
        <v>5</v>
      </c>
      <c r="E3783" s="2" t="s">
        <v>147</v>
      </c>
      <c r="F3783" s="2" t="s">
        <v>148</v>
      </c>
      <c r="G3783" s="2" t="s">
        <v>21</v>
      </c>
      <c r="H3783" s="2" t="s">
        <v>22</v>
      </c>
      <c r="I3783" s="2" t="s">
        <v>73</v>
      </c>
      <c r="J3783" s="2" t="s">
        <v>24</v>
      </c>
      <c r="K3783">
        <v>861.57</v>
      </c>
      <c r="L3783">
        <v>24735.439999999999</v>
      </c>
      <c r="M3783">
        <v>2870.97</v>
      </c>
      <c r="N3783" s="2" t="s">
        <v>149</v>
      </c>
      <c r="O3783" s="2" t="s">
        <v>150</v>
      </c>
      <c r="P3783" s="2" t="s">
        <v>6585</v>
      </c>
      <c r="Q3783" s="2" t="s">
        <v>6586</v>
      </c>
      <c r="R3783" s="2" t="s">
        <v>29</v>
      </c>
      <c r="S3783" s="2" t="s">
        <v>30</v>
      </c>
    </row>
    <row r="3784" spans="1:19">
      <c r="A3784" s="1">
        <v>45778</v>
      </c>
      <c r="B3784" s="1">
        <v>45778</v>
      </c>
      <c r="C3784">
        <v>2025</v>
      </c>
      <c r="D3784">
        <v>5</v>
      </c>
      <c r="E3784" s="2" t="s">
        <v>153</v>
      </c>
      <c r="F3784" s="2" t="s">
        <v>154</v>
      </c>
      <c r="G3784" s="2" t="s">
        <v>21</v>
      </c>
      <c r="H3784" s="2" t="s">
        <v>22</v>
      </c>
      <c r="I3784" s="2" t="s">
        <v>73</v>
      </c>
      <c r="J3784" s="2" t="s">
        <v>101</v>
      </c>
      <c r="K3784">
        <v>1150.47</v>
      </c>
      <c r="L3784">
        <v>36978.43</v>
      </c>
      <c r="M3784">
        <v>3214.2</v>
      </c>
      <c r="N3784" s="2" t="s">
        <v>155</v>
      </c>
      <c r="O3784" s="2" t="s">
        <v>156</v>
      </c>
      <c r="P3784" s="2" t="s">
        <v>6587</v>
      </c>
      <c r="Q3784" s="2" t="s">
        <v>6588</v>
      </c>
      <c r="R3784" s="2" t="s">
        <v>29</v>
      </c>
      <c r="S3784" s="2" t="s">
        <v>30</v>
      </c>
    </row>
    <row r="3785" spans="1:19">
      <c r="A3785" s="1">
        <v>45778</v>
      </c>
      <c r="B3785" s="1">
        <v>45778</v>
      </c>
      <c r="C3785">
        <v>2025</v>
      </c>
      <c r="D3785">
        <v>5</v>
      </c>
      <c r="E3785" s="2" t="s">
        <v>159</v>
      </c>
      <c r="F3785" s="2" t="s">
        <v>160</v>
      </c>
      <c r="G3785" s="2" t="s">
        <v>21</v>
      </c>
      <c r="H3785" s="2" t="s">
        <v>22</v>
      </c>
      <c r="I3785" s="2" t="s">
        <v>66</v>
      </c>
      <c r="J3785" s="2" t="s">
        <v>59</v>
      </c>
      <c r="K3785">
        <v>1895.74</v>
      </c>
      <c r="L3785">
        <v>206367.54</v>
      </c>
      <c r="M3785">
        <v>10885.86</v>
      </c>
      <c r="N3785" s="2" t="s">
        <v>161</v>
      </c>
      <c r="O3785" s="2" t="s">
        <v>162</v>
      </c>
      <c r="P3785" s="2" t="s">
        <v>6589</v>
      </c>
      <c r="Q3785" s="2" t="s">
        <v>6590</v>
      </c>
      <c r="R3785" s="2" t="s">
        <v>29</v>
      </c>
      <c r="S3785" s="2" t="s">
        <v>30</v>
      </c>
    </row>
    <row r="3786" spans="1:19">
      <c r="A3786" s="1">
        <v>45778</v>
      </c>
      <c r="B3786" s="1">
        <v>45778</v>
      </c>
      <c r="C3786">
        <v>2025</v>
      </c>
      <c r="D3786">
        <v>5</v>
      </c>
      <c r="E3786" s="2" t="s">
        <v>165</v>
      </c>
      <c r="F3786" s="2" t="s">
        <v>166</v>
      </c>
      <c r="G3786" s="2" t="s">
        <v>21</v>
      </c>
      <c r="H3786" s="2" t="s">
        <v>22</v>
      </c>
      <c r="I3786" s="2" t="s">
        <v>23</v>
      </c>
      <c r="J3786" s="2" t="s">
        <v>24</v>
      </c>
      <c r="N3786" s="2" t="s">
        <v>167</v>
      </c>
      <c r="O3786" s="2" t="s">
        <v>168</v>
      </c>
      <c r="P3786" s="2" t="s">
        <v>175</v>
      </c>
      <c r="Q3786" s="2" t="s">
        <v>175</v>
      </c>
      <c r="R3786" s="2" t="s">
        <v>640</v>
      </c>
      <c r="S3786" s="2" t="s">
        <v>641</v>
      </c>
    </row>
    <row r="3787" spans="1:19">
      <c r="A3787" s="1">
        <v>45778</v>
      </c>
      <c r="B3787" s="1">
        <v>45778</v>
      </c>
      <c r="C3787">
        <v>2025</v>
      </c>
      <c r="D3787">
        <v>5</v>
      </c>
      <c r="E3787" s="2" t="s">
        <v>171</v>
      </c>
      <c r="F3787" s="2" t="s">
        <v>172</v>
      </c>
      <c r="G3787" s="2" t="s">
        <v>21</v>
      </c>
      <c r="H3787" s="2" t="s">
        <v>22</v>
      </c>
      <c r="I3787" s="2" t="s">
        <v>66</v>
      </c>
      <c r="J3787" s="2" t="s">
        <v>24</v>
      </c>
      <c r="N3787" s="2" t="s">
        <v>173</v>
      </c>
      <c r="O3787" s="2" t="s">
        <v>174</v>
      </c>
      <c r="P3787" s="2" t="s">
        <v>175</v>
      </c>
      <c r="Q3787" s="2" t="s">
        <v>175</v>
      </c>
      <c r="R3787" s="2" t="s">
        <v>640</v>
      </c>
      <c r="S3787" s="2" t="s">
        <v>641</v>
      </c>
    </row>
    <row r="3788" spans="1:19">
      <c r="A3788" s="1">
        <v>45778</v>
      </c>
      <c r="B3788" s="1">
        <v>45778</v>
      </c>
      <c r="C3788">
        <v>2025</v>
      </c>
      <c r="D3788">
        <v>5</v>
      </c>
      <c r="E3788" s="2" t="s">
        <v>177</v>
      </c>
      <c r="F3788" s="2" t="s">
        <v>178</v>
      </c>
      <c r="G3788" s="2" t="s">
        <v>21</v>
      </c>
      <c r="H3788" s="2" t="s">
        <v>22</v>
      </c>
      <c r="I3788" s="2" t="s">
        <v>23</v>
      </c>
      <c r="J3788" s="2" t="s">
        <v>24</v>
      </c>
      <c r="K3788">
        <v>4636.6000000000004</v>
      </c>
      <c r="L3788">
        <v>640867.39</v>
      </c>
      <c r="M3788">
        <v>13821.93</v>
      </c>
      <c r="N3788" s="2" t="s">
        <v>179</v>
      </c>
      <c r="O3788" s="2" t="s">
        <v>180</v>
      </c>
      <c r="P3788" s="2" t="s">
        <v>6591</v>
      </c>
      <c r="Q3788" s="2" t="s">
        <v>6592</v>
      </c>
      <c r="R3788" s="2" t="s">
        <v>29</v>
      </c>
      <c r="S3788" s="2" t="s">
        <v>30</v>
      </c>
    </row>
    <row r="3789" spans="1:19">
      <c r="A3789" s="1">
        <v>45778</v>
      </c>
      <c r="B3789" s="1">
        <v>45778</v>
      </c>
      <c r="C3789">
        <v>2025</v>
      </c>
      <c r="D3789">
        <v>5</v>
      </c>
      <c r="E3789" s="2" t="s">
        <v>183</v>
      </c>
      <c r="F3789" s="2" t="s">
        <v>184</v>
      </c>
      <c r="G3789" s="2" t="s">
        <v>185</v>
      </c>
      <c r="H3789" s="2" t="s">
        <v>22</v>
      </c>
      <c r="I3789" s="2" t="s">
        <v>186</v>
      </c>
      <c r="J3789" s="2" t="s">
        <v>24</v>
      </c>
      <c r="K3789">
        <v>2817.12</v>
      </c>
      <c r="L3789">
        <v>5592892.4000000004</v>
      </c>
      <c r="M3789">
        <v>198532.27</v>
      </c>
      <c r="N3789" s="2" t="s">
        <v>187</v>
      </c>
      <c r="O3789" s="2" t="s">
        <v>188</v>
      </c>
      <c r="P3789" s="2" t="s">
        <v>6593</v>
      </c>
      <c r="Q3789" s="2" t="s">
        <v>6594</v>
      </c>
      <c r="R3789" s="2" t="s">
        <v>29</v>
      </c>
      <c r="S3789" s="2" t="s">
        <v>30</v>
      </c>
    </row>
    <row r="3790" spans="1:19">
      <c r="A3790" s="1">
        <v>45778</v>
      </c>
      <c r="B3790" s="1">
        <v>45778</v>
      </c>
      <c r="C3790">
        <v>2025</v>
      </c>
      <c r="D3790">
        <v>5</v>
      </c>
      <c r="E3790" s="2" t="s">
        <v>191</v>
      </c>
      <c r="F3790" s="2" t="s">
        <v>192</v>
      </c>
      <c r="G3790" s="2" t="s">
        <v>185</v>
      </c>
      <c r="H3790" s="2" t="s">
        <v>22</v>
      </c>
      <c r="I3790" s="2" t="s">
        <v>186</v>
      </c>
      <c r="J3790" s="2" t="s">
        <v>24</v>
      </c>
      <c r="K3790">
        <v>851.54</v>
      </c>
      <c r="L3790">
        <v>6068348.7999999998</v>
      </c>
      <c r="M3790">
        <v>712632.27</v>
      </c>
      <c r="N3790" s="2" t="s">
        <v>193</v>
      </c>
      <c r="O3790" s="2" t="s">
        <v>194</v>
      </c>
      <c r="P3790" s="2" t="s">
        <v>6595</v>
      </c>
      <c r="Q3790" s="2" t="s">
        <v>6596</v>
      </c>
      <c r="R3790" s="2" t="s">
        <v>29</v>
      </c>
      <c r="S3790" s="2" t="s">
        <v>30</v>
      </c>
    </row>
    <row r="3791" spans="1:19">
      <c r="A3791" s="1">
        <v>45778</v>
      </c>
      <c r="B3791" s="1">
        <v>45778</v>
      </c>
      <c r="C3791">
        <v>2025</v>
      </c>
      <c r="D3791">
        <v>5</v>
      </c>
      <c r="E3791" s="2" t="s">
        <v>197</v>
      </c>
      <c r="F3791" s="2" t="s">
        <v>198</v>
      </c>
      <c r="G3791" s="2" t="s">
        <v>185</v>
      </c>
      <c r="H3791" s="2" t="s">
        <v>22</v>
      </c>
      <c r="I3791" s="2" t="s">
        <v>186</v>
      </c>
      <c r="J3791" s="2" t="s">
        <v>59</v>
      </c>
      <c r="K3791">
        <v>3668.66</v>
      </c>
      <c r="L3791">
        <v>11661241.199999999</v>
      </c>
      <c r="M3791">
        <v>317861.05</v>
      </c>
      <c r="N3791" s="2" t="s">
        <v>199</v>
      </c>
      <c r="O3791" s="2" t="s">
        <v>200</v>
      </c>
      <c r="P3791" s="2" t="s">
        <v>6597</v>
      </c>
      <c r="Q3791" s="2" t="s">
        <v>6598</v>
      </c>
      <c r="R3791" s="2" t="s">
        <v>29</v>
      </c>
      <c r="S3791" s="2" t="s">
        <v>30</v>
      </c>
    </row>
    <row r="3792" spans="1:19">
      <c r="A3792" s="1">
        <v>45778</v>
      </c>
      <c r="B3792" s="1">
        <v>45778</v>
      </c>
      <c r="C3792">
        <v>2025</v>
      </c>
      <c r="D3792">
        <v>5</v>
      </c>
      <c r="E3792" s="2" t="s">
        <v>203</v>
      </c>
      <c r="F3792" s="2" t="s">
        <v>204</v>
      </c>
      <c r="G3792" s="2" t="s">
        <v>39</v>
      </c>
      <c r="H3792" s="2" t="s">
        <v>22</v>
      </c>
      <c r="I3792" s="2" t="s">
        <v>40</v>
      </c>
      <c r="J3792" s="2" t="s">
        <v>24</v>
      </c>
      <c r="K3792">
        <v>1017.25</v>
      </c>
      <c r="L3792">
        <v>27667.8</v>
      </c>
      <c r="M3792">
        <v>2719.86</v>
      </c>
      <c r="N3792" s="2" t="s">
        <v>205</v>
      </c>
      <c r="O3792" s="2" t="s">
        <v>206</v>
      </c>
      <c r="P3792" s="2" t="s">
        <v>6599</v>
      </c>
      <c r="Q3792" s="2" t="s">
        <v>6600</v>
      </c>
      <c r="R3792" s="2" t="s">
        <v>29</v>
      </c>
      <c r="S3792" s="2" t="s">
        <v>30</v>
      </c>
    </row>
    <row r="3793" spans="1:19">
      <c r="A3793" s="1">
        <v>45778</v>
      </c>
      <c r="B3793" s="1">
        <v>45778</v>
      </c>
      <c r="C3793">
        <v>2025</v>
      </c>
      <c r="D3793">
        <v>5</v>
      </c>
      <c r="E3793" s="2" t="s">
        <v>209</v>
      </c>
      <c r="F3793" s="2" t="s">
        <v>210</v>
      </c>
      <c r="G3793" s="2" t="s">
        <v>39</v>
      </c>
      <c r="H3793" s="2" t="s">
        <v>22</v>
      </c>
      <c r="I3793" s="2" t="s">
        <v>40</v>
      </c>
      <c r="J3793" s="2" t="s">
        <v>59</v>
      </c>
      <c r="K3793">
        <v>1017.25</v>
      </c>
      <c r="L3793">
        <v>27667.8</v>
      </c>
      <c r="M3793">
        <v>2719.86</v>
      </c>
      <c r="N3793" s="2" t="s">
        <v>211</v>
      </c>
      <c r="O3793" s="2" t="s">
        <v>212</v>
      </c>
      <c r="P3793" s="2" t="s">
        <v>6599</v>
      </c>
      <c r="Q3793" s="2" t="s">
        <v>6600</v>
      </c>
      <c r="R3793" s="2" t="s">
        <v>29</v>
      </c>
      <c r="S3793" s="2" t="s">
        <v>30</v>
      </c>
    </row>
    <row r="3794" spans="1:19">
      <c r="A3794" s="1">
        <v>45778</v>
      </c>
      <c r="B3794" s="1">
        <v>45778</v>
      </c>
      <c r="C3794">
        <v>2025</v>
      </c>
      <c r="D3794">
        <v>5</v>
      </c>
      <c r="E3794" s="2" t="s">
        <v>213</v>
      </c>
      <c r="F3794" s="2" t="s">
        <v>214</v>
      </c>
      <c r="G3794" s="2" t="s">
        <v>185</v>
      </c>
      <c r="H3794" s="2" t="s">
        <v>22</v>
      </c>
      <c r="I3794" s="2" t="s">
        <v>215</v>
      </c>
      <c r="J3794" s="2" t="s">
        <v>24</v>
      </c>
      <c r="K3794">
        <v>163495.1</v>
      </c>
      <c r="L3794">
        <v>3002964.12</v>
      </c>
      <c r="M3794">
        <v>1836.73</v>
      </c>
      <c r="N3794" s="2" t="s">
        <v>216</v>
      </c>
      <c r="O3794" s="2" t="s">
        <v>217</v>
      </c>
      <c r="P3794" s="2" t="s">
        <v>6601</v>
      </c>
      <c r="Q3794" s="2" t="s">
        <v>6602</v>
      </c>
      <c r="R3794" s="2" t="s">
        <v>29</v>
      </c>
      <c r="S3794" s="2" t="s">
        <v>30</v>
      </c>
    </row>
    <row r="3795" spans="1:19">
      <c r="A3795" s="1">
        <v>45778</v>
      </c>
      <c r="B3795" s="1">
        <v>45778</v>
      </c>
      <c r="C3795">
        <v>2025</v>
      </c>
      <c r="D3795">
        <v>5</v>
      </c>
      <c r="E3795" s="2" t="s">
        <v>220</v>
      </c>
      <c r="F3795" s="2" t="s">
        <v>221</v>
      </c>
      <c r="G3795" s="2" t="s">
        <v>185</v>
      </c>
      <c r="H3795" s="2" t="s">
        <v>22</v>
      </c>
      <c r="I3795" s="2" t="s">
        <v>215</v>
      </c>
      <c r="J3795" s="2" t="s">
        <v>24</v>
      </c>
      <c r="K3795">
        <v>9743.76</v>
      </c>
      <c r="L3795">
        <v>638767.66</v>
      </c>
      <c r="M3795">
        <v>6555.66</v>
      </c>
      <c r="N3795" s="2" t="s">
        <v>222</v>
      </c>
      <c r="O3795" s="2" t="s">
        <v>223</v>
      </c>
      <c r="P3795" s="2" t="s">
        <v>6603</v>
      </c>
      <c r="Q3795" s="2" t="s">
        <v>6604</v>
      </c>
      <c r="R3795" s="2" t="s">
        <v>29</v>
      </c>
      <c r="S3795" s="2" t="s">
        <v>30</v>
      </c>
    </row>
    <row r="3796" spans="1:19">
      <c r="A3796" s="1">
        <v>45778</v>
      </c>
      <c r="B3796" s="1">
        <v>45778</v>
      </c>
      <c r="C3796">
        <v>2025</v>
      </c>
      <c r="D3796">
        <v>5</v>
      </c>
      <c r="E3796" s="2" t="s">
        <v>226</v>
      </c>
      <c r="F3796" s="2" t="s">
        <v>227</v>
      </c>
      <c r="G3796" s="2" t="s">
        <v>185</v>
      </c>
      <c r="H3796" s="2" t="s">
        <v>22</v>
      </c>
      <c r="I3796" s="2" t="s">
        <v>215</v>
      </c>
      <c r="J3796" s="2" t="s">
        <v>59</v>
      </c>
      <c r="K3796">
        <v>173238.86</v>
      </c>
      <c r="L3796">
        <v>3641731.78</v>
      </c>
      <c r="M3796">
        <v>2102.14</v>
      </c>
      <c r="N3796" s="2" t="s">
        <v>228</v>
      </c>
      <c r="O3796" s="2" t="s">
        <v>229</v>
      </c>
      <c r="P3796" s="2" t="s">
        <v>6605</v>
      </c>
      <c r="Q3796" s="2" t="s">
        <v>6606</v>
      </c>
      <c r="R3796" s="2" t="s">
        <v>29</v>
      </c>
      <c r="S3796" s="2" t="s">
        <v>30</v>
      </c>
    </row>
    <row r="3797" spans="1:19">
      <c r="A3797" s="1">
        <v>45778</v>
      </c>
      <c r="B3797" s="1">
        <v>45778</v>
      </c>
      <c r="C3797">
        <v>2025</v>
      </c>
      <c r="D3797">
        <v>5</v>
      </c>
      <c r="E3797" s="2" t="s">
        <v>232</v>
      </c>
      <c r="F3797" s="2" t="s">
        <v>233</v>
      </c>
      <c r="G3797" s="2" t="s">
        <v>21</v>
      </c>
      <c r="H3797" s="2" t="s">
        <v>22</v>
      </c>
      <c r="I3797" s="2" t="s">
        <v>23</v>
      </c>
      <c r="J3797" s="2" t="s">
        <v>24</v>
      </c>
      <c r="K3797">
        <v>1243.57</v>
      </c>
      <c r="L3797">
        <v>147379.66</v>
      </c>
      <c r="M3797">
        <v>11851.34</v>
      </c>
      <c r="N3797" s="2" t="s">
        <v>234</v>
      </c>
      <c r="O3797" s="2" t="s">
        <v>235</v>
      </c>
      <c r="P3797" s="2" t="s">
        <v>6607</v>
      </c>
      <c r="Q3797" s="2" t="s">
        <v>6608</v>
      </c>
      <c r="R3797" s="2" t="s">
        <v>29</v>
      </c>
      <c r="S3797" s="2" t="s">
        <v>30</v>
      </c>
    </row>
    <row r="3798" spans="1:19">
      <c r="A3798" s="1">
        <v>45778</v>
      </c>
      <c r="B3798" s="1">
        <v>45778</v>
      </c>
      <c r="C3798">
        <v>2025</v>
      </c>
      <c r="D3798">
        <v>5</v>
      </c>
      <c r="E3798" s="2" t="s">
        <v>238</v>
      </c>
      <c r="F3798" s="2" t="s">
        <v>239</v>
      </c>
      <c r="G3798" s="2" t="s">
        <v>21</v>
      </c>
      <c r="H3798" s="2" t="s">
        <v>22</v>
      </c>
      <c r="I3798" s="2" t="s">
        <v>66</v>
      </c>
      <c r="J3798" s="2" t="s">
        <v>24</v>
      </c>
      <c r="K3798">
        <v>1723.65</v>
      </c>
      <c r="L3798">
        <v>205534.69</v>
      </c>
      <c r="M3798">
        <v>11924.39</v>
      </c>
      <c r="N3798" s="2" t="s">
        <v>240</v>
      </c>
      <c r="O3798" s="2" t="s">
        <v>241</v>
      </c>
      <c r="P3798" s="2" t="s">
        <v>6609</v>
      </c>
      <c r="Q3798" s="2" t="s">
        <v>6610</v>
      </c>
      <c r="R3798" s="2" t="s">
        <v>29</v>
      </c>
      <c r="S3798" s="2" t="s">
        <v>30</v>
      </c>
    </row>
    <row r="3799" spans="1:19">
      <c r="A3799" s="1">
        <v>45778</v>
      </c>
      <c r="B3799" s="1">
        <v>45778</v>
      </c>
      <c r="C3799">
        <v>2025</v>
      </c>
      <c r="D3799">
        <v>5</v>
      </c>
      <c r="E3799" s="2" t="s">
        <v>244</v>
      </c>
      <c r="F3799" s="2" t="s">
        <v>245</v>
      </c>
      <c r="G3799" s="2" t="s">
        <v>21</v>
      </c>
      <c r="H3799" s="2" t="s">
        <v>22</v>
      </c>
      <c r="I3799" s="2" t="s">
        <v>23</v>
      </c>
      <c r="J3799" s="2" t="s">
        <v>24</v>
      </c>
      <c r="K3799">
        <v>8215.4699999999993</v>
      </c>
      <c r="L3799">
        <v>3793102.92</v>
      </c>
      <c r="M3799">
        <v>46170.25</v>
      </c>
      <c r="N3799" s="2" t="s">
        <v>246</v>
      </c>
      <c r="O3799" s="2" t="s">
        <v>247</v>
      </c>
      <c r="P3799" s="2" t="s">
        <v>6611</v>
      </c>
      <c r="Q3799" s="2" t="s">
        <v>6612</v>
      </c>
      <c r="R3799" s="2" t="s">
        <v>29</v>
      </c>
      <c r="S3799" s="2" t="s">
        <v>30</v>
      </c>
    </row>
    <row r="3800" spans="1:19">
      <c r="A3800" s="1">
        <v>45778</v>
      </c>
      <c r="B3800" s="1">
        <v>45778</v>
      </c>
      <c r="C3800">
        <v>2025</v>
      </c>
      <c r="D3800">
        <v>5</v>
      </c>
      <c r="E3800" s="2" t="s">
        <v>250</v>
      </c>
      <c r="F3800" s="2" t="s">
        <v>251</v>
      </c>
      <c r="G3800" s="2" t="s">
        <v>21</v>
      </c>
      <c r="H3800" s="2" t="s">
        <v>22</v>
      </c>
      <c r="I3800" s="2" t="s">
        <v>66</v>
      </c>
      <c r="J3800" s="2" t="s">
        <v>24</v>
      </c>
      <c r="K3800">
        <v>152.58000000000001</v>
      </c>
      <c r="L3800">
        <v>192.18</v>
      </c>
      <c r="M3800">
        <v>125.95</v>
      </c>
      <c r="N3800" s="2" t="s">
        <v>252</v>
      </c>
      <c r="O3800" s="2" t="s">
        <v>253</v>
      </c>
      <c r="P3800" s="2" t="s">
        <v>6613</v>
      </c>
      <c r="Q3800" s="2" t="s">
        <v>6614</v>
      </c>
      <c r="R3800" s="2" t="s">
        <v>29</v>
      </c>
      <c r="S3800" s="2" t="s">
        <v>30</v>
      </c>
    </row>
    <row r="3801" spans="1:19">
      <c r="A3801" s="1">
        <v>45778</v>
      </c>
      <c r="B3801" s="1">
        <v>45778</v>
      </c>
      <c r="C3801">
        <v>2025</v>
      </c>
      <c r="D3801">
        <v>5</v>
      </c>
      <c r="E3801" s="2" t="s">
        <v>256</v>
      </c>
      <c r="F3801" s="2" t="s">
        <v>257</v>
      </c>
      <c r="G3801" s="2" t="s">
        <v>21</v>
      </c>
      <c r="H3801" s="2" t="s">
        <v>22</v>
      </c>
      <c r="I3801" s="2" t="s">
        <v>258</v>
      </c>
      <c r="J3801" s="2" t="s">
        <v>24</v>
      </c>
      <c r="K3801">
        <v>481.93</v>
      </c>
      <c r="L3801">
        <v>596238.79</v>
      </c>
      <c r="M3801">
        <v>123718.96</v>
      </c>
      <c r="N3801" s="2" t="s">
        <v>259</v>
      </c>
      <c r="O3801" s="2" t="s">
        <v>260</v>
      </c>
      <c r="P3801" s="2" t="s">
        <v>6615</v>
      </c>
      <c r="Q3801" s="2" t="s">
        <v>6616</v>
      </c>
      <c r="R3801" s="2" t="s">
        <v>29</v>
      </c>
      <c r="S3801" s="2" t="s">
        <v>30</v>
      </c>
    </row>
    <row r="3802" spans="1:19">
      <c r="A3802" s="1">
        <v>45778</v>
      </c>
      <c r="B3802" s="1">
        <v>45778</v>
      </c>
      <c r="C3802">
        <v>2025</v>
      </c>
      <c r="D3802">
        <v>5</v>
      </c>
      <c r="E3802" s="2" t="s">
        <v>263</v>
      </c>
      <c r="F3802" s="2" t="s">
        <v>264</v>
      </c>
      <c r="G3802" s="2" t="s">
        <v>21</v>
      </c>
      <c r="H3802" s="2" t="s">
        <v>22</v>
      </c>
      <c r="I3802" s="2" t="s">
        <v>258</v>
      </c>
      <c r="J3802" s="2" t="s">
        <v>24</v>
      </c>
      <c r="K3802">
        <v>0</v>
      </c>
      <c r="L3802">
        <v>0</v>
      </c>
      <c r="N3802" s="2" t="s">
        <v>265</v>
      </c>
      <c r="O3802" s="2" t="s">
        <v>266</v>
      </c>
      <c r="P3802" s="2" t="s">
        <v>639</v>
      </c>
      <c r="Q3802" s="2" t="s">
        <v>639</v>
      </c>
      <c r="R3802" s="2" t="s">
        <v>29</v>
      </c>
      <c r="S3802" s="2" t="s">
        <v>30</v>
      </c>
    </row>
    <row r="3803" spans="1:19">
      <c r="A3803" s="1">
        <v>45778</v>
      </c>
      <c r="B3803" s="1">
        <v>45778</v>
      </c>
      <c r="C3803">
        <v>2025</v>
      </c>
      <c r="D3803">
        <v>5</v>
      </c>
      <c r="E3803" s="2" t="s">
        <v>269</v>
      </c>
      <c r="F3803" s="2" t="s">
        <v>270</v>
      </c>
      <c r="G3803" s="2" t="s">
        <v>21</v>
      </c>
      <c r="H3803" s="2" t="s">
        <v>22</v>
      </c>
      <c r="I3803" s="2" t="s">
        <v>258</v>
      </c>
      <c r="J3803" s="2" t="s">
        <v>59</v>
      </c>
      <c r="K3803">
        <v>481.93</v>
      </c>
      <c r="L3803">
        <v>596238.79</v>
      </c>
      <c r="M3803">
        <v>123718.96</v>
      </c>
      <c r="N3803" s="2" t="s">
        <v>271</v>
      </c>
      <c r="O3803" s="2" t="s">
        <v>272</v>
      </c>
      <c r="P3803" s="2" t="s">
        <v>6615</v>
      </c>
      <c r="Q3803" s="2" t="s">
        <v>6616</v>
      </c>
      <c r="R3803" s="2" t="s">
        <v>29</v>
      </c>
      <c r="S3803" s="2" t="s">
        <v>30</v>
      </c>
    </row>
    <row r="3804" spans="1:19">
      <c r="A3804" s="1">
        <v>45778</v>
      </c>
      <c r="B3804" s="1">
        <v>45778</v>
      </c>
      <c r="C3804">
        <v>2025</v>
      </c>
      <c r="D3804">
        <v>5</v>
      </c>
      <c r="E3804" s="2" t="s">
        <v>275</v>
      </c>
      <c r="F3804" s="2" t="s">
        <v>276</v>
      </c>
      <c r="G3804" s="2" t="s">
        <v>39</v>
      </c>
      <c r="H3804" s="2" t="s">
        <v>22</v>
      </c>
      <c r="I3804" s="2" t="s">
        <v>40</v>
      </c>
      <c r="J3804" s="2" t="s">
        <v>24</v>
      </c>
      <c r="K3804">
        <v>0.13</v>
      </c>
      <c r="L3804">
        <v>1.26</v>
      </c>
      <c r="M3804">
        <v>969.23</v>
      </c>
      <c r="N3804" s="2" t="s">
        <v>277</v>
      </c>
      <c r="O3804" s="2" t="s">
        <v>278</v>
      </c>
      <c r="P3804" s="2" t="s">
        <v>3378</v>
      </c>
      <c r="Q3804" s="2" t="s">
        <v>267</v>
      </c>
      <c r="R3804" s="2" t="s">
        <v>29</v>
      </c>
      <c r="S3804" s="2" t="s">
        <v>30</v>
      </c>
    </row>
    <row r="3805" spans="1:19">
      <c r="A3805" s="1">
        <v>45778</v>
      </c>
      <c r="B3805" s="1">
        <v>45778</v>
      </c>
      <c r="C3805">
        <v>2025</v>
      </c>
      <c r="D3805">
        <v>5</v>
      </c>
      <c r="E3805" s="2" t="s">
        <v>281</v>
      </c>
      <c r="F3805" s="2" t="s">
        <v>282</v>
      </c>
      <c r="G3805" s="2" t="s">
        <v>39</v>
      </c>
      <c r="H3805" s="2" t="s">
        <v>22</v>
      </c>
      <c r="I3805" s="2" t="s">
        <v>40</v>
      </c>
      <c r="J3805" s="2" t="s">
        <v>24</v>
      </c>
      <c r="K3805">
        <v>0.03</v>
      </c>
      <c r="L3805">
        <v>0.31</v>
      </c>
      <c r="M3805">
        <v>1033.33</v>
      </c>
      <c r="N3805" s="2" t="s">
        <v>283</v>
      </c>
      <c r="O3805" s="2" t="s">
        <v>284</v>
      </c>
      <c r="P3805" s="2" t="s">
        <v>1247</v>
      </c>
      <c r="Q3805" s="2" t="s">
        <v>2811</v>
      </c>
      <c r="R3805" s="2" t="s">
        <v>29</v>
      </c>
      <c r="S3805" s="2" t="s">
        <v>30</v>
      </c>
    </row>
    <row r="3806" spans="1:19">
      <c r="A3806" s="1">
        <v>45778</v>
      </c>
      <c r="B3806" s="1">
        <v>45778</v>
      </c>
      <c r="C3806">
        <v>2025</v>
      </c>
      <c r="D3806">
        <v>5</v>
      </c>
      <c r="E3806" s="2" t="s">
        <v>287</v>
      </c>
      <c r="F3806" s="2" t="s">
        <v>288</v>
      </c>
      <c r="G3806" s="2" t="s">
        <v>39</v>
      </c>
      <c r="H3806" s="2" t="s">
        <v>22</v>
      </c>
      <c r="I3806" s="2" t="s">
        <v>40</v>
      </c>
      <c r="J3806" s="2" t="s">
        <v>59</v>
      </c>
      <c r="K3806">
        <v>0.15</v>
      </c>
      <c r="L3806">
        <v>1.58</v>
      </c>
      <c r="M3806">
        <v>1053.33</v>
      </c>
      <c r="N3806" s="2" t="s">
        <v>289</v>
      </c>
      <c r="O3806" s="2" t="s">
        <v>290</v>
      </c>
      <c r="P3806" s="2" t="s">
        <v>5445</v>
      </c>
      <c r="Q3806" s="2" t="s">
        <v>1644</v>
      </c>
      <c r="R3806" s="2" t="s">
        <v>29</v>
      </c>
      <c r="S3806" s="2" t="s">
        <v>30</v>
      </c>
    </row>
    <row r="3807" spans="1:19">
      <c r="A3807" s="1">
        <v>45778</v>
      </c>
      <c r="B3807" s="1">
        <v>45778</v>
      </c>
      <c r="C3807">
        <v>2025</v>
      </c>
      <c r="D3807">
        <v>5</v>
      </c>
      <c r="E3807" s="2" t="s">
        <v>293</v>
      </c>
      <c r="F3807" s="2" t="s">
        <v>294</v>
      </c>
      <c r="G3807" s="2" t="s">
        <v>21</v>
      </c>
      <c r="H3807" s="2" t="s">
        <v>22</v>
      </c>
      <c r="I3807" s="2" t="s">
        <v>295</v>
      </c>
      <c r="J3807" s="2" t="s">
        <v>24</v>
      </c>
      <c r="K3807">
        <v>981.59</v>
      </c>
      <c r="L3807">
        <v>3072.21</v>
      </c>
      <c r="M3807">
        <v>312.98</v>
      </c>
      <c r="N3807" s="2" t="s">
        <v>296</v>
      </c>
      <c r="O3807" s="2" t="s">
        <v>297</v>
      </c>
      <c r="P3807" s="2" t="s">
        <v>6617</v>
      </c>
      <c r="Q3807" s="2" t="s">
        <v>6618</v>
      </c>
      <c r="R3807" s="2" t="s">
        <v>29</v>
      </c>
      <c r="S3807" s="2" t="s">
        <v>30</v>
      </c>
    </row>
    <row r="3808" spans="1:19">
      <c r="A3808" s="1">
        <v>45778</v>
      </c>
      <c r="B3808" s="1">
        <v>45778</v>
      </c>
      <c r="C3808">
        <v>2025</v>
      </c>
      <c r="D3808">
        <v>5</v>
      </c>
      <c r="E3808" s="2" t="s">
        <v>300</v>
      </c>
      <c r="F3808" s="2" t="s">
        <v>301</v>
      </c>
      <c r="G3808" s="2" t="s">
        <v>21</v>
      </c>
      <c r="H3808" s="2" t="s">
        <v>22</v>
      </c>
      <c r="I3808" s="2" t="s">
        <v>295</v>
      </c>
      <c r="J3808" s="2" t="s">
        <v>24</v>
      </c>
      <c r="K3808">
        <v>650.54</v>
      </c>
      <c r="L3808">
        <v>981.17</v>
      </c>
      <c r="M3808">
        <v>150.82</v>
      </c>
      <c r="N3808" s="2" t="s">
        <v>302</v>
      </c>
      <c r="O3808" s="2" t="s">
        <v>303</v>
      </c>
      <c r="P3808" s="2" t="s">
        <v>6619</v>
      </c>
      <c r="Q3808" s="2" t="s">
        <v>6620</v>
      </c>
      <c r="R3808" s="2" t="s">
        <v>29</v>
      </c>
      <c r="S3808" s="2" t="s">
        <v>30</v>
      </c>
    </row>
    <row r="3809" spans="1:19">
      <c r="A3809" s="1">
        <v>45778</v>
      </c>
      <c r="B3809" s="1">
        <v>45778</v>
      </c>
      <c r="C3809">
        <v>2025</v>
      </c>
      <c r="D3809">
        <v>5</v>
      </c>
      <c r="E3809" s="2" t="s">
        <v>306</v>
      </c>
      <c r="F3809" s="2" t="s">
        <v>307</v>
      </c>
      <c r="G3809" s="2" t="s">
        <v>21</v>
      </c>
      <c r="H3809" s="2" t="s">
        <v>22</v>
      </c>
      <c r="I3809" s="2" t="s">
        <v>295</v>
      </c>
      <c r="J3809" s="2" t="s">
        <v>101</v>
      </c>
      <c r="K3809">
        <v>1632.13</v>
      </c>
      <c r="L3809">
        <v>4053.38</v>
      </c>
      <c r="M3809">
        <v>248.35</v>
      </c>
      <c r="N3809" s="2" t="s">
        <v>308</v>
      </c>
      <c r="O3809" s="2" t="s">
        <v>309</v>
      </c>
      <c r="P3809" s="2" t="s">
        <v>6621</v>
      </c>
      <c r="Q3809" s="2" t="s">
        <v>6622</v>
      </c>
      <c r="R3809" s="2" t="s">
        <v>29</v>
      </c>
      <c r="S3809" s="2" t="s">
        <v>30</v>
      </c>
    </row>
    <row r="3810" spans="1:19">
      <c r="A3810" s="1">
        <v>45778</v>
      </c>
      <c r="B3810" s="1">
        <v>45778</v>
      </c>
      <c r="C3810">
        <v>2025</v>
      </c>
      <c r="D3810">
        <v>5</v>
      </c>
      <c r="E3810" s="2" t="s">
        <v>312</v>
      </c>
      <c r="F3810" s="2" t="s">
        <v>313</v>
      </c>
      <c r="G3810" s="2" t="s">
        <v>21</v>
      </c>
      <c r="H3810" s="2" t="s">
        <v>22</v>
      </c>
      <c r="I3810" s="2" t="s">
        <v>295</v>
      </c>
      <c r="J3810" s="2" t="s">
        <v>59</v>
      </c>
      <c r="K3810">
        <v>7106.39</v>
      </c>
      <c r="L3810">
        <v>20721.5</v>
      </c>
      <c r="M3810">
        <v>291.58999999999997</v>
      </c>
      <c r="N3810" s="2" t="s">
        <v>314</v>
      </c>
      <c r="O3810" s="2" t="s">
        <v>315</v>
      </c>
      <c r="P3810" s="2" t="s">
        <v>6623</v>
      </c>
      <c r="Q3810" s="2" t="s">
        <v>6624</v>
      </c>
      <c r="R3810" s="2" t="s">
        <v>29</v>
      </c>
      <c r="S3810" s="2" t="s">
        <v>30</v>
      </c>
    </row>
    <row r="3811" spans="1:19">
      <c r="A3811" s="1">
        <v>45778</v>
      </c>
      <c r="B3811" s="1">
        <v>45778</v>
      </c>
      <c r="C3811">
        <v>2025</v>
      </c>
      <c r="D3811">
        <v>5</v>
      </c>
      <c r="E3811" s="2" t="s">
        <v>318</v>
      </c>
      <c r="F3811" s="2" t="s">
        <v>319</v>
      </c>
      <c r="G3811" s="2" t="s">
        <v>21</v>
      </c>
      <c r="H3811" s="2" t="s">
        <v>22</v>
      </c>
      <c r="I3811" s="2" t="s">
        <v>295</v>
      </c>
      <c r="J3811" s="2" t="s">
        <v>24</v>
      </c>
      <c r="K3811">
        <v>5474.25</v>
      </c>
      <c r="L3811">
        <v>16668.12</v>
      </c>
      <c r="M3811">
        <v>304.48</v>
      </c>
      <c r="N3811" s="2" t="s">
        <v>320</v>
      </c>
      <c r="O3811" s="2" t="s">
        <v>321</v>
      </c>
      <c r="P3811" s="2" t="s">
        <v>6625</v>
      </c>
      <c r="Q3811" s="2" t="s">
        <v>6626</v>
      </c>
      <c r="R3811" s="2" t="s">
        <v>29</v>
      </c>
      <c r="S3811" s="2" t="s">
        <v>30</v>
      </c>
    </row>
    <row r="3812" spans="1:19">
      <c r="A3812" s="1">
        <v>45778</v>
      </c>
      <c r="B3812" s="1">
        <v>45778</v>
      </c>
      <c r="C3812">
        <v>2025</v>
      </c>
      <c r="D3812">
        <v>5</v>
      </c>
      <c r="E3812" s="2" t="s">
        <v>324</v>
      </c>
      <c r="F3812" s="2" t="s">
        <v>325</v>
      </c>
      <c r="G3812" s="2" t="s">
        <v>21</v>
      </c>
      <c r="H3812" s="2" t="s">
        <v>22</v>
      </c>
      <c r="I3812" s="2" t="s">
        <v>23</v>
      </c>
      <c r="J3812" s="2" t="s">
        <v>59</v>
      </c>
      <c r="K3812">
        <v>203656.72</v>
      </c>
      <c r="L3812">
        <v>7146649.1600000001</v>
      </c>
      <c r="M3812">
        <v>3509.16</v>
      </c>
      <c r="N3812" s="2" t="s">
        <v>326</v>
      </c>
      <c r="O3812" s="2" t="s">
        <v>327</v>
      </c>
      <c r="P3812" s="2" t="s">
        <v>6627</v>
      </c>
      <c r="Q3812" s="2" t="s">
        <v>6628</v>
      </c>
      <c r="R3812" s="2" t="s">
        <v>29</v>
      </c>
      <c r="S3812" s="2" t="s">
        <v>30</v>
      </c>
    </row>
    <row r="3813" spans="1:19">
      <c r="A3813" s="1">
        <v>45778</v>
      </c>
      <c r="B3813" s="1">
        <v>45778</v>
      </c>
      <c r="C3813">
        <v>2025</v>
      </c>
      <c r="D3813">
        <v>5</v>
      </c>
      <c r="E3813" s="2" t="s">
        <v>330</v>
      </c>
      <c r="F3813" s="2" t="s">
        <v>331</v>
      </c>
      <c r="G3813" s="2" t="s">
        <v>21</v>
      </c>
      <c r="H3813" s="2" t="s">
        <v>332</v>
      </c>
      <c r="I3813" s="2" t="s">
        <v>333</v>
      </c>
      <c r="J3813" s="2" t="s">
        <v>24</v>
      </c>
      <c r="K3813">
        <v>273.45999999999998</v>
      </c>
      <c r="L3813">
        <v>15219872.710000001</v>
      </c>
      <c r="M3813">
        <v>5565666.9000000004</v>
      </c>
      <c r="N3813" s="2" t="s">
        <v>334</v>
      </c>
      <c r="O3813" s="2" t="s">
        <v>335</v>
      </c>
      <c r="P3813" s="2" t="s">
        <v>6629</v>
      </c>
      <c r="Q3813" s="2" t="s">
        <v>6630</v>
      </c>
      <c r="R3813" s="2" t="s">
        <v>29</v>
      </c>
      <c r="S3813" s="2" t="s">
        <v>30</v>
      </c>
    </row>
    <row r="3814" spans="1:19">
      <c r="A3814" s="1">
        <v>45778</v>
      </c>
      <c r="B3814" s="1">
        <v>45778</v>
      </c>
      <c r="C3814">
        <v>2025</v>
      </c>
      <c r="D3814">
        <v>5</v>
      </c>
      <c r="E3814" s="2" t="s">
        <v>338</v>
      </c>
      <c r="F3814" s="2" t="s">
        <v>339</v>
      </c>
      <c r="G3814" s="2" t="s">
        <v>21</v>
      </c>
      <c r="H3814" s="2" t="s">
        <v>332</v>
      </c>
      <c r="I3814" s="2" t="s">
        <v>333</v>
      </c>
      <c r="J3814" s="2" t="s">
        <v>24</v>
      </c>
      <c r="K3814">
        <v>1.25</v>
      </c>
      <c r="L3814">
        <v>1793897.38</v>
      </c>
      <c r="M3814">
        <v>143511790.40000001</v>
      </c>
      <c r="N3814" s="2" t="s">
        <v>340</v>
      </c>
      <c r="O3814" s="2" t="s">
        <v>341</v>
      </c>
      <c r="P3814" s="2" t="s">
        <v>4212</v>
      </c>
      <c r="Q3814" s="2" t="s">
        <v>6631</v>
      </c>
      <c r="R3814" s="2" t="s">
        <v>29</v>
      </c>
      <c r="S3814" s="2" t="s">
        <v>30</v>
      </c>
    </row>
    <row r="3815" spans="1:19">
      <c r="A3815" s="1">
        <v>45778</v>
      </c>
      <c r="B3815" s="1">
        <v>45778</v>
      </c>
      <c r="C3815">
        <v>2025</v>
      </c>
      <c r="D3815">
        <v>5</v>
      </c>
      <c r="E3815" s="2" t="s">
        <v>344</v>
      </c>
      <c r="F3815" s="2" t="s">
        <v>345</v>
      </c>
      <c r="G3815" s="2" t="s">
        <v>21</v>
      </c>
      <c r="H3815" s="2" t="s">
        <v>332</v>
      </c>
      <c r="I3815" s="2" t="s">
        <v>333</v>
      </c>
      <c r="J3815" s="2" t="s">
        <v>59</v>
      </c>
      <c r="K3815">
        <v>274.70999999999998</v>
      </c>
      <c r="L3815">
        <v>17013770.09</v>
      </c>
      <c r="M3815">
        <v>6193356.6600000001</v>
      </c>
      <c r="N3815" s="2" t="s">
        <v>346</v>
      </c>
      <c r="O3815" s="2" t="s">
        <v>347</v>
      </c>
      <c r="P3815" s="2" t="s">
        <v>6632</v>
      </c>
      <c r="Q3815" s="2" t="s">
        <v>6633</v>
      </c>
      <c r="R3815" s="2" t="s">
        <v>29</v>
      </c>
      <c r="S3815" s="2" t="s">
        <v>30</v>
      </c>
    </row>
    <row r="3816" spans="1:19">
      <c r="A3816" s="1">
        <v>45778</v>
      </c>
      <c r="B3816" s="1">
        <v>45778</v>
      </c>
      <c r="C3816">
        <v>2025</v>
      </c>
      <c r="D3816">
        <v>5</v>
      </c>
      <c r="E3816" s="2" t="s">
        <v>350</v>
      </c>
      <c r="F3816" s="2" t="s">
        <v>351</v>
      </c>
      <c r="G3816" s="2" t="s">
        <v>21</v>
      </c>
      <c r="H3816" s="2" t="s">
        <v>22</v>
      </c>
      <c r="I3816" s="2" t="s">
        <v>352</v>
      </c>
      <c r="J3816" s="2" t="s">
        <v>353</v>
      </c>
      <c r="K3816">
        <v>218760.95999999999</v>
      </c>
      <c r="L3816">
        <v>24614318.370000001</v>
      </c>
      <c r="M3816">
        <v>11251.7</v>
      </c>
      <c r="N3816" s="2" t="s">
        <v>354</v>
      </c>
      <c r="O3816" s="2" t="s">
        <v>355</v>
      </c>
      <c r="P3816" s="2" t="s">
        <v>6634</v>
      </c>
      <c r="Q3816" s="2" t="s">
        <v>6635</v>
      </c>
      <c r="R3816" s="2" t="s">
        <v>29</v>
      </c>
      <c r="S3816" s="2" t="s">
        <v>30</v>
      </c>
    </row>
    <row r="3817" spans="1:19">
      <c r="A3817" s="1">
        <v>45778</v>
      </c>
      <c r="B3817" s="1">
        <v>45778</v>
      </c>
      <c r="C3817">
        <v>2025</v>
      </c>
      <c r="D3817">
        <v>5</v>
      </c>
      <c r="E3817" s="2" t="s">
        <v>358</v>
      </c>
      <c r="F3817" s="2" t="s">
        <v>359</v>
      </c>
      <c r="G3817" s="2" t="s">
        <v>21</v>
      </c>
      <c r="H3817" s="2" t="s">
        <v>22</v>
      </c>
      <c r="I3817" s="2" t="s">
        <v>352</v>
      </c>
      <c r="J3817" s="2" t="s">
        <v>353</v>
      </c>
      <c r="K3817">
        <v>219242.89</v>
      </c>
      <c r="L3817">
        <v>25210557.16</v>
      </c>
      <c r="M3817">
        <v>11498.92</v>
      </c>
      <c r="N3817" s="2" t="s">
        <v>360</v>
      </c>
      <c r="O3817" s="2" t="s">
        <v>361</v>
      </c>
      <c r="P3817" s="2" t="s">
        <v>6636</v>
      </c>
      <c r="Q3817" s="2" t="s">
        <v>6637</v>
      </c>
      <c r="R3817" s="2" t="s">
        <v>29</v>
      </c>
      <c r="S3817" s="2" t="s">
        <v>30</v>
      </c>
    </row>
    <row r="3818" spans="1:19">
      <c r="A3818" s="1">
        <v>45778</v>
      </c>
      <c r="B3818" s="1">
        <v>45778</v>
      </c>
      <c r="C3818">
        <v>2025</v>
      </c>
      <c r="D3818">
        <v>5</v>
      </c>
      <c r="E3818" s="2" t="s">
        <v>364</v>
      </c>
      <c r="F3818" s="2" t="s">
        <v>365</v>
      </c>
      <c r="G3818" s="2" t="s">
        <v>21</v>
      </c>
      <c r="H3818" s="2" t="s">
        <v>22</v>
      </c>
      <c r="I3818" s="2" t="s">
        <v>352</v>
      </c>
      <c r="J3818" s="2" t="s">
        <v>353</v>
      </c>
      <c r="K3818">
        <v>218968.18</v>
      </c>
      <c r="L3818">
        <v>8196787.0599999996</v>
      </c>
      <c r="M3818">
        <v>3743.37</v>
      </c>
      <c r="N3818" s="2" t="s">
        <v>366</v>
      </c>
      <c r="O3818" s="2" t="s">
        <v>367</v>
      </c>
      <c r="P3818" s="2" t="s">
        <v>6638</v>
      </c>
      <c r="Q3818" s="2" t="s">
        <v>6639</v>
      </c>
      <c r="R3818" s="2" t="s">
        <v>29</v>
      </c>
      <c r="S3818" s="2" t="s">
        <v>30</v>
      </c>
    </row>
    <row r="3819" spans="1:19">
      <c r="A3819" s="1">
        <v>45778</v>
      </c>
      <c r="B3819" s="1">
        <v>45778</v>
      </c>
      <c r="C3819">
        <v>2025</v>
      </c>
      <c r="D3819">
        <v>5</v>
      </c>
      <c r="E3819" s="2" t="s">
        <v>370</v>
      </c>
      <c r="F3819" s="2" t="s">
        <v>371</v>
      </c>
      <c r="G3819" s="2" t="s">
        <v>21</v>
      </c>
      <c r="H3819" s="2" t="s">
        <v>22</v>
      </c>
      <c r="I3819" s="2" t="s">
        <v>23</v>
      </c>
      <c r="J3819" s="2" t="s">
        <v>24</v>
      </c>
      <c r="K3819">
        <v>186774.6</v>
      </c>
      <c r="L3819">
        <v>2514297.0099999998</v>
      </c>
      <c r="M3819">
        <v>1346.17</v>
      </c>
      <c r="N3819" s="2" t="s">
        <v>372</v>
      </c>
      <c r="O3819" s="2" t="s">
        <v>373</v>
      </c>
      <c r="P3819" s="2" t="s">
        <v>6640</v>
      </c>
      <c r="Q3819" s="2" t="s">
        <v>6641</v>
      </c>
      <c r="R3819" s="2" t="s">
        <v>29</v>
      </c>
      <c r="S3819" s="2" t="s">
        <v>30</v>
      </c>
    </row>
    <row r="3820" spans="1:19">
      <c r="A3820" s="1">
        <v>45778</v>
      </c>
      <c r="B3820" s="1">
        <v>45778</v>
      </c>
      <c r="C3820">
        <v>2025</v>
      </c>
      <c r="D3820">
        <v>5</v>
      </c>
      <c r="E3820" s="2" t="s">
        <v>376</v>
      </c>
      <c r="F3820" s="2" t="s">
        <v>377</v>
      </c>
      <c r="G3820" s="2" t="s">
        <v>21</v>
      </c>
      <c r="H3820" s="2" t="s">
        <v>22</v>
      </c>
      <c r="I3820" s="2" t="s">
        <v>23</v>
      </c>
      <c r="J3820" s="2" t="s">
        <v>378</v>
      </c>
      <c r="K3820">
        <v>1.79</v>
      </c>
      <c r="L3820">
        <v>32.69</v>
      </c>
      <c r="M3820">
        <v>1826.26</v>
      </c>
      <c r="N3820" s="2" t="s">
        <v>379</v>
      </c>
      <c r="O3820" s="2" t="s">
        <v>380</v>
      </c>
      <c r="P3820" s="2" t="s">
        <v>3918</v>
      </c>
      <c r="Q3820" s="2" t="s">
        <v>6642</v>
      </c>
      <c r="R3820" s="2" t="s">
        <v>29</v>
      </c>
      <c r="S3820" s="2" t="s">
        <v>30</v>
      </c>
    </row>
    <row r="3821" spans="1:19">
      <c r="A3821" s="1">
        <v>45809</v>
      </c>
      <c r="B3821" s="1">
        <v>45809</v>
      </c>
      <c r="C3821">
        <v>2025</v>
      </c>
      <c r="D3821">
        <v>6</v>
      </c>
      <c r="E3821" s="2" t="s">
        <v>19</v>
      </c>
      <c r="F3821" s="2" t="s">
        <v>20</v>
      </c>
      <c r="G3821" s="2" t="s">
        <v>21</v>
      </c>
      <c r="H3821" s="2" t="s">
        <v>22</v>
      </c>
      <c r="I3821" s="2" t="s">
        <v>23</v>
      </c>
      <c r="J3821" s="2" t="s">
        <v>24</v>
      </c>
      <c r="K3821">
        <v>0.3</v>
      </c>
      <c r="L3821">
        <v>15.55</v>
      </c>
      <c r="M3821">
        <v>5183.33</v>
      </c>
      <c r="N3821" s="2" t="s">
        <v>25</v>
      </c>
      <c r="O3821" s="2" t="s">
        <v>26</v>
      </c>
      <c r="P3821" s="2" t="s">
        <v>2807</v>
      </c>
      <c r="Q3821" s="2" t="s">
        <v>6643</v>
      </c>
      <c r="R3821" s="2" t="s">
        <v>29</v>
      </c>
      <c r="S3821" s="2" t="s">
        <v>30</v>
      </c>
    </row>
    <row r="3822" spans="1:19">
      <c r="A3822" s="1">
        <v>45809</v>
      </c>
      <c r="B3822" s="1">
        <v>45809</v>
      </c>
      <c r="C3822">
        <v>2025</v>
      </c>
      <c r="D3822">
        <v>6</v>
      </c>
      <c r="E3822" s="2" t="s">
        <v>31</v>
      </c>
      <c r="F3822" s="2" t="s">
        <v>32</v>
      </c>
      <c r="G3822" s="2" t="s">
        <v>21</v>
      </c>
      <c r="H3822" s="2" t="s">
        <v>22</v>
      </c>
      <c r="I3822" s="2" t="s">
        <v>23</v>
      </c>
      <c r="J3822" s="2" t="s">
        <v>24</v>
      </c>
      <c r="K3822">
        <v>2841.94</v>
      </c>
      <c r="L3822">
        <v>48246.63</v>
      </c>
      <c r="M3822">
        <v>1697.67</v>
      </c>
      <c r="N3822" s="2" t="s">
        <v>33</v>
      </c>
      <c r="O3822" s="2" t="s">
        <v>34</v>
      </c>
      <c r="P3822" s="2" t="s">
        <v>6644</v>
      </c>
      <c r="Q3822" s="2" t="s">
        <v>6645</v>
      </c>
      <c r="R3822" s="2" t="s">
        <v>29</v>
      </c>
      <c r="S3822" s="2" t="s">
        <v>30</v>
      </c>
    </row>
    <row r="3823" spans="1:19">
      <c r="A3823" s="1">
        <v>45809</v>
      </c>
      <c r="B3823" s="1">
        <v>45809</v>
      </c>
      <c r="C3823">
        <v>2025</v>
      </c>
      <c r="D3823">
        <v>6</v>
      </c>
      <c r="E3823" s="2" t="s">
        <v>37</v>
      </c>
      <c r="F3823" s="2" t="s">
        <v>38</v>
      </c>
      <c r="G3823" s="2" t="s">
        <v>39</v>
      </c>
      <c r="H3823" s="2" t="s">
        <v>22</v>
      </c>
      <c r="I3823" s="2" t="s">
        <v>40</v>
      </c>
      <c r="J3823" s="2" t="s">
        <v>24</v>
      </c>
      <c r="K3823">
        <v>6.28</v>
      </c>
      <c r="L3823">
        <v>344.85</v>
      </c>
      <c r="M3823">
        <v>5491.24</v>
      </c>
      <c r="N3823" s="2" t="s">
        <v>41</v>
      </c>
      <c r="O3823" s="2" t="s">
        <v>42</v>
      </c>
      <c r="P3823" s="2" t="s">
        <v>6646</v>
      </c>
      <c r="Q3823" s="2" t="s">
        <v>6647</v>
      </c>
      <c r="R3823" s="2" t="s">
        <v>29</v>
      </c>
      <c r="S3823" s="2" t="s">
        <v>30</v>
      </c>
    </row>
    <row r="3824" spans="1:19">
      <c r="A3824" s="1">
        <v>45809</v>
      </c>
      <c r="B3824" s="1">
        <v>45809</v>
      </c>
      <c r="C3824">
        <v>2025</v>
      </c>
      <c r="D3824">
        <v>6</v>
      </c>
      <c r="E3824" s="2" t="s">
        <v>45</v>
      </c>
      <c r="F3824" s="2" t="s">
        <v>46</v>
      </c>
      <c r="G3824" s="2" t="s">
        <v>39</v>
      </c>
      <c r="H3824" s="2" t="s">
        <v>22</v>
      </c>
      <c r="I3824" s="2" t="s">
        <v>40</v>
      </c>
      <c r="J3824" s="2" t="s">
        <v>24</v>
      </c>
      <c r="K3824">
        <v>4358.58</v>
      </c>
      <c r="L3824">
        <v>228734.67</v>
      </c>
      <c r="M3824">
        <v>5247.92</v>
      </c>
      <c r="N3824" s="2" t="s">
        <v>47</v>
      </c>
      <c r="O3824" s="2" t="s">
        <v>48</v>
      </c>
      <c r="P3824" s="2" t="s">
        <v>6648</v>
      </c>
      <c r="Q3824" s="2" t="s">
        <v>6649</v>
      </c>
      <c r="R3824" s="2" t="s">
        <v>29</v>
      </c>
      <c r="S3824" s="2" t="s">
        <v>30</v>
      </c>
    </row>
    <row r="3825" spans="1:19">
      <c r="A3825" s="1">
        <v>45809</v>
      </c>
      <c r="B3825" s="1">
        <v>45809</v>
      </c>
      <c r="C3825">
        <v>2025</v>
      </c>
      <c r="D3825">
        <v>6</v>
      </c>
      <c r="E3825" s="2" t="s">
        <v>51</v>
      </c>
      <c r="F3825" s="2" t="s">
        <v>52</v>
      </c>
      <c r="G3825" s="2" t="s">
        <v>39</v>
      </c>
      <c r="H3825" s="2" t="s">
        <v>22</v>
      </c>
      <c r="I3825" s="2" t="s">
        <v>40</v>
      </c>
      <c r="J3825" s="2" t="s">
        <v>24</v>
      </c>
      <c r="K3825">
        <v>17.22</v>
      </c>
      <c r="L3825">
        <v>827.1</v>
      </c>
      <c r="M3825">
        <v>4803.1400000000003</v>
      </c>
      <c r="N3825" s="2" t="s">
        <v>53</v>
      </c>
      <c r="O3825" s="2" t="s">
        <v>54</v>
      </c>
      <c r="P3825" s="2" t="s">
        <v>6650</v>
      </c>
      <c r="Q3825" s="2" t="s">
        <v>6651</v>
      </c>
      <c r="R3825" s="2" t="s">
        <v>29</v>
      </c>
      <c r="S3825" s="2" t="s">
        <v>30</v>
      </c>
    </row>
    <row r="3826" spans="1:19">
      <c r="A3826" s="1">
        <v>45809</v>
      </c>
      <c r="B3826" s="1">
        <v>45809</v>
      </c>
      <c r="C3826">
        <v>2025</v>
      </c>
      <c r="D3826">
        <v>6</v>
      </c>
      <c r="E3826" s="2" t="s">
        <v>57</v>
      </c>
      <c r="F3826" s="2" t="s">
        <v>58</v>
      </c>
      <c r="G3826" s="2" t="s">
        <v>39</v>
      </c>
      <c r="H3826" s="2" t="s">
        <v>22</v>
      </c>
      <c r="I3826" s="2" t="s">
        <v>40</v>
      </c>
      <c r="J3826" s="2" t="s">
        <v>59</v>
      </c>
      <c r="K3826">
        <v>4382.08</v>
      </c>
      <c r="L3826">
        <v>229906.63</v>
      </c>
      <c r="M3826">
        <v>5246.52</v>
      </c>
      <c r="N3826" s="2" t="s">
        <v>60</v>
      </c>
      <c r="O3826" s="2" t="s">
        <v>61</v>
      </c>
      <c r="P3826" s="2" t="s">
        <v>6652</v>
      </c>
      <c r="Q3826" s="2" t="s">
        <v>6653</v>
      </c>
      <c r="R3826" s="2" t="s">
        <v>29</v>
      </c>
      <c r="S3826" s="2" t="s">
        <v>30</v>
      </c>
    </row>
    <row r="3827" spans="1:19">
      <c r="A3827" s="1">
        <v>45809</v>
      </c>
      <c r="B3827" s="1">
        <v>45809</v>
      </c>
      <c r="C3827">
        <v>2025</v>
      </c>
      <c r="D3827">
        <v>6</v>
      </c>
      <c r="E3827" s="2" t="s">
        <v>64</v>
      </c>
      <c r="F3827" s="2" t="s">
        <v>65</v>
      </c>
      <c r="G3827" s="2" t="s">
        <v>21</v>
      </c>
      <c r="H3827" s="2" t="s">
        <v>22</v>
      </c>
      <c r="I3827" s="2" t="s">
        <v>66</v>
      </c>
      <c r="J3827" s="2" t="s">
        <v>24</v>
      </c>
      <c r="K3827">
        <v>18.27</v>
      </c>
      <c r="L3827">
        <v>614.61</v>
      </c>
      <c r="M3827">
        <v>3364.04</v>
      </c>
      <c r="N3827" s="2" t="s">
        <v>67</v>
      </c>
      <c r="O3827" s="2" t="s">
        <v>68</v>
      </c>
      <c r="P3827" s="2" t="s">
        <v>6654</v>
      </c>
      <c r="Q3827" s="2" t="s">
        <v>6655</v>
      </c>
      <c r="R3827" s="2" t="s">
        <v>29</v>
      </c>
      <c r="S3827" s="2" t="s">
        <v>30</v>
      </c>
    </row>
    <row r="3828" spans="1:19">
      <c r="A3828" s="1">
        <v>45809</v>
      </c>
      <c r="B3828" s="1">
        <v>45809</v>
      </c>
      <c r="C3828">
        <v>2025</v>
      </c>
      <c r="D3828">
        <v>6</v>
      </c>
      <c r="E3828" s="2" t="s">
        <v>71</v>
      </c>
      <c r="F3828" s="2" t="s">
        <v>72</v>
      </c>
      <c r="G3828" s="2" t="s">
        <v>21</v>
      </c>
      <c r="H3828" s="2" t="s">
        <v>22</v>
      </c>
      <c r="I3828" s="2" t="s">
        <v>73</v>
      </c>
      <c r="J3828" s="2" t="s">
        <v>59</v>
      </c>
      <c r="K3828">
        <v>5672.82</v>
      </c>
      <c r="L3828">
        <v>218551.55</v>
      </c>
      <c r="M3828">
        <v>3852.61</v>
      </c>
      <c r="N3828" s="2" t="s">
        <v>74</v>
      </c>
      <c r="O3828" s="2" t="s">
        <v>75</v>
      </c>
      <c r="P3828" s="2" t="s">
        <v>6656</v>
      </c>
      <c r="Q3828" s="2" t="s">
        <v>6657</v>
      </c>
      <c r="R3828" s="2" t="s">
        <v>29</v>
      </c>
      <c r="S3828" s="2" t="s">
        <v>30</v>
      </c>
    </row>
    <row r="3829" spans="1:19">
      <c r="A3829" s="1">
        <v>45809</v>
      </c>
      <c r="B3829" s="1">
        <v>45809</v>
      </c>
      <c r="C3829">
        <v>2025</v>
      </c>
      <c r="D3829">
        <v>6</v>
      </c>
      <c r="E3829" s="2" t="s">
        <v>78</v>
      </c>
      <c r="F3829" s="2" t="s">
        <v>79</v>
      </c>
      <c r="G3829" s="2" t="s">
        <v>80</v>
      </c>
      <c r="H3829" s="2" t="s">
        <v>81</v>
      </c>
      <c r="I3829" s="2" t="s">
        <v>82</v>
      </c>
      <c r="J3829" s="2" t="s">
        <v>24</v>
      </c>
      <c r="K3829">
        <v>3.39</v>
      </c>
      <c r="L3829">
        <v>11968142.75</v>
      </c>
      <c r="M3829">
        <v>353042559</v>
      </c>
      <c r="N3829" s="2" t="s">
        <v>83</v>
      </c>
      <c r="O3829" s="2" t="s">
        <v>84</v>
      </c>
      <c r="P3829" s="2" t="s">
        <v>3474</v>
      </c>
      <c r="Q3829" s="2" t="s">
        <v>6658</v>
      </c>
      <c r="R3829" s="2" t="s">
        <v>29</v>
      </c>
      <c r="S3829" s="2" t="s">
        <v>30</v>
      </c>
    </row>
    <row r="3830" spans="1:19">
      <c r="A3830" s="1">
        <v>45809</v>
      </c>
      <c r="B3830" s="1">
        <v>45809</v>
      </c>
      <c r="C3830">
        <v>2025</v>
      </c>
      <c r="D3830">
        <v>6</v>
      </c>
      <c r="E3830" s="2" t="s">
        <v>87</v>
      </c>
      <c r="F3830" s="2" t="s">
        <v>88</v>
      </c>
      <c r="G3830" s="2" t="s">
        <v>80</v>
      </c>
      <c r="H3830" s="2" t="s">
        <v>81</v>
      </c>
      <c r="I3830" s="2" t="s">
        <v>82</v>
      </c>
      <c r="J3830" s="2" t="s">
        <v>24</v>
      </c>
      <c r="K3830">
        <v>1.05</v>
      </c>
      <c r="L3830">
        <v>1611828.51</v>
      </c>
      <c r="M3830">
        <v>153507477.13999999</v>
      </c>
      <c r="N3830" s="2" t="s">
        <v>89</v>
      </c>
      <c r="O3830" s="2" t="s">
        <v>90</v>
      </c>
      <c r="P3830" s="2" t="s">
        <v>2404</v>
      </c>
      <c r="Q3830" s="2" t="s">
        <v>6659</v>
      </c>
      <c r="R3830" s="2" t="s">
        <v>29</v>
      </c>
      <c r="S3830" s="2" t="s">
        <v>30</v>
      </c>
    </row>
    <row r="3831" spans="1:19">
      <c r="A3831" s="1">
        <v>45809</v>
      </c>
      <c r="B3831" s="1">
        <v>45809</v>
      </c>
      <c r="C3831">
        <v>2025</v>
      </c>
      <c r="D3831">
        <v>6</v>
      </c>
      <c r="E3831" s="2" t="s">
        <v>93</v>
      </c>
      <c r="F3831" s="2" t="s">
        <v>94</v>
      </c>
      <c r="G3831" s="2" t="s">
        <v>80</v>
      </c>
      <c r="H3831" s="2" t="s">
        <v>81</v>
      </c>
      <c r="I3831" s="2" t="s">
        <v>82</v>
      </c>
      <c r="J3831" s="2" t="s">
        <v>24</v>
      </c>
      <c r="K3831">
        <v>0.51</v>
      </c>
      <c r="L3831">
        <v>7894090.5099999998</v>
      </c>
      <c r="M3831">
        <v>1547860884.3099999</v>
      </c>
      <c r="N3831" s="2" t="s">
        <v>95</v>
      </c>
      <c r="O3831" s="2" t="s">
        <v>96</v>
      </c>
      <c r="P3831" s="2" t="s">
        <v>1646</v>
      </c>
      <c r="Q3831" s="2" t="s">
        <v>6660</v>
      </c>
      <c r="R3831" s="2" t="s">
        <v>29</v>
      </c>
      <c r="S3831" s="2" t="s">
        <v>30</v>
      </c>
    </row>
    <row r="3832" spans="1:19">
      <c r="A3832" s="1">
        <v>45809</v>
      </c>
      <c r="B3832" s="1">
        <v>45809</v>
      </c>
      <c r="C3832">
        <v>2025</v>
      </c>
      <c r="D3832">
        <v>6</v>
      </c>
      <c r="E3832" s="2" t="s">
        <v>99</v>
      </c>
      <c r="F3832" s="2" t="s">
        <v>100</v>
      </c>
      <c r="G3832" s="2" t="s">
        <v>80</v>
      </c>
      <c r="H3832" s="2" t="s">
        <v>81</v>
      </c>
      <c r="I3832" s="2" t="s">
        <v>82</v>
      </c>
      <c r="J3832" s="2" t="s">
        <v>101</v>
      </c>
      <c r="K3832">
        <v>1.77</v>
      </c>
      <c r="L3832">
        <v>17946467.82</v>
      </c>
      <c r="M3832">
        <v>1013924735.59</v>
      </c>
      <c r="N3832" s="2" t="s">
        <v>102</v>
      </c>
      <c r="O3832" s="2" t="s">
        <v>103</v>
      </c>
      <c r="P3832" s="2" t="s">
        <v>254</v>
      </c>
      <c r="Q3832" s="2" t="s">
        <v>6661</v>
      </c>
      <c r="R3832" s="2" t="s">
        <v>29</v>
      </c>
      <c r="S3832" s="2" t="s">
        <v>30</v>
      </c>
    </row>
    <row r="3833" spans="1:19">
      <c r="A3833" s="1">
        <v>45809</v>
      </c>
      <c r="B3833" s="1">
        <v>45809</v>
      </c>
      <c r="C3833">
        <v>2025</v>
      </c>
      <c r="D3833">
        <v>6</v>
      </c>
      <c r="E3833" s="2" t="s">
        <v>106</v>
      </c>
      <c r="F3833" s="2" t="s">
        <v>107</v>
      </c>
      <c r="G3833" s="2" t="s">
        <v>80</v>
      </c>
      <c r="H3833" s="2" t="s">
        <v>81</v>
      </c>
      <c r="I3833" s="2" t="s">
        <v>82</v>
      </c>
      <c r="J3833" s="2" t="s">
        <v>24</v>
      </c>
      <c r="K3833">
        <v>0.21</v>
      </c>
      <c r="L3833">
        <v>8440548.8000000007</v>
      </c>
      <c r="M3833">
        <v>4019308952.3800001</v>
      </c>
      <c r="N3833" s="2" t="s">
        <v>108</v>
      </c>
      <c r="O3833" s="2" t="s">
        <v>109</v>
      </c>
      <c r="P3833" s="2" t="s">
        <v>403</v>
      </c>
      <c r="Q3833" s="2" t="s">
        <v>6662</v>
      </c>
      <c r="R3833" s="2" t="s">
        <v>29</v>
      </c>
      <c r="S3833" s="2" t="s">
        <v>30</v>
      </c>
    </row>
    <row r="3834" spans="1:19">
      <c r="A3834" s="1">
        <v>45809</v>
      </c>
      <c r="B3834" s="1">
        <v>45809</v>
      </c>
      <c r="C3834">
        <v>2025</v>
      </c>
      <c r="D3834">
        <v>6</v>
      </c>
      <c r="E3834" s="2" t="s">
        <v>111</v>
      </c>
      <c r="F3834" s="2" t="s">
        <v>112</v>
      </c>
      <c r="G3834" s="2" t="s">
        <v>80</v>
      </c>
      <c r="H3834" s="2" t="s">
        <v>81</v>
      </c>
      <c r="I3834" s="2" t="s">
        <v>82</v>
      </c>
      <c r="J3834" s="2" t="s">
        <v>24</v>
      </c>
      <c r="K3834">
        <v>0.14000000000000001</v>
      </c>
      <c r="L3834">
        <v>1045116.63</v>
      </c>
      <c r="M3834">
        <v>746511878.57000005</v>
      </c>
      <c r="N3834" s="2" t="s">
        <v>113</v>
      </c>
      <c r="O3834" s="2" t="s">
        <v>114</v>
      </c>
      <c r="P3834" s="2" t="s">
        <v>1187</v>
      </c>
      <c r="Q3834" s="2" t="s">
        <v>6663</v>
      </c>
      <c r="R3834" s="2" t="s">
        <v>29</v>
      </c>
      <c r="S3834" s="2" t="s">
        <v>30</v>
      </c>
    </row>
    <row r="3835" spans="1:19">
      <c r="A3835" s="1">
        <v>45809</v>
      </c>
      <c r="B3835" s="1">
        <v>45809</v>
      </c>
      <c r="C3835">
        <v>2025</v>
      </c>
      <c r="D3835">
        <v>6</v>
      </c>
      <c r="E3835" s="2" t="s">
        <v>117</v>
      </c>
      <c r="F3835" s="2" t="s">
        <v>118</v>
      </c>
      <c r="G3835" s="2" t="s">
        <v>80</v>
      </c>
      <c r="H3835" s="2" t="s">
        <v>81</v>
      </c>
      <c r="I3835" s="2" t="s">
        <v>82</v>
      </c>
      <c r="J3835" s="2" t="s">
        <v>59</v>
      </c>
      <c r="K3835">
        <v>5.3</v>
      </c>
      <c r="L3835">
        <v>30959727.199999999</v>
      </c>
      <c r="M3835">
        <v>584145796.23000002</v>
      </c>
      <c r="N3835" s="2" t="s">
        <v>119</v>
      </c>
      <c r="O3835" s="2" t="s">
        <v>120</v>
      </c>
      <c r="P3835" s="2" t="s">
        <v>6664</v>
      </c>
      <c r="Q3835" s="2" t="s">
        <v>6665</v>
      </c>
      <c r="R3835" s="2" t="s">
        <v>29</v>
      </c>
      <c r="S3835" s="2" t="s">
        <v>30</v>
      </c>
    </row>
    <row r="3836" spans="1:19">
      <c r="A3836" s="1">
        <v>45809</v>
      </c>
      <c r="B3836" s="1">
        <v>45809</v>
      </c>
      <c r="C3836">
        <v>2025</v>
      </c>
      <c r="D3836">
        <v>6</v>
      </c>
      <c r="E3836" s="2" t="s">
        <v>123</v>
      </c>
      <c r="F3836" s="2" t="s">
        <v>124</v>
      </c>
      <c r="G3836" s="2" t="s">
        <v>21</v>
      </c>
      <c r="H3836" s="2" t="s">
        <v>22</v>
      </c>
      <c r="I3836" s="2" t="s">
        <v>73</v>
      </c>
      <c r="J3836" s="2" t="s">
        <v>24</v>
      </c>
      <c r="K3836">
        <v>2248.41</v>
      </c>
      <c r="L3836">
        <v>115620.35</v>
      </c>
      <c r="M3836">
        <v>5142.32</v>
      </c>
      <c r="N3836" s="2" t="s">
        <v>125</v>
      </c>
      <c r="O3836" s="2" t="s">
        <v>126</v>
      </c>
      <c r="P3836" s="2" t="s">
        <v>6666</v>
      </c>
      <c r="Q3836" s="2" t="s">
        <v>6667</v>
      </c>
      <c r="R3836" s="2" t="s">
        <v>29</v>
      </c>
      <c r="S3836" s="2" t="s">
        <v>30</v>
      </c>
    </row>
    <row r="3837" spans="1:19">
      <c r="A3837" s="1">
        <v>45809</v>
      </c>
      <c r="B3837" s="1">
        <v>45809</v>
      </c>
      <c r="C3837">
        <v>2025</v>
      </c>
      <c r="D3837">
        <v>6</v>
      </c>
      <c r="E3837" s="2" t="s">
        <v>129</v>
      </c>
      <c r="F3837" s="2" t="s">
        <v>130</v>
      </c>
      <c r="G3837" s="2" t="s">
        <v>21</v>
      </c>
      <c r="H3837" s="2" t="s">
        <v>22</v>
      </c>
      <c r="I3837" s="2" t="s">
        <v>73</v>
      </c>
      <c r="J3837" s="2" t="s">
        <v>24</v>
      </c>
      <c r="K3837">
        <v>2338.6999999999998</v>
      </c>
      <c r="L3837">
        <v>67467.789999999994</v>
      </c>
      <c r="M3837">
        <v>2884.84</v>
      </c>
      <c r="N3837" s="2" t="s">
        <v>131</v>
      </c>
      <c r="O3837" s="2" t="s">
        <v>132</v>
      </c>
      <c r="P3837" s="2" t="s">
        <v>6668</v>
      </c>
      <c r="Q3837" s="2" t="s">
        <v>6669</v>
      </c>
      <c r="R3837" s="2" t="s">
        <v>29</v>
      </c>
      <c r="S3837" s="2" t="s">
        <v>30</v>
      </c>
    </row>
    <row r="3838" spans="1:19">
      <c r="A3838" s="1">
        <v>45809</v>
      </c>
      <c r="B3838" s="1">
        <v>45809</v>
      </c>
      <c r="C3838">
        <v>2025</v>
      </c>
      <c r="D3838">
        <v>6</v>
      </c>
      <c r="E3838" s="2" t="s">
        <v>135</v>
      </c>
      <c r="F3838" s="2" t="s">
        <v>136</v>
      </c>
      <c r="G3838" s="2" t="s">
        <v>21</v>
      </c>
      <c r="H3838" s="2" t="s">
        <v>22</v>
      </c>
      <c r="I3838" s="2" t="s">
        <v>73</v>
      </c>
      <c r="J3838" s="2" t="s">
        <v>101</v>
      </c>
      <c r="K3838">
        <v>4587.1000000000004</v>
      </c>
      <c r="L3838">
        <v>183088.14</v>
      </c>
      <c r="M3838">
        <v>3991.37</v>
      </c>
      <c r="N3838" s="2" t="s">
        <v>137</v>
      </c>
      <c r="O3838" s="2" t="s">
        <v>138</v>
      </c>
      <c r="P3838" s="2" t="s">
        <v>6670</v>
      </c>
      <c r="Q3838" s="2" t="s">
        <v>6671</v>
      </c>
      <c r="R3838" s="2" t="s">
        <v>29</v>
      </c>
      <c r="S3838" s="2" t="s">
        <v>30</v>
      </c>
    </row>
    <row r="3839" spans="1:19">
      <c r="A3839" s="1">
        <v>45809</v>
      </c>
      <c r="B3839" s="1">
        <v>45809</v>
      </c>
      <c r="C3839">
        <v>2025</v>
      </c>
      <c r="D3839">
        <v>6</v>
      </c>
      <c r="E3839" s="2" t="s">
        <v>141</v>
      </c>
      <c r="F3839" s="2" t="s">
        <v>142</v>
      </c>
      <c r="G3839" s="2" t="s">
        <v>21</v>
      </c>
      <c r="H3839" s="2" t="s">
        <v>22</v>
      </c>
      <c r="I3839" s="2" t="s">
        <v>73</v>
      </c>
      <c r="J3839" s="2" t="s">
        <v>24</v>
      </c>
      <c r="K3839">
        <v>272.82</v>
      </c>
      <c r="L3839">
        <v>12384.17</v>
      </c>
      <c r="M3839">
        <v>4539.32</v>
      </c>
      <c r="N3839" s="2" t="s">
        <v>143</v>
      </c>
      <c r="O3839" s="2" t="s">
        <v>144</v>
      </c>
      <c r="P3839" s="2" t="s">
        <v>6672</v>
      </c>
      <c r="Q3839" s="2" t="s">
        <v>6673</v>
      </c>
      <c r="R3839" s="2" t="s">
        <v>29</v>
      </c>
      <c r="S3839" s="2" t="s">
        <v>30</v>
      </c>
    </row>
    <row r="3840" spans="1:19">
      <c r="A3840" s="1">
        <v>45809</v>
      </c>
      <c r="B3840" s="1">
        <v>45809</v>
      </c>
      <c r="C3840">
        <v>2025</v>
      </c>
      <c r="D3840">
        <v>6</v>
      </c>
      <c r="E3840" s="2" t="s">
        <v>147</v>
      </c>
      <c r="F3840" s="2" t="s">
        <v>148</v>
      </c>
      <c r="G3840" s="2" t="s">
        <v>21</v>
      </c>
      <c r="H3840" s="2" t="s">
        <v>22</v>
      </c>
      <c r="I3840" s="2" t="s">
        <v>73</v>
      </c>
      <c r="J3840" s="2" t="s">
        <v>24</v>
      </c>
      <c r="K3840">
        <v>812.9</v>
      </c>
      <c r="L3840">
        <v>23079.24</v>
      </c>
      <c r="M3840">
        <v>2839.12</v>
      </c>
      <c r="N3840" s="2" t="s">
        <v>149</v>
      </c>
      <c r="O3840" s="2" t="s">
        <v>150</v>
      </c>
      <c r="P3840" s="2" t="s">
        <v>6674</v>
      </c>
      <c r="Q3840" s="2" t="s">
        <v>6675</v>
      </c>
      <c r="R3840" s="2" t="s">
        <v>29</v>
      </c>
      <c r="S3840" s="2" t="s">
        <v>30</v>
      </c>
    </row>
    <row r="3841" spans="1:19">
      <c r="A3841" s="1">
        <v>45809</v>
      </c>
      <c r="B3841" s="1">
        <v>45809</v>
      </c>
      <c r="C3841">
        <v>2025</v>
      </c>
      <c r="D3841">
        <v>6</v>
      </c>
      <c r="E3841" s="2" t="s">
        <v>153</v>
      </c>
      <c r="F3841" s="2" t="s">
        <v>154</v>
      </c>
      <c r="G3841" s="2" t="s">
        <v>21</v>
      </c>
      <c r="H3841" s="2" t="s">
        <v>22</v>
      </c>
      <c r="I3841" s="2" t="s">
        <v>73</v>
      </c>
      <c r="J3841" s="2" t="s">
        <v>101</v>
      </c>
      <c r="K3841">
        <v>1085.72</v>
      </c>
      <c r="L3841">
        <v>35463.410000000003</v>
      </c>
      <c r="M3841">
        <v>3266.35</v>
      </c>
      <c r="N3841" s="2" t="s">
        <v>155</v>
      </c>
      <c r="O3841" s="2" t="s">
        <v>156</v>
      </c>
      <c r="P3841" s="2" t="s">
        <v>6676</v>
      </c>
      <c r="Q3841" s="2" t="s">
        <v>6677</v>
      </c>
      <c r="R3841" s="2" t="s">
        <v>29</v>
      </c>
      <c r="S3841" s="2" t="s">
        <v>30</v>
      </c>
    </row>
    <row r="3842" spans="1:19">
      <c r="A3842" s="1">
        <v>45809</v>
      </c>
      <c r="B3842" s="1">
        <v>45809</v>
      </c>
      <c r="C3842">
        <v>2025</v>
      </c>
      <c r="D3842">
        <v>6</v>
      </c>
      <c r="E3842" s="2" t="s">
        <v>159</v>
      </c>
      <c r="F3842" s="2" t="s">
        <v>160</v>
      </c>
      <c r="G3842" s="2" t="s">
        <v>21</v>
      </c>
      <c r="H3842" s="2" t="s">
        <v>22</v>
      </c>
      <c r="I3842" s="2" t="s">
        <v>66</v>
      </c>
      <c r="J3842" s="2" t="s">
        <v>59</v>
      </c>
      <c r="K3842">
        <v>1891.36</v>
      </c>
      <c r="L3842">
        <v>210753.96</v>
      </c>
      <c r="M3842">
        <v>11142.98</v>
      </c>
      <c r="N3842" s="2" t="s">
        <v>161</v>
      </c>
      <c r="O3842" s="2" t="s">
        <v>162</v>
      </c>
      <c r="P3842" s="2" t="s">
        <v>6678</v>
      </c>
      <c r="Q3842" s="2" t="s">
        <v>6679</v>
      </c>
      <c r="R3842" s="2" t="s">
        <v>29</v>
      </c>
      <c r="S3842" s="2" t="s">
        <v>30</v>
      </c>
    </row>
    <row r="3843" spans="1:19">
      <c r="A3843" s="1">
        <v>45809</v>
      </c>
      <c r="B3843" s="1">
        <v>45809</v>
      </c>
      <c r="C3843">
        <v>2025</v>
      </c>
      <c r="D3843">
        <v>6</v>
      </c>
      <c r="E3843" s="2" t="s">
        <v>165</v>
      </c>
      <c r="F3843" s="2" t="s">
        <v>166</v>
      </c>
      <c r="G3843" s="2" t="s">
        <v>21</v>
      </c>
      <c r="H3843" s="2" t="s">
        <v>22</v>
      </c>
      <c r="I3843" s="2" t="s">
        <v>23</v>
      </c>
      <c r="J3843" s="2" t="s">
        <v>24</v>
      </c>
      <c r="N3843" s="2" t="s">
        <v>167</v>
      </c>
      <c r="O3843" s="2" t="s">
        <v>168</v>
      </c>
      <c r="P3843" s="2" t="s">
        <v>175</v>
      </c>
      <c r="Q3843" s="2" t="s">
        <v>175</v>
      </c>
      <c r="R3843" s="2" t="s">
        <v>640</v>
      </c>
      <c r="S3843" s="2" t="s">
        <v>641</v>
      </c>
    </row>
    <row r="3844" spans="1:19">
      <c r="A3844" s="1">
        <v>45809</v>
      </c>
      <c r="B3844" s="1">
        <v>45809</v>
      </c>
      <c r="C3844">
        <v>2025</v>
      </c>
      <c r="D3844">
        <v>6</v>
      </c>
      <c r="E3844" s="2" t="s">
        <v>171</v>
      </c>
      <c r="F3844" s="2" t="s">
        <v>172</v>
      </c>
      <c r="G3844" s="2" t="s">
        <v>21</v>
      </c>
      <c r="H3844" s="2" t="s">
        <v>22</v>
      </c>
      <c r="I3844" s="2" t="s">
        <v>66</v>
      </c>
      <c r="J3844" s="2" t="s">
        <v>24</v>
      </c>
      <c r="N3844" s="2" t="s">
        <v>173</v>
      </c>
      <c r="O3844" s="2" t="s">
        <v>174</v>
      </c>
      <c r="P3844" s="2" t="s">
        <v>175</v>
      </c>
      <c r="Q3844" s="2" t="s">
        <v>175</v>
      </c>
      <c r="R3844" s="2" t="s">
        <v>640</v>
      </c>
      <c r="S3844" s="2" t="s">
        <v>641</v>
      </c>
    </row>
    <row r="3845" spans="1:19">
      <c r="A3845" s="1">
        <v>45809</v>
      </c>
      <c r="B3845" s="1">
        <v>45809</v>
      </c>
      <c r="C3845">
        <v>2025</v>
      </c>
      <c r="D3845">
        <v>6</v>
      </c>
      <c r="E3845" s="2" t="s">
        <v>177</v>
      </c>
      <c r="F3845" s="2" t="s">
        <v>178</v>
      </c>
      <c r="G3845" s="2" t="s">
        <v>21</v>
      </c>
      <c r="H3845" s="2" t="s">
        <v>22</v>
      </c>
      <c r="I3845" s="2" t="s">
        <v>23</v>
      </c>
      <c r="J3845" s="2" t="s">
        <v>24</v>
      </c>
      <c r="K3845">
        <v>4481.05</v>
      </c>
      <c r="L3845">
        <v>606356.30000000005</v>
      </c>
      <c r="M3845">
        <v>13531.57</v>
      </c>
      <c r="N3845" s="2" t="s">
        <v>179</v>
      </c>
      <c r="O3845" s="2" t="s">
        <v>180</v>
      </c>
      <c r="P3845" s="2" t="s">
        <v>6680</v>
      </c>
      <c r="Q3845" s="2" t="s">
        <v>6681</v>
      </c>
      <c r="R3845" s="2" t="s">
        <v>29</v>
      </c>
      <c r="S3845" s="2" t="s">
        <v>30</v>
      </c>
    </row>
    <row r="3846" spans="1:19">
      <c r="A3846" s="1">
        <v>45809</v>
      </c>
      <c r="B3846" s="1">
        <v>45809</v>
      </c>
      <c r="C3846">
        <v>2025</v>
      </c>
      <c r="D3846">
        <v>6</v>
      </c>
      <c r="E3846" s="2" t="s">
        <v>183</v>
      </c>
      <c r="F3846" s="2" t="s">
        <v>184</v>
      </c>
      <c r="G3846" s="2" t="s">
        <v>185</v>
      </c>
      <c r="H3846" s="2" t="s">
        <v>22</v>
      </c>
      <c r="I3846" s="2" t="s">
        <v>186</v>
      </c>
      <c r="J3846" s="2" t="s">
        <v>24</v>
      </c>
      <c r="K3846">
        <v>2795.92</v>
      </c>
      <c r="L3846">
        <v>5906093.1600000001</v>
      </c>
      <c r="M3846">
        <v>211239.7</v>
      </c>
      <c r="N3846" s="2" t="s">
        <v>187</v>
      </c>
      <c r="O3846" s="2" t="s">
        <v>188</v>
      </c>
      <c r="P3846" s="2" t="s">
        <v>6682</v>
      </c>
      <c r="Q3846" s="2" t="s">
        <v>6683</v>
      </c>
      <c r="R3846" s="2" t="s">
        <v>29</v>
      </c>
      <c r="S3846" s="2" t="s">
        <v>30</v>
      </c>
    </row>
    <row r="3847" spans="1:19">
      <c r="A3847" s="1">
        <v>45809</v>
      </c>
      <c r="B3847" s="1">
        <v>45809</v>
      </c>
      <c r="C3847">
        <v>2025</v>
      </c>
      <c r="D3847">
        <v>6</v>
      </c>
      <c r="E3847" s="2" t="s">
        <v>191</v>
      </c>
      <c r="F3847" s="2" t="s">
        <v>192</v>
      </c>
      <c r="G3847" s="2" t="s">
        <v>185</v>
      </c>
      <c r="H3847" s="2" t="s">
        <v>22</v>
      </c>
      <c r="I3847" s="2" t="s">
        <v>186</v>
      </c>
      <c r="J3847" s="2" t="s">
        <v>24</v>
      </c>
      <c r="K3847">
        <v>839.9</v>
      </c>
      <c r="L3847">
        <v>6918867.3399999999</v>
      </c>
      <c r="M3847">
        <v>823772.75</v>
      </c>
      <c r="N3847" s="2" t="s">
        <v>193</v>
      </c>
      <c r="O3847" s="2" t="s">
        <v>194</v>
      </c>
      <c r="P3847" s="2" t="s">
        <v>6684</v>
      </c>
      <c r="Q3847" s="2" t="s">
        <v>6685</v>
      </c>
      <c r="R3847" s="2" t="s">
        <v>29</v>
      </c>
      <c r="S3847" s="2" t="s">
        <v>30</v>
      </c>
    </row>
    <row r="3848" spans="1:19">
      <c r="A3848" s="1">
        <v>45809</v>
      </c>
      <c r="B3848" s="1">
        <v>45809</v>
      </c>
      <c r="C3848">
        <v>2025</v>
      </c>
      <c r="D3848">
        <v>6</v>
      </c>
      <c r="E3848" s="2" t="s">
        <v>197</v>
      </c>
      <c r="F3848" s="2" t="s">
        <v>198</v>
      </c>
      <c r="G3848" s="2" t="s">
        <v>185</v>
      </c>
      <c r="H3848" s="2" t="s">
        <v>22</v>
      </c>
      <c r="I3848" s="2" t="s">
        <v>186</v>
      </c>
      <c r="J3848" s="2" t="s">
        <v>59</v>
      </c>
      <c r="K3848">
        <v>3635.82</v>
      </c>
      <c r="L3848">
        <v>12824960.5</v>
      </c>
      <c r="M3848">
        <v>352739.15</v>
      </c>
      <c r="N3848" s="2" t="s">
        <v>199</v>
      </c>
      <c r="O3848" s="2" t="s">
        <v>200</v>
      </c>
      <c r="P3848" s="2" t="s">
        <v>6686</v>
      </c>
      <c r="Q3848" s="2" t="s">
        <v>6687</v>
      </c>
      <c r="R3848" s="2" t="s">
        <v>29</v>
      </c>
      <c r="S3848" s="2" t="s">
        <v>30</v>
      </c>
    </row>
    <row r="3849" spans="1:19">
      <c r="A3849" s="1">
        <v>45809</v>
      </c>
      <c r="B3849" s="1">
        <v>45809</v>
      </c>
      <c r="C3849">
        <v>2025</v>
      </c>
      <c r="D3849">
        <v>6</v>
      </c>
      <c r="E3849" s="2" t="s">
        <v>203</v>
      </c>
      <c r="F3849" s="2" t="s">
        <v>204</v>
      </c>
      <c r="G3849" s="2" t="s">
        <v>39</v>
      </c>
      <c r="H3849" s="2" t="s">
        <v>22</v>
      </c>
      <c r="I3849" s="2" t="s">
        <v>40</v>
      </c>
      <c r="J3849" s="2" t="s">
        <v>24</v>
      </c>
      <c r="K3849">
        <v>944.62</v>
      </c>
      <c r="L3849">
        <v>25646.12</v>
      </c>
      <c r="M3849">
        <v>2714.97</v>
      </c>
      <c r="N3849" s="2" t="s">
        <v>205</v>
      </c>
      <c r="O3849" s="2" t="s">
        <v>206</v>
      </c>
      <c r="P3849" s="2" t="s">
        <v>6688</v>
      </c>
      <c r="Q3849" s="2" t="s">
        <v>6689</v>
      </c>
      <c r="R3849" s="2" t="s">
        <v>29</v>
      </c>
      <c r="S3849" s="2" t="s">
        <v>30</v>
      </c>
    </row>
    <row r="3850" spans="1:19">
      <c r="A3850" s="1">
        <v>45809</v>
      </c>
      <c r="B3850" s="1">
        <v>45809</v>
      </c>
      <c r="C3850">
        <v>2025</v>
      </c>
      <c r="D3850">
        <v>6</v>
      </c>
      <c r="E3850" s="2" t="s">
        <v>209</v>
      </c>
      <c r="F3850" s="2" t="s">
        <v>210</v>
      </c>
      <c r="G3850" s="2" t="s">
        <v>39</v>
      </c>
      <c r="H3850" s="2" t="s">
        <v>22</v>
      </c>
      <c r="I3850" s="2" t="s">
        <v>40</v>
      </c>
      <c r="J3850" s="2" t="s">
        <v>59</v>
      </c>
      <c r="K3850">
        <v>944.62</v>
      </c>
      <c r="L3850">
        <v>25646.12</v>
      </c>
      <c r="M3850">
        <v>2714.97</v>
      </c>
      <c r="N3850" s="2" t="s">
        <v>211</v>
      </c>
      <c r="O3850" s="2" t="s">
        <v>212</v>
      </c>
      <c r="P3850" s="2" t="s">
        <v>6688</v>
      </c>
      <c r="Q3850" s="2" t="s">
        <v>6689</v>
      </c>
      <c r="R3850" s="2" t="s">
        <v>29</v>
      </c>
      <c r="S3850" s="2" t="s">
        <v>30</v>
      </c>
    </row>
    <row r="3851" spans="1:19">
      <c r="A3851" s="1">
        <v>45809</v>
      </c>
      <c r="B3851" s="1">
        <v>45809</v>
      </c>
      <c r="C3851">
        <v>2025</v>
      </c>
      <c r="D3851">
        <v>6</v>
      </c>
      <c r="E3851" s="2" t="s">
        <v>213</v>
      </c>
      <c r="F3851" s="2" t="s">
        <v>214</v>
      </c>
      <c r="G3851" s="2" t="s">
        <v>185</v>
      </c>
      <c r="H3851" s="2" t="s">
        <v>22</v>
      </c>
      <c r="I3851" s="2" t="s">
        <v>215</v>
      </c>
      <c r="J3851" s="2" t="s">
        <v>24</v>
      </c>
      <c r="K3851">
        <v>161079.5</v>
      </c>
      <c r="L3851">
        <v>2856046.24</v>
      </c>
      <c r="M3851">
        <v>1773.07</v>
      </c>
      <c r="N3851" s="2" t="s">
        <v>216</v>
      </c>
      <c r="O3851" s="2" t="s">
        <v>217</v>
      </c>
      <c r="P3851" s="2" t="s">
        <v>6690</v>
      </c>
      <c r="Q3851" s="2" t="s">
        <v>6691</v>
      </c>
      <c r="R3851" s="2" t="s">
        <v>29</v>
      </c>
      <c r="S3851" s="2" t="s">
        <v>30</v>
      </c>
    </row>
    <row r="3852" spans="1:19">
      <c r="A3852" s="1">
        <v>45809</v>
      </c>
      <c r="B3852" s="1">
        <v>45809</v>
      </c>
      <c r="C3852">
        <v>2025</v>
      </c>
      <c r="D3852">
        <v>6</v>
      </c>
      <c r="E3852" s="2" t="s">
        <v>220</v>
      </c>
      <c r="F3852" s="2" t="s">
        <v>221</v>
      </c>
      <c r="G3852" s="2" t="s">
        <v>185</v>
      </c>
      <c r="H3852" s="2" t="s">
        <v>22</v>
      </c>
      <c r="I3852" s="2" t="s">
        <v>215</v>
      </c>
      <c r="J3852" s="2" t="s">
        <v>24</v>
      </c>
      <c r="K3852">
        <v>9560.56</v>
      </c>
      <c r="L3852">
        <v>611424.84</v>
      </c>
      <c r="M3852">
        <v>6395.28</v>
      </c>
      <c r="N3852" s="2" t="s">
        <v>222</v>
      </c>
      <c r="O3852" s="2" t="s">
        <v>223</v>
      </c>
      <c r="P3852" s="2" t="s">
        <v>6692</v>
      </c>
      <c r="Q3852" s="2" t="s">
        <v>6693</v>
      </c>
      <c r="R3852" s="2" t="s">
        <v>29</v>
      </c>
      <c r="S3852" s="2" t="s">
        <v>30</v>
      </c>
    </row>
    <row r="3853" spans="1:19">
      <c r="A3853" s="1">
        <v>45809</v>
      </c>
      <c r="B3853" s="1">
        <v>45809</v>
      </c>
      <c r="C3853">
        <v>2025</v>
      </c>
      <c r="D3853">
        <v>6</v>
      </c>
      <c r="E3853" s="2" t="s">
        <v>226</v>
      </c>
      <c r="F3853" s="2" t="s">
        <v>227</v>
      </c>
      <c r="G3853" s="2" t="s">
        <v>185</v>
      </c>
      <c r="H3853" s="2" t="s">
        <v>22</v>
      </c>
      <c r="I3853" s="2" t="s">
        <v>215</v>
      </c>
      <c r="J3853" s="2" t="s">
        <v>59</v>
      </c>
      <c r="K3853">
        <v>170640.06</v>
      </c>
      <c r="L3853">
        <v>3467471.08</v>
      </c>
      <c r="M3853">
        <v>2032.04</v>
      </c>
      <c r="N3853" s="2" t="s">
        <v>228</v>
      </c>
      <c r="O3853" s="2" t="s">
        <v>229</v>
      </c>
      <c r="P3853" s="2" t="s">
        <v>6694</v>
      </c>
      <c r="Q3853" s="2" t="s">
        <v>6695</v>
      </c>
      <c r="R3853" s="2" t="s">
        <v>29</v>
      </c>
      <c r="S3853" s="2" t="s">
        <v>30</v>
      </c>
    </row>
    <row r="3854" spans="1:19">
      <c r="A3854" s="1">
        <v>45809</v>
      </c>
      <c r="B3854" s="1">
        <v>45809</v>
      </c>
      <c r="C3854">
        <v>2025</v>
      </c>
      <c r="D3854">
        <v>6</v>
      </c>
      <c r="E3854" s="2" t="s">
        <v>232</v>
      </c>
      <c r="F3854" s="2" t="s">
        <v>233</v>
      </c>
      <c r="G3854" s="2" t="s">
        <v>21</v>
      </c>
      <c r="H3854" s="2" t="s">
        <v>22</v>
      </c>
      <c r="I3854" s="2" t="s">
        <v>23</v>
      </c>
      <c r="J3854" s="2" t="s">
        <v>24</v>
      </c>
      <c r="K3854">
        <v>1325.97</v>
      </c>
      <c r="L3854">
        <v>134187.56</v>
      </c>
      <c r="M3854">
        <v>10119.950000000001</v>
      </c>
      <c r="N3854" s="2" t="s">
        <v>234</v>
      </c>
      <c r="O3854" s="2" t="s">
        <v>235</v>
      </c>
      <c r="P3854" s="2" t="s">
        <v>6696</v>
      </c>
      <c r="Q3854" s="2" t="s">
        <v>6697</v>
      </c>
      <c r="R3854" s="2" t="s">
        <v>29</v>
      </c>
      <c r="S3854" s="2" t="s">
        <v>30</v>
      </c>
    </row>
    <row r="3855" spans="1:19">
      <c r="A3855" s="1">
        <v>45809</v>
      </c>
      <c r="B3855" s="1">
        <v>45809</v>
      </c>
      <c r="C3855">
        <v>2025</v>
      </c>
      <c r="D3855">
        <v>6</v>
      </c>
      <c r="E3855" s="2" t="s">
        <v>238</v>
      </c>
      <c r="F3855" s="2" t="s">
        <v>239</v>
      </c>
      <c r="G3855" s="2" t="s">
        <v>21</v>
      </c>
      <c r="H3855" s="2" t="s">
        <v>22</v>
      </c>
      <c r="I3855" s="2" t="s">
        <v>66</v>
      </c>
      <c r="J3855" s="2" t="s">
        <v>24</v>
      </c>
      <c r="K3855">
        <v>1728.39</v>
      </c>
      <c r="L3855">
        <v>209956.34</v>
      </c>
      <c r="M3855">
        <v>12147.51</v>
      </c>
      <c r="N3855" s="2" t="s">
        <v>240</v>
      </c>
      <c r="O3855" s="2" t="s">
        <v>241</v>
      </c>
      <c r="P3855" s="2" t="s">
        <v>6698</v>
      </c>
      <c r="Q3855" s="2" t="s">
        <v>6699</v>
      </c>
      <c r="R3855" s="2" t="s">
        <v>29</v>
      </c>
      <c r="S3855" s="2" t="s">
        <v>30</v>
      </c>
    </row>
    <row r="3856" spans="1:19">
      <c r="A3856" s="1">
        <v>45809</v>
      </c>
      <c r="B3856" s="1">
        <v>45809</v>
      </c>
      <c r="C3856">
        <v>2025</v>
      </c>
      <c r="D3856">
        <v>6</v>
      </c>
      <c r="E3856" s="2" t="s">
        <v>244</v>
      </c>
      <c r="F3856" s="2" t="s">
        <v>245</v>
      </c>
      <c r="G3856" s="2" t="s">
        <v>21</v>
      </c>
      <c r="H3856" s="2" t="s">
        <v>22</v>
      </c>
      <c r="I3856" s="2" t="s">
        <v>23</v>
      </c>
      <c r="J3856" s="2" t="s">
        <v>24</v>
      </c>
      <c r="K3856">
        <v>7920.52</v>
      </c>
      <c r="L3856">
        <v>3764741.56</v>
      </c>
      <c r="M3856">
        <v>47531.49</v>
      </c>
      <c r="N3856" s="2" t="s">
        <v>246</v>
      </c>
      <c r="O3856" s="2" t="s">
        <v>247</v>
      </c>
      <c r="P3856" s="2" t="s">
        <v>6700</v>
      </c>
      <c r="Q3856" s="2" t="s">
        <v>6701</v>
      </c>
      <c r="R3856" s="2" t="s">
        <v>29</v>
      </c>
      <c r="S3856" s="2" t="s">
        <v>30</v>
      </c>
    </row>
    <row r="3857" spans="1:19">
      <c r="A3857" s="1">
        <v>45809</v>
      </c>
      <c r="B3857" s="1">
        <v>45809</v>
      </c>
      <c r="C3857">
        <v>2025</v>
      </c>
      <c r="D3857">
        <v>6</v>
      </c>
      <c r="E3857" s="2" t="s">
        <v>250</v>
      </c>
      <c r="F3857" s="2" t="s">
        <v>251</v>
      </c>
      <c r="G3857" s="2" t="s">
        <v>21</v>
      </c>
      <c r="H3857" s="2" t="s">
        <v>22</v>
      </c>
      <c r="I3857" s="2" t="s">
        <v>66</v>
      </c>
      <c r="J3857" s="2" t="s">
        <v>24</v>
      </c>
      <c r="K3857">
        <v>144.69999999999999</v>
      </c>
      <c r="L3857">
        <v>183.01</v>
      </c>
      <c r="M3857">
        <v>126.48</v>
      </c>
      <c r="N3857" s="2" t="s">
        <v>252</v>
      </c>
      <c r="O3857" s="2" t="s">
        <v>253</v>
      </c>
      <c r="P3857" s="2" t="s">
        <v>6702</v>
      </c>
      <c r="Q3857" s="2" t="s">
        <v>6703</v>
      </c>
      <c r="R3857" s="2" t="s">
        <v>29</v>
      </c>
      <c r="S3857" s="2" t="s">
        <v>30</v>
      </c>
    </row>
    <row r="3858" spans="1:19">
      <c r="A3858" s="1">
        <v>45809</v>
      </c>
      <c r="B3858" s="1">
        <v>45809</v>
      </c>
      <c r="C3858">
        <v>2025</v>
      </c>
      <c r="D3858">
        <v>6</v>
      </c>
      <c r="E3858" s="2" t="s">
        <v>256</v>
      </c>
      <c r="F3858" s="2" t="s">
        <v>257</v>
      </c>
      <c r="G3858" s="2" t="s">
        <v>21</v>
      </c>
      <c r="H3858" s="2" t="s">
        <v>22</v>
      </c>
      <c r="I3858" s="2" t="s">
        <v>258</v>
      </c>
      <c r="J3858" s="2" t="s">
        <v>24</v>
      </c>
      <c r="K3858">
        <v>447.43</v>
      </c>
      <c r="L3858">
        <v>550176.04</v>
      </c>
      <c r="M3858">
        <v>122963.6</v>
      </c>
      <c r="N3858" s="2" t="s">
        <v>259</v>
      </c>
      <c r="O3858" s="2" t="s">
        <v>260</v>
      </c>
      <c r="P3858" s="2" t="s">
        <v>6704</v>
      </c>
      <c r="Q3858" s="2" t="s">
        <v>6705</v>
      </c>
      <c r="R3858" s="2" t="s">
        <v>29</v>
      </c>
      <c r="S3858" s="2" t="s">
        <v>30</v>
      </c>
    </row>
    <row r="3859" spans="1:19">
      <c r="A3859" s="1">
        <v>45809</v>
      </c>
      <c r="B3859" s="1">
        <v>45809</v>
      </c>
      <c r="C3859">
        <v>2025</v>
      </c>
      <c r="D3859">
        <v>6</v>
      </c>
      <c r="E3859" s="2" t="s">
        <v>263</v>
      </c>
      <c r="F3859" s="2" t="s">
        <v>264</v>
      </c>
      <c r="G3859" s="2" t="s">
        <v>21</v>
      </c>
      <c r="H3859" s="2" t="s">
        <v>22</v>
      </c>
      <c r="I3859" s="2" t="s">
        <v>258</v>
      </c>
      <c r="J3859" s="2" t="s">
        <v>24</v>
      </c>
      <c r="K3859">
        <v>0</v>
      </c>
      <c r="L3859">
        <v>0</v>
      </c>
      <c r="N3859" s="2" t="s">
        <v>265</v>
      </c>
      <c r="O3859" s="2" t="s">
        <v>266</v>
      </c>
      <c r="P3859" s="2" t="s">
        <v>639</v>
      </c>
      <c r="Q3859" s="2" t="s">
        <v>639</v>
      </c>
      <c r="R3859" s="2" t="s">
        <v>29</v>
      </c>
      <c r="S3859" s="2" t="s">
        <v>30</v>
      </c>
    </row>
    <row r="3860" spans="1:19">
      <c r="A3860" s="1">
        <v>45809</v>
      </c>
      <c r="B3860" s="1">
        <v>45809</v>
      </c>
      <c r="C3860">
        <v>2025</v>
      </c>
      <c r="D3860">
        <v>6</v>
      </c>
      <c r="E3860" s="2" t="s">
        <v>269</v>
      </c>
      <c r="F3860" s="2" t="s">
        <v>270</v>
      </c>
      <c r="G3860" s="2" t="s">
        <v>21</v>
      </c>
      <c r="H3860" s="2" t="s">
        <v>22</v>
      </c>
      <c r="I3860" s="2" t="s">
        <v>258</v>
      </c>
      <c r="J3860" s="2" t="s">
        <v>59</v>
      </c>
      <c r="K3860">
        <v>447.43</v>
      </c>
      <c r="L3860">
        <v>550176.04</v>
      </c>
      <c r="M3860">
        <v>122963.6</v>
      </c>
      <c r="N3860" s="2" t="s">
        <v>271</v>
      </c>
      <c r="O3860" s="2" t="s">
        <v>272</v>
      </c>
      <c r="P3860" s="2" t="s">
        <v>6704</v>
      </c>
      <c r="Q3860" s="2" t="s">
        <v>6705</v>
      </c>
      <c r="R3860" s="2" t="s">
        <v>29</v>
      </c>
      <c r="S3860" s="2" t="s">
        <v>30</v>
      </c>
    </row>
    <row r="3861" spans="1:19">
      <c r="A3861" s="1">
        <v>45809</v>
      </c>
      <c r="B3861" s="1">
        <v>45809</v>
      </c>
      <c r="C3861">
        <v>2025</v>
      </c>
      <c r="D3861">
        <v>6</v>
      </c>
      <c r="E3861" s="2" t="s">
        <v>275</v>
      </c>
      <c r="F3861" s="2" t="s">
        <v>276</v>
      </c>
      <c r="G3861" s="2" t="s">
        <v>39</v>
      </c>
      <c r="H3861" s="2" t="s">
        <v>22</v>
      </c>
      <c r="I3861" s="2" t="s">
        <v>40</v>
      </c>
      <c r="J3861" s="2" t="s">
        <v>24</v>
      </c>
      <c r="K3861">
        <v>0.11</v>
      </c>
      <c r="L3861">
        <v>1.08</v>
      </c>
      <c r="M3861">
        <v>981.82</v>
      </c>
      <c r="N3861" s="2" t="s">
        <v>277</v>
      </c>
      <c r="O3861" s="2" t="s">
        <v>278</v>
      </c>
      <c r="P3861" s="2" t="s">
        <v>1291</v>
      </c>
      <c r="Q3861" s="2" t="s">
        <v>1347</v>
      </c>
      <c r="R3861" s="2" t="s">
        <v>29</v>
      </c>
      <c r="S3861" s="2" t="s">
        <v>30</v>
      </c>
    </row>
    <row r="3862" spans="1:19">
      <c r="A3862" s="1">
        <v>45809</v>
      </c>
      <c r="B3862" s="1">
        <v>45809</v>
      </c>
      <c r="C3862">
        <v>2025</v>
      </c>
      <c r="D3862">
        <v>6</v>
      </c>
      <c r="E3862" s="2" t="s">
        <v>281</v>
      </c>
      <c r="F3862" s="2" t="s">
        <v>282</v>
      </c>
      <c r="G3862" s="2" t="s">
        <v>39</v>
      </c>
      <c r="H3862" s="2" t="s">
        <v>22</v>
      </c>
      <c r="I3862" s="2" t="s">
        <v>40</v>
      </c>
      <c r="J3862" s="2" t="s">
        <v>24</v>
      </c>
      <c r="K3862">
        <v>0.02</v>
      </c>
      <c r="L3862">
        <v>0.28999999999999998</v>
      </c>
      <c r="M3862">
        <v>1450</v>
      </c>
      <c r="N3862" s="2" t="s">
        <v>283</v>
      </c>
      <c r="O3862" s="2" t="s">
        <v>284</v>
      </c>
      <c r="P3862" s="2" t="s">
        <v>1039</v>
      </c>
      <c r="Q3862" s="2" t="s">
        <v>1138</v>
      </c>
      <c r="R3862" s="2" t="s">
        <v>29</v>
      </c>
      <c r="S3862" s="2" t="s">
        <v>30</v>
      </c>
    </row>
    <row r="3863" spans="1:19">
      <c r="A3863" s="1">
        <v>45809</v>
      </c>
      <c r="B3863" s="1">
        <v>45809</v>
      </c>
      <c r="C3863">
        <v>2025</v>
      </c>
      <c r="D3863">
        <v>6</v>
      </c>
      <c r="E3863" s="2" t="s">
        <v>287</v>
      </c>
      <c r="F3863" s="2" t="s">
        <v>288</v>
      </c>
      <c r="G3863" s="2" t="s">
        <v>39</v>
      </c>
      <c r="H3863" s="2" t="s">
        <v>22</v>
      </c>
      <c r="I3863" s="2" t="s">
        <v>40</v>
      </c>
      <c r="J3863" s="2" t="s">
        <v>59</v>
      </c>
      <c r="K3863">
        <v>0.14000000000000001</v>
      </c>
      <c r="L3863">
        <v>1.37</v>
      </c>
      <c r="M3863">
        <v>978.57</v>
      </c>
      <c r="N3863" s="2" t="s">
        <v>289</v>
      </c>
      <c r="O3863" s="2" t="s">
        <v>290</v>
      </c>
      <c r="P3863" s="2" t="s">
        <v>1187</v>
      </c>
      <c r="Q3863" s="2" t="s">
        <v>2518</v>
      </c>
      <c r="R3863" s="2" t="s">
        <v>29</v>
      </c>
      <c r="S3863" s="2" t="s">
        <v>30</v>
      </c>
    </row>
    <row r="3864" spans="1:19">
      <c r="A3864" s="1">
        <v>45809</v>
      </c>
      <c r="B3864" s="1">
        <v>45809</v>
      </c>
      <c r="C3864">
        <v>2025</v>
      </c>
      <c r="D3864">
        <v>6</v>
      </c>
      <c r="E3864" s="2" t="s">
        <v>293</v>
      </c>
      <c r="F3864" s="2" t="s">
        <v>294</v>
      </c>
      <c r="G3864" s="2" t="s">
        <v>21</v>
      </c>
      <c r="H3864" s="2" t="s">
        <v>22</v>
      </c>
      <c r="I3864" s="2" t="s">
        <v>295</v>
      </c>
      <c r="J3864" s="2" t="s">
        <v>24</v>
      </c>
      <c r="K3864">
        <v>934.51</v>
      </c>
      <c r="L3864">
        <v>2543.7399999999998</v>
      </c>
      <c r="M3864">
        <v>272.2</v>
      </c>
      <c r="N3864" s="2" t="s">
        <v>296</v>
      </c>
      <c r="O3864" s="2" t="s">
        <v>297</v>
      </c>
      <c r="P3864" s="2" t="s">
        <v>6706</v>
      </c>
      <c r="Q3864" s="2" t="s">
        <v>6707</v>
      </c>
      <c r="R3864" s="2" t="s">
        <v>29</v>
      </c>
      <c r="S3864" s="2" t="s">
        <v>30</v>
      </c>
    </row>
    <row r="3865" spans="1:19">
      <c r="A3865" s="1">
        <v>45809</v>
      </c>
      <c r="B3865" s="1">
        <v>45809</v>
      </c>
      <c r="C3865">
        <v>2025</v>
      </c>
      <c r="D3865">
        <v>6</v>
      </c>
      <c r="E3865" s="2" t="s">
        <v>300</v>
      </c>
      <c r="F3865" s="2" t="s">
        <v>301</v>
      </c>
      <c r="G3865" s="2" t="s">
        <v>21</v>
      </c>
      <c r="H3865" s="2" t="s">
        <v>22</v>
      </c>
      <c r="I3865" s="2" t="s">
        <v>295</v>
      </c>
      <c r="J3865" s="2" t="s">
        <v>24</v>
      </c>
      <c r="K3865">
        <v>595.04999999999995</v>
      </c>
      <c r="L3865">
        <v>888.3</v>
      </c>
      <c r="M3865">
        <v>149.28</v>
      </c>
      <c r="N3865" s="2" t="s">
        <v>302</v>
      </c>
      <c r="O3865" s="2" t="s">
        <v>303</v>
      </c>
      <c r="P3865" s="2" t="s">
        <v>6708</v>
      </c>
      <c r="Q3865" s="2" t="s">
        <v>6709</v>
      </c>
      <c r="R3865" s="2" t="s">
        <v>29</v>
      </c>
      <c r="S3865" s="2" t="s">
        <v>30</v>
      </c>
    </row>
    <row r="3866" spans="1:19">
      <c r="A3866" s="1">
        <v>45809</v>
      </c>
      <c r="B3866" s="1">
        <v>45809</v>
      </c>
      <c r="C3866">
        <v>2025</v>
      </c>
      <c r="D3866">
        <v>6</v>
      </c>
      <c r="E3866" s="2" t="s">
        <v>306</v>
      </c>
      <c r="F3866" s="2" t="s">
        <v>307</v>
      </c>
      <c r="G3866" s="2" t="s">
        <v>21</v>
      </c>
      <c r="H3866" s="2" t="s">
        <v>22</v>
      </c>
      <c r="I3866" s="2" t="s">
        <v>295</v>
      </c>
      <c r="J3866" s="2" t="s">
        <v>101</v>
      </c>
      <c r="K3866">
        <v>1529.57</v>
      </c>
      <c r="L3866">
        <v>3432.04</v>
      </c>
      <c r="M3866">
        <v>224.38</v>
      </c>
      <c r="N3866" s="2" t="s">
        <v>308</v>
      </c>
      <c r="O3866" s="2" t="s">
        <v>309</v>
      </c>
      <c r="P3866" s="2" t="s">
        <v>6710</v>
      </c>
      <c r="Q3866" s="2" t="s">
        <v>6711</v>
      </c>
      <c r="R3866" s="2" t="s">
        <v>29</v>
      </c>
      <c r="S3866" s="2" t="s">
        <v>30</v>
      </c>
    </row>
    <row r="3867" spans="1:19">
      <c r="A3867" s="1">
        <v>45809</v>
      </c>
      <c r="B3867" s="1">
        <v>45809</v>
      </c>
      <c r="C3867">
        <v>2025</v>
      </c>
      <c r="D3867">
        <v>6</v>
      </c>
      <c r="E3867" s="2" t="s">
        <v>312</v>
      </c>
      <c r="F3867" s="2" t="s">
        <v>313</v>
      </c>
      <c r="G3867" s="2" t="s">
        <v>21</v>
      </c>
      <c r="H3867" s="2" t="s">
        <v>22</v>
      </c>
      <c r="I3867" s="2" t="s">
        <v>295</v>
      </c>
      <c r="J3867" s="2" t="s">
        <v>59</v>
      </c>
      <c r="K3867">
        <v>6868.39</v>
      </c>
      <c r="L3867">
        <v>20740.12</v>
      </c>
      <c r="M3867">
        <v>301.95999999999998</v>
      </c>
      <c r="N3867" s="2" t="s">
        <v>314</v>
      </c>
      <c r="O3867" s="2" t="s">
        <v>315</v>
      </c>
      <c r="P3867" s="2" t="s">
        <v>6712</v>
      </c>
      <c r="Q3867" s="2" t="s">
        <v>6713</v>
      </c>
      <c r="R3867" s="2" t="s">
        <v>29</v>
      </c>
      <c r="S3867" s="2" t="s">
        <v>30</v>
      </c>
    </row>
    <row r="3868" spans="1:19">
      <c r="A3868" s="1">
        <v>45809</v>
      </c>
      <c r="B3868" s="1">
        <v>45809</v>
      </c>
      <c r="C3868">
        <v>2025</v>
      </c>
      <c r="D3868">
        <v>6</v>
      </c>
      <c r="E3868" s="2" t="s">
        <v>318</v>
      </c>
      <c r="F3868" s="2" t="s">
        <v>319</v>
      </c>
      <c r="G3868" s="2" t="s">
        <v>21</v>
      </c>
      <c r="H3868" s="2" t="s">
        <v>22</v>
      </c>
      <c r="I3868" s="2" t="s">
        <v>295</v>
      </c>
      <c r="J3868" s="2" t="s">
        <v>24</v>
      </c>
      <c r="K3868">
        <v>5338.82</v>
      </c>
      <c r="L3868">
        <v>17308.080000000002</v>
      </c>
      <c r="M3868">
        <v>324.19</v>
      </c>
      <c r="N3868" s="2" t="s">
        <v>320</v>
      </c>
      <c r="O3868" s="2" t="s">
        <v>321</v>
      </c>
      <c r="P3868" s="2" t="s">
        <v>6714</v>
      </c>
      <c r="Q3868" s="2" t="s">
        <v>6715</v>
      </c>
      <c r="R3868" s="2" t="s">
        <v>29</v>
      </c>
      <c r="S3868" s="2" t="s">
        <v>30</v>
      </c>
    </row>
    <row r="3869" spans="1:19">
      <c r="A3869" s="1">
        <v>45809</v>
      </c>
      <c r="B3869" s="1">
        <v>45809</v>
      </c>
      <c r="C3869">
        <v>2025</v>
      </c>
      <c r="D3869">
        <v>6</v>
      </c>
      <c r="E3869" s="2" t="s">
        <v>324</v>
      </c>
      <c r="F3869" s="2" t="s">
        <v>325</v>
      </c>
      <c r="G3869" s="2" t="s">
        <v>21</v>
      </c>
      <c r="H3869" s="2" t="s">
        <v>22</v>
      </c>
      <c r="I3869" s="2" t="s">
        <v>23</v>
      </c>
      <c r="J3869" s="2" t="s">
        <v>59</v>
      </c>
      <c r="K3869">
        <v>200519.84</v>
      </c>
      <c r="L3869">
        <v>6957478.29</v>
      </c>
      <c r="M3869">
        <v>3469.72</v>
      </c>
      <c r="N3869" s="2" t="s">
        <v>326</v>
      </c>
      <c r="O3869" s="2" t="s">
        <v>327</v>
      </c>
      <c r="P3869" s="2" t="s">
        <v>6716</v>
      </c>
      <c r="Q3869" s="2" t="s">
        <v>6717</v>
      </c>
      <c r="R3869" s="2" t="s">
        <v>29</v>
      </c>
      <c r="S3869" s="2" t="s">
        <v>30</v>
      </c>
    </row>
    <row r="3870" spans="1:19">
      <c r="A3870" s="1">
        <v>45809</v>
      </c>
      <c r="B3870" s="1">
        <v>45809</v>
      </c>
      <c r="C3870">
        <v>2025</v>
      </c>
      <c r="D3870">
        <v>6</v>
      </c>
      <c r="E3870" s="2" t="s">
        <v>330</v>
      </c>
      <c r="F3870" s="2" t="s">
        <v>331</v>
      </c>
      <c r="G3870" s="2" t="s">
        <v>21</v>
      </c>
      <c r="H3870" s="2" t="s">
        <v>332</v>
      </c>
      <c r="I3870" s="2" t="s">
        <v>333</v>
      </c>
      <c r="J3870" s="2" t="s">
        <v>24</v>
      </c>
      <c r="K3870">
        <v>253.73</v>
      </c>
      <c r="L3870">
        <v>16983277.890000001</v>
      </c>
      <c r="M3870">
        <v>6693444.96</v>
      </c>
      <c r="N3870" s="2" t="s">
        <v>334</v>
      </c>
      <c r="O3870" s="2" t="s">
        <v>335</v>
      </c>
      <c r="P3870" s="2" t="s">
        <v>6718</v>
      </c>
      <c r="Q3870" s="2" t="s">
        <v>6719</v>
      </c>
      <c r="R3870" s="2" t="s">
        <v>29</v>
      </c>
      <c r="S3870" s="2" t="s">
        <v>30</v>
      </c>
    </row>
    <row r="3871" spans="1:19">
      <c r="A3871" s="1">
        <v>45809</v>
      </c>
      <c r="B3871" s="1">
        <v>45809</v>
      </c>
      <c r="C3871">
        <v>2025</v>
      </c>
      <c r="D3871">
        <v>6</v>
      </c>
      <c r="E3871" s="2" t="s">
        <v>338</v>
      </c>
      <c r="F3871" s="2" t="s">
        <v>339</v>
      </c>
      <c r="G3871" s="2" t="s">
        <v>21</v>
      </c>
      <c r="H3871" s="2" t="s">
        <v>332</v>
      </c>
      <c r="I3871" s="2" t="s">
        <v>333</v>
      </c>
      <c r="J3871" s="2" t="s">
        <v>24</v>
      </c>
      <c r="K3871">
        <v>1.1499999999999999</v>
      </c>
      <c r="L3871">
        <v>2029081.73</v>
      </c>
      <c r="M3871">
        <v>176441889.56999999</v>
      </c>
      <c r="N3871" s="2" t="s">
        <v>340</v>
      </c>
      <c r="O3871" s="2" t="s">
        <v>341</v>
      </c>
      <c r="P3871" s="2" t="s">
        <v>3814</v>
      </c>
      <c r="Q3871" s="2" t="s">
        <v>6720</v>
      </c>
      <c r="R3871" s="2" t="s">
        <v>29</v>
      </c>
      <c r="S3871" s="2" t="s">
        <v>30</v>
      </c>
    </row>
    <row r="3872" spans="1:19">
      <c r="A3872" s="1">
        <v>45809</v>
      </c>
      <c r="B3872" s="1">
        <v>45809</v>
      </c>
      <c r="C3872">
        <v>2025</v>
      </c>
      <c r="D3872">
        <v>6</v>
      </c>
      <c r="E3872" s="2" t="s">
        <v>344</v>
      </c>
      <c r="F3872" s="2" t="s">
        <v>345</v>
      </c>
      <c r="G3872" s="2" t="s">
        <v>21</v>
      </c>
      <c r="H3872" s="2" t="s">
        <v>332</v>
      </c>
      <c r="I3872" s="2" t="s">
        <v>333</v>
      </c>
      <c r="J3872" s="2" t="s">
        <v>59</v>
      </c>
      <c r="K3872">
        <v>254.88</v>
      </c>
      <c r="L3872">
        <v>19012359.629999999</v>
      </c>
      <c r="M3872">
        <v>7459337.5800000001</v>
      </c>
      <c r="N3872" s="2" t="s">
        <v>346</v>
      </c>
      <c r="O3872" s="2" t="s">
        <v>347</v>
      </c>
      <c r="P3872" s="2" t="s">
        <v>6721</v>
      </c>
      <c r="Q3872" s="2" t="s">
        <v>6722</v>
      </c>
      <c r="R3872" s="2" t="s">
        <v>29</v>
      </c>
      <c r="S3872" s="2" t="s">
        <v>30</v>
      </c>
    </row>
    <row r="3873" spans="1:19">
      <c r="A3873" s="1">
        <v>45809</v>
      </c>
      <c r="B3873" s="1">
        <v>45809</v>
      </c>
      <c r="C3873">
        <v>2025</v>
      </c>
      <c r="D3873">
        <v>6</v>
      </c>
      <c r="E3873" s="2" t="s">
        <v>350</v>
      </c>
      <c r="F3873" s="2" t="s">
        <v>351</v>
      </c>
      <c r="G3873" s="2" t="s">
        <v>21</v>
      </c>
      <c r="H3873" s="2" t="s">
        <v>22</v>
      </c>
      <c r="I3873" s="2" t="s">
        <v>352</v>
      </c>
      <c r="J3873" s="2" t="s">
        <v>353</v>
      </c>
      <c r="K3873">
        <v>215207.29</v>
      </c>
      <c r="L3873">
        <v>26419883.539999999</v>
      </c>
      <c r="M3873">
        <v>12276.48</v>
      </c>
      <c r="N3873" s="2" t="s">
        <v>354</v>
      </c>
      <c r="O3873" s="2" t="s">
        <v>355</v>
      </c>
      <c r="P3873" s="2" t="s">
        <v>6723</v>
      </c>
      <c r="Q3873" s="2" t="s">
        <v>6724</v>
      </c>
      <c r="R3873" s="2" t="s">
        <v>29</v>
      </c>
      <c r="S3873" s="2" t="s">
        <v>30</v>
      </c>
    </row>
    <row r="3874" spans="1:19">
      <c r="A3874" s="1">
        <v>45809</v>
      </c>
      <c r="B3874" s="1">
        <v>45809</v>
      </c>
      <c r="C3874">
        <v>2025</v>
      </c>
      <c r="D3874">
        <v>6</v>
      </c>
      <c r="E3874" s="2" t="s">
        <v>358</v>
      </c>
      <c r="F3874" s="2" t="s">
        <v>359</v>
      </c>
      <c r="G3874" s="2" t="s">
        <v>21</v>
      </c>
      <c r="H3874" s="2" t="s">
        <v>22</v>
      </c>
      <c r="I3874" s="2" t="s">
        <v>352</v>
      </c>
      <c r="J3874" s="2" t="s">
        <v>353</v>
      </c>
      <c r="K3874">
        <v>215654.72</v>
      </c>
      <c r="L3874">
        <v>26970059.579999998</v>
      </c>
      <c r="M3874">
        <v>12506.13</v>
      </c>
      <c r="N3874" s="2" t="s">
        <v>360</v>
      </c>
      <c r="O3874" s="2" t="s">
        <v>361</v>
      </c>
      <c r="P3874" s="2" t="s">
        <v>6725</v>
      </c>
      <c r="Q3874" s="2" t="s">
        <v>6726</v>
      </c>
      <c r="R3874" s="2" t="s">
        <v>29</v>
      </c>
      <c r="S3874" s="2" t="s">
        <v>30</v>
      </c>
    </row>
    <row r="3875" spans="1:19">
      <c r="A3875" s="1">
        <v>45809</v>
      </c>
      <c r="B3875" s="1">
        <v>45809</v>
      </c>
      <c r="C3875">
        <v>2025</v>
      </c>
      <c r="D3875">
        <v>6</v>
      </c>
      <c r="E3875" s="2" t="s">
        <v>364</v>
      </c>
      <c r="F3875" s="2" t="s">
        <v>365</v>
      </c>
      <c r="G3875" s="2" t="s">
        <v>21</v>
      </c>
      <c r="H3875" s="2" t="s">
        <v>22</v>
      </c>
      <c r="I3875" s="2" t="s">
        <v>352</v>
      </c>
      <c r="J3875" s="2" t="s">
        <v>353</v>
      </c>
      <c r="K3875">
        <v>215399.84</v>
      </c>
      <c r="L3875">
        <v>7957699.9500000002</v>
      </c>
      <c r="M3875">
        <v>3694.39</v>
      </c>
      <c r="N3875" s="2" t="s">
        <v>366</v>
      </c>
      <c r="O3875" s="2" t="s">
        <v>367</v>
      </c>
      <c r="P3875" s="2" t="s">
        <v>6727</v>
      </c>
      <c r="Q3875" s="2" t="s">
        <v>6728</v>
      </c>
      <c r="R3875" s="2" t="s">
        <v>29</v>
      </c>
      <c r="S3875" s="2" t="s">
        <v>30</v>
      </c>
    </row>
    <row r="3876" spans="1:19">
      <c r="A3876" s="1">
        <v>45809</v>
      </c>
      <c r="B3876" s="1">
        <v>45809</v>
      </c>
      <c r="C3876">
        <v>2025</v>
      </c>
      <c r="D3876">
        <v>6</v>
      </c>
      <c r="E3876" s="2" t="s">
        <v>370</v>
      </c>
      <c r="F3876" s="2" t="s">
        <v>371</v>
      </c>
      <c r="G3876" s="2" t="s">
        <v>21</v>
      </c>
      <c r="H3876" s="2" t="s">
        <v>22</v>
      </c>
      <c r="I3876" s="2" t="s">
        <v>23</v>
      </c>
      <c r="J3876" s="2" t="s">
        <v>24</v>
      </c>
      <c r="K3876">
        <v>183950.06</v>
      </c>
      <c r="L3876">
        <v>2403930.69</v>
      </c>
      <c r="M3876">
        <v>1306.8399999999999</v>
      </c>
      <c r="N3876" s="2" t="s">
        <v>372</v>
      </c>
      <c r="O3876" s="2" t="s">
        <v>373</v>
      </c>
      <c r="P3876" s="2" t="s">
        <v>6729</v>
      </c>
      <c r="Q3876" s="2" t="s">
        <v>6730</v>
      </c>
      <c r="R3876" s="2" t="s">
        <v>29</v>
      </c>
      <c r="S3876" s="2" t="s">
        <v>30</v>
      </c>
    </row>
    <row r="3877" spans="1:19">
      <c r="A3877" s="1">
        <v>45809</v>
      </c>
      <c r="B3877" s="1">
        <v>45809</v>
      </c>
      <c r="C3877">
        <v>2025</v>
      </c>
      <c r="D3877">
        <v>6</v>
      </c>
      <c r="E3877" s="2" t="s">
        <v>376</v>
      </c>
      <c r="F3877" s="2" t="s">
        <v>377</v>
      </c>
      <c r="G3877" s="2" t="s">
        <v>21</v>
      </c>
      <c r="H3877" s="2" t="s">
        <v>22</v>
      </c>
      <c r="I3877" s="2" t="s">
        <v>23</v>
      </c>
      <c r="J3877" s="2" t="s">
        <v>378</v>
      </c>
      <c r="K3877">
        <v>1.18</v>
      </c>
      <c r="L3877">
        <v>21.35</v>
      </c>
      <c r="M3877">
        <v>1809.32</v>
      </c>
      <c r="N3877" s="2" t="s">
        <v>379</v>
      </c>
      <c r="O3877" s="2" t="s">
        <v>380</v>
      </c>
      <c r="P3877" s="2" t="s">
        <v>2487</v>
      </c>
      <c r="Q3877" s="2" t="s">
        <v>6731</v>
      </c>
      <c r="R3877" s="2" t="s">
        <v>29</v>
      </c>
      <c r="S3877" s="2" t="s">
        <v>30</v>
      </c>
    </row>
    <row r="3878" spans="1:19">
      <c r="A3878" s="1">
        <v>45839</v>
      </c>
      <c r="B3878" s="1">
        <v>45839</v>
      </c>
      <c r="C3878">
        <v>2025</v>
      </c>
      <c r="D3878">
        <v>7</v>
      </c>
      <c r="E3878" s="2" t="s">
        <v>19</v>
      </c>
      <c r="F3878" s="2" t="s">
        <v>20</v>
      </c>
      <c r="G3878" s="2" t="s">
        <v>21</v>
      </c>
      <c r="H3878" s="2" t="s">
        <v>22</v>
      </c>
      <c r="I3878" s="2" t="s">
        <v>23</v>
      </c>
      <c r="J3878" s="2" t="s">
        <v>24</v>
      </c>
      <c r="K3878">
        <v>0.31</v>
      </c>
      <c r="L3878">
        <v>15.65</v>
      </c>
      <c r="M3878">
        <v>5048.3900000000003</v>
      </c>
      <c r="N3878" s="2" t="s">
        <v>25</v>
      </c>
      <c r="O3878" s="2" t="s">
        <v>26</v>
      </c>
      <c r="P3878" s="2" t="s">
        <v>2811</v>
      </c>
      <c r="Q3878" s="2" t="s">
        <v>6286</v>
      </c>
      <c r="R3878" s="2" t="s">
        <v>29</v>
      </c>
      <c r="S3878" s="2" t="s">
        <v>30</v>
      </c>
    </row>
    <row r="3879" spans="1:19">
      <c r="A3879" s="1">
        <v>45839</v>
      </c>
      <c r="B3879" s="1">
        <v>45839</v>
      </c>
      <c r="C3879">
        <v>2025</v>
      </c>
      <c r="D3879">
        <v>7</v>
      </c>
      <c r="E3879" s="2" t="s">
        <v>31</v>
      </c>
      <c r="F3879" s="2" t="s">
        <v>32</v>
      </c>
      <c r="G3879" s="2" t="s">
        <v>21</v>
      </c>
      <c r="H3879" s="2" t="s">
        <v>22</v>
      </c>
      <c r="I3879" s="2" t="s">
        <v>23</v>
      </c>
      <c r="J3879" s="2" t="s">
        <v>24</v>
      </c>
      <c r="K3879">
        <v>2705.04</v>
      </c>
      <c r="L3879">
        <v>42354.76</v>
      </c>
      <c r="M3879">
        <v>1565.77</v>
      </c>
      <c r="N3879" s="2" t="s">
        <v>33</v>
      </c>
      <c r="O3879" s="2" t="s">
        <v>34</v>
      </c>
      <c r="P3879" s="2" t="s">
        <v>6732</v>
      </c>
      <c r="Q3879" s="2" t="s">
        <v>6733</v>
      </c>
      <c r="R3879" s="2" t="s">
        <v>29</v>
      </c>
      <c r="S3879" s="2" t="s">
        <v>30</v>
      </c>
    </row>
    <row r="3880" spans="1:19">
      <c r="A3880" s="1">
        <v>45839</v>
      </c>
      <c r="B3880" s="1">
        <v>45839</v>
      </c>
      <c r="C3880">
        <v>2025</v>
      </c>
      <c r="D3880">
        <v>7</v>
      </c>
      <c r="E3880" s="2" t="s">
        <v>37</v>
      </c>
      <c r="F3880" s="2" t="s">
        <v>38</v>
      </c>
      <c r="G3880" s="2" t="s">
        <v>39</v>
      </c>
      <c r="H3880" s="2" t="s">
        <v>22</v>
      </c>
      <c r="I3880" s="2" t="s">
        <v>40</v>
      </c>
      <c r="J3880" s="2" t="s">
        <v>24</v>
      </c>
      <c r="K3880">
        <v>6.63</v>
      </c>
      <c r="L3880">
        <v>361.62</v>
      </c>
      <c r="M3880">
        <v>5454.3</v>
      </c>
      <c r="N3880" s="2" t="s">
        <v>41</v>
      </c>
      <c r="O3880" s="2" t="s">
        <v>42</v>
      </c>
      <c r="P3880" s="2" t="s">
        <v>6734</v>
      </c>
      <c r="Q3880" s="2" t="s">
        <v>6735</v>
      </c>
      <c r="R3880" s="2" t="s">
        <v>29</v>
      </c>
      <c r="S3880" s="2" t="s">
        <v>30</v>
      </c>
    </row>
    <row r="3881" spans="1:19">
      <c r="A3881" s="1">
        <v>45839</v>
      </c>
      <c r="B3881" s="1">
        <v>45839</v>
      </c>
      <c r="C3881">
        <v>2025</v>
      </c>
      <c r="D3881">
        <v>7</v>
      </c>
      <c r="E3881" s="2" t="s">
        <v>45</v>
      </c>
      <c r="F3881" s="2" t="s">
        <v>46</v>
      </c>
      <c r="G3881" s="2" t="s">
        <v>39</v>
      </c>
      <c r="H3881" s="2" t="s">
        <v>22</v>
      </c>
      <c r="I3881" s="2" t="s">
        <v>40</v>
      </c>
      <c r="J3881" s="2" t="s">
        <v>24</v>
      </c>
      <c r="K3881">
        <v>4447.66</v>
      </c>
      <c r="L3881">
        <v>231722.43</v>
      </c>
      <c r="M3881">
        <v>5209.99</v>
      </c>
      <c r="N3881" s="2" t="s">
        <v>47</v>
      </c>
      <c r="O3881" s="2" t="s">
        <v>48</v>
      </c>
      <c r="P3881" s="2" t="s">
        <v>6736</v>
      </c>
      <c r="Q3881" s="2" t="s">
        <v>6737</v>
      </c>
      <c r="R3881" s="2" t="s">
        <v>29</v>
      </c>
      <c r="S3881" s="2" t="s">
        <v>30</v>
      </c>
    </row>
    <row r="3882" spans="1:19">
      <c r="A3882" s="1">
        <v>45839</v>
      </c>
      <c r="B3882" s="1">
        <v>45839</v>
      </c>
      <c r="C3882">
        <v>2025</v>
      </c>
      <c r="D3882">
        <v>7</v>
      </c>
      <c r="E3882" s="2" t="s">
        <v>51</v>
      </c>
      <c r="F3882" s="2" t="s">
        <v>52</v>
      </c>
      <c r="G3882" s="2" t="s">
        <v>39</v>
      </c>
      <c r="H3882" s="2" t="s">
        <v>22</v>
      </c>
      <c r="I3882" s="2" t="s">
        <v>40</v>
      </c>
      <c r="J3882" s="2" t="s">
        <v>24</v>
      </c>
      <c r="K3882">
        <v>18.13</v>
      </c>
      <c r="L3882">
        <v>870.69</v>
      </c>
      <c r="M3882">
        <v>4802.4799999999996</v>
      </c>
      <c r="N3882" s="2" t="s">
        <v>53</v>
      </c>
      <c r="O3882" s="2" t="s">
        <v>54</v>
      </c>
      <c r="P3882" s="2" t="s">
        <v>6738</v>
      </c>
      <c r="Q3882" s="2" t="s">
        <v>6739</v>
      </c>
      <c r="R3882" s="2" t="s">
        <v>29</v>
      </c>
      <c r="S3882" s="2" t="s">
        <v>30</v>
      </c>
    </row>
    <row r="3883" spans="1:19">
      <c r="A3883" s="1">
        <v>45839</v>
      </c>
      <c r="B3883" s="1">
        <v>45839</v>
      </c>
      <c r="C3883">
        <v>2025</v>
      </c>
      <c r="D3883">
        <v>7</v>
      </c>
      <c r="E3883" s="2" t="s">
        <v>57</v>
      </c>
      <c r="F3883" s="2" t="s">
        <v>58</v>
      </c>
      <c r="G3883" s="2" t="s">
        <v>39</v>
      </c>
      <c r="H3883" s="2" t="s">
        <v>22</v>
      </c>
      <c r="I3883" s="2" t="s">
        <v>40</v>
      </c>
      <c r="J3883" s="2" t="s">
        <v>59</v>
      </c>
      <c r="K3883">
        <v>4472.41</v>
      </c>
      <c r="L3883">
        <v>232954.74</v>
      </c>
      <c r="M3883">
        <v>5208.71</v>
      </c>
      <c r="N3883" s="2" t="s">
        <v>60</v>
      </c>
      <c r="O3883" s="2" t="s">
        <v>61</v>
      </c>
      <c r="P3883" s="2" t="s">
        <v>6740</v>
      </c>
      <c r="Q3883" s="2" t="s">
        <v>6741</v>
      </c>
      <c r="R3883" s="2" t="s">
        <v>29</v>
      </c>
      <c r="S3883" s="2" t="s">
        <v>30</v>
      </c>
    </row>
    <row r="3884" spans="1:19">
      <c r="A3884" s="1">
        <v>45839</v>
      </c>
      <c r="B3884" s="1">
        <v>45839</v>
      </c>
      <c r="C3884">
        <v>2025</v>
      </c>
      <c r="D3884">
        <v>7</v>
      </c>
      <c r="E3884" s="2" t="s">
        <v>64</v>
      </c>
      <c r="F3884" s="2" t="s">
        <v>65</v>
      </c>
      <c r="G3884" s="2" t="s">
        <v>21</v>
      </c>
      <c r="H3884" s="2" t="s">
        <v>22</v>
      </c>
      <c r="I3884" s="2" t="s">
        <v>66</v>
      </c>
      <c r="J3884" s="2" t="s">
        <v>24</v>
      </c>
      <c r="K3884">
        <v>19.95</v>
      </c>
      <c r="L3884">
        <v>619.12</v>
      </c>
      <c r="M3884">
        <v>3103.36</v>
      </c>
      <c r="N3884" s="2" t="s">
        <v>67</v>
      </c>
      <c r="O3884" s="2" t="s">
        <v>68</v>
      </c>
      <c r="P3884" s="2" t="s">
        <v>6742</v>
      </c>
      <c r="Q3884" s="2" t="s">
        <v>6743</v>
      </c>
      <c r="R3884" s="2" t="s">
        <v>29</v>
      </c>
      <c r="S3884" s="2" t="s">
        <v>30</v>
      </c>
    </row>
    <row r="3885" spans="1:19">
      <c r="A3885" s="1">
        <v>45839</v>
      </c>
      <c r="B3885" s="1">
        <v>45839</v>
      </c>
      <c r="C3885">
        <v>2025</v>
      </c>
      <c r="D3885">
        <v>7</v>
      </c>
      <c r="E3885" s="2" t="s">
        <v>71</v>
      </c>
      <c r="F3885" s="2" t="s">
        <v>72</v>
      </c>
      <c r="G3885" s="2" t="s">
        <v>21</v>
      </c>
      <c r="H3885" s="2" t="s">
        <v>22</v>
      </c>
      <c r="I3885" s="2" t="s">
        <v>73</v>
      </c>
      <c r="J3885" s="2" t="s">
        <v>59</v>
      </c>
      <c r="K3885">
        <v>5982.42</v>
      </c>
      <c r="L3885">
        <v>231986.92</v>
      </c>
      <c r="M3885">
        <v>3877.81</v>
      </c>
      <c r="N3885" s="2" t="s">
        <v>74</v>
      </c>
      <c r="O3885" s="2" t="s">
        <v>75</v>
      </c>
      <c r="P3885" s="2" t="s">
        <v>6744</v>
      </c>
      <c r="Q3885" s="2" t="s">
        <v>6745</v>
      </c>
      <c r="R3885" s="2" t="s">
        <v>29</v>
      </c>
      <c r="S3885" s="2" t="s">
        <v>30</v>
      </c>
    </row>
    <row r="3886" spans="1:19">
      <c r="A3886" s="1">
        <v>45839</v>
      </c>
      <c r="B3886" s="1">
        <v>45839</v>
      </c>
      <c r="C3886">
        <v>2025</v>
      </c>
      <c r="D3886">
        <v>7</v>
      </c>
      <c r="E3886" s="2" t="s">
        <v>78</v>
      </c>
      <c r="F3886" s="2" t="s">
        <v>79</v>
      </c>
      <c r="G3886" s="2" t="s">
        <v>80</v>
      </c>
      <c r="H3886" s="2" t="s">
        <v>81</v>
      </c>
      <c r="I3886" s="2" t="s">
        <v>82</v>
      </c>
      <c r="J3886" s="2" t="s">
        <v>24</v>
      </c>
      <c r="K3886">
        <v>3.48</v>
      </c>
      <c r="L3886">
        <v>12739680.51</v>
      </c>
      <c r="M3886">
        <v>366082773.27999997</v>
      </c>
      <c r="N3886" s="2" t="s">
        <v>83</v>
      </c>
      <c r="O3886" s="2" t="s">
        <v>84</v>
      </c>
      <c r="P3886" s="2" t="s">
        <v>5312</v>
      </c>
      <c r="Q3886" s="2" t="s">
        <v>6746</v>
      </c>
      <c r="R3886" s="2" t="s">
        <v>29</v>
      </c>
      <c r="S3886" s="2" t="s">
        <v>30</v>
      </c>
    </row>
    <row r="3887" spans="1:19">
      <c r="A3887" s="1">
        <v>45839</v>
      </c>
      <c r="B3887" s="1">
        <v>45839</v>
      </c>
      <c r="C3887">
        <v>2025</v>
      </c>
      <c r="D3887">
        <v>7</v>
      </c>
      <c r="E3887" s="2" t="s">
        <v>87</v>
      </c>
      <c r="F3887" s="2" t="s">
        <v>88</v>
      </c>
      <c r="G3887" s="2" t="s">
        <v>80</v>
      </c>
      <c r="H3887" s="2" t="s">
        <v>81</v>
      </c>
      <c r="I3887" s="2" t="s">
        <v>82</v>
      </c>
      <c r="J3887" s="2" t="s">
        <v>24</v>
      </c>
      <c r="K3887">
        <v>0.84</v>
      </c>
      <c r="L3887">
        <v>1274228.32</v>
      </c>
      <c r="M3887">
        <v>151693847.62</v>
      </c>
      <c r="N3887" s="2" t="s">
        <v>89</v>
      </c>
      <c r="O3887" s="2" t="s">
        <v>90</v>
      </c>
      <c r="P3887" s="2" t="s">
        <v>383</v>
      </c>
      <c r="Q3887" s="2" t="s">
        <v>6747</v>
      </c>
      <c r="R3887" s="2" t="s">
        <v>29</v>
      </c>
      <c r="S3887" s="2" t="s">
        <v>30</v>
      </c>
    </row>
    <row r="3888" spans="1:19">
      <c r="A3888" s="1">
        <v>45839</v>
      </c>
      <c r="B3888" s="1">
        <v>45839</v>
      </c>
      <c r="C3888">
        <v>2025</v>
      </c>
      <c r="D3888">
        <v>7</v>
      </c>
      <c r="E3888" s="2" t="s">
        <v>93</v>
      </c>
      <c r="F3888" s="2" t="s">
        <v>94</v>
      </c>
      <c r="G3888" s="2" t="s">
        <v>80</v>
      </c>
      <c r="H3888" s="2" t="s">
        <v>81</v>
      </c>
      <c r="I3888" s="2" t="s">
        <v>82</v>
      </c>
      <c r="J3888" s="2" t="s">
        <v>24</v>
      </c>
      <c r="K3888">
        <v>0.55000000000000004</v>
      </c>
      <c r="L3888">
        <v>8664018.1600000001</v>
      </c>
      <c r="M3888">
        <v>1575276029.0899999</v>
      </c>
      <c r="N3888" s="2" t="s">
        <v>95</v>
      </c>
      <c r="O3888" s="2" t="s">
        <v>96</v>
      </c>
      <c r="P3888" s="2" t="s">
        <v>2613</v>
      </c>
      <c r="Q3888" s="2" t="s">
        <v>6748</v>
      </c>
      <c r="R3888" s="2" t="s">
        <v>29</v>
      </c>
      <c r="S3888" s="2" t="s">
        <v>30</v>
      </c>
    </row>
    <row r="3889" spans="1:19">
      <c r="A3889" s="1">
        <v>45839</v>
      </c>
      <c r="B3889" s="1">
        <v>45839</v>
      </c>
      <c r="C3889">
        <v>2025</v>
      </c>
      <c r="D3889">
        <v>7</v>
      </c>
      <c r="E3889" s="2" t="s">
        <v>99</v>
      </c>
      <c r="F3889" s="2" t="s">
        <v>100</v>
      </c>
      <c r="G3889" s="2" t="s">
        <v>80</v>
      </c>
      <c r="H3889" s="2" t="s">
        <v>81</v>
      </c>
      <c r="I3889" s="2" t="s">
        <v>82</v>
      </c>
      <c r="J3889" s="2" t="s">
        <v>101</v>
      </c>
      <c r="K3889">
        <v>1.63</v>
      </c>
      <c r="L3889">
        <v>19293299.030000001</v>
      </c>
      <c r="M3889">
        <v>1183637977.3</v>
      </c>
      <c r="N3889" s="2" t="s">
        <v>102</v>
      </c>
      <c r="O3889" s="2" t="s">
        <v>103</v>
      </c>
      <c r="P3889" s="2" t="s">
        <v>3637</v>
      </c>
      <c r="Q3889" s="2" t="s">
        <v>6749</v>
      </c>
      <c r="R3889" s="2" t="s">
        <v>29</v>
      </c>
      <c r="S3889" s="2" t="s">
        <v>30</v>
      </c>
    </row>
    <row r="3890" spans="1:19">
      <c r="A3890" s="1">
        <v>45839</v>
      </c>
      <c r="B3890" s="1">
        <v>45839</v>
      </c>
      <c r="C3890">
        <v>2025</v>
      </c>
      <c r="D3890">
        <v>7</v>
      </c>
      <c r="E3890" s="2" t="s">
        <v>106</v>
      </c>
      <c r="F3890" s="2" t="s">
        <v>107</v>
      </c>
      <c r="G3890" s="2" t="s">
        <v>80</v>
      </c>
      <c r="H3890" s="2" t="s">
        <v>81</v>
      </c>
      <c r="I3890" s="2" t="s">
        <v>82</v>
      </c>
      <c r="J3890" s="2" t="s">
        <v>24</v>
      </c>
      <c r="K3890">
        <v>0.24</v>
      </c>
      <c r="L3890">
        <v>9355052.5500000007</v>
      </c>
      <c r="M3890">
        <v>3897938562.5</v>
      </c>
      <c r="N3890" s="2" t="s">
        <v>108</v>
      </c>
      <c r="O3890" s="2" t="s">
        <v>109</v>
      </c>
      <c r="P3890" s="2" t="s">
        <v>1650</v>
      </c>
      <c r="Q3890" s="2" t="s">
        <v>6750</v>
      </c>
      <c r="R3890" s="2" t="s">
        <v>29</v>
      </c>
      <c r="S3890" s="2" t="s">
        <v>30</v>
      </c>
    </row>
    <row r="3891" spans="1:19">
      <c r="A3891" s="1">
        <v>45839</v>
      </c>
      <c r="B3891" s="1">
        <v>45839</v>
      </c>
      <c r="C3891">
        <v>2025</v>
      </c>
      <c r="D3891">
        <v>7</v>
      </c>
      <c r="E3891" s="2" t="s">
        <v>111</v>
      </c>
      <c r="F3891" s="2" t="s">
        <v>112</v>
      </c>
      <c r="G3891" s="2" t="s">
        <v>80</v>
      </c>
      <c r="H3891" s="2" t="s">
        <v>81</v>
      </c>
      <c r="I3891" s="2" t="s">
        <v>82</v>
      </c>
      <c r="J3891" s="2" t="s">
        <v>24</v>
      </c>
      <c r="K3891">
        <v>0.1</v>
      </c>
      <c r="L3891">
        <v>748635.97</v>
      </c>
      <c r="M3891">
        <v>748635970</v>
      </c>
      <c r="N3891" s="2" t="s">
        <v>113</v>
      </c>
      <c r="O3891" s="2" t="s">
        <v>114</v>
      </c>
      <c r="P3891" s="2" t="s">
        <v>425</v>
      </c>
      <c r="Q3891" s="2" t="s">
        <v>6751</v>
      </c>
      <c r="R3891" s="2" t="s">
        <v>29</v>
      </c>
      <c r="S3891" s="2" t="s">
        <v>30</v>
      </c>
    </row>
    <row r="3892" spans="1:19">
      <c r="A3892" s="1">
        <v>45839</v>
      </c>
      <c r="B3892" s="1">
        <v>45839</v>
      </c>
      <c r="C3892">
        <v>2025</v>
      </c>
      <c r="D3892">
        <v>7</v>
      </c>
      <c r="E3892" s="2" t="s">
        <v>117</v>
      </c>
      <c r="F3892" s="2" t="s">
        <v>118</v>
      </c>
      <c r="G3892" s="2" t="s">
        <v>80</v>
      </c>
      <c r="H3892" s="2" t="s">
        <v>81</v>
      </c>
      <c r="I3892" s="2" t="s">
        <v>82</v>
      </c>
      <c r="J3892" s="2" t="s">
        <v>59</v>
      </c>
      <c r="K3892">
        <v>5.21</v>
      </c>
      <c r="L3892">
        <v>32781615.510000002</v>
      </c>
      <c r="M3892">
        <v>629205671.98000002</v>
      </c>
      <c r="N3892" s="2" t="s">
        <v>119</v>
      </c>
      <c r="O3892" s="2" t="s">
        <v>120</v>
      </c>
      <c r="P3892" s="2" t="s">
        <v>882</v>
      </c>
      <c r="Q3892" s="2" t="s">
        <v>6752</v>
      </c>
      <c r="R3892" s="2" t="s">
        <v>29</v>
      </c>
      <c r="S3892" s="2" t="s">
        <v>30</v>
      </c>
    </row>
    <row r="3893" spans="1:19">
      <c r="A3893" s="1">
        <v>45839</v>
      </c>
      <c r="B3893" s="1">
        <v>45839</v>
      </c>
      <c r="C3893">
        <v>2025</v>
      </c>
      <c r="D3893">
        <v>7</v>
      </c>
      <c r="E3893" s="2" t="s">
        <v>123</v>
      </c>
      <c r="F3893" s="2" t="s">
        <v>124</v>
      </c>
      <c r="G3893" s="2" t="s">
        <v>21</v>
      </c>
      <c r="H3893" s="2" t="s">
        <v>22</v>
      </c>
      <c r="I3893" s="2" t="s">
        <v>73</v>
      </c>
      <c r="J3893" s="2" t="s">
        <v>24</v>
      </c>
      <c r="K3893">
        <v>2429.06</v>
      </c>
      <c r="L3893">
        <v>123469.1</v>
      </c>
      <c r="M3893">
        <v>5083</v>
      </c>
      <c r="N3893" s="2" t="s">
        <v>125</v>
      </c>
      <c r="O3893" s="2" t="s">
        <v>126</v>
      </c>
      <c r="P3893" s="2" t="s">
        <v>6753</v>
      </c>
      <c r="Q3893" s="2" t="s">
        <v>6754</v>
      </c>
      <c r="R3893" s="2" t="s">
        <v>29</v>
      </c>
      <c r="S3893" s="2" t="s">
        <v>30</v>
      </c>
    </row>
    <row r="3894" spans="1:19">
      <c r="A3894" s="1">
        <v>45839</v>
      </c>
      <c r="B3894" s="1">
        <v>45839</v>
      </c>
      <c r="C3894">
        <v>2025</v>
      </c>
      <c r="D3894">
        <v>7</v>
      </c>
      <c r="E3894" s="2" t="s">
        <v>129</v>
      </c>
      <c r="F3894" s="2" t="s">
        <v>130</v>
      </c>
      <c r="G3894" s="2" t="s">
        <v>21</v>
      </c>
      <c r="H3894" s="2" t="s">
        <v>22</v>
      </c>
      <c r="I3894" s="2" t="s">
        <v>73</v>
      </c>
      <c r="J3894" s="2" t="s">
        <v>24</v>
      </c>
      <c r="K3894">
        <v>2432.75</v>
      </c>
      <c r="L3894">
        <v>70380.31</v>
      </c>
      <c r="M3894">
        <v>2893.04</v>
      </c>
      <c r="N3894" s="2" t="s">
        <v>131</v>
      </c>
      <c r="O3894" s="2" t="s">
        <v>132</v>
      </c>
      <c r="P3894" s="2" t="s">
        <v>6755</v>
      </c>
      <c r="Q3894" s="2" t="s">
        <v>6756</v>
      </c>
      <c r="R3894" s="2" t="s">
        <v>29</v>
      </c>
      <c r="S3894" s="2" t="s">
        <v>30</v>
      </c>
    </row>
    <row r="3895" spans="1:19">
      <c r="A3895" s="1">
        <v>45839</v>
      </c>
      <c r="B3895" s="1">
        <v>45839</v>
      </c>
      <c r="C3895">
        <v>2025</v>
      </c>
      <c r="D3895">
        <v>7</v>
      </c>
      <c r="E3895" s="2" t="s">
        <v>135</v>
      </c>
      <c r="F3895" s="2" t="s">
        <v>136</v>
      </c>
      <c r="G3895" s="2" t="s">
        <v>21</v>
      </c>
      <c r="H3895" s="2" t="s">
        <v>22</v>
      </c>
      <c r="I3895" s="2" t="s">
        <v>73</v>
      </c>
      <c r="J3895" s="2" t="s">
        <v>101</v>
      </c>
      <c r="K3895">
        <v>4861.8100000000004</v>
      </c>
      <c r="L3895">
        <v>193849.42</v>
      </c>
      <c r="M3895">
        <v>3987.19</v>
      </c>
      <c r="N3895" s="2" t="s">
        <v>137</v>
      </c>
      <c r="O3895" s="2" t="s">
        <v>138</v>
      </c>
      <c r="P3895" s="2" t="s">
        <v>6757</v>
      </c>
      <c r="Q3895" s="2" t="s">
        <v>6758</v>
      </c>
      <c r="R3895" s="2" t="s">
        <v>29</v>
      </c>
      <c r="S3895" s="2" t="s">
        <v>30</v>
      </c>
    </row>
    <row r="3896" spans="1:19">
      <c r="A3896" s="1">
        <v>45839</v>
      </c>
      <c r="B3896" s="1">
        <v>45839</v>
      </c>
      <c r="C3896">
        <v>2025</v>
      </c>
      <c r="D3896">
        <v>7</v>
      </c>
      <c r="E3896" s="2" t="s">
        <v>141</v>
      </c>
      <c r="F3896" s="2" t="s">
        <v>142</v>
      </c>
      <c r="G3896" s="2" t="s">
        <v>21</v>
      </c>
      <c r="H3896" s="2" t="s">
        <v>22</v>
      </c>
      <c r="I3896" s="2" t="s">
        <v>73</v>
      </c>
      <c r="J3896" s="2" t="s">
        <v>24</v>
      </c>
      <c r="K3896">
        <v>288.42</v>
      </c>
      <c r="L3896">
        <v>14216.32</v>
      </c>
      <c r="M3896">
        <v>4929.03</v>
      </c>
      <c r="N3896" s="2" t="s">
        <v>143</v>
      </c>
      <c r="O3896" s="2" t="s">
        <v>144</v>
      </c>
      <c r="P3896" s="2" t="s">
        <v>6759</v>
      </c>
      <c r="Q3896" s="2" t="s">
        <v>6760</v>
      </c>
      <c r="R3896" s="2" t="s">
        <v>29</v>
      </c>
      <c r="S3896" s="2" t="s">
        <v>30</v>
      </c>
    </row>
    <row r="3897" spans="1:19">
      <c r="A3897" s="1">
        <v>45839</v>
      </c>
      <c r="B3897" s="1">
        <v>45839</v>
      </c>
      <c r="C3897">
        <v>2025</v>
      </c>
      <c r="D3897">
        <v>7</v>
      </c>
      <c r="E3897" s="2" t="s">
        <v>147</v>
      </c>
      <c r="F3897" s="2" t="s">
        <v>148</v>
      </c>
      <c r="G3897" s="2" t="s">
        <v>21</v>
      </c>
      <c r="H3897" s="2" t="s">
        <v>22</v>
      </c>
      <c r="I3897" s="2" t="s">
        <v>73</v>
      </c>
      <c r="J3897" s="2" t="s">
        <v>24</v>
      </c>
      <c r="K3897">
        <v>832.19</v>
      </c>
      <c r="L3897">
        <v>23921.19</v>
      </c>
      <c r="M3897">
        <v>2874.49</v>
      </c>
      <c r="N3897" s="2" t="s">
        <v>149</v>
      </c>
      <c r="O3897" s="2" t="s">
        <v>150</v>
      </c>
      <c r="P3897" s="2" t="s">
        <v>6761</v>
      </c>
      <c r="Q3897" s="2" t="s">
        <v>6762</v>
      </c>
      <c r="R3897" s="2" t="s">
        <v>29</v>
      </c>
      <c r="S3897" s="2" t="s">
        <v>30</v>
      </c>
    </row>
    <row r="3898" spans="1:19">
      <c r="A3898" s="1">
        <v>45839</v>
      </c>
      <c r="B3898" s="1">
        <v>45839</v>
      </c>
      <c r="C3898">
        <v>2025</v>
      </c>
      <c r="D3898">
        <v>7</v>
      </c>
      <c r="E3898" s="2" t="s">
        <v>153</v>
      </c>
      <c r="F3898" s="2" t="s">
        <v>154</v>
      </c>
      <c r="G3898" s="2" t="s">
        <v>21</v>
      </c>
      <c r="H3898" s="2" t="s">
        <v>22</v>
      </c>
      <c r="I3898" s="2" t="s">
        <v>73</v>
      </c>
      <c r="J3898" s="2" t="s">
        <v>101</v>
      </c>
      <c r="K3898">
        <v>1120.6099999999999</v>
      </c>
      <c r="L3898">
        <v>38137.51</v>
      </c>
      <c r="M3898">
        <v>3403.28</v>
      </c>
      <c r="N3898" s="2" t="s">
        <v>155</v>
      </c>
      <c r="O3898" s="2" t="s">
        <v>156</v>
      </c>
      <c r="P3898" s="2" t="s">
        <v>6763</v>
      </c>
      <c r="Q3898" s="2" t="s">
        <v>6764</v>
      </c>
      <c r="R3898" s="2" t="s">
        <v>29</v>
      </c>
      <c r="S3898" s="2" t="s">
        <v>30</v>
      </c>
    </row>
    <row r="3899" spans="1:19">
      <c r="A3899" s="1">
        <v>45839</v>
      </c>
      <c r="B3899" s="1">
        <v>45839</v>
      </c>
      <c r="C3899">
        <v>2025</v>
      </c>
      <c r="D3899">
        <v>7</v>
      </c>
      <c r="E3899" s="2" t="s">
        <v>159</v>
      </c>
      <c r="F3899" s="2" t="s">
        <v>160</v>
      </c>
      <c r="G3899" s="2" t="s">
        <v>21</v>
      </c>
      <c r="H3899" s="2" t="s">
        <v>22</v>
      </c>
      <c r="I3899" s="2" t="s">
        <v>66</v>
      </c>
      <c r="J3899" s="2" t="s">
        <v>59</v>
      </c>
      <c r="K3899">
        <v>1912.72</v>
      </c>
      <c r="L3899">
        <v>217899.28</v>
      </c>
      <c r="M3899">
        <v>11392.12</v>
      </c>
      <c r="N3899" s="2" t="s">
        <v>161</v>
      </c>
      <c r="O3899" s="2" t="s">
        <v>162</v>
      </c>
      <c r="P3899" s="2" t="s">
        <v>6765</v>
      </c>
      <c r="Q3899" s="2" t="s">
        <v>6766</v>
      </c>
      <c r="R3899" s="2" t="s">
        <v>29</v>
      </c>
      <c r="S3899" s="2" t="s">
        <v>30</v>
      </c>
    </row>
    <row r="3900" spans="1:19">
      <c r="A3900" s="1">
        <v>45839</v>
      </c>
      <c r="B3900" s="1">
        <v>45839</v>
      </c>
      <c r="C3900">
        <v>2025</v>
      </c>
      <c r="D3900">
        <v>7</v>
      </c>
      <c r="E3900" s="2" t="s">
        <v>165</v>
      </c>
      <c r="F3900" s="2" t="s">
        <v>166</v>
      </c>
      <c r="G3900" s="2" t="s">
        <v>21</v>
      </c>
      <c r="H3900" s="2" t="s">
        <v>22</v>
      </c>
      <c r="I3900" s="2" t="s">
        <v>23</v>
      </c>
      <c r="J3900" s="2" t="s">
        <v>24</v>
      </c>
      <c r="N3900" s="2" t="s">
        <v>167</v>
      </c>
      <c r="O3900" s="2" t="s">
        <v>168</v>
      </c>
      <c r="P3900" s="2" t="s">
        <v>175</v>
      </c>
      <c r="Q3900" s="2" t="s">
        <v>175</v>
      </c>
      <c r="R3900" s="2" t="s">
        <v>640</v>
      </c>
      <c r="S3900" s="2" t="s">
        <v>641</v>
      </c>
    </row>
    <row r="3901" spans="1:19">
      <c r="A3901" s="1">
        <v>45839</v>
      </c>
      <c r="B3901" s="1">
        <v>45839</v>
      </c>
      <c r="C3901">
        <v>2025</v>
      </c>
      <c r="D3901">
        <v>7</v>
      </c>
      <c r="E3901" s="2" t="s">
        <v>171</v>
      </c>
      <c r="F3901" s="2" t="s">
        <v>172</v>
      </c>
      <c r="G3901" s="2" t="s">
        <v>21</v>
      </c>
      <c r="H3901" s="2" t="s">
        <v>22</v>
      </c>
      <c r="I3901" s="2" t="s">
        <v>66</v>
      </c>
      <c r="J3901" s="2" t="s">
        <v>24</v>
      </c>
      <c r="N3901" s="2" t="s">
        <v>173</v>
      </c>
      <c r="O3901" s="2" t="s">
        <v>174</v>
      </c>
      <c r="P3901" s="2" t="s">
        <v>175</v>
      </c>
      <c r="Q3901" s="2" t="s">
        <v>175</v>
      </c>
      <c r="R3901" s="2" t="s">
        <v>640</v>
      </c>
      <c r="S3901" s="2" t="s">
        <v>641</v>
      </c>
    </row>
    <row r="3902" spans="1:19">
      <c r="A3902" s="1">
        <v>45839</v>
      </c>
      <c r="B3902" s="1">
        <v>45839</v>
      </c>
      <c r="C3902">
        <v>2025</v>
      </c>
      <c r="D3902">
        <v>7</v>
      </c>
      <c r="E3902" s="2" t="s">
        <v>177</v>
      </c>
      <c r="F3902" s="2" t="s">
        <v>178</v>
      </c>
      <c r="G3902" s="2" t="s">
        <v>21</v>
      </c>
      <c r="H3902" s="2" t="s">
        <v>22</v>
      </c>
      <c r="I3902" s="2" t="s">
        <v>23</v>
      </c>
      <c r="J3902" s="2" t="s">
        <v>24</v>
      </c>
      <c r="K3902">
        <v>4821.8999999999996</v>
      </c>
      <c r="L3902">
        <v>631411.24</v>
      </c>
      <c r="M3902">
        <v>13094.66</v>
      </c>
      <c r="N3902" s="2" t="s">
        <v>179</v>
      </c>
      <c r="O3902" s="2" t="s">
        <v>180</v>
      </c>
      <c r="P3902" s="2" t="s">
        <v>6767</v>
      </c>
      <c r="Q3902" s="2" t="s">
        <v>6768</v>
      </c>
      <c r="R3902" s="2" t="s">
        <v>29</v>
      </c>
      <c r="S3902" s="2" t="s">
        <v>30</v>
      </c>
    </row>
    <row r="3903" spans="1:19">
      <c r="A3903" s="1">
        <v>45839</v>
      </c>
      <c r="B3903" s="1">
        <v>45839</v>
      </c>
      <c r="C3903">
        <v>2025</v>
      </c>
      <c r="D3903">
        <v>7</v>
      </c>
      <c r="E3903" s="2" t="s">
        <v>183</v>
      </c>
      <c r="F3903" s="2" t="s">
        <v>184</v>
      </c>
      <c r="G3903" s="2" t="s">
        <v>185</v>
      </c>
      <c r="H3903" s="2" t="s">
        <v>22</v>
      </c>
      <c r="I3903" s="2" t="s">
        <v>186</v>
      </c>
      <c r="J3903" s="2" t="s">
        <v>24</v>
      </c>
      <c r="K3903">
        <v>3051.9</v>
      </c>
      <c r="L3903">
        <v>6069093.2999999998</v>
      </c>
      <c r="M3903">
        <v>198862.78</v>
      </c>
      <c r="N3903" s="2" t="s">
        <v>187</v>
      </c>
      <c r="O3903" s="2" t="s">
        <v>188</v>
      </c>
      <c r="P3903" s="2" t="s">
        <v>6769</v>
      </c>
      <c r="Q3903" s="2" t="s">
        <v>6770</v>
      </c>
      <c r="R3903" s="2" t="s">
        <v>29</v>
      </c>
      <c r="S3903" s="2" t="s">
        <v>30</v>
      </c>
    </row>
    <row r="3904" spans="1:19">
      <c r="A3904" s="1">
        <v>45839</v>
      </c>
      <c r="B3904" s="1">
        <v>45839</v>
      </c>
      <c r="C3904">
        <v>2025</v>
      </c>
      <c r="D3904">
        <v>7</v>
      </c>
      <c r="E3904" s="2" t="s">
        <v>191</v>
      </c>
      <c r="F3904" s="2" t="s">
        <v>192</v>
      </c>
      <c r="G3904" s="2" t="s">
        <v>185</v>
      </c>
      <c r="H3904" s="2" t="s">
        <v>22</v>
      </c>
      <c r="I3904" s="2" t="s">
        <v>186</v>
      </c>
      <c r="J3904" s="2" t="s">
        <v>24</v>
      </c>
      <c r="K3904">
        <v>935.66</v>
      </c>
      <c r="L3904">
        <v>6734104.8700000001</v>
      </c>
      <c r="M3904">
        <v>719717.08</v>
      </c>
      <c r="N3904" s="2" t="s">
        <v>193</v>
      </c>
      <c r="O3904" s="2" t="s">
        <v>194</v>
      </c>
      <c r="P3904" s="2" t="s">
        <v>6771</v>
      </c>
      <c r="Q3904" s="2" t="s">
        <v>6772</v>
      </c>
      <c r="R3904" s="2" t="s">
        <v>29</v>
      </c>
      <c r="S3904" s="2" t="s">
        <v>30</v>
      </c>
    </row>
    <row r="3905" spans="1:19">
      <c r="A3905" s="1">
        <v>45839</v>
      </c>
      <c r="B3905" s="1">
        <v>45839</v>
      </c>
      <c r="C3905">
        <v>2025</v>
      </c>
      <c r="D3905">
        <v>7</v>
      </c>
      <c r="E3905" s="2" t="s">
        <v>197</v>
      </c>
      <c r="F3905" s="2" t="s">
        <v>198</v>
      </c>
      <c r="G3905" s="2" t="s">
        <v>185</v>
      </c>
      <c r="H3905" s="2" t="s">
        <v>22</v>
      </c>
      <c r="I3905" s="2" t="s">
        <v>186</v>
      </c>
      <c r="J3905" s="2" t="s">
        <v>59</v>
      </c>
      <c r="K3905">
        <v>3987.57</v>
      </c>
      <c r="L3905">
        <v>12803198.17</v>
      </c>
      <c r="M3905">
        <v>321077.7</v>
      </c>
      <c r="N3905" s="2" t="s">
        <v>199</v>
      </c>
      <c r="O3905" s="2" t="s">
        <v>200</v>
      </c>
      <c r="P3905" s="2" t="s">
        <v>6773</v>
      </c>
      <c r="Q3905" s="2" t="s">
        <v>6774</v>
      </c>
      <c r="R3905" s="2" t="s">
        <v>29</v>
      </c>
      <c r="S3905" s="2" t="s">
        <v>30</v>
      </c>
    </row>
    <row r="3906" spans="1:19">
      <c r="A3906" s="1">
        <v>45839</v>
      </c>
      <c r="B3906" s="1">
        <v>45839</v>
      </c>
      <c r="C3906">
        <v>2025</v>
      </c>
      <c r="D3906">
        <v>7</v>
      </c>
      <c r="E3906" s="2" t="s">
        <v>203</v>
      </c>
      <c r="F3906" s="2" t="s">
        <v>204</v>
      </c>
      <c r="G3906" s="2" t="s">
        <v>39</v>
      </c>
      <c r="H3906" s="2" t="s">
        <v>22</v>
      </c>
      <c r="I3906" s="2" t="s">
        <v>40</v>
      </c>
      <c r="J3906" s="2" t="s">
        <v>24</v>
      </c>
      <c r="K3906">
        <v>996.95</v>
      </c>
      <c r="L3906">
        <v>25574.32</v>
      </c>
      <c r="M3906">
        <v>2565.2600000000002</v>
      </c>
      <c r="N3906" s="2" t="s">
        <v>205</v>
      </c>
      <c r="O3906" s="2" t="s">
        <v>206</v>
      </c>
      <c r="P3906" s="2" t="s">
        <v>6775</v>
      </c>
      <c r="Q3906" s="2" t="s">
        <v>6776</v>
      </c>
      <c r="R3906" s="2" t="s">
        <v>29</v>
      </c>
      <c r="S3906" s="2" t="s">
        <v>30</v>
      </c>
    </row>
    <row r="3907" spans="1:19">
      <c r="A3907" s="1">
        <v>45839</v>
      </c>
      <c r="B3907" s="1">
        <v>45839</v>
      </c>
      <c r="C3907">
        <v>2025</v>
      </c>
      <c r="D3907">
        <v>7</v>
      </c>
      <c r="E3907" s="2" t="s">
        <v>209</v>
      </c>
      <c r="F3907" s="2" t="s">
        <v>210</v>
      </c>
      <c r="G3907" s="2" t="s">
        <v>39</v>
      </c>
      <c r="H3907" s="2" t="s">
        <v>22</v>
      </c>
      <c r="I3907" s="2" t="s">
        <v>40</v>
      </c>
      <c r="J3907" s="2" t="s">
        <v>59</v>
      </c>
      <c r="K3907">
        <v>996.95</v>
      </c>
      <c r="L3907">
        <v>25574.32</v>
      </c>
      <c r="M3907">
        <v>2565.2600000000002</v>
      </c>
      <c r="N3907" s="2" t="s">
        <v>211</v>
      </c>
      <c r="O3907" s="2" t="s">
        <v>212</v>
      </c>
      <c r="P3907" s="2" t="s">
        <v>6775</v>
      </c>
      <c r="Q3907" s="2" t="s">
        <v>6776</v>
      </c>
      <c r="R3907" s="2" t="s">
        <v>29</v>
      </c>
      <c r="S3907" s="2" t="s">
        <v>30</v>
      </c>
    </row>
    <row r="3908" spans="1:19">
      <c r="A3908" s="1">
        <v>45839</v>
      </c>
      <c r="B3908" s="1">
        <v>45839</v>
      </c>
      <c r="C3908">
        <v>2025</v>
      </c>
      <c r="D3908">
        <v>7</v>
      </c>
      <c r="E3908" s="2" t="s">
        <v>213</v>
      </c>
      <c r="F3908" s="2" t="s">
        <v>214</v>
      </c>
      <c r="G3908" s="2" t="s">
        <v>185</v>
      </c>
      <c r="H3908" s="2" t="s">
        <v>22</v>
      </c>
      <c r="I3908" s="2" t="s">
        <v>215</v>
      </c>
      <c r="J3908" s="2" t="s">
        <v>24</v>
      </c>
      <c r="K3908">
        <v>170162.3</v>
      </c>
      <c r="L3908">
        <v>3023629.38</v>
      </c>
      <c r="M3908">
        <v>1776.91</v>
      </c>
      <c r="N3908" s="2" t="s">
        <v>216</v>
      </c>
      <c r="O3908" s="2" t="s">
        <v>217</v>
      </c>
      <c r="P3908" s="2" t="s">
        <v>6777</v>
      </c>
      <c r="Q3908" s="2" t="s">
        <v>6778</v>
      </c>
      <c r="R3908" s="2" t="s">
        <v>29</v>
      </c>
      <c r="S3908" s="2" t="s">
        <v>30</v>
      </c>
    </row>
    <row r="3909" spans="1:19">
      <c r="A3909" s="1">
        <v>45839</v>
      </c>
      <c r="B3909" s="1">
        <v>45839</v>
      </c>
      <c r="C3909">
        <v>2025</v>
      </c>
      <c r="D3909">
        <v>7</v>
      </c>
      <c r="E3909" s="2" t="s">
        <v>220</v>
      </c>
      <c r="F3909" s="2" t="s">
        <v>221</v>
      </c>
      <c r="G3909" s="2" t="s">
        <v>185</v>
      </c>
      <c r="H3909" s="2" t="s">
        <v>22</v>
      </c>
      <c r="I3909" s="2" t="s">
        <v>215</v>
      </c>
      <c r="J3909" s="2" t="s">
        <v>24</v>
      </c>
      <c r="K3909">
        <v>10205.69</v>
      </c>
      <c r="L3909">
        <v>634811.31000000006</v>
      </c>
      <c r="M3909">
        <v>6220.17</v>
      </c>
      <c r="N3909" s="2" t="s">
        <v>222</v>
      </c>
      <c r="O3909" s="2" t="s">
        <v>223</v>
      </c>
      <c r="P3909" s="2" t="s">
        <v>6779</v>
      </c>
      <c r="Q3909" s="2" t="s">
        <v>6780</v>
      </c>
      <c r="R3909" s="2" t="s">
        <v>29</v>
      </c>
      <c r="S3909" s="2" t="s">
        <v>30</v>
      </c>
    </row>
    <row r="3910" spans="1:19">
      <c r="A3910" s="1">
        <v>45839</v>
      </c>
      <c r="B3910" s="1">
        <v>45839</v>
      </c>
      <c r="C3910">
        <v>2025</v>
      </c>
      <c r="D3910">
        <v>7</v>
      </c>
      <c r="E3910" s="2" t="s">
        <v>226</v>
      </c>
      <c r="F3910" s="2" t="s">
        <v>227</v>
      </c>
      <c r="G3910" s="2" t="s">
        <v>185</v>
      </c>
      <c r="H3910" s="2" t="s">
        <v>22</v>
      </c>
      <c r="I3910" s="2" t="s">
        <v>215</v>
      </c>
      <c r="J3910" s="2" t="s">
        <v>59</v>
      </c>
      <c r="K3910">
        <v>180367.99</v>
      </c>
      <c r="L3910">
        <v>3658440.69</v>
      </c>
      <c r="M3910">
        <v>2028.32</v>
      </c>
      <c r="N3910" s="2" t="s">
        <v>228</v>
      </c>
      <c r="O3910" s="2" t="s">
        <v>229</v>
      </c>
      <c r="P3910" s="2" t="s">
        <v>6781</v>
      </c>
      <c r="Q3910" s="2" t="s">
        <v>6782</v>
      </c>
      <c r="R3910" s="2" t="s">
        <v>29</v>
      </c>
      <c r="S3910" s="2" t="s">
        <v>30</v>
      </c>
    </row>
    <row r="3911" spans="1:19">
      <c r="A3911" s="1">
        <v>45839</v>
      </c>
      <c r="B3911" s="1">
        <v>45839</v>
      </c>
      <c r="C3911">
        <v>2025</v>
      </c>
      <c r="D3911">
        <v>7</v>
      </c>
      <c r="E3911" s="2" t="s">
        <v>232</v>
      </c>
      <c r="F3911" s="2" t="s">
        <v>233</v>
      </c>
      <c r="G3911" s="2" t="s">
        <v>21</v>
      </c>
      <c r="H3911" s="2" t="s">
        <v>22</v>
      </c>
      <c r="I3911" s="2" t="s">
        <v>23</v>
      </c>
      <c r="J3911" s="2" t="s">
        <v>24</v>
      </c>
      <c r="K3911">
        <v>1628.2</v>
      </c>
      <c r="L3911">
        <v>143080.81</v>
      </c>
      <c r="M3911">
        <v>8787.67</v>
      </c>
      <c r="N3911" s="2" t="s">
        <v>234</v>
      </c>
      <c r="O3911" s="2" t="s">
        <v>235</v>
      </c>
      <c r="P3911" s="2" t="s">
        <v>6783</v>
      </c>
      <c r="Q3911" s="2" t="s">
        <v>6784</v>
      </c>
      <c r="R3911" s="2" t="s">
        <v>29</v>
      </c>
      <c r="S3911" s="2" t="s">
        <v>30</v>
      </c>
    </row>
    <row r="3912" spans="1:19">
      <c r="A3912" s="1">
        <v>45839</v>
      </c>
      <c r="B3912" s="1">
        <v>45839</v>
      </c>
      <c r="C3912">
        <v>2025</v>
      </c>
      <c r="D3912">
        <v>7</v>
      </c>
      <c r="E3912" s="2" t="s">
        <v>238</v>
      </c>
      <c r="F3912" s="2" t="s">
        <v>239</v>
      </c>
      <c r="G3912" s="2" t="s">
        <v>21</v>
      </c>
      <c r="H3912" s="2" t="s">
        <v>22</v>
      </c>
      <c r="I3912" s="2" t="s">
        <v>66</v>
      </c>
      <c r="J3912" s="2" t="s">
        <v>24</v>
      </c>
      <c r="K3912">
        <v>1753.66</v>
      </c>
      <c r="L3912">
        <v>217101.63</v>
      </c>
      <c r="M3912">
        <v>12379.92</v>
      </c>
      <c r="N3912" s="2" t="s">
        <v>240</v>
      </c>
      <c r="O3912" s="2" t="s">
        <v>241</v>
      </c>
      <c r="P3912" s="2" t="s">
        <v>6785</v>
      </c>
      <c r="Q3912" s="2" t="s">
        <v>6786</v>
      </c>
      <c r="R3912" s="2" t="s">
        <v>29</v>
      </c>
      <c r="S3912" s="2" t="s">
        <v>30</v>
      </c>
    </row>
    <row r="3913" spans="1:19">
      <c r="A3913" s="1">
        <v>45839</v>
      </c>
      <c r="B3913" s="1">
        <v>45839</v>
      </c>
      <c r="C3913">
        <v>2025</v>
      </c>
      <c r="D3913">
        <v>7</v>
      </c>
      <c r="E3913" s="2" t="s">
        <v>244</v>
      </c>
      <c r="F3913" s="2" t="s">
        <v>245</v>
      </c>
      <c r="G3913" s="2" t="s">
        <v>21</v>
      </c>
      <c r="H3913" s="2" t="s">
        <v>22</v>
      </c>
      <c r="I3913" s="2" t="s">
        <v>23</v>
      </c>
      <c r="J3913" s="2" t="s">
        <v>24</v>
      </c>
      <c r="K3913">
        <v>8500.14</v>
      </c>
      <c r="L3913">
        <v>3993960.21</v>
      </c>
      <c r="M3913">
        <v>46986.99</v>
      </c>
      <c r="N3913" s="2" t="s">
        <v>246</v>
      </c>
      <c r="O3913" s="2" t="s">
        <v>247</v>
      </c>
      <c r="P3913" s="2" t="s">
        <v>6787</v>
      </c>
      <c r="Q3913" s="2" t="s">
        <v>6788</v>
      </c>
      <c r="R3913" s="2" t="s">
        <v>29</v>
      </c>
      <c r="S3913" s="2" t="s">
        <v>30</v>
      </c>
    </row>
    <row r="3914" spans="1:19">
      <c r="A3914" s="1">
        <v>45839</v>
      </c>
      <c r="B3914" s="1">
        <v>45839</v>
      </c>
      <c r="C3914">
        <v>2025</v>
      </c>
      <c r="D3914">
        <v>7</v>
      </c>
      <c r="E3914" s="2" t="s">
        <v>250</v>
      </c>
      <c r="F3914" s="2" t="s">
        <v>251</v>
      </c>
      <c r="G3914" s="2" t="s">
        <v>21</v>
      </c>
      <c r="H3914" s="2" t="s">
        <v>22</v>
      </c>
      <c r="I3914" s="2" t="s">
        <v>66</v>
      </c>
      <c r="J3914" s="2" t="s">
        <v>24</v>
      </c>
      <c r="K3914">
        <v>139.11000000000001</v>
      </c>
      <c r="L3914">
        <v>178.53</v>
      </c>
      <c r="M3914">
        <v>128.34</v>
      </c>
      <c r="N3914" s="2" t="s">
        <v>252</v>
      </c>
      <c r="O3914" s="2" t="s">
        <v>253</v>
      </c>
      <c r="P3914" s="2" t="s">
        <v>6789</v>
      </c>
      <c r="Q3914" s="2" t="s">
        <v>6790</v>
      </c>
      <c r="R3914" s="2" t="s">
        <v>29</v>
      </c>
      <c r="S3914" s="2" t="s">
        <v>30</v>
      </c>
    </row>
    <row r="3915" spans="1:19">
      <c r="A3915" s="1">
        <v>45839</v>
      </c>
      <c r="B3915" s="1">
        <v>45839</v>
      </c>
      <c r="C3915">
        <v>2025</v>
      </c>
      <c r="D3915">
        <v>7</v>
      </c>
      <c r="E3915" s="2" t="s">
        <v>256</v>
      </c>
      <c r="F3915" s="2" t="s">
        <v>257</v>
      </c>
      <c r="G3915" s="2" t="s">
        <v>21</v>
      </c>
      <c r="H3915" s="2" t="s">
        <v>22</v>
      </c>
      <c r="I3915" s="2" t="s">
        <v>258</v>
      </c>
      <c r="J3915" s="2" t="s">
        <v>24</v>
      </c>
      <c r="K3915">
        <v>494.59</v>
      </c>
      <c r="L3915">
        <v>607503.72</v>
      </c>
      <c r="M3915">
        <v>122829.75999999999</v>
      </c>
      <c r="N3915" s="2" t="s">
        <v>259</v>
      </c>
      <c r="O3915" s="2" t="s">
        <v>260</v>
      </c>
      <c r="P3915" s="2" t="s">
        <v>6791</v>
      </c>
      <c r="Q3915" s="2" t="s">
        <v>6792</v>
      </c>
      <c r="R3915" s="2" t="s">
        <v>29</v>
      </c>
      <c r="S3915" s="2" t="s">
        <v>30</v>
      </c>
    </row>
    <row r="3916" spans="1:19">
      <c r="A3916" s="1">
        <v>45839</v>
      </c>
      <c r="B3916" s="1">
        <v>45839</v>
      </c>
      <c r="C3916">
        <v>2025</v>
      </c>
      <c r="D3916">
        <v>7</v>
      </c>
      <c r="E3916" s="2" t="s">
        <v>263</v>
      </c>
      <c r="F3916" s="2" t="s">
        <v>264</v>
      </c>
      <c r="G3916" s="2" t="s">
        <v>21</v>
      </c>
      <c r="H3916" s="2" t="s">
        <v>22</v>
      </c>
      <c r="I3916" s="2" t="s">
        <v>258</v>
      </c>
      <c r="J3916" s="2" t="s">
        <v>24</v>
      </c>
      <c r="K3916">
        <v>0</v>
      </c>
      <c r="L3916">
        <v>0</v>
      </c>
      <c r="N3916" s="2" t="s">
        <v>265</v>
      </c>
      <c r="O3916" s="2" t="s">
        <v>266</v>
      </c>
      <c r="P3916" s="2" t="s">
        <v>639</v>
      </c>
      <c r="Q3916" s="2" t="s">
        <v>639</v>
      </c>
      <c r="R3916" s="2" t="s">
        <v>29</v>
      </c>
      <c r="S3916" s="2" t="s">
        <v>30</v>
      </c>
    </row>
    <row r="3917" spans="1:19">
      <c r="A3917" s="1">
        <v>45839</v>
      </c>
      <c r="B3917" s="1">
        <v>45839</v>
      </c>
      <c r="C3917">
        <v>2025</v>
      </c>
      <c r="D3917">
        <v>7</v>
      </c>
      <c r="E3917" s="2" t="s">
        <v>269</v>
      </c>
      <c r="F3917" s="2" t="s">
        <v>270</v>
      </c>
      <c r="G3917" s="2" t="s">
        <v>21</v>
      </c>
      <c r="H3917" s="2" t="s">
        <v>22</v>
      </c>
      <c r="I3917" s="2" t="s">
        <v>258</v>
      </c>
      <c r="J3917" s="2" t="s">
        <v>59</v>
      </c>
      <c r="K3917">
        <v>494.59</v>
      </c>
      <c r="L3917">
        <v>607503.72</v>
      </c>
      <c r="M3917">
        <v>122829.75999999999</v>
      </c>
      <c r="N3917" s="2" t="s">
        <v>271</v>
      </c>
      <c r="O3917" s="2" t="s">
        <v>272</v>
      </c>
      <c r="P3917" s="2" t="s">
        <v>6791</v>
      </c>
      <c r="Q3917" s="2" t="s">
        <v>6792</v>
      </c>
      <c r="R3917" s="2" t="s">
        <v>29</v>
      </c>
      <c r="S3917" s="2" t="s">
        <v>30</v>
      </c>
    </row>
    <row r="3918" spans="1:19">
      <c r="A3918" s="1">
        <v>45839</v>
      </c>
      <c r="B3918" s="1">
        <v>45839</v>
      </c>
      <c r="C3918">
        <v>2025</v>
      </c>
      <c r="D3918">
        <v>7</v>
      </c>
      <c r="E3918" s="2" t="s">
        <v>275</v>
      </c>
      <c r="F3918" s="2" t="s">
        <v>276</v>
      </c>
      <c r="G3918" s="2" t="s">
        <v>39</v>
      </c>
      <c r="H3918" s="2" t="s">
        <v>22</v>
      </c>
      <c r="I3918" s="2" t="s">
        <v>40</v>
      </c>
      <c r="J3918" s="2" t="s">
        <v>24</v>
      </c>
      <c r="K3918">
        <v>0.11</v>
      </c>
      <c r="L3918">
        <v>1.04</v>
      </c>
      <c r="M3918">
        <v>945.45</v>
      </c>
      <c r="N3918" s="2" t="s">
        <v>277</v>
      </c>
      <c r="O3918" s="2" t="s">
        <v>278</v>
      </c>
      <c r="P3918" s="2" t="s">
        <v>1291</v>
      </c>
      <c r="Q3918" s="2" t="s">
        <v>405</v>
      </c>
      <c r="R3918" s="2" t="s">
        <v>29</v>
      </c>
      <c r="S3918" s="2" t="s">
        <v>30</v>
      </c>
    </row>
    <row r="3919" spans="1:19">
      <c r="A3919" s="1">
        <v>45839</v>
      </c>
      <c r="B3919" s="1">
        <v>45839</v>
      </c>
      <c r="C3919">
        <v>2025</v>
      </c>
      <c r="D3919">
        <v>7</v>
      </c>
      <c r="E3919" s="2" t="s">
        <v>281</v>
      </c>
      <c r="F3919" s="2" t="s">
        <v>282</v>
      </c>
      <c r="G3919" s="2" t="s">
        <v>39</v>
      </c>
      <c r="H3919" s="2" t="s">
        <v>22</v>
      </c>
      <c r="I3919" s="2" t="s">
        <v>40</v>
      </c>
      <c r="J3919" s="2" t="s">
        <v>24</v>
      </c>
      <c r="K3919">
        <v>0.02</v>
      </c>
      <c r="L3919">
        <v>0.28000000000000003</v>
      </c>
      <c r="M3919">
        <v>1400</v>
      </c>
      <c r="N3919" s="2" t="s">
        <v>283</v>
      </c>
      <c r="O3919" s="2" t="s">
        <v>284</v>
      </c>
      <c r="P3919" s="2" t="s">
        <v>1039</v>
      </c>
      <c r="Q3919" s="2" t="s">
        <v>2910</v>
      </c>
      <c r="R3919" s="2" t="s">
        <v>29</v>
      </c>
      <c r="S3919" s="2" t="s">
        <v>30</v>
      </c>
    </row>
    <row r="3920" spans="1:19">
      <c r="A3920" s="1">
        <v>45839</v>
      </c>
      <c r="B3920" s="1">
        <v>45839</v>
      </c>
      <c r="C3920">
        <v>2025</v>
      </c>
      <c r="D3920">
        <v>7</v>
      </c>
      <c r="E3920" s="2" t="s">
        <v>287</v>
      </c>
      <c r="F3920" s="2" t="s">
        <v>288</v>
      </c>
      <c r="G3920" s="2" t="s">
        <v>39</v>
      </c>
      <c r="H3920" s="2" t="s">
        <v>22</v>
      </c>
      <c r="I3920" s="2" t="s">
        <v>40</v>
      </c>
      <c r="J3920" s="2" t="s">
        <v>59</v>
      </c>
      <c r="K3920">
        <v>0.13</v>
      </c>
      <c r="L3920">
        <v>1.32</v>
      </c>
      <c r="M3920">
        <v>1015.38</v>
      </c>
      <c r="N3920" s="2" t="s">
        <v>289</v>
      </c>
      <c r="O3920" s="2" t="s">
        <v>290</v>
      </c>
      <c r="P3920" s="2" t="s">
        <v>3378</v>
      </c>
      <c r="Q3920" s="2" t="s">
        <v>3375</v>
      </c>
      <c r="R3920" s="2" t="s">
        <v>29</v>
      </c>
      <c r="S3920" s="2" t="s">
        <v>30</v>
      </c>
    </row>
    <row r="3921" spans="1:19">
      <c r="A3921" s="1">
        <v>45839</v>
      </c>
      <c r="B3921" s="1">
        <v>45839</v>
      </c>
      <c r="C3921">
        <v>2025</v>
      </c>
      <c r="D3921">
        <v>7</v>
      </c>
      <c r="E3921" s="2" t="s">
        <v>293</v>
      </c>
      <c r="F3921" s="2" t="s">
        <v>294</v>
      </c>
      <c r="G3921" s="2" t="s">
        <v>21</v>
      </c>
      <c r="H3921" s="2" t="s">
        <v>22</v>
      </c>
      <c r="I3921" s="2" t="s">
        <v>295</v>
      </c>
      <c r="J3921" s="2" t="s">
        <v>24</v>
      </c>
      <c r="K3921">
        <v>1031.95</v>
      </c>
      <c r="L3921">
        <v>2934.86</v>
      </c>
      <c r="M3921">
        <v>284.39999999999998</v>
      </c>
      <c r="N3921" s="2" t="s">
        <v>296</v>
      </c>
      <c r="O3921" s="2" t="s">
        <v>297</v>
      </c>
      <c r="P3921" s="2" t="s">
        <v>6793</v>
      </c>
      <c r="Q3921" s="2" t="s">
        <v>6794</v>
      </c>
      <c r="R3921" s="2" t="s">
        <v>29</v>
      </c>
      <c r="S3921" s="2" t="s">
        <v>30</v>
      </c>
    </row>
    <row r="3922" spans="1:19">
      <c r="A3922" s="1">
        <v>45839</v>
      </c>
      <c r="B3922" s="1">
        <v>45839</v>
      </c>
      <c r="C3922">
        <v>2025</v>
      </c>
      <c r="D3922">
        <v>7</v>
      </c>
      <c r="E3922" s="2" t="s">
        <v>300</v>
      </c>
      <c r="F3922" s="2" t="s">
        <v>301</v>
      </c>
      <c r="G3922" s="2" t="s">
        <v>21</v>
      </c>
      <c r="H3922" s="2" t="s">
        <v>22</v>
      </c>
      <c r="I3922" s="2" t="s">
        <v>295</v>
      </c>
      <c r="J3922" s="2" t="s">
        <v>24</v>
      </c>
      <c r="K3922">
        <v>660.66</v>
      </c>
      <c r="L3922">
        <v>907.62</v>
      </c>
      <c r="M3922">
        <v>137.38</v>
      </c>
      <c r="N3922" s="2" t="s">
        <v>302</v>
      </c>
      <c r="O3922" s="2" t="s">
        <v>303</v>
      </c>
      <c r="P3922" s="2" t="s">
        <v>6795</v>
      </c>
      <c r="Q3922" s="2" t="s">
        <v>6796</v>
      </c>
      <c r="R3922" s="2" t="s">
        <v>29</v>
      </c>
      <c r="S3922" s="2" t="s">
        <v>30</v>
      </c>
    </row>
    <row r="3923" spans="1:19">
      <c r="A3923" s="1">
        <v>45839</v>
      </c>
      <c r="B3923" s="1">
        <v>45839</v>
      </c>
      <c r="C3923">
        <v>2025</v>
      </c>
      <c r="D3923">
        <v>7</v>
      </c>
      <c r="E3923" s="2" t="s">
        <v>306</v>
      </c>
      <c r="F3923" s="2" t="s">
        <v>307</v>
      </c>
      <c r="G3923" s="2" t="s">
        <v>21</v>
      </c>
      <c r="H3923" s="2" t="s">
        <v>22</v>
      </c>
      <c r="I3923" s="2" t="s">
        <v>295</v>
      </c>
      <c r="J3923" s="2" t="s">
        <v>101</v>
      </c>
      <c r="K3923">
        <v>1692.61</v>
      </c>
      <c r="L3923">
        <v>3842.49</v>
      </c>
      <c r="M3923">
        <v>227.02</v>
      </c>
      <c r="N3923" s="2" t="s">
        <v>308</v>
      </c>
      <c r="O3923" s="2" t="s">
        <v>309</v>
      </c>
      <c r="P3923" s="2" t="s">
        <v>6797</v>
      </c>
      <c r="Q3923" s="2" t="s">
        <v>6798</v>
      </c>
      <c r="R3923" s="2" t="s">
        <v>29</v>
      </c>
      <c r="S3923" s="2" t="s">
        <v>30</v>
      </c>
    </row>
    <row r="3924" spans="1:19">
      <c r="A3924" s="1">
        <v>45839</v>
      </c>
      <c r="B3924" s="1">
        <v>45839</v>
      </c>
      <c r="C3924">
        <v>2025</v>
      </c>
      <c r="D3924">
        <v>7</v>
      </c>
      <c r="E3924" s="2" t="s">
        <v>312</v>
      </c>
      <c r="F3924" s="2" t="s">
        <v>313</v>
      </c>
      <c r="G3924" s="2" t="s">
        <v>21</v>
      </c>
      <c r="H3924" s="2" t="s">
        <v>22</v>
      </c>
      <c r="I3924" s="2" t="s">
        <v>295</v>
      </c>
      <c r="J3924" s="2" t="s">
        <v>59</v>
      </c>
      <c r="K3924">
        <v>7124.06</v>
      </c>
      <c r="L3924">
        <v>20757.87</v>
      </c>
      <c r="M3924">
        <v>291.38</v>
      </c>
      <c r="N3924" s="2" t="s">
        <v>314</v>
      </c>
      <c r="O3924" s="2" t="s">
        <v>315</v>
      </c>
      <c r="P3924" s="2" t="s">
        <v>6799</v>
      </c>
      <c r="Q3924" s="2" t="s">
        <v>6800</v>
      </c>
      <c r="R3924" s="2" t="s">
        <v>29</v>
      </c>
      <c r="S3924" s="2" t="s">
        <v>30</v>
      </c>
    </row>
    <row r="3925" spans="1:19">
      <c r="A3925" s="1">
        <v>45839</v>
      </c>
      <c r="B3925" s="1">
        <v>45839</v>
      </c>
      <c r="C3925">
        <v>2025</v>
      </c>
      <c r="D3925">
        <v>7</v>
      </c>
      <c r="E3925" s="2" t="s">
        <v>318</v>
      </c>
      <c r="F3925" s="2" t="s">
        <v>319</v>
      </c>
      <c r="G3925" s="2" t="s">
        <v>21</v>
      </c>
      <c r="H3925" s="2" t="s">
        <v>22</v>
      </c>
      <c r="I3925" s="2" t="s">
        <v>295</v>
      </c>
      <c r="J3925" s="2" t="s">
        <v>24</v>
      </c>
      <c r="K3925">
        <v>5431.45</v>
      </c>
      <c r="L3925">
        <v>16915.38</v>
      </c>
      <c r="M3925">
        <v>311.43</v>
      </c>
      <c r="N3925" s="2" t="s">
        <v>320</v>
      </c>
      <c r="O3925" s="2" t="s">
        <v>321</v>
      </c>
      <c r="P3925" s="2" t="s">
        <v>6801</v>
      </c>
      <c r="Q3925" s="2" t="s">
        <v>6802</v>
      </c>
      <c r="R3925" s="2" t="s">
        <v>29</v>
      </c>
      <c r="S3925" s="2" t="s">
        <v>30</v>
      </c>
    </row>
    <row r="3926" spans="1:19">
      <c r="A3926" s="1">
        <v>45839</v>
      </c>
      <c r="B3926" s="1">
        <v>45839</v>
      </c>
      <c r="C3926">
        <v>2025</v>
      </c>
      <c r="D3926">
        <v>7</v>
      </c>
      <c r="E3926" s="2" t="s">
        <v>324</v>
      </c>
      <c r="F3926" s="2" t="s">
        <v>325</v>
      </c>
      <c r="G3926" s="2" t="s">
        <v>21</v>
      </c>
      <c r="H3926" s="2" t="s">
        <v>22</v>
      </c>
      <c r="I3926" s="2" t="s">
        <v>23</v>
      </c>
      <c r="J3926" s="2" t="s">
        <v>59</v>
      </c>
      <c r="K3926">
        <v>212335.07</v>
      </c>
      <c r="L3926">
        <v>7319320.7699999996</v>
      </c>
      <c r="M3926">
        <v>3447.06</v>
      </c>
      <c r="N3926" s="2" t="s">
        <v>326</v>
      </c>
      <c r="O3926" s="2" t="s">
        <v>327</v>
      </c>
      <c r="P3926" s="2" t="s">
        <v>6803</v>
      </c>
      <c r="Q3926" s="2" t="s">
        <v>6804</v>
      </c>
      <c r="R3926" s="2" t="s">
        <v>29</v>
      </c>
      <c r="S3926" s="2" t="s">
        <v>30</v>
      </c>
    </row>
    <row r="3927" spans="1:19">
      <c r="A3927" s="1">
        <v>45839</v>
      </c>
      <c r="B3927" s="1">
        <v>45839</v>
      </c>
      <c r="C3927">
        <v>2025</v>
      </c>
      <c r="D3927">
        <v>7</v>
      </c>
      <c r="E3927" s="2" t="s">
        <v>330</v>
      </c>
      <c r="F3927" s="2" t="s">
        <v>331</v>
      </c>
      <c r="G3927" s="2" t="s">
        <v>21</v>
      </c>
      <c r="H3927" s="2" t="s">
        <v>332</v>
      </c>
      <c r="I3927" s="2" t="s">
        <v>333</v>
      </c>
      <c r="J3927" s="2" t="s">
        <v>24</v>
      </c>
      <c r="K3927">
        <v>276.45999999999998</v>
      </c>
      <c r="L3927">
        <v>16624623.66</v>
      </c>
      <c r="M3927">
        <v>6013392.0499999998</v>
      </c>
      <c r="N3927" s="2" t="s">
        <v>334</v>
      </c>
      <c r="O3927" s="2" t="s">
        <v>335</v>
      </c>
      <c r="P3927" s="2" t="s">
        <v>6805</v>
      </c>
      <c r="Q3927" s="2" t="s">
        <v>6806</v>
      </c>
      <c r="R3927" s="2" t="s">
        <v>29</v>
      </c>
      <c r="S3927" s="2" t="s">
        <v>30</v>
      </c>
    </row>
    <row r="3928" spans="1:19">
      <c r="A3928" s="1">
        <v>45839</v>
      </c>
      <c r="B3928" s="1">
        <v>45839</v>
      </c>
      <c r="C3928">
        <v>2025</v>
      </c>
      <c r="D3928">
        <v>7</v>
      </c>
      <c r="E3928" s="2" t="s">
        <v>338</v>
      </c>
      <c r="F3928" s="2" t="s">
        <v>339</v>
      </c>
      <c r="G3928" s="2" t="s">
        <v>21</v>
      </c>
      <c r="H3928" s="2" t="s">
        <v>332</v>
      </c>
      <c r="I3928" s="2" t="s">
        <v>333</v>
      </c>
      <c r="J3928" s="2" t="s">
        <v>24</v>
      </c>
      <c r="K3928">
        <v>1.21</v>
      </c>
      <c r="L3928">
        <v>2239278.79</v>
      </c>
      <c r="M3928">
        <v>185064362.81</v>
      </c>
      <c r="N3928" s="2" t="s">
        <v>340</v>
      </c>
      <c r="O3928" s="2" t="s">
        <v>341</v>
      </c>
      <c r="P3928" s="2" t="s">
        <v>2971</v>
      </c>
      <c r="Q3928" s="2" t="s">
        <v>6807</v>
      </c>
      <c r="R3928" s="2" t="s">
        <v>29</v>
      </c>
      <c r="S3928" s="2" t="s">
        <v>30</v>
      </c>
    </row>
    <row r="3929" spans="1:19">
      <c r="A3929" s="1">
        <v>45839</v>
      </c>
      <c r="B3929" s="1">
        <v>45839</v>
      </c>
      <c r="C3929">
        <v>2025</v>
      </c>
      <c r="D3929">
        <v>7</v>
      </c>
      <c r="E3929" s="2" t="s">
        <v>344</v>
      </c>
      <c r="F3929" s="2" t="s">
        <v>345</v>
      </c>
      <c r="G3929" s="2" t="s">
        <v>21</v>
      </c>
      <c r="H3929" s="2" t="s">
        <v>332</v>
      </c>
      <c r="I3929" s="2" t="s">
        <v>333</v>
      </c>
      <c r="J3929" s="2" t="s">
        <v>59</v>
      </c>
      <c r="K3929">
        <v>277.67</v>
      </c>
      <c r="L3929">
        <v>18863902.449999999</v>
      </c>
      <c r="M3929">
        <v>6793640.8099999996</v>
      </c>
      <c r="N3929" s="2" t="s">
        <v>346</v>
      </c>
      <c r="O3929" s="2" t="s">
        <v>347</v>
      </c>
      <c r="P3929" s="2" t="s">
        <v>6808</v>
      </c>
      <c r="Q3929" s="2" t="s">
        <v>6809</v>
      </c>
      <c r="R3929" s="2" t="s">
        <v>29</v>
      </c>
      <c r="S3929" s="2" t="s">
        <v>30</v>
      </c>
    </row>
    <row r="3930" spans="1:19">
      <c r="A3930" s="1">
        <v>45839</v>
      </c>
      <c r="B3930" s="1">
        <v>45839</v>
      </c>
      <c r="C3930">
        <v>2025</v>
      </c>
      <c r="D3930">
        <v>7</v>
      </c>
      <c r="E3930" s="2" t="s">
        <v>350</v>
      </c>
      <c r="F3930" s="2" t="s">
        <v>351</v>
      </c>
      <c r="G3930" s="2" t="s">
        <v>21</v>
      </c>
      <c r="H3930" s="2" t="s">
        <v>22</v>
      </c>
      <c r="I3930" s="2" t="s">
        <v>352</v>
      </c>
      <c r="J3930" s="2" t="s">
        <v>353</v>
      </c>
      <c r="K3930">
        <v>227631.95</v>
      </c>
      <c r="L3930">
        <v>26653867.300000001</v>
      </c>
      <c r="M3930">
        <v>11709.19</v>
      </c>
      <c r="N3930" s="2" t="s">
        <v>354</v>
      </c>
      <c r="O3930" s="2" t="s">
        <v>355</v>
      </c>
      <c r="P3930" s="2" t="s">
        <v>6810</v>
      </c>
      <c r="Q3930" s="2" t="s">
        <v>6811</v>
      </c>
      <c r="R3930" s="2" t="s">
        <v>29</v>
      </c>
      <c r="S3930" s="2" t="s">
        <v>30</v>
      </c>
    </row>
    <row r="3931" spans="1:19">
      <c r="A3931" s="1">
        <v>45839</v>
      </c>
      <c r="B3931" s="1">
        <v>45839</v>
      </c>
      <c r="C3931">
        <v>2025</v>
      </c>
      <c r="D3931">
        <v>7</v>
      </c>
      <c r="E3931" s="2" t="s">
        <v>358</v>
      </c>
      <c r="F3931" s="2" t="s">
        <v>359</v>
      </c>
      <c r="G3931" s="2" t="s">
        <v>21</v>
      </c>
      <c r="H3931" s="2" t="s">
        <v>22</v>
      </c>
      <c r="I3931" s="2" t="s">
        <v>352</v>
      </c>
      <c r="J3931" s="2" t="s">
        <v>353</v>
      </c>
      <c r="K3931">
        <v>228126.54</v>
      </c>
      <c r="L3931">
        <v>27261371.02</v>
      </c>
      <c r="M3931">
        <v>11950.11</v>
      </c>
      <c r="N3931" s="2" t="s">
        <v>360</v>
      </c>
      <c r="O3931" s="2" t="s">
        <v>361</v>
      </c>
      <c r="P3931" s="2" t="s">
        <v>6812</v>
      </c>
      <c r="Q3931" s="2" t="s">
        <v>6813</v>
      </c>
      <c r="R3931" s="2" t="s">
        <v>29</v>
      </c>
      <c r="S3931" s="2" t="s">
        <v>30</v>
      </c>
    </row>
    <row r="3932" spans="1:19">
      <c r="A3932" s="1">
        <v>45839</v>
      </c>
      <c r="B3932" s="1">
        <v>45839</v>
      </c>
      <c r="C3932">
        <v>2025</v>
      </c>
      <c r="D3932">
        <v>7</v>
      </c>
      <c r="E3932" s="2" t="s">
        <v>364</v>
      </c>
      <c r="F3932" s="2" t="s">
        <v>365</v>
      </c>
      <c r="G3932" s="2" t="s">
        <v>21</v>
      </c>
      <c r="H3932" s="2" t="s">
        <v>22</v>
      </c>
      <c r="I3932" s="2" t="s">
        <v>352</v>
      </c>
      <c r="J3932" s="2" t="s">
        <v>353</v>
      </c>
      <c r="K3932">
        <v>227848.86</v>
      </c>
      <c r="L3932">
        <v>8397468.5700000003</v>
      </c>
      <c r="M3932">
        <v>3685.54</v>
      </c>
      <c r="N3932" s="2" t="s">
        <v>366</v>
      </c>
      <c r="O3932" s="2" t="s">
        <v>367</v>
      </c>
      <c r="P3932" s="2" t="s">
        <v>6814</v>
      </c>
      <c r="Q3932" s="2" t="s">
        <v>6815</v>
      </c>
      <c r="R3932" s="2" t="s">
        <v>29</v>
      </c>
      <c r="S3932" s="2" t="s">
        <v>30</v>
      </c>
    </row>
    <row r="3933" spans="1:19">
      <c r="A3933" s="1">
        <v>45839</v>
      </c>
      <c r="B3933" s="1">
        <v>45839</v>
      </c>
      <c r="C3933">
        <v>2025</v>
      </c>
      <c r="D3933">
        <v>7</v>
      </c>
      <c r="E3933" s="2" t="s">
        <v>370</v>
      </c>
      <c r="F3933" s="2" t="s">
        <v>371</v>
      </c>
      <c r="G3933" s="2" t="s">
        <v>21</v>
      </c>
      <c r="H3933" s="2" t="s">
        <v>22</v>
      </c>
      <c r="I3933" s="2" t="s">
        <v>23</v>
      </c>
      <c r="J3933" s="2" t="s">
        <v>24</v>
      </c>
      <c r="K3933">
        <v>194679.48</v>
      </c>
      <c r="L3933">
        <v>2508498.1</v>
      </c>
      <c r="M3933">
        <v>1288.53</v>
      </c>
      <c r="N3933" s="2" t="s">
        <v>372</v>
      </c>
      <c r="O3933" s="2" t="s">
        <v>373</v>
      </c>
      <c r="P3933" s="2" t="s">
        <v>6816</v>
      </c>
      <c r="Q3933" s="2" t="s">
        <v>6817</v>
      </c>
      <c r="R3933" s="2" t="s">
        <v>29</v>
      </c>
      <c r="S3933" s="2" t="s">
        <v>30</v>
      </c>
    </row>
    <row r="3934" spans="1:19">
      <c r="A3934" s="1">
        <v>45839</v>
      </c>
      <c r="B3934" s="1">
        <v>45839</v>
      </c>
      <c r="C3934">
        <v>2025</v>
      </c>
      <c r="D3934">
        <v>7</v>
      </c>
      <c r="E3934" s="2" t="s">
        <v>376</v>
      </c>
      <c r="F3934" s="2" t="s">
        <v>377</v>
      </c>
      <c r="G3934" s="2" t="s">
        <v>21</v>
      </c>
      <c r="H3934" s="2" t="s">
        <v>22</v>
      </c>
      <c r="I3934" s="2" t="s">
        <v>23</v>
      </c>
      <c r="J3934" s="2" t="s">
        <v>378</v>
      </c>
      <c r="K3934">
        <v>1.59</v>
      </c>
      <c r="L3934">
        <v>31.11</v>
      </c>
      <c r="M3934">
        <v>1956.6</v>
      </c>
      <c r="N3934" s="2" t="s">
        <v>379</v>
      </c>
      <c r="O3934" s="2" t="s">
        <v>380</v>
      </c>
      <c r="P3934" s="2" t="s">
        <v>613</v>
      </c>
      <c r="Q3934" s="2" t="s">
        <v>6818</v>
      </c>
      <c r="R3934" s="2" t="s">
        <v>29</v>
      </c>
      <c r="S3934" s="2" t="s">
        <v>30</v>
      </c>
    </row>
    <row r="3935" spans="1:19">
      <c r="A3935" s="1">
        <v>45870</v>
      </c>
      <c r="B3935" s="1">
        <v>45870</v>
      </c>
      <c r="C3935">
        <v>2025</v>
      </c>
      <c r="D3935">
        <v>8</v>
      </c>
      <c r="E3935" s="2" t="s">
        <v>19</v>
      </c>
      <c r="F3935" s="2" t="s">
        <v>20</v>
      </c>
      <c r="G3935" s="2" t="s">
        <v>21</v>
      </c>
      <c r="H3935" s="2" t="s">
        <v>22</v>
      </c>
      <c r="I3935" s="2" t="s">
        <v>23</v>
      </c>
      <c r="J3935" s="2" t="s">
        <v>24</v>
      </c>
      <c r="K3935">
        <v>0.31</v>
      </c>
      <c r="L3935">
        <v>15.71</v>
      </c>
      <c r="M3935">
        <v>5067.74</v>
      </c>
      <c r="N3935" s="2" t="s">
        <v>25</v>
      </c>
      <c r="O3935" s="2" t="s">
        <v>26</v>
      </c>
      <c r="P3935" s="2" t="s">
        <v>2811</v>
      </c>
      <c r="Q3935" s="2" t="s">
        <v>6819</v>
      </c>
      <c r="R3935" s="2" t="s">
        <v>29</v>
      </c>
      <c r="S3935" s="2" t="s">
        <v>30</v>
      </c>
    </row>
    <row r="3936" spans="1:19">
      <c r="A3936" s="1">
        <v>45870</v>
      </c>
      <c r="B3936" s="1">
        <v>45870</v>
      </c>
      <c r="C3936">
        <v>2025</v>
      </c>
      <c r="D3936">
        <v>8</v>
      </c>
      <c r="E3936" s="2" t="s">
        <v>31</v>
      </c>
      <c r="F3936" s="2" t="s">
        <v>32</v>
      </c>
      <c r="G3936" s="2" t="s">
        <v>21</v>
      </c>
      <c r="H3936" s="2" t="s">
        <v>22</v>
      </c>
      <c r="I3936" s="2" t="s">
        <v>23</v>
      </c>
      <c r="J3936" s="2" t="s">
        <v>24</v>
      </c>
      <c r="K3936">
        <v>3817.08</v>
      </c>
      <c r="L3936">
        <v>66149.58</v>
      </c>
      <c r="M3936">
        <v>1732.99</v>
      </c>
      <c r="N3936" s="2" t="s">
        <v>33</v>
      </c>
      <c r="O3936" s="2" t="s">
        <v>34</v>
      </c>
      <c r="P3936" s="2" t="s">
        <v>6820</v>
      </c>
      <c r="Q3936" s="2" t="s">
        <v>6821</v>
      </c>
      <c r="R3936" s="2" t="s">
        <v>29</v>
      </c>
      <c r="S3936" s="2" t="s">
        <v>30</v>
      </c>
    </row>
    <row r="3937" spans="1:19">
      <c r="A3937" s="1">
        <v>45870</v>
      </c>
      <c r="B3937" s="1">
        <v>45870</v>
      </c>
      <c r="C3937">
        <v>2025</v>
      </c>
      <c r="D3937">
        <v>8</v>
      </c>
      <c r="E3937" s="2" t="s">
        <v>37</v>
      </c>
      <c r="F3937" s="2" t="s">
        <v>38</v>
      </c>
      <c r="G3937" s="2" t="s">
        <v>39</v>
      </c>
      <c r="H3937" s="2" t="s">
        <v>22</v>
      </c>
      <c r="I3937" s="2" t="s">
        <v>40</v>
      </c>
      <c r="J3937" s="2" t="s">
        <v>24</v>
      </c>
      <c r="K3937">
        <v>6.71</v>
      </c>
      <c r="L3937">
        <v>365.64</v>
      </c>
      <c r="M3937">
        <v>5449.18</v>
      </c>
      <c r="N3937" s="2" t="s">
        <v>41</v>
      </c>
      <c r="O3937" s="2" t="s">
        <v>42</v>
      </c>
      <c r="P3937" s="2" t="s">
        <v>6822</v>
      </c>
      <c r="Q3937" s="2" t="s">
        <v>6823</v>
      </c>
      <c r="R3937" s="2" t="s">
        <v>29</v>
      </c>
      <c r="S3937" s="2" t="s">
        <v>30</v>
      </c>
    </row>
    <row r="3938" spans="1:19">
      <c r="A3938" s="1">
        <v>45870</v>
      </c>
      <c r="B3938" s="1">
        <v>45870</v>
      </c>
      <c r="C3938">
        <v>2025</v>
      </c>
      <c r="D3938">
        <v>8</v>
      </c>
      <c r="E3938" s="2" t="s">
        <v>45</v>
      </c>
      <c r="F3938" s="2" t="s">
        <v>46</v>
      </c>
      <c r="G3938" s="2" t="s">
        <v>39</v>
      </c>
      <c r="H3938" s="2" t="s">
        <v>22</v>
      </c>
      <c r="I3938" s="2" t="s">
        <v>40</v>
      </c>
      <c r="J3938" s="2" t="s">
        <v>24</v>
      </c>
      <c r="K3938">
        <v>4601.37</v>
      </c>
      <c r="L3938">
        <v>238883.15</v>
      </c>
      <c r="M3938">
        <v>5191.57</v>
      </c>
      <c r="N3938" s="2" t="s">
        <v>47</v>
      </c>
      <c r="O3938" s="2" t="s">
        <v>48</v>
      </c>
      <c r="P3938" s="2" t="s">
        <v>6824</v>
      </c>
      <c r="Q3938" s="2" t="s">
        <v>6825</v>
      </c>
      <c r="R3938" s="2" t="s">
        <v>29</v>
      </c>
      <c r="S3938" s="2" t="s">
        <v>30</v>
      </c>
    </row>
    <row r="3939" spans="1:19">
      <c r="A3939" s="1">
        <v>45870</v>
      </c>
      <c r="B3939" s="1">
        <v>45870</v>
      </c>
      <c r="C3939">
        <v>2025</v>
      </c>
      <c r="D3939">
        <v>8</v>
      </c>
      <c r="E3939" s="2" t="s">
        <v>51</v>
      </c>
      <c r="F3939" s="2" t="s">
        <v>52</v>
      </c>
      <c r="G3939" s="2" t="s">
        <v>39</v>
      </c>
      <c r="H3939" s="2" t="s">
        <v>22</v>
      </c>
      <c r="I3939" s="2" t="s">
        <v>40</v>
      </c>
      <c r="J3939" s="2" t="s">
        <v>24</v>
      </c>
      <c r="K3939">
        <v>17.86</v>
      </c>
      <c r="L3939">
        <v>849.09</v>
      </c>
      <c r="M3939">
        <v>4754.1400000000003</v>
      </c>
      <c r="N3939" s="2" t="s">
        <v>53</v>
      </c>
      <c r="O3939" s="2" t="s">
        <v>54</v>
      </c>
      <c r="P3939" s="2" t="s">
        <v>6826</v>
      </c>
      <c r="Q3939" s="2" t="s">
        <v>6827</v>
      </c>
      <c r="R3939" s="2" t="s">
        <v>29</v>
      </c>
      <c r="S3939" s="2" t="s">
        <v>30</v>
      </c>
    </row>
    <row r="3940" spans="1:19">
      <c r="A3940" s="1">
        <v>45870</v>
      </c>
      <c r="B3940" s="1">
        <v>45870</v>
      </c>
      <c r="C3940">
        <v>2025</v>
      </c>
      <c r="D3940">
        <v>8</v>
      </c>
      <c r="E3940" s="2" t="s">
        <v>57</v>
      </c>
      <c r="F3940" s="2" t="s">
        <v>58</v>
      </c>
      <c r="G3940" s="2" t="s">
        <v>39</v>
      </c>
      <c r="H3940" s="2" t="s">
        <v>22</v>
      </c>
      <c r="I3940" s="2" t="s">
        <v>40</v>
      </c>
      <c r="J3940" s="2" t="s">
        <v>59</v>
      </c>
      <c r="K3940">
        <v>4625.9399999999996</v>
      </c>
      <c r="L3940">
        <v>240097.88</v>
      </c>
      <c r="M3940">
        <v>5190.25</v>
      </c>
      <c r="N3940" s="2" t="s">
        <v>60</v>
      </c>
      <c r="O3940" s="2" t="s">
        <v>61</v>
      </c>
      <c r="P3940" s="2" t="s">
        <v>6828</v>
      </c>
      <c r="Q3940" s="2" t="s">
        <v>6829</v>
      </c>
      <c r="R3940" s="2" t="s">
        <v>29</v>
      </c>
      <c r="S3940" s="2" t="s">
        <v>30</v>
      </c>
    </row>
    <row r="3941" spans="1:19">
      <c r="A3941" s="1">
        <v>45870</v>
      </c>
      <c r="B3941" s="1">
        <v>45870</v>
      </c>
      <c r="C3941">
        <v>2025</v>
      </c>
      <c r="D3941">
        <v>8</v>
      </c>
      <c r="E3941" s="2" t="s">
        <v>64</v>
      </c>
      <c r="F3941" s="2" t="s">
        <v>65</v>
      </c>
      <c r="G3941" s="2" t="s">
        <v>21</v>
      </c>
      <c r="H3941" s="2" t="s">
        <v>22</v>
      </c>
      <c r="I3941" s="2" t="s">
        <v>66</v>
      </c>
      <c r="J3941" s="2" t="s">
        <v>24</v>
      </c>
      <c r="K3941">
        <v>25.38</v>
      </c>
      <c r="L3941">
        <v>718.05</v>
      </c>
      <c r="M3941">
        <v>2829.2</v>
      </c>
      <c r="N3941" s="2" t="s">
        <v>67</v>
      </c>
      <c r="O3941" s="2" t="s">
        <v>68</v>
      </c>
      <c r="P3941" s="2" t="s">
        <v>2315</v>
      </c>
      <c r="Q3941" s="2" t="s">
        <v>6830</v>
      </c>
      <c r="R3941" s="2" t="s">
        <v>29</v>
      </c>
      <c r="S3941" s="2" t="s">
        <v>30</v>
      </c>
    </row>
    <row r="3942" spans="1:19">
      <c r="A3942" s="1">
        <v>45870</v>
      </c>
      <c r="B3942" s="1">
        <v>45870</v>
      </c>
      <c r="C3942">
        <v>2025</v>
      </c>
      <c r="D3942">
        <v>8</v>
      </c>
      <c r="E3942" s="2" t="s">
        <v>71</v>
      </c>
      <c r="F3942" s="2" t="s">
        <v>72</v>
      </c>
      <c r="G3942" s="2" t="s">
        <v>21</v>
      </c>
      <c r="H3942" s="2" t="s">
        <v>22</v>
      </c>
      <c r="I3942" s="2" t="s">
        <v>73</v>
      </c>
      <c r="J3942" s="2" t="s">
        <v>59</v>
      </c>
      <c r="K3942">
        <v>6056.57</v>
      </c>
      <c r="L3942">
        <v>228576.21</v>
      </c>
      <c r="M3942">
        <v>3774.02</v>
      </c>
      <c r="N3942" s="2" t="s">
        <v>74</v>
      </c>
      <c r="O3942" s="2" t="s">
        <v>75</v>
      </c>
      <c r="P3942" s="2" t="s">
        <v>6831</v>
      </c>
      <c r="Q3942" s="2" t="s">
        <v>6832</v>
      </c>
      <c r="R3942" s="2" t="s">
        <v>29</v>
      </c>
      <c r="S3942" s="2" t="s">
        <v>30</v>
      </c>
    </row>
    <row r="3943" spans="1:19">
      <c r="A3943" s="1">
        <v>45870</v>
      </c>
      <c r="B3943" s="1">
        <v>45870</v>
      </c>
      <c r="C3943">
        <v>2025</v>
      </c>
      <c r="D3943">
        <v>8</v>
      </c>
      <c r="E3943" s="2" t="s">
        <v>78</v>
      </c>
      <c r="F3943" s="2" t="s">
        <v>79</v>
      </c>
      <c r="G3943" s="2" t="s">
        <v>80</v>
      </c>
      <c r="H3943" s="2" t="s">
        <v>81</v>
      </c>
      <c r="I3943" s="2" t="s">
        <v>82</v>
      </c>
      <c r="J3943" s="2" t="s">
        <v>24</v>
      </c>
      <c r="K3943">
        <v>2.69</v>
      </c>
      <c r="L3943">
        <v>10788096.800000001</v>
      </c>
      <c r="M3943">
        <v>401044490.70999998</v>
      </c>
      <c r="N3943" s="2" t="s">
        <v>83</v>
      </c>
      <c r="O3943" s="2" t="s">
        <v>84</v>
      </c>
      <c r="P3943" s="2" t="s">
        <v>5011</v>
      </c>
      <c r="Q3943" s="2" t="s">
        <v>6833</v>
      </c>
      <c r="R3943" s="2" t="s">
        <v>29</v>
      </c>
      <c r="S3943" s="2" t="s">
        <v>30</v>
      </c>
    </row>
    <row r="3944" spans="1:19">
      <c r="A3944" s="1">
        <v>45870</v>
      </c>
      <c r="B3944" s="1">
        <v>45870</v>
      </c>
      <c r="C3944">
        <v>2025</v>
      </c>
      <c r="D3944">
        <v>8</v>
      </c>
      <c r="E3944" s="2" t="s">
        <v>87</v>
      </c>
      <c r="F3944" s="2" t="s">
        <v>88</v>
      </c>
      <c r="G3944" s="2" t="s">
        <v>80</v>
      </c>
      <c r="H3944" s="2" t="s">
        <v>81</v>
      </c>
      <c r="I3944" s="2" t="s">
        <v>82</v>
      </c>
      <c r="J3944" s="2" t="s">
        <v>24</v>
      </c>
      <c r="K3944">
        <v>0.81</v>
      </c>
      <c r="L3944">
        <v>1240950.83</v>
      </c>
      <c r="M3944">
        <v>153203806.16999999</v>
      </c>
      <c r="N3944" s="2" t="s">
        <v>89</v>
      </c>
      <c r="O3944" s="2" t="s">
        <v>90</v>
      </c>
      <c r="P3944" s="2" t="s">
        <v>2983</v>
      </c>
      <c r="Q3944" s="2" t="s">
        <v>6834</v>
      </c>
      <c r="R3944" s="2" t="s">
        <v>29</v>
      </c>
      <c r="S3944" s="2" t="s">
        <v>30</v>
      </c>
    </row>
    <row r="3945" spans="1:19">
      <c r="A3945" s="1">
        <v>45870</v>
      </c>
      <c r="B3945" s="1">
        <v>45870</v>
      </c>
      <c r="C3945">
        <v>2025</v>
      </c>
      <c r="D3945">
        <v>8</v>
      </c>
      <c r="E3945" s="2" t="s">
        <v>93</v>
      </c>
      <c r="F3945" s="2" t="s">
        <v>94</v>
      </c>
      <c r="G3945" s="2" t="s">
        <v>80</v>
      </c>
      <c r="H3945" s="2" t="s">
        <v>81</v>
      </c>
      <c r="I3945" s="2" t="s">
        <v>82</v>
      </c>
      <c r="J3945" s="2" t="s">
        <v>24</v>
      </c>
      <c r="K3945">
        <v>0.47</v>
      </c>
      <c r="L3945">
        <v>7489699.5</v>
      </c>
      <c r="M3945">
        <v>1593553085.1099999</v>
      </c>
      <c r="N3945" s="2" t="s">
        <v>95</v>
      </c>
      <c r="O3945" s="2" t="s">
        <v>96</v>
      </c>
      <c r="P3945" s="2" t="s">
        <v>1840</v>
      </c>
      <c r="Q3945" s="2" t="s">
        <v>6835</v>
      </c>
      <c r="R3945" s="2" t="s">
        <v>29</v>
      </c>
      <c r="S3945" s="2" t="s">
        <v>30</v>
      </c>
    </row>
    <row r="3946" spans="1:19">
      <c r="A3946" s="1">
        <v>45870</v>
      </c>
      <c r="B3946" s="1">
        <v>45870</v>
      </c>
      <c r="C3946">
        <v>2025</v>
      </c>
      <c r="D3946">
        <v>8</v>
      </c>
      <c r="E3946" s="2" t="s">
        <v>99</v>
      </c>
      <c r="F3946" s="2" t="s">
        <v>100</v>
      </c>
      <c r="G3946" s="2" t="s">
        <v>80</v>
      </c>
      <c r="H3946" s="2" t="s">
        <v>81</v>
      </c>
      <c r="I3946" s="2" t="s">
        <v>82</v>
      </c>
      <c r="J3946" s="2" t="s">
        <v>101</v>
      </c>
      <c r="K3946">
        <v>1.5</v>
      </c>
      <c r="L3946">
        <v>16614169.83</v>
      </c>
      <c r="M3946">
        <v>1107611322</v>
      </c>
      <c r="N3946" s="2" t="s">
        <v>102</v>
      </c>
      <c r="O3946" s="2" t="s">
        <v>103</v>
      </c>
      <c r="P3946" s="2" t="s">
        <v>1908</v>
      </c>
      <c r="Q3946" s="2" t="s">
        <v>6836</v>
      </c>
      <c r="R3946" s="2" t="s">
        <v>29</v>
      </c>
      <c r="S3946" s="2" t="s">
        <v>30</v>
      </c>
    </row>
    <row r="3947" spans="1:19">
      <c r="A3947" s="1">
        <v>45870</v>
      </c>
      <c r="B3947" s="1">
        <v>45870</v>
      </c>
      <c r="C3947">
        <v>2025</v>
      </c>
      <c r="D3947">
        <v>8</v>
      </c>
      <c r="E3947" s="2" t="s">
        <v>106</v>
      </c>
      <c r="F3947" s="2" t="s">
        <v>107</v>
      </c>
      <c r="G3947" s="2" t="s">
        <v>80</v>
      </c>
      <c r="H3947" s="2" t="s">
        <v>81</v>
      </c>
      <c r="I3947" s="2" t="s">
        <v>82</v>
      </c>
      <c r="J3947" s="2" t="s">
        <v>24</v>
      </c>
      <c r="K3947">
        <v>0.22</v>
      </c>
      <c r="L3947">
        <v>7883519.5</v>
      </c>
      <c r="M3947">
        <v>3583417954.5500002</v>
      </c>
      <c r="N3947" s="2" t="s">
        <v>108</v>
      </c>
      <c r="O3947" s="2" t="s">
        <v>109</v>
      </c>
      <c r="P3947" s="2" t="s">
        <v>514</v>
      </c>
      <c r="Q3947" s="2" t="s">
        <v>6837</v>
      </c>
      <c r="R3947" s="2" t="s">
        <v>29</v>
      </c>
      <c r="S3947" s="2" t="s">
        <v>30</v>
      </c>
    </row>
    <row r="3948" spans="1:19">
      <c r="A3948" s="1">
        <v>45870</v>
      </c>
      <c r="B3948" s="1">
        <v>45870</v>
      </c>
      <c r="C3948">
        <v>2025</v>
      </c>
      <c r="D3948">
        <v>8</v>
      </c>
      <c r="E3948" s="2" t="s">
        <v>111</v>
      </c>
      <c r="F3948" s="2" t="s">
        <v>112</v>
      </c>
      <c r="G3948" s="2" t="s">
        <v>80</v>
      </c>
      <c r="H3948" s="2" t="s">
        <v>81</v>
      </c>
      <c r="I3948" s="2" t="s">
        <v>82</v>
      </c>
      <c r="J3948" s="2" t="s">
        <v>24</v>
      </c>
      <c r="K3948">
        <v>0.1</v>
      </c>
      <c r="L3948">
        <v>749679</v>
      </c>
      <c r="M3948">
        <v>749679000</v>
      </c>
      <c r="N3948" s="2" t="s">
        <v>113</v>
      </c>
      <c r="O3948" s="2" t="s">
        <v>114</v>
      </c>
      <c r="P3948" s="2" t="s">
        <v>425</v>
      </c>
      <c r="Q3948" s="2" t="s">
        <v>6838</v>
      </c>
      <c r="R3948" s="2" t="s">
        <v>29</v>
      </c>
      <c r="S3948" s="2" t="s">
        <v>30</v>
      </c>
    </row>
    <row r="3949" spans="1:19">
      <c r="A3949" s="1">
        <v>45870</v>
      </c>
      <c r="B3949" s="1">
        <v>45870</v>
      </c>
      <c r="C3949">
        <v>2025</v>
      </c>
      <c r="D3949">
        <v>8</v>
      </c>
      <c r="E3949" s="2" t="s">
        <v>117</v>
      </c>
      <c r="F3949" s="2" t="s">
        <v>118</v>
      </c>
      <c r="G3949" s="2" t="s">
        <v>80</v>
      </c>
      <c r="H3949" s="2" t="s">
        <v>81</v>
      </c>
      <c r="I3949" s="2" t="s">
        <v>82</v>
      </c>
      <c r="J3949" s="2" t="s">
        <v>59</v>
      </c>
      <c r="K3949">
        <v>4.28</v>
      </c>
      <c r="L3949">
        <v>28151945.629999999</v>
      </c>
      <c r="M3949">
        <v>657755739.01999998</v>
      </c>
      <c r="N3949" s="2" t="s">
        <v>119</v>
      </c>
      <c r="O3949" s="2" t="s">
        <v>120</v>
      </c>
      <c r="P3949" s="2" t="s">
        <v>6839</v>
      </c>
      <c r="Q3949" s="2" t="s">
        <v>6840</v>
      </c>
      <c r="R3949" s="2" t="s">
        <v>29</v>
      </c>
      <c r="S3949" s="2" t="s">
        <v>30</v>
      </c>
    </row>
    <row r="3950" spans="1:19">
      <c r="A3950" s="1">
        <v>45870</v>
      </c>
      <c r="B3950" s="1">
        <v>45870</v>
      </c>
      <c r="C3950">
        <v>2025</v>
      </c>
      <c r="D3950">
        <v>8</v>
      </c>
      <c r="E3950" s="2" t="s">
        <v>123</v>
      </c>
      <c r="F3950" s="2" t="s">
        <v>124</v>
      </c>
      <c r="G3950" s="2" t="s">
        <v>21</v>
      </c>
      <c r="H3950" s="2" t="s">
        <v>22</v>
      </c>
      <c r="I3950" s="2" t="s">
        <v>73</v>
      </c>
      <c r="J3950" s="2" t="s">
        <v>24</v>
      </c>
      <c r="K3950">
        <v>2434.15</v>
      </c>
      <c r="L3950">
        <v>118416.58</v>
      </c>
      <c r="M3950">
        <v>4864.8</v>
      </c>
      <c r="N3950" s="2" t="s">
        <v>125</v>
      </c>
      <c r="O3950" s="2" t="s">
        <v>126</v>
      </c>
      <c r="P3950" s="2" t="s">
        <v>6841</v>
      </c>
      <c r="Q3950" s="2" t="s">
        <v>6842</v>
      </c>
      <c r="R3950" s="2" t="s">
        <v>29</v>
      </c>
      <c r="S3950" s="2" t="s">
        <v>30</v>
      </c>
    </row>
    <row r="3951" spans="1:19">
      <c r="A3951" s="1">
        <v>45870</v>
      </c>
      <c r="B3951" s="1">
        <v>45870</v>
      </c>
      <c r="C3951">
        <v>2025</v>
      </c>
      <c r="D3951">
        <v>8</v>
      </c>
      <c r="E3951" s="2" t="s">
        <v>129</v>
      </c>
      <c r="F3951" s="2" t="s">
        <v>130</v>
      </c>
      <c r="G3951" s="2" t="s">
        <v>21</v>
      </c>
      <c r="H3951" s="2" t="s">
        <v>22</v>
      </c>
      <c r="I3951" s="2" t="s">
        <v>73</v>
      </c>
      <c r="J3951" s="2" t="s">
        <v>24</v>
      </c>
      <c r="K3951">
        <v>2501.63</v>
      </c>
      <c r="L3951">
        <v>72753.320000000007</v>
      </c>
      <c r="M3951">
        <v>2908.24</v>
      </c>
      <c r="N3951" s="2" t="s">
        <v>131</v>
      </c>
      <c r="O3951" s="2" t="s">
        <v>132</v>
      </c>
      <c r="P3951" s="2" t="s">
        <v>6843</v>
      </c>
      <c r="Q3951" s="2" t="s">
        <v>6844</v>
      </c>
      <c r="R3951" s="2" t="s">
        <v>29</v>
      </c>
      <c r="S3951" s="2" t="s">
        <v>30</v>
      </c>
    </row>
    <row r="3952" spans="1:19">
      <c r="A3952" s="1">
        <v>45870</v>
      </c>
      <c r="B3952" s="1">
        <v>45870</v>
      </c>
      <c r="C3952">
        <v>2025</v>
      </c>
      <c r="D3952">
        <v>8</v>
      </c>
      <c r="E3952" s="2" t="s">
        <v>135</v>
      </c>
      <c r="F3952" s="2" t="s">
        <v>136</v>
      </c>
      <c r="G3952" s="2" t="s">
        <v>21</v>
      </c>
      <c r="H3952" s="2" t="s">
        <v>22</v>
      </c>
      <c r="I3952" s="2" t="s">
        <v>73</v>
      </c>
      <c r="J3952" s="2" t="s">
        <v>101</v>
      </c>
      <c r="K3952">
        <v>4935.7700000000004</v>
      </c>
      <c r="L3952">
        <v>191169.9</v>
      </c>
      <c r="M3952">
        <v>3873.15</v>
      </c>
      <c r="N3952" s="2" t="s">
        <v>137</v>
      </c>
      <c r="O3952" s="2" t="s">
        <v>138</v>
      </c>
      <c r="P3952" s="2" t="s">
        <v>6845</v>
      </c>
      <c r="Q3952" s="2" t="s">
        <v>6846</v>
      </c>
      <c r="R3952" s="2" t="s">
        <v>29</v>
      </c>
      <c r="S3952" s="2" t="s">
        <v>30</v>
      </c>
    </row>
    <row r="3953" spans="1:19">
      <c r="A3953" s="1">
        <v>45870</v>
      </c>
      <c r="B3953" s="1">
        <v>45870</v>
      </c>
      <c r="C3953">
        <v>2025</v>
      </c>
      <c r="D3953">
        <v>8</v>
      </c>
      <c r="E3953" s="2" t="s">
        <v>141</v>
      </c>
      <c r="F3953" s="2" t="s">
        <v>142</v>
      </c>
      <c r="G3953" s="2" t="s">
        <v>21</v>
      </c>
      <c r="H3953" s="2" t="s">
        <v>22</v>
      </c>
      <c r="I3953" s="2" t="s">
        <v>73</v>
      </c>
      <c r="J3953" s="2" t="s">
        <v>24</v>
      </c>
      <c r="K3953">
        <v>277.20999999999998</v>
      </c>
      <c r="L3953">
        <v>12743.49</v>
      </c>
      <c r="M3953">
        <v>4597.05</v>
      </c>
      <c r="N3953" s="2" t="s">
        <v>143</v>
      </c>
      <c r="O3953" s="2" t="s">
        <v>144</v>
      </c>
      <c r="P3953" s="2" t="s">
        <v>6847</v>
      </c>
      <c r="Q3953" s="2" t="s">
        <v>6848</v>
      </c>
      <c r="R3953" s="2" t="s">
        <v>29</v>
      </c>
      <c r="S3953" s="2" t="s">
        <v>30</v>
      </c>
    </row>
    <row r="3954" spans="1:19">
      <c r="A3954" s="1">
        <v>45870</v>
      </c>
      <c r="B3954" s="1">
        <v>45870</v>
      </c>
      <c r="C3954">
        <v>2025</v>
      </c>
      <c r="D3954">
        <v>8</v>
      </c>
      <c r="E3954" s="2" t="s">
        <v>147</v>
      </c>
      <c r="F3954" s="2" t="s">
        <v>148</v>
      </c>
      <c r="G3954" s="2" t="s">
        <v>21</v>
      </c>
      <c r="H3954" s="2" t="s">
        <v>22</v>
      </c>
      <c r="I3954" s="2" t="s">
        <v>73</v>
      </c>
      <c r="J3954" s="2" t="s">
        <v>24</v>
      </c>
      <c r="K3954">
        <v>843.59</v>
      </c>
      <c r="L3954">
        <v>24662.82</v>
      </c>
      <c r="M3954">
        <v>2923.56</v>
      </c>
      <c r="N3954" s="2" t="s">
        <v>149</v>
      </c>
      <c r="O3954" s="2" t="s">
        <v>150</v>
      </c>
      <c r="P3954" s="2" t="s">
        <v>6849</v>
      </c>
      <c r="Q3954" s="2" t="s">
        <v>6850</v>
      </c>
      <c r="R3954" s="2" t="s">
        <v>29</v>
      </c>
      <c r="S3954" s="2" t="s">
        <v>30</v>
      </c>
    </row>
    <row r="3955" spans="1:19">
      <c r="A3955" s="1">
        <v>45870</v>
      </c>
      <c r="B3955" s="1">
        <v>45870</v>
      </c>
      <c r="C3955">
        <v>2025</v>
      </c>
      <c r="D3955">
        <v>8</v>
      </c>
      <c r="E3955" s="2" t="s">
        <v>153</v>
      </c>
      <c r="F3955" s="2" t="s">
        <v>154</v>
      </c>
      <c r="G3955" s="2" t="s">
        <v>21</v>
      </c>
      <c r="H3955" s="2" t="s">
        <v>22</v>
      </c>
      <c r="I3955" s="2" t="s">
        <v>73</v>
      </c>
      <c r="J3955" s="2" t="s">
        <v>101</v>
      </c>
      <c r="K3955">
        <v>1120.8</v>
      </c>
      <c r="L3955">
        <v>37406.31</v>
      </c>
      <c r="M3955">
        <v>3337.47</v>
      </c>
      <c r="N3955" s="2" t="s">
        <v>155</v>
      </c>
      <c r="O3955" s="2" t="s">
        <v>156</v>
      </c>
      <c r="P3955" s="2" t="s">
        <v>6851</v>
      </c>
      <c r="Q3955" s="2" t="s">
        <v>6852</v>
      </c>
      <c r="R3955" s="2" t="s">
        <v>29</v>
      </c>
      <c r="S3955" s="2" t="s">
        <v>30</v>
      </c>
    </row>
    <row r="3956" spans="1:19">
      <c r="A3956" s="1">
        <v>45870</v>
      </c>
      <c r="B3956" s="1">
        <v>45870</v>
      </c>
      <c r="C3956">
        <v>2025</v>
      </c>
      <c r="D3956">
        <v>8</v>
      </c>
      <c r="E3956" s="2" t="s">
        <v>159</v>
      </c>
      <c r="F3956" s="2" t="s">
        <v>160</v>
      </c>
      <c r="G3956" s="2" t="s">
        <v>21</v>
      </c>
      <c r="H3956" s="2" t="s">
        <v>22</v>
      </c>
      <c r="I3956" s="2" t="s">
        <v>66</v>
      </c>
      <c r="J3956" s="2" t="s">
        <v>59</v>
      </c>
      <c r="K3956">
        <v>1929.02</v>
      </c>
      <c r="L3956">
        <v>214927.59</v>
      </c>
      <c r="M3956">
        <v>11141.8</v>
      </c>
      <c r="N3956" s="2" t="s">
        <v>161</v>
      </c>
      <c r="O3956" s="2" t="s">
        <v>162</v>
      </c>
      <c r="P3956" s="2" t="s">
        <v>6853</v>
      </c>
      <c r="Q3956" s="2" t="s">
        <v>6854</v>
      </c>
      <c r="R3956" s="2" t="s">
        <v>29</v>
      </c>
      <c r="S3956" s="2" t="s">
        <v>30</v>
      </c>
    </row>
    <row r="3957" spans="1:19">
      <c r="A3957" s="1">
        <v>45870</v>
      </c>
      <c r="B3957" s="1">
        <v>45870</v>
      </c>
      <c r="C3957">
        <v>2025</v>
      </c>
      <c r="D3957">
        <v>8</v>
      </c>
      <c r="E3957" s="2" t="s">
        <v>165</v>
      </c>
      <c r="F3957" s="2" t="s">
        <v>166</v>
      </c>
      <c r="G3957" s="2" t="s">
        <v>21</v>
      </c>
      <c r="H3957" s="2" t="s">
        <v>22</v>
      </c>
      <c r="I3957" s="2" t="s">
        <v>23</v>
      </c>
      <c r="J3957" s="2" t="s">
        <v>24</v>
      </c>
      <c r="N3957" s="2" t="s">
        <v>167</v>
      </c>
      <c r="O3957" s="2" t="s">
        <v>168</v>
      </c>
      <c r="P3957" s="2" t="s">
        <v>175</v>
      </c>
      <c r="Q3957" s="2" t="s">
        <v>175</v>
      </c>
      <c r="R3957" s="2" t="s">
        <v>640</v>
      </c>
      <c r="S3957" s="2" t="s">
        <v>641</v>
      </c>
    </row>
    <row r="3958" spans="1:19">
      <c r="A3958" s="1">
        <v>45870</v>
      </c>
      <c r="B3958" s="1">
        <v>45870</v>
      </c>
      <c r="C3958">
        <v>2025</v>
      </c>
      <c r="D3958">
        <v>8</v>
      </c>
      <c r="E3958" s="2" t="s">
        <v>171</v>
      </c>
      <c r="F3958" s="2" t="s">
        <v>172</v>
      </c>
      <c r="G3958" s="2" t="s">
        <v>21</v>
      </c>
      <c r="H3958" s="2" t="s">
        <v>22</v>
      </c>
      <c r="I3958" s="2" t="s">
        <v>66</v>
      </c>
      <c r="J3958" s="2" t="s">
        <v>24</v>
      </c>
      <c r="N3958" s="2" t="s">
        <v>173</v>
      </c>
      <c r="O3958" s="2" t="s">
        <v>174</v>
      </c>
      <c r="P3958" s="2" t="s">
        <v>175</v>
      </c>
      <c r="Q3958" s="2" t="s">
        <v>175</v>
      </c>
      <c r="R3958" s="2" t="s">
        <v>640</v>
      </c>
      <c r="S3958" s="2" t="s">
        <v>641</v>
      </c>
    </row>
    <row r="3959" spans="1:19">
      <c r="A3959" s="1">
        <v>45870</v>
      </c>
      <c r="B3959" s="1">
        <v>45870</v>
      </c>
      <c r="C3959">
        <v>2025</v>
      </c>
      <c r="D3959">
        <v>8</v>
      </c>
      <c r="E3959" s="2" t="s">
        <v>177</v>
      </c>
      <c r="F3959" s="2" t="s">
        <v>178</v>
      </c>
      <c r="G3959" s="2" t="s">
        <v>21</v>
      </c>
      <c r="H3959" s="2" t="s">
        <v>22</v>
      </c>
      <c r="I3959" s="2" t="s">
        <v>23</v>
      </c>
      <c r="J3959" s="2" t="s">
        <v>24</v>
      </c>
      <c r="K3959">
        <v>4772.62</v>
      </c>
      <c r="L3959">
        <v>597548.72</v>
      </c>
      <c r="M3959">
        <v>12520.35</v>
      </c>
      <c r="N3959" s="2" t="s">
        <v>179</v>
      </c>
      <c r="O3959" s="2" t="s">
        <v>180</v>
      </c>
      <c r="P3959" s="2" t="s">
        <v>6855</v>
      </c>
      <c r="Q3959" s="2" t="s">
        <v>6856</v>
      </c>
      <c r="R3959" s="2" t="s">
        <v>29</v>
      </c>
      <c r="S3959" s="2" t="s">
        <v>30</v>
      </c>
    </row>
    <row r="3960" spans="1:19">
      <c r="A3960" s="1">
        <v>45870</v>
      </c>
      <c r="B3960" s="1">
        <v>45870</v>
      </c>
      <c r="C3960">
        <v>2025</v>
      </c>
      <c r="D3960">
        <v>8</v>
      </c>
      <c r="E3960" s="2" t="s">
        <v>183</v>
      </c>
      <c r="F3960" s="2" t="s">
        <v>184</v>
      </c>
      <c r="G3960" s="2" t="s">
        <v>185</v>
      </c>
      <c r="H3960" s="2" t="s">
        <v>22</v>
      </c>
      <c r="I3960" s="2" t="s">
        <v>186</v>
      </c>
      <c r="J3960" s="2" t="s">
        <v>24</v>
      </c>
      <c r="K3960">
        <v>2840.01</v>
      </c>
      <c r="L3960">
        <v>5534243.4100000001</v>
      </c>
      <c r="M3960">
        <v>194867.04</v>
      </c>
      <c r="N3960" s="2" t="s">
        <v>187</v>
      </c>
      <c r="O3960" s="2" t="s">
        <v>188</v>
      </c>
      <c r="P3960" s="2" t="s">
        <v>6857</v>
      </c>
      <c r="Q3960" s="2" t="s">
        <v>6858</v>
      </c>
      <c r="R3960" s="2" t="s">
        <v>29</v>
      </c>
      <c r="S3960" s="2" t="s">
        <v>30</v>
      </c>
    </row>
    <row r="3961" spans="1:19">
      <c r="A3961" s="1">
        <v>45870</v>
      </c>
      <c r="B3961" s="1">
        <v>45870</v>
      </c>
      <c r="C3961">
        <v>2025</v>
      </c>
      <c r="D3961">
        <v>8</v>
      </c>
      <c r="E3961" s="2" t="s">
        <v>191</v>
      </c>
      <c r="F3961" s="2" t="s">
        <v>192</v>
      </c>
      <c r="G3961" s="2" t="s">
        <v>185</v>
      </c>
      <c r="H3961" s="2" t="s">
        <v>22</v>
      </c>
      <c r="I3961" s="2" t="s">
        <v>186</v>
      </c>
      <c r="J3961" s="2" t="s">
        <v>24</v>
      </c>
      <c r="K3961">
        <v>798.11</v>
      </c>
      <c r="L3961">
        <v>6020479.25</v>
      </c>
      <c r="M3961">
        <v>754342.04</v>
      </c>
      <c r="N3961" s="2" t="s">
        <v>193</v>
      </c>
      <c r="O3961" s="2" t="s">
        <v>194</v>
      </c>
      <c r="P3961" s="2" t="s">
        <v>6859</v>
      </c>
      <c r="Q3961" s="2" t="s">
        <v>6860</v>
      </c>
      <c r="R3961" s="2" t="s">
        <v>29</v>
      </c>
      <c r="S3961" s="2" t="s">
        <v>30</v>
      </c>
    </row>
    <row r="3962" spans="1:19">
      <c r="A3962" s="1">
        <v>45870</v>
      </c>
      <c r="B3962" s="1">
        <v>45870</v>
      </c>
      <c r="C3962">
        <v>2025</v>
      </c>
      <c r="D3962">
        <v>8</v>
      </c>
      <c r="E3962" s="2" t="s">
        <v>197</v>
      </c>
      <c r="F3962" s="2" t="s">
        <v>198</v>
      </c>
      <c r="G3962" s="2" t="s">
        <v>185</v>
      </c>
      <c r="H3962" s="2" t="s">
        <v>22</v>
      </c>
      <c r="I3962" s="2" t="s">
        <v>186</v>
      </c>
      <c r="J3962" s="2" t="s">
        <v>59</v>
      </c>
      <c r="K3962">
        <v>3638.12</v>
      </c>
      <c r="L3962">
        <v>11554722.66</v>
      </c>
      <c r="M3962">
        <v>317601.46999999997</v>
      </c>
      <c r="N3962" s="2" t="s">
        <v>199</v>
      </c>
      <c r="O3962" s="2" t="s">
        <v>200</v>
      </c>
      <c r="P3962" s="2" t="s">
        <v>6861</v>
      </c>
      <c r="Q3962" s="2" t="s">
        <v>6862</v>
      </c>
      <c r="R3962" s="2" t="s">
        <v>29</v>
      </c>
      <c r="S3962" s="2" t="s">
        <v>30</v>
      </c>
    </row>
    <row r="3963" spans="1:19">
      <c r="A3963" s="1">
        <v>45870</v>
      </c>
      <c r="B3963" s="1">
        <v>45870</v>
      </c>
      <c r="C3963">
        <v>2025</v>
      </c>
      <c r="D3963">
        <v>8</v>
      </c>
      <c r="E3963" s="2" t="s">
        <v>203</v>
      </c>
      <c r="F3963" s="2" t="s">
        <v>204</v>
      </c>
      <c r="G3963" s="2" t="s">
        <v>39</v>
      </c>
      <c r="H3963" s="2" t="s">
        <v>22</v>
      </c>
      <c r="I3963" s="2" t="s">
        <v>40</v>
      </c>
      <c r="J3963" s="2" t="s">
        <v>24</v>
      </c>
      <c r="K3963">
        <v>1245.48</v>
      </c>
      <c r="L3963">
        <v>31157.18</v>
      </c>
      <c r="M3963">
        <v>2501.62</v>
      </c>
      <c r="N3963" s="2" t="s">
        <v>205</v>
      </c>
      <c r="O3963" s="2" t="s">
        <v>206</v>
      </c>
      <c r="P3963" s="2" t="s">
        <v>6863</v>
      </c>
      <c r="Q3963" s="2" t="s">
        <v>6864</v>
      </c>
      <c r="R3963" s="2" t="s">
        <v>29</v>
      </c>
      <c r="S3963" s="2" t="s">
        <v>30</v>
      </c>
    </row>
    <row r="3964" spans="1:19">
      <c r="A3964" s="1">
        <v>45870</v>
      </c>
      <c r="B3964" s="1">
        <v>45870</v>
      </c>
      <c r="C3964">
        <v>2025</v>
      </c>
      <c r="D3964">
        <v>8</v>
      </c>
      <c r="E3964" s="2" t="s">
        <v>209</v>
      </c>
      <c r="F3964" s="2" t="s">
        <v>210</v>
      </c>
      <c r="G3964" s="2" t="s">
        <v>39</v>
      </c>
      <c r="H3964" s="2" t="s">
        <v>22</v>
      </c>
      <c r="I3964" s="2" t="s">
        <v>40</v>
      </c>
      <c r="J3964" s="2" t="s">
        <v>59</v>
      </c>
      <c r="K3964">
        <v>1245.48</v>
      </c>
      <c r="L3964">
        <v>31157.18</v>
      </c>
      <c r="M3964">
        <v>2501.62</v>
      </c>
      <c r="N3964" s="2" t="s">
        <v>211</v>
      </c>
      <c r="O3964" s="2" t="s">
        <v>212</v>
      </c>
      <c r="P3964" s="2" t="s">
        <v>6863</v>
      </c>
      <c r="Q3964" s="2" t="s">
        <v>6864</v>
      </c>
      <c r="R3964" s="2" t="s">
        <v>29</v>
      </c>
      <c r="S3964" s="2" t="s">
        <v>30</v>
      </c>
    </row>
    <row r="3965" spans="1:19">
      <c r="A3965" s="1">
        <v>45870</v>
      </c>
      <c r="B3965" s="1">
        <v>45870</v>
      </c>
      <c r="C3965">
        <v>2025</v>
      </c>
      <c r="D3965">
        <v>8</v>
      </c>
      <c r="E3965" s="2" t="s">
        <v>213</v>
      </c>
      <c r="F3965" s="2" t="s">
        <v>214</v>
      </c>
      <c r="G3965" s="2" t="s">
        <v>185</v>
      </c>
      <c r="H3965" s="2" t="s">
        <v>22</v>
      </c>
      <c r="I3965" s="2" t="s">
        <v>215</v>
      </c>
      <c r="J3965" s="2" t="s">
        <v>24</v>
      </c>
      <c r="K3965">
        <v>173908.03</v>
      </c>
      <c r="L3965">
        <v>2934112.99</v>
      </c>
      <c r="M3965">
        <v>1687.16</v>
      </c>
      <c r="N3965" s="2" t="s">
        <v>216</v>
      </c>
      <c r="O3965" s="2" t="s">
        <v>217</v>
      </c>
      <c r="P3965" s="2" t="s">
        <v>6865</v>
      </c>
      <c r="Q3965" s="2" t="s">
        <v>6866</v>
      </c>
      <c r="R3965" s="2" t="s">
        <v>29</v>
      </c>
      <c r="S3965" s="2" t="s">
        <v>30</v>
      </c>
    </row>
    <row r="3966" spans="1:19">
      <c r="A3966" s="1">
        <v>45870</v>
      </c>
      <c r="B3966" s="1">
        <v>45870</v>
      </c>
      <c r="C3966">
        <v>2025</v>
      </c>
      <c r="D3966">
        <v>8</v>
      </c>
      <c r="E3966" s="2" t="s">
        <v>220</v>
      </c>
      <c r="F3966" s="2" t="s">
        <v>221</v>
      </c>
      <c r="G3966" s="2" t="s">
        <v>185</v>
      </c>
      <c r="H3966" s="2" t="s">
        <v>22</v>
      </c>
      <c r="I3966" s="2" t="s">
        <v>215</v>
      </c>
      <c r="J3966" s="2" t="s">
        <v>24</v>
      </c>
      <c r="K3966">
        <v>10513.94</v>
      </c>
      <c r="L3966">
        <v>605042.56000000006</v>
      </c>
      <c r="M3966">
        <v>5754.67</v>
      </c>
      <c r="N3966" s="2" t="s">
        <v>222</v>
      </c>
      <c r="O3966" s="2" t="s">
        <v>223</v>
      </c>
      <c r="P3966" s="2" t="s">
        <v>6867</v>
      </c>
      <c r="Q3966" s="2" t="s">
        <v>6868</v>
      </c>
      <c r="R3966" s="2" t="s">
        <v>29</v>
      </c>
      <c r="S3966" s="2" t="s">
        <v>30</v>
      </c>
    </row>
    <row r="3967" spans="1:19">
      <c r="A3967" s="1">
        <v>45870</v>
      </c>
      <c r="B3967" s="1">
        <v>45870</v>
      </c>
      <c r="C3967">
        <v>2025</v>
      </c>
      <c r="D3967">
        <v>8</v>
      </c>
      <c r="E3967" s="2" t="s">
        <v>226</v>
      </c>
      <c r="F3967" s="2" t="s">
        <v>227</v>
      </c>
      <c r="G3967" s="2" t="s">
        <v>185</v>
      </c>
      <c r="H3967" s="2" t="s">
        <v>22</v>
      </c>
      <c r="I3967" s="2" t="s">
        <v>215</v>
      </c>
      <c r="J3967" s="2" t="s">
        <v>59</v>
      </c>
      <c r="K3967">
        <v>184421.97</v>
      </c>
      <c r="L3967">
        <v>3539155.56</v>
      </c>
      <c r="M3967">
        <v>1919.05</v>
      </c>
      <c r="N3967" s="2" t="s">
        <v>228</v>
      </c>
      <c r="O3967" s="2" t="s">
        <v>229</v>
      </c>
      <c r="P3967" s="2" t="s">
        <v>6869</v>
      </c>
      <c r="Q3967" s="2" t="s">
        <v>6870</v>
      </c>
      <c r="R3967" s="2" t="s">
        <v>29</v>
      </c>
      <c r="S3967" s="2" t="s">
        <v>30</v>
      </c>
    </row>
    <row r="3968" spans="1:19">
      <c r="A3968" s="1">
        <v>45870</v>
      </c>
      <c r="B3968" s="1">
        <v>45870</v>
      </c>
      <c r="C3968">
        <v>2025</v>
      </c>
      <c r="D3968">
        <v>8</v>
      </c>
      <c r="E3968" s="2" t="s">
        <v>232</v>
      </c>
      <c r="F3968" s="2" t="s">
        <v>233</v>
      </c>
      <c r="G3968" s="2" t="s">
        <v>21</v>
      </c>
      <c r="H3968" s="2" t="s">
        <v>22</v>
      </c>
      <c r="I3968" s="2" t="s">
        <v>23</v>
      </c>
      <c r="J3968" s="2" t="s">
        <v>24</v>
      </c>
      <c r="K3968">
        <v>1854.46</v>
      </c>
      <c r="L3968">
        <v>167855.95</v>
      </c>
      <c r="M3968">
        <v>9051.4699999999993</v>
      </c>
      <c r="N3968" s="2" t="s">
        <v>234</v>
      </c>
      <c r="O3968" s="2" t="s">
        <v>235</v>
      </c>
      <c r="P3968" s="2" t="s">
        <v>6871</v>
      </c>
      <c r="Q3968" s="2" t="s">
        <v>6872</v>
      </c>
      <c r="R3968" s="2" t="s">
        <v>29</v>
      </c>
      <c r="S3968" s="2" t="s">
        <v>30</v>
      </c>
    </row>
    <row r="3969" spans="1:19">
      <c r="A3969" s="1">
        <v>45870</v>
      </c>
      <c r="B3969" s="1">
        <v>45870</v>
      </c>
      <c r="C3969">
        <v>2025</v>
      </c>
      <c r="D3969">
        <v>8</v>
      </c>
      <c r="E3969" s="2" t="s">
        <v>238</v>
      </c>
      <c r="F3969" s="2" t="s">
        <v>239</v>
      </c>
      <c r="G3969" s="2" t="s">
        <v>21</v>
      </c>
      <c r="H3969" s="2" t="s">
        <v>22</v>
      </c>
      <c r="I3969" s="2" t="s">
        <v>66</v>
      </c>
      <c r="J3969" s="2" t="s">
        <v>24</v>
      </c>
      <c r="K3969">
        <v>1764.13</v>
      </c>
      <c r="L3969">
        <v>214031.41</v>
      </c>
      <c r="M3969">
        <v>12132.41</v>
      </c>
      <c r="N3969" s="2" t="s">
        <v>240</v>
      </c>
      <c r="O3969" s="2" t="s">
        <v>241</v>
      </c>
      <c r="P3969" s="2" t="s">
        <v>6873</v>
      </c>
      <c r="Q3969" s="2" t="s">
        <v>6874</v>
      </c>
      <c r="R3969" s="2" t="s">
        <v>29</v>
      </c>
      <c r="S3969" s="2" t="s">
        <v>30</v>
      </c>
    </row>
    <row r="3970" spans="1:19">
      <c r="A3970" s="1">
        <v>45870</v>
      </c>
      <c r="B3970" s="1">
        <v>45870</v>
      </c>
      <c r="C3970">
        <v>2025</v>
      </c>
      <c r="D3970">
        <v>8</v>
      </c>
      <c r="E3970" s="2" t="s">
        <v>244</v>
      </c>
      <c r="F3970" s="2" t="s">
        <v>245</v>
      </c>
      <c r="G3970" s="2" t="s">
        <v>21</v>
      </c>
      <c r="H3970" s="2" t="s">
        <v>22</v>
      </c>
      <c r="I3970" s="2" t="s">
        <v>23</v>
      </c>
      <c r="J3970" s="2" t="s">
        <v>24</v>
      </c>
      <c r="K3970">
        <v>8288.6</v>
      </c>
      <c r="L3970">
        <v>3785259.95</v>
      </c>
      <c r="M3970">
        <v>45668.27</v>
      </c>
      <c r="N3970" s="2" t="s">
        <v>246</v>
      </c>
      <c r="O3970" s="2" t="s">
        <v>247</v>
      </c>
      <c r="P3970" s="2" t="s">
        <v>6875</v>
      </c>
      <c r="Q3970" s="2" t="s">
        <v>6876</v>
      </c>
      <c r="R3970" s="2" t="s">
        <v>29</v>
      </c>
      <c r="S3970" s="2" t="s">
        <v>30</v>
      </c>
    </row>
    <row r="3971" spans="1:19">
      <c r="A3971" s="1">
        <v>45870</v>
      </c>
      <c r="B3971" s="1">
        <v>45870</v>
      </c>
      <c r="C3971">
        <v>2025</v>
      </c>
      <c r="D3971">
        <v>8</v>
      </c>
      <c r="E3971" s="2" t="s">
        <v>250</v>
      </c>
      <c r="F3971" s="2" t="s">
        <v>251</v>
      </c>
      <c r="G3971" s="2" t="s">
        <v>21</v>
      </c>
      <c r="H3971" s="2" t="s">
        <v>22</v>
      </c>
      <c r="I3971" s="2" t="s">
        <v>66</v>
      </c>
      <c r="J3971" s="2" t="s">
        <v>24</v>
      </c>
      <c r="K3971">
        <v>139.51</v>
      </c>
      <c r="L3971">
        <v>178.13</v>
      </c>
      <c r="M3971">
        <v>127.68</v>
      </c>
      <c r="N3971" s="2" t="s">
        <v>252</v>
      </c>
      <c r="O3971" s="2" t="s">
        <v>253</v>
      </c>
      <c r="P3971" s="2" t="s">
        <v>6877</v>
      </c>
      <c r="Q3971" s="2" t="s">
        <v>6878</v>
      </c>
      <c r="R3971" s="2" t="s">
        <v>29</v>
      </c>
      <c r="S3971" s="2" t="s">
        <v>30</v>
      </c>
    </row>
    <row r="3972" spans="1:19">
      <c r="A3972" s="1">
        <v>45870</v>
      </c>
      <c r="B3972" s="1">
        <v>45870</v>
      </c>
      <c r="C3972">
        <v>2025</v>
      </c>
      <c r="D3972">
        <v>8</v>
      </c>
      <c r="E3972" s="2" t="s">
        <v>256</v>
      </c>
      <c r="F3972" s="2" t="s">
        <v>257</v>
      </c>
      <c r="G3972" s="2" t="s">
        <v>21</v>
      </c>
      <c r="H3972" s="2" t="s">
        <v>22</v>
      </c>
      <c r="I3972" s="2" t="s">
        <v>258</v>
      </c>
      <c r="J3972" s="2" t="s">
        <v>24</v>
      </c>
      <c r="K3972">
        <v>446.03</v>
      </c>
      <c r="L3972">
        <v>540024.57999999996</v>
      </c>
      <c r="M3972">
        <v>121073.60000000001</v>
      </c>
      <c r="N3972" s="2" t="s">
        <v>259</v>
      </c>
      <c r="O3972" s="2" t="s">
        <v>260</v>
      </c>
      <c r="P3972" s="2" t="s">
        <v>6879</v>
      </c>
      <c r="Q3972" s="2" t="s">
        <v>6880</v>
      </c>
      <c r="R3972" s="2" t="s">
        <v>29</v>
      </c>
      <c r="S3972" s="2" t="s">
        <v>30</v>
      </c>
    </row>
    <row r="3973" spans="1:19">
      <c r="A3973" s="1">
        <v>45870</v>
      </c>
      <c r="B3973" s="1">
        <v>45870</v>
      </c>
      <c r="C3973">
        <v>2025</v>
      </c>
      <c r="D3973">
        <v>8</v>
      </c>
      <c r="E3973" s="2" t="s">
        <v>263</v>
      </c>
      <c r="F3973" s="2" t="s">
        <v>264</v>
      </c>
      <c r="G3973" s="2" t="s">
        <v>21</v>
      </c>
      <c r="H3973" s="2" t="s">
        <v>22</v>
      </c>
      <c r="I3973" s="2" t="s">
        <v>258</v>
      </c>
      <c r="J3973" s="2" t="s">
        <v>24</v>
      </c>
      <c r="K3973">
        <v>0</v>
      </c>
      <c r="L3973">
        <v>0</v>
      </c>
      <c r="N3973" s="2" t="s">
        <v>265</v>
      </c>
      <c r="O3973" s="2" t="s">
        <v>266</v>
      </c>
      <c r="P3973" s="2" t="s">
        <v>639</v>
      </c>
      <c r="Q3973" s="2" t="s">
        <v>639</v>
      </c>
      <c r="R3973" s="2" t="s">
        <v>29</v>
      </c>
      <c r="S3973" s="2" t="s">
        <v>30</v>
      </c>
    </row>
    <row r="3974" spans="1:19">
      <c r="A3974" s="1">
        <v>45870</v>
      </c>
      <c r="B3974" s="1">
        <v>45870</v>
      </c>
      <c r="C3974">
        <v>2025</v>
      </c>
      <c r="D3974">
        <v>8</v>
      </c>
      <c r="E3974" s="2" t="s">
        <v>269</v>
      </c>
      <c r="F3974" s="2" t="s">
        <v>270</v>
      </c>
      <c r="G3974" s="2" t="s">
        <v>21</v>
      </c>
      <c r="H3974" s="2" t="s">
        <v>22</v>
      </c>
      <c r="I3974" s="2" t="s">
        <v>258</v>
      </c>
      <c r="J3974" s="2" t="s">
        <v>59</v>
      </c>
      <c r="K3974">
        <v>446.03</v>
      </c>
      <c r="L3974">
        <v>540024.57999999996</v>
      </c>
      <c r="M3974">
        <v>121073.60000000001</v>
      </c>
      <c r="N3974" s="2" t="s">
        <v>271</v>
      </c>
      <c r="O3974" s="2" t="s">
        <v>272</v>
      </c>
      <c r="P3974" s="2" t="s">
        <v>6879</v>
      </c>
      <c r="Q3974" s="2" t="s">
        <v>6880</v>
      </c>
      <c r="R3974" s="2" t="s">
        <v>29</v>
      </c>
      <c r="S3974" s="2" t="s">
        <v>30</v>
      </c>
    </row>
    <row r="3975" spans="1:19">
      <c r="A3975" s="1">
        <v>45870</v>
      </c>
      <c r="B3975" s="1">
        <v>45870</v>
      </c>
      <c r="C3975">
        <v>2025</v>
      </c>
      <c r="D3975">
        <v>8</v>
      </c>
      <c r="E3975" s="2" t="s">
        <v>275</v>
      </c>
      <c r="F3975" s="2" t="s">
        <v>276</v>
      </c>
      <c r="G3975" s="2" t="s">
        <v>39</v>
      </c>
      <c r="H3975" s="2" t="s">
        <v>22</v>
      </c>
      <c r="I3975" s="2" t="s">
        <v>40</v>
      </c>
      <c r="J3975" s="2" t="s">
        <v>24</v>
      </c>
      <c r="K3975">
        <v>0.1</v>
      </c>
      <c r="L3975">
        <v>1.02</v>
      </c>
      <c r="M3975">
        <v>1020</v>
      </c>
      <c r="N3975" s="2" t="s">
        <v>277</v>
      </c>
      <c r="O3975" s="2" t="s">
        <v>278</v>
      </c>
      <c r="P3975" s="2" t="s">
        <v>425</v>
      </c>
      <c r="Q3975" s="2" t="s">
        <v>453</v>
      </c>
      <c r="R3975" s="2" t="s">
        <v>29</v>
      </c>
      <c r="S3975" s="2" t="s">
        <v>30</v>
      </c>
    </row>
    <row r="3976" spans="1:19">
      <c r="A3976" s="1">
        <v>45870</v>
      </c>
      <c r="B3976" s="1">
        <v>45870</v>
      </c>
      <c r="C3976">
        <v>2025</v>
      </c>
      <c r="D3976">
        <v>8</v>
      </c>
      <c r="E3976" s="2" t="s">
        <v>281</v>
      </c>
      <c r="F3976" s="2" t="s">
        <v>282</v>
      </c>
      <c r="G3976" s="2" t="s">
        <v>39</v>
      </c>
      <c r="H3976" s="2" t="s">
        <v>22</v>
      </c>
      <c r="I3976" s="2" t="s">
        <v>40</v>
      </c>
      <c r="J3976" s="2" t="s">
        <v>24</v>
      </c>
      <c r="K3976">
        <v>0.02</v>
      </c>
      <c r="L3976">
        <v>0.32</v>
      </c>
      <c r="M3976">
        <v>1600</v>
      </c>
      <c r="N3976" s="2" t="s">
        <v>283</v>
      </c>
      <c r="O3976" s="2" t="s">
        <v>284</v>
      </c>
      <c r="P3976" s="2" t="s">
        <v>1039</v>
      </c>
      <c r="Q3976" s="2" t="s">
        <v>1083</v>
      </c>
      <c r="R3976" s="2" t="s">
        <v>29</v>
      </c>
      <c r="S3976" s="2" t="s">
        <v>30</v>
      </c>
    </row>
    <row r="3977" spans="1:19">
      <c r="A3977" s="1">
        <v>45870</v>
      </c>
      <c r="B3977" s="1">
        <v>45870</v>
      </c>
      <c r="C3977">
        <v>2025</v>
      </c>
      <c r="D3977">
        <v>8</v>
      </c>
      <c r="E3977" s="2" t="s">
        <v>287</v>
      </c>
      <c r="F3977" s="2" t="s">
        <v>288</v>
      </c>
      <c r="G3977" s="2" t="s">
        <v>39</v>
      </c>
      <c r="H3977" s="2" t="s">
        <v>22</v>
      </c>
      <c r="I3977" s="2" t="s">
        <v>40</v>
      </c>
      <c r="J3977" s="2" t="s">
        <v>59</v>
      </c>
      <c r="K3977">
        <v>0.13</v>
      </c>
      <c r="L3977">
        <v>1.33</v>
      </c>
      <c r="M3977">
        <v>1023.08</v>
      </c>
      <c r="N3977" s="2" t="s">
        <v>289</v>
      </c>
      <c r="O3977" s="2" t="s">
        <v>290</v>
      </c>
      <c r="P3977" s="2" t="s">
        <v>3378</v>
      </c>
      <c r="Q3977" s="2" t="s">
        <v>2105</v>
      </c>
      <c r="R3977" s="2" t="s">
        <v>29</v>
      </c>
      <c r="S3977" s="2" t="s">
        <v>30</v>
      </c>
    </row>
    <row r="3978" spans="1:19">
      <c r="A3978" s="1">
        <v>45870</v>
      </c>
      <c r="B3978" s="1">
        <v>45870</v>
      </c>
      <c r="C3978">
        <v>2025</v>
      </c>
      <c r="D3978">
        <v>8</v>
      </c>
      <c r="E3978" s="2" t="s">
        <v>293</v>
      </c>
      <c r="F3978" s="2" t="s">
        <v>294</v>
      </c>
      <c r="G3978" s="2" t="s">
        <v>21</v>
      </c>
      <c r="H3978" s="2" t="s">
        <v>22</v>
      </c>
      <c r="I3978" s="2" t="s">
        <v>295</v>
      </c>
      <c r="J3978" s="2" t="s">
        <v>24</v>
      </c>
      <c r="K3978">
        <v>1050.45</v>
      </c>
      <c r="L3978">
        <v>4053.73</v>
      </c>
      <c r="M3978">
        <v>385.9</v>
      </c>
      <c r="N3978" s="2" t="s">
        <v>296</v>
      </c>
      <c r="O3978" s="2" t="s">
        <v>297</v>
      </c>
      <c r="P3978" s="2" t="s">
        <v>6881</v>
      </c>
      <c r="Q3978" s="2" t="s">
        <v>6882</v>
      </c>
      <c r="R3978" s="2" t="s">
        <v>29</v>
      </c>
      <c r="S3978" s="2" t="s">
        <v>30</v>
      </c>
    </row>
    <row r="3979" spans="1:19">
      <c r="A3979" s="1">
        <v>45870</v>
      </c>
      <c r="B3979" s="1">
        <v>45870</v>
      </c>
      <c r="C3979">
        <v>2025</v>
      </c>
      <c r="D3979">
        <v>8</v>
      </c>
      <c r="E3979" s="2" t="s">
        <v>300</v>
      </c>
      <c r="F3979" s="2" t="s">
        <v>301</v>
      </c>
      <c r="G3979" s="2" t="s">
        <v>21</v>
      </c>
      <c r="H3979" s="2" t="s">
        <v>22</v>
      </c>
      <c r="I3979" s="2" t="s">
        <v>295</v>
      </c>
      <c r="J3979" s="2" t="s">
        <v>24</v>
      </c>
      <c r="K3979">
        <v>669.51</v>
      </c>
      <c r="L3979">
        <v>1029.53</v>
      </c>
      <c r="M3979">
        <v>153.77000000000001</v>
      </c>
      <c r="N3979" s="2" t="s">
        <v>302</v>
      </c>
      <c r="O3979" s="2" t="s">
        <v>303</v>
      </c>
      <c r="P3979" s="2" t="s">
        <v>6883</v>
      </c>
      <c r="Q3979" s="2" t="s">
        <v>6884</v>
      </c>
      <c r="R3979" s="2" t="s">
        <v>29</v>
      </c>
      <c r="S3979" s="2" t="s">
        <v>30</v>
      </c>
    </row>
    <row r="3980" spans="1:19">
      <c r="A3980" s="1">
        <v>45870</v>
      </c>
      <c r="B3980" s="1">
        <v>45870</v>
      </c>
      <c r="C3980">
        <v>2025</v>
      </c>
      <c r="D3980">
        <v>8</v>
      </c>
      <c r="E3980" s="2" t="s">
        <v>306</v>
      </c>
      <c r="F3980" s="2" t="s">
        <v>307</v>
      </c>
      <c r="G3980" s="2" t="s">
        <v>21</v>
      </c>
      <c r="H3980" s="2" t="s">
        <v>22</v>
      </c>
      <c r="I3980" s="2" t="s">
        <v>295</v>
      </c>
      <c r="J3980" s="2" t="s">
        <v>101</v>
      </c>
      <c r="K3980">
        <v>1719.97</v>
      </c>
      <c r="L3980">
        <v>5083.26</v>
      </c>
      <c r="M3980">
        <v>295.54000000000002</v>
      </c>
      <c r="N3980" s="2" t="s">
        <v>308</v>
      </c>
      <c r="O3980" s="2" t="s">
        <v>309</v>
      </c>
      <c r="P3980" s="2" t="s">
        <v>6885</v>
      </c>
      <c r="Q3980" s="2" t="s">
        <v>6886</v>
      </c>
      <c r="R3980" s="2" t="s">
        <v>29</v>
      </c>
      <c r="S3980" s="2" t="s">
        <v>30</v>
      </c>
    </row>
    <row r="3981" spans="1:19">
      <c r="A3981" s="1">
        <v>45870</v>
      </c>
      <c r="B3981" s="1">
        <v>45870</v>
      </c>
      <c r="C3981">
        <v>2025</v>
      </c>
      <c r="D3981">
        <v>8</v>
      </c>
      <c r="E3981" s="2" t="s">
        <v>312</v>
      </c>
      <c r="F3981" s="2" t="s">
        <v>313</v>
      </c>
      <c r="G3981" s="2" t="s">
        <v>21</v>
      </c>
      <c r="H3981" s="2" t="s">
        <v>22</v>
      </c>
      <c r="I3981" s="2" t="s">
        <v>295</v>
      </c>
      <c r="J3981" s="2" t="s">
        <v>59</v>
      </c>
      <c r="K3981">
        <v>7966.16</v>
      </c>
      <c r="L3981">
        <v>22252.69</v>
      </c>
      <c r="M3981">
        <v>279.33999999999997</v>
      </c>
      <c r="N3981" s="2" t="s">
        <v>314</v>
      </c>
      <c r="O3981" s="2" t="s">
        <v>315</v>
      </c>
      <c r="P3981" s="2" t="s">
        <v>6887</v>
      </c>
      <c r="Q3981" s="2" t="s">
        <v>6888</v>
      </c>
      <c r="R3981" s="2" t="s">
        <v>29</v>
      </c>
      <c r="S3981" s="2" t="s">
        <v>30</v>
      </c>
    </row>
    <row r="3982" spans="1:19">
      <c r="A3982" s="1">
        <v>45870</v>
      </c>
      <c r="B3982" s="1">
        <v>45870</v>
      </c>
      <c r="C3982">
        <v>2025</v>
      </c>
      <c r="D3982">
        <v>8</v>
      </c>
      <c r="E3982" s="2" t="s">
        <v>318</v>
      </c>
      <c r="F3982" s="2" t="s">
        <v>319</v>
      </c>
      <c r="G3982" s="2" t="s">
        <v>21</v>
      </c>
      <c r="H3982" s="2" t="s">
        <v>22</v>
      </c>
      <c r="I3982" s="2" t="s">
        <v>295</v>
      </c>
      <c r="J3982" s="2" t="s">
        <v>24</v>
      </c>
      <c r="K3982">
        <v>6246.19</v>
      </c>
      <c r="L3982">
        <v>17169.43</v>
      </c>
      <c r="M3982">
        <v>274.88</v>
      </c>
      <c r="N3982" s="2" t="s">
        <v>320</v>
      </c>
      <c r="O3982" s="2" t="s">
        <v>321</v>
      </c>
      <c r="P3982" s="2" t="s">
        <v>6889</v>
      </c>
      <c r="Q3982" s="2" t="s">
        <v>6890</v>
      </c>
      <c r="R3982" s="2" t="s">
        <v>29</v>
      </c>
      <c r="S3982" s="2" t="s">
        <v>30</v>
      </c>
    </row>
    <row r="3983" spans="1:19">
      <c r="A3983" s="1">
        <v>45870</v>
      </c>
      <c r="B3983" s="1">
        <v>45870</v>
      </c>
      <c r="C3983">
        <v>2025</v>
      </c>
      <c r="D3983">
        <v>8</v>
      </c>
      <c r="E3983" s="2" t="s">
        <v>324</v>
      </c>
      <c r="F3983" s="2" t="s">
        <v>325</v>
      </c>
      <c r="G3983" s="2" t="s">
        <v>21</v>
      </c>
      <c r="H3983" s="2" t="s">
        <v>22</v>
      </c>
      <c r="I3983" s="2" t="s">
        <v>23</v>
      </c>
      <c r="J3983" s="2" t="s">
        <v>59</v>
      </c>
      <c r="K3983">
        <v>218816.17</v>
      </c>
      <c r="L3983">
        <v>7102302.8099999996</v>
      </c>
      <c r="M3983">
        <v>3245.79</v>
      </c>
      <c r="N3983" s="2" t="s">
        <v>326</v>
      </c>
      <c r="O3983" s="2" t="s">
        <v>327</v>
      </c>
      <c r="P3983" s="2" t="s">
        <v>6891</v>
      </c>
      <c r="Q3983" s="2" t="s">
        <v>6892</v>
      </c>
      <c r="R3983" s="2" t="s">
        <v>29</v>
      </c>
      <c r="S3983" s="2" t="s">
        <v>30</v>
      </c>
    </row>
    <row r="3984" spans="1:19">
      <c r="A3984" s="1">
        <v>45870</v>
      </c>
      <c r="B3984" s="1">
        <v>45870</v>
      </c>
      <c r="C3984">
        <v>2025</v>
      </c>
      <c r="D3984">
        <v>8</v>
      </c>
      <c r="E3984" s="2" t="s">
        <v>330</v>
      </c>
      <c r="F3984" s="2" t="s">
        <v>331</v>
      </c>
      <c r="G3984" s="2" t="s">
        <v>21</v>
      </c>
      <c r="H3984" s="2" t="s">
        <v>332</v>
      </c>
      <c r="I3984" s="2" t="s">
        <v>333</v>
      </c>
      <c r="J3984" s="2" t="s">
        <v>24</v>
      </c>
      <c r="K3984">
        <v>258.52</v>
      </c>
      <c r="L3984">
        <v>14993006.550000001</v>
      </c>
      <c r="M3984">
        <v>5799553.8300000001</v>
      </c>
      <c r="N3984" s="2" t="s">
        <v>334</v>
      </c>
      <c r="O3984" s="2" t="s">
        <v>335</v>
      </c>
      <c r="P3984" s="2" t="s">
        <v>6893</v>
      </c>
      <c r="Q3984" s="2" t="s">
        <v>6894</v>
      </c>
      <c r="R3984" s="2" t="s">
        <v>29</v>
      </c>
      <c r="S3984" s="2" t="s">
        <v>30</v>
      </c>
    </row>
    <row r="3985" spans="1:19">
      <c r="A3985" s="1">
        <v>45870</v>
      </c>
      <c r="B3985" s="1">
        <v>45870</v>
      </c>
      <c r="C3985">
        <v>2025</v>
      </c>
      <c r="D3985">
        <v>8</v>
      </c>
      <c r="E3985" s="2" t="s">
        <v>338</v>
      </c>
      <c r="F3985" s="2" t="s">
        <v>339</v>
      </c>
      <c r="G3985" s="2" t="s">
        <v>21</v>
      </c>
      <c r="H3985" s="2" t="s">
        <v>332</v>
      </c>
      <c r="I3985" s="2" t="s">
        <v>333</v>
      </c>
      <c r="J3985" s="2" t="s">
        <v>24</v>
      </c>
      <c r="K3985">
        <v>1.1599999999999999</v>
      </c>
      <c r="L3985">
        <v>1378209.18</v>
      </c>
      <c r="M3985">
        <v>118811136.20999999</v>
      </c>
      <c r="N3985" s="2" t="s">
        <v>340</v>
      </c>
      <c r="O3985" s="2" t="s">
        <v>341</v>
      </c>
      <c r="P3985" s="2" t="s">
        <v>1921</v>
      </c>
      <c r="Q3985" s="2" t="s">
        <v>6895</v>
      </c>
      <c r="R3985" s="2" t="s">
        <v>29</v>
      </c>
      <c r="S3985" s="2" t="s">
        <v>30</v>
      </c>
    </row>
    <row r="3986" spans="1:19">
      <c r="A3986" s="1">
        <v>45870</v>
      </c>
      <c r="B3986" s="1">
        <v>45870</v>
      </c>
      <c r="C3986">
        <v>2025</v>
      </c>
      <c r="D3986">
        <v>8</v>
      </c>
      <c r="E3986" s="2" t="s">
        <v>344</v>
      </c>
      <c r="F3986" s="2" t="s">
        <v>345</v>
      </c>
      <c r="G3986" s="2" t="s">
        <v>21</v>
      </c>
      <c r="H3986" s="2" t="s">
        <v>332</v>
      </c>
      <c r="I3986" s="2" t="s">
        <v>333</v>
      </c>
      <c r="J3986" s="2" t="s">
        <v>59</v>
      </c>
      <c r="K3986">
        <v>259.68</v>
      </c>
      <c r="L3986">
        <v>16371215.73</v>
      </c>
      <c r="M3986">
        <v>6304380.6699999999</v>
      </c>
      <c r="N3986" s="2" t="s">
        <v>346</v>
      </c>
      <c r="O3986" s="2" t="s">
        <v>347</v>
      </c>
      <c r="P3986" s="2" t="s">
        <v>6896</v>
      </c>
      <c r="Q3986" s="2" t="s">
        <v>6897</v>
      </c>
      <c r="R3986" s="2" t="s">
        <v>29</v>
      </c>
      <c r="S3986" s="2" t="s">
        <v>30</v>
      </c>
    </row>
    <row r="3987" spans="1:19">
      <c r="A3987" s="1">
        <v>45870</v>
      </c>
      <c r="B3987" s="1">
        <v>45870</v>
      </c>
      <c r="C3987">
        <v>2025</v>
      </c>
      <c r="D3987">
        <v>8</v>
      </c>
      <c r="E3987" s="2" t="s">
        <v>350</v>
      </c>
      <c r="F3987" s="2" t="s">
        <v>351</v>
      </c>
      <c r="G3987" s="2" t="s">
        <v>21</v>
      </c>
      <c r="H3987" s="2" t="s">
        <v>22</v>
      </c>
      <c r="I3987" s="2" t="s">
        <v>352</v>
      </c>
      <c r="J3987" s="2" t="s">
        <v>353</v>
      </c>
      <c r="K3987">
        <v>235027.6</v>
      </c>
      <c r="L3987">
        <v>23939275.030000001</v>
      </c>
      <c r="M3987">
        <v>10185.73</v>
      </c>
      <c r="N3987" s="2" t="s">
        <v>354</v>
      </c>
      <c r="O3987" s="2" t="s">
        <v>355</v>
      </c>
      <c r="P3987" s="2" t="s">
        <v>6898</v>
      </c>
      <c r="Q3987" s="2" t="s">
        <v>6899</v>
      </c>
      <c r="R3987" s="2" t="s">
        <v>29</v>
      </c>
      <c r="S3987" s="2" t="s">
        <v>30</v>
      </c>
    </row>
    <row r="3988" spans="1:19">
      <c r="A3988" s="1">
        <v>45870</v>
      </c>
      <c r="B3988" s="1">
        <v>45870</v>
      </c>
      <c r="C3988">
        <v>2025</v>
      </c>
      <c r="D3988">
        <v>8</v>
      </c>
      <c r="E3988" s="2" t="s">
        <v>358</v>
      </c>
      <c r="F3988" s="2" t="s">
        <v>359</v>
      </c>
      <c r="G3988" s="2" t="s">
        <v>21</v>
      </c>
      <c r="H3988" s="2" t="s">
        <v>22</v>
      </c>
      <c r="I3988" s="2" t="s">
        <v>352</v>
      </c>
      <c r="J3988" s="2" t="s">
        <v>353</v>
      </c>
      <c r="K3988">
        <v>235473.63</v>
      </c>
      <c r="L3988">
        <v>24479299.609999999</v>
      </c>
      <c r="M3988">
        <v>10395.77</v>
      </c>
      <c r="N3988" s="2" t="s">
        <v>360</v>
      </c>
      <c r="O3988" s="2" t="s">
        <v>361</v>
      </c>
      <c r="P3988" s="2" t="s">
        <v>6900</v>
      </c>
      <c r="Q3988" s="2" t="s">
        <v>6901</v>
      </c>
      <c r="R3988" s="2" t="s">
        <v>29</v>
      </c>
      <c r="S3988" s="2" t="s">
        <v>30</v>
      </c>
    </row>
    <row r="3989" spans="1:19">
      <c r="A3989" s="1">
        <v>45870</v>
      </c>
      <c r="B3989" s="1">
        <v>45870</v>
      </c>
      <c r="C3989">
        <v>2025</v>
      </c>
      <c r="D3989">
        <v>8</v>
      </c>
      <c r="E3989" s="2" t="s">
        <v>364</v>
      </c>
      <c r="F3989" s="2" t="s">
        <v>365</v>
      </c>
      <c r="G3989" s="2" t="s">
        <v>21</v>
      </c>
      <c r="H3989" s="2" t="s">
        <v>22</v>
      </c>
      <c r="I3989" s="2" t="s">
        <v>352</v>
      </c>
      <c r="J3989" s="2" t="s">
        <v>353</v>
      </c>
      <c r="K3989">
        <v>235213.95</v>
      </c>
      <c r="L3989">
        <v>8108083.8799999999</v>
      </c>
      <c r="M3989">
        <v>3447.11</v>
      </c>
      <c r="N3989" s="2" t="s">
        <v>366</v>
      </c>
      <c r="O3989" s="2" t="s">
        <v>367</v>
      </c>
      <c r="P3989" s="2" t="s">
        <v>6902</v>
      </c>
      <c r="Q3989" s="2" t="s">
        <v>6903</v>
      </c>
      <c r="R3989" s="2" t="s">
        <v>29</v>
      </c>
      <c r="S3989" s="2" t="s">
        <v>30</v>
      </c>
    </row>
    <row r="3990" spans="1:19">
      <c r="A3990" s="1">
        <v>45870</v>
      </c>
      <c r="B3990" s="1">
        <v>45870</v>
      </c>
      <c r="C3990">
        <v>2025</v>
      </c>
      <c r="D3990">
        <v>8</v>
      </c>
      <c r="E3990" s="2" t="s">
        <v>370</v>
      </c>
      <c r="F3990" s="2" t="s">
        <v>371</v>
      </c>
      <c r="G3990" s="2" t="s">
        <v>21</v>
      </c>
      <c r="H3990" s="2" t="s">
        <v>22</v>
      </c>
      <c r="I3990" s="2" t="s">
        <v>23</v>
      </c>
      <c r="J3990" s="2" t="s">
        <v>24</v>
      </c>
      <c r="K3990">
        <v>200083.1</v>
      </c>
      <c r="L3990">
        <v>2485472.9</v>
      </c>
      <c r="M3990">
        <v>1242.22</v>
      </c>
      <c r="N3990" s="2" t="s">
        <v>372</v>
      </c>
      <c r="O3990" s="2" t="s">
        <v>373</v>
      </c>
      <c r="P3990" s="2" t="s">
        <v>6904</v>
      </c>
      <c r="Q3990" s="2" t="s">
        <v>6905</v>
      </c>
      <c r="R3990" s="2" t="s">
        <v>29</v>
      </c>
      <c r="S3990" s="2" t="s">
        <v>30</v>
      </c>
    </row>
    <row r="3991" spans="1:19">
      <c r="A3991" s="1">
        <v>45870</v>
      </c>
      <c r="B3991" s="1">
        <v>45870</v>
      </c>
      <c r="C3991">
        <v>2025</v>
      </c>
      <c r="D3991">
        <v>8</v>
      </c>
      <c r="E3991" s="2" t="s">
        <v>376</v>
      </c>
      <c r="F3991" s="2" t="s">
        <v>377</v>
      </c>
      <c r="G3991" s="2" t="s">
        <v>21</v>
      </c>
      <c r="H3991" s="2" t="s">
        <v>22</v>
      </c>
      <c r="I3991" s="2" t="s">
        <v>23</v>
      </c>
      <c r="J3991" s="2" t="s">
        <v>378</v>
      </c>
      <c r="K3991">
        <v>0.69</v>
      </c>
      <c r="L3991">
        <v>6.7</v>
      </c>
      <c r="M3991">
        <v>971.01</v>
      </c>
      <c r="N3991" s="2" t="s">
        <v>379</v>
      </c>
      <c r="O3991" s="2" t="s">
        <v>380</v>
      </c>
      <c r="P3991" s="2" t="s">
        <v>810</v>
      </c>
      <c r="Q3991" s="2" t="s">
        <v>6555</v>
      </c>
      <c r="R3991" s="2" t="s">
        <v>29</v>
      </c>
      <c r="S3991" s="2" t="s">
        <v>30</v>
      </c>
    </row>
    <row r="3992" spans="1:19">
      <c r="A3992" s="1">
        <v>45901</v>
      </c>
      <c r="B3992" s="1">
        <v>45901</v>
      </c>
      <c r="C3992">
        <v>2025</v>
      </c>
      <c r="D3992">
        <v>9</v>
      </c>
      <c r="E3992" s="2" t="s">
        <v>19</v>
      </c>
      <c r="F3992" s="2" t="s">
        <v>20</v>
      </c>
      <c r="G3992" s="2" t="s">
        <v>21</v>
      </c>
      <c r="H3992" s="2" t="s">
        <v>22</v>
      </c>
      <c r="I3992" s="2" t="s">
        <v>23</v>
      </c>
      <c r="J3992" s="2" t="s">
        <v>24</v>
      </c>
      <c r="K3992">
        <v>0.26</v>
      </c>
      <c r="L3992">
        <v>11.69</v>
      </c>
      <c r="M3992">
        <v>4496.1499999999996</v>
      </c>
      <c r="N3992" s="2" t="s">
        <v>25</v>
      </c>
      <c r="O3992" s="2" t="s">
        <v>26</v>
      </c>
      <c r="P3992" s="2" t="s">
        <v>1941</v>
      </c>
      <c r="Q3992" s="2" t="s">
        <v>6906</v>
      </c>
      <c r="R3992" s="2" t="s">
        <v>29</v>
      </c>
      <c r="S3992" s="2" t="s">
        <v>30</v>
      </c>
    </row>
    <row r="3993" spans="1:19">
      <c r="A3993" s="1">
        <v>45901</v>
      </c>
      <c r="B3993" s="1">
        <v>45901</v>
      </c>
      <c r="C3993">
        <v>2025</v>
      </c>
      <c r="D3993">
        <v>9</v>
      </c>
      <c r="E3993" s="2" t="s">
        <v>31</v>
      </c>
      <c r="F3993" s="2" t="s">
        <v>32</v>
      </c>
      <c r="G3993" s="2" t="s">
        <v>21</v>
      </c>
      <c r="H3993" s="2" t="s">
        <v>22</v>
      </c>
      <c r="I3993" s="2" t="s">
        <v>23</v>
      </c>
      <c r="J3993" s="2" t="s">
        <v>24</v>
      </c>
      <c r="K3993">
        <v>2542.9</v>
      </c>
      <c r="L3993">
        <v>41746.35</v>
      </c>
      <c r="M3993">
        <v>1641.68</v>
      </c>
      <c r="N3993" s="2" t="s">
        <v>33</v>
      </c>
      <c r="O3993" s="2" t="s">
        <v>34</v>
      </c>
      <c r="P3993" s="2" t="s">
        <v>6907</v>
      </c>
      <c r="Q3993" s="2" t="s">
        <v>6908</v>
      </c>
      <c r="R3993" s="2" t="s">
        <v>29</v>
      </c>
      <c r="S3993" s="2" t="s">
        <v>30</v>
      </c>
    </row>
    <row r="3994" spans="1:19">
      <c r="A3994" s="1">
        <v>45901</v>
      </c>
      <c r="B3994" s="1">
        <v>45901</v>
      </c>
      <c r="C3994">
        <v>2025</v>
      </c>
      <c r="D3994">
        <v>9</v>
      </c>
      <c r="E3994" s="2" t="s">
        <v>37</v>
      </c>
      <c r="F3994" s="2" t="s">
        <v>38</v>
      </c>
      <c r="G3994" s="2" t="s">
        <v>39</v>
      </c>
      <c r="H3994" s="2" t="s">
        <v>22</v>
      </c>
      <c r="I3994" s="2" t="s">
        <v>40</v>
      </c>
      <c r="J3994" s="2" t="s">
        <v>24</v>
      </c>
      <c r="K3994">
        <v>6.69</v>
      </c>
      <c r="L3994">
        <v>368.81</v>
      </c>
      <c r="M3994">
        <v>5512.86</v>
      </c>
      <c r="N3994" s="2" t="s">
        <v>41</v>
      </c>
      <c r="O3994" s="2" t="s">
        <v>42</v>
      </c>
      <c r="P3994" s="2" t="s">
        <v>6909</v>
      </c>
      <c r="Q3994" s="2" t="s">
        <v>6910</v>
      </c>
      <c r="R3994" s="2" t="s">
        <v>29</v>
      </c>
      <c r="S3994" s="2" t="s">
        <v>30</v>
      </c>
    </row>
    <row r="3995" spans="1:19">
      <c r="A3995" s="1">
        <v>45901</v>
      </c>
      <c r="B3995" s="1">
        <v>45901</v>
      </c>
      <c r="C3995">
        <v>2025</v>
      </c>
      <c r="D3995">
        <v>9</v>
      </c>
      <c r="E3995" s="2" t="s">
        <v>45</v>
      </c>
      <c r="F3995" s="2" t="s">
        <v>46</v>
      </c>
      <c r="G3995" s="2" t="s">
        <v>39</v>
      </c>
      <c r="H3995" s="2" t="s">
        <v>22</v>
      </c>
      <c r="I3995" s="2" t="s">
        <v>40</v>
      </c>
      <c r="J3995" s="2" t="s">
        <v>24</v>
      </c>
      <c r="K3995">
        <v>4370.8999999999996</v>
      </c>
      <c r="L3995">
        <v>229713.38</v>
      </c>
      <c r="M3995">
        <v>5255.52</v>
      </c>
      <c r="N3995" s="2" t="s">
        <v>47</v>
      </c>
      <c r="O3995" s="2" t="s">
        <v>48</v>
      </c>
      <c r="P3995" s="2" t="s">
        <v>6911</v>
      </c>
      <c r="Q3995" s="2" t="s">
        <v>6912</v>
      </c>
      <c r="R3995" s="2" t="s">
        <v>29</v>
      </c>
      <c r="S3995" s="2" t="s">
        <v>30</v>
      </c>
    </row>
    <row r="3996" spans="1:19">
      <c r="A3996" s="1">
        <v>45901</v>
      </c>
      <c r="B3996" s="1">
        <v>45901</v>
      </c>
      <c r="C3996">
        <v>2025</v>
      </c>
      <c r="D3996">
        <v>9</v>
      </c>
      <c r="E3996" s="2" t="s">
        <v>51</v>
      </c>
      <c r="F3996" s="2" t="s">
        <v>52</v>
      </c>
      <c r="G3996" s="2" t="s">
        <v>39</v>
      </c>
      <c r="H3996" s="2" t="s">
        <v>22</v>
      </c>
      <c r="I3996" s="2" t="s">
        <v>40</v>
      </c>
      <c r="J3996" s="2" t="s">
        <v>24</v>
      </c>
      <c r="K3996">
        <v>17.89</v>
      </c>
      <c r="L3996">
        <v>869.91</v>
      </c>
      <c r="M3996">
        <v>4862.55</v>
      </c>
      <c r="N3996" s="2" t="s">
        <v>53</v>
      </c>
      <c r="O3996" s="2" t="s">
        <v>54</v>
      </c>
      <c r="P3996" s="2" t="s">
        <v>6913</v>
      </c>
      <c r="Q3996" s="2" t="s">
        <v>6914</v>
      </c>
      <c r="R3996" s="2" t="s">
        <v>29</v>
      </c>
      <c r="S3996" s="2" t="s">
        <v>30</v>
      </c>
    </row>
    <row r="3997" spans="1:19">
      <c r="A3997" s="1">
        <v>45901</v>
      </c>
      <c r="B3997" s="1">
        <v>45901</v>
      </c>
      <c r="C3997">
        <v>2025</v>
      </c>
      <c r="D3997">
        <v>9</v>
      </c>
      <c r="E3997" s="2" t="s">
        <v>57</v>
      </c>
      <c r="F3997" s="2" t="s">
        <v>58</v>
      </c>
      <c r="G3997" s="2" t="s">
        <v>39</v>
      </c>
      <c r="H3997" s="2" t="s">
        <v>22</v>
      </c>
      <c r="I3997" s="2" t="s">
        <v>40</v>
      </c>
      <c r="J3997" s="2" t="s">
        <v>59</v>
      </c>
      <c r="K3997">
        <v>4395.4799999999996</v>
      </c>
      <c r="L3997">
        <v>230952.11</v>
      </c>
      <c r="M3997">
        <v>5254.31</v>
      </c>
      <c r="N3997" s="2" t="s">
        <v>60</v>
      </c>
      <c r="O3997" s="2" t="s">
        <v>61</v>
      </c>
      <c r="P3997" s="2" t="s">
        <v>6915</v>
      </c>
      <c r="Q3997" s="2" t="s">
        <v>6916</v>
      </c>
      <c r="R3997" s="2" t="s">
        <v>29</v>
      </c>
      <c r="S3997" s="2" t="s">
        <v>30</v>
      </c>
    </row>
    <row r="3998" spans="1:19">
      <c r="A3998" s="1">
        <v>45901</v>
      </c>
      <c r="B3998" s="1">
        <v>45901</v>
      </c>
      <c r="C3998">
        <v>2025</v>
      </c>
      <c r="D3998">
        <v>9</v>
      </c>
      <c r="E3998" s="2" t="s">
        <v>64</v>
      </c>
      <c r="F3998" s="2" t="s">
        <v>65</v>
      </c>
      <c r="G3998" s="2" t="s">
        <v>21</v>
      </c>
      <c r="H3998" s="2" t="s">
        <v>22</v>
      </c>
      <c r="I3998" s="2" t="s">
        <v>66</v>
      </c>
      <c r="J3998" s="2" t="s">
        <v>24</v>
      </c>
      <c r="K3998">
        <v>18.899999999999999</v>
      </c>
      <c r="L3998">
        <v>590.54</v>
      </c>
      <c r="M3998">
        <v>3124.55</v>
      </c>
      <c r="N3998" s="2" t="s">
        <v>67</v>
      </c>
      <c r="O3998" s="2" t="s">
        <v>68</v>
      </c>
      <c r="P3998" s="2" t="s">
        <v>6917</v>
      </c>
      <c r="Q3998" s="2" t="s">
        <v>6918</v>
      </c>
      <c r="R3998" s="2" t="s">
        <v>29</v>
      </c>
      <c r="S3998" s="2" t="s">
        <v>30</v>
      </c>
    </row>
    <row r="3999" spans="1:19">
      <c r="A3999" s="1">
        <v>45901</v>
      </c>
      <c r="B3999" s="1">
        <v>45901</v>
      </c>
      <c r="C3999">
        <v>2025</v>
      </c>
      <c r="D3999">
        <v>9</v>
      </c>
      <c r="E3999" s="2" t="s">
        <v>71</v>
      </c>
      <c r="F3999" s="2" t="s">
        <v>72</v>
      </c>
      <c r="G3999" s="2" t="s">
        <v>21</v>
      </c>
      <c r="H3999" s="2" t="s">
        <v>22</v>
      </c>
      <c r="I3999" s="2" t="s">
        <v>73</v>
      </c>
      <c r="J3999" s="2" t="s">
        <v>59</v>
      </c>
      <c r="K3999">
        <v>5999.8</v>
      </c>
      <c r="L3999">
        <v>253482.69</v>
      </c>
      <c r="M3999">
        <v>4224.8500000000004</v>
      </c>
      <c r="N3999" s="2" t="s">
        <v>74</v>
      </c>
      <c r="O3999" s="2" t="s">
        <v>75</v>
      </c>
      <c r="P3999" s="2" t="s">
        <v>6919</v>
      </c>
      <c r="Q3999" s="2" t="s">
        <v>6920</v>
      </c>
      <c r="R3999" s="2" t="s">
        <v>29</v>
      </c>
      <c r="S3999" s="2" t="s">
        <v>30</v>
      </c>
    </row>
    <row r="4000" spans="1:19">
      <c r="A4000" s="1">
        <v>45901</v>
      </c>
      <c r="B4000" s="1">
        <v>45901</v>
      </c>
      <c r="C4000">
        <v>2025</v>
      </c>
      <c r="D4000">
        <v>9</v>
      </c>
      <c r="E4000" s="2" t="s">
        <v>78</v>
      </c>
      <c r="F4000" s="2" t="s">
        <v>79</v>
      </c>
      <c r="G4000" s="2" t="s">
        <v>80</v>
      </c>
      <c r="H4000" s="2" t="s">
        <v>81</v>
      </c>
      <c r="I4000" s="2" t="s">
        <v>82</v>
      </c>
      <c r="J4000" s="2" t="s">
        <v>24</v>
      </c>
      <c r="K4000">
        <v>3.11</v>
      </c>
      <c r="L4000">
        <v>11417000.9</v>
      </c>
      <c r="M4000">
        <v>367106138.25999999</v>
      </c>
      <c r="N4000" s="2" t="s">
        <v>83</v>
      </c>
      <c r="O4000" s="2" t="s">
        <v>84</v>
      </c>
      <c r="P4000" s="2" t="s">
        <v>6921</v>
      </c>
      <c r="Q4000" s="2" t="s">
        <v>6922</v>
      </c>
      <c r="R4000" s="2" t="s">
        <v>29</v>
      </c>
      <c r="S4000" s="2" t="s">
        <v>30</v>
      </c>
    </row>
    <row r="4001" spans="1:19">
      <c r="A4001" s="1">
        <v>45901</v>
      </c>
      <c r="B4001" s="1">
        <v>45901</v>
      </c>
      <c r="C4001">
        <v>2025</v>
      </c>
      <c r="D4001">
        <v>9</v>
      </c>
      <c r="E4001" s="2" t="s">
        <v>87</v>
      </c>
      <c r="F4001" s="2" t="s">
        <v>88</v>
      </c>
      <c r="G4001" s="2" t="s">
        <v>80</v>
      </c>
      <c r="H4001" s="2" t="s">
        <v>81</v>
      </c>
      <c r="I4001" s="2" t="s">
        <v>82</v>
      </c>
      <c r="J4001" s="2" t="s">
        <v>24</v>
      </c>
      <c r="K4001">
        <v>1.04</v>
      </c>
      <c r="L4001">
        <v>1499643.17</v>
      </c>
      <c r="M4001">
        <v>144196458.65000001</v>
      </c>
      <c r="N4001" s="2" t="s">
        <v>89</v>
      </c>
      <c r="O4001" s="2" t="s">
        <v>90</v>
      </c>
      <c r="P4001" s="2" t="s">
        <v>405</v>
      </c>
      <c r="Q4001" s="2" t="s">
        <v>6923</v>
      </c>
      <c r="R4001" s="2" t="s">
        <v>29</v>
      </c>
      <c r="S4001" s="2" t="s">
        <v>30</v>
      </c>
    </row>
    <row r="4002" spans="1:19">
      <c r="A4002" s="1">
        <v>45901</v>
      </c>
      <c r="B4002" s="1">
        <v>45901</v>
      </c>
      <c r="C4002">
        <v>2025</v>
      </c>
      <c r="D4002">
        <v>9</v>
      </c>
      <c r="E4002" s="2" t="s">
        <v>93</v>
      </c>
      <c r="F4002" s="2" t="s">
        <v>94</v>
      </c>
      <c r="G4002" s="2" t="s">
        <v>80</v>
      </c>
      <c r="H4002" s="2" t="s">
        <v>81</v>
      </c>
      <c r="I4002" s="2" t="s">
        <v>82</v>
      </c>
      <c r="J4002" s="2" t="s">
        <v>24</v>
      </c>
      <c r="K4002">
        <v>0.48</v>
      </c>
      <c r="L4002">
        <v>7926471.0999999996</v>
      </c>
      <c r="M4002">
        <v>1651348145.8299999</v>
      </c>
      <c r="N4002" s="2" t="s">
        <v>95</v>
      </c>
      <c r="O4002" s="2" t="s">
        <v>96</v>
      </c>
      <c r="P4002" s="2" t="s">
        <v>1545</v>
      </c>
      <c r="Q4002" s="2" t="s">
        <v>6924</v>
      </c>
      <c r="R4002" s="2" t="s">
        <v>29</v>
      </c>
      <c r="S4002" s="2" t="s">
        <v>30</v>
      </c>
    </row>
    <row r="4003" spans="1:19">
      <c r="A4003" s="1">
        <v>45901</v>
      </c>
      <c r="B4003" s="1">
        <v>45901</v>
      </c>
      <c r="C4003">
        <v>2025</v>
      </c>
      <c r="D4003">
        <v>9</v>
      </c>
      <c r="E4003" s="2" t="s">
        <v>99</v>
      </c>
      <c r="F4003" s="2" t="s">
        <v>100</v>
      </c>
      <c r="G4003" s="2" t="s">
        <v>80</v>
      </c>
      <c r="H4003" s="2" t="s">
        <v>81</v>
      </c>
      <c r="I4003" s="2" t="s">
        <v>82</v>
      </c>
      <c r="J4003" s="2" t="s">
        <v>101</v>
      </c>
      <c r="K4003">
        <v>1.75</v>
      </c>
      <c r="L4003">
        <v>18003263.27</v>
      </c>
      <c r="M4003">
        <v>1028757901.14</v>
      </c>
      <c r="N4003" s="2" t="s">
        <v>102</v>
      </c>
      <c r="O4003" s="2" t="s">
        <v>103</v>
      </c>
      <c r="P4003" s="2" t="s">
        <v>399</v>
      </c>
      <c r="Q4003" s="2" t="s">
        <v>6925</v>
      </c>
      <c r="R4003" s="2" t="s">
        <v>29</v>
      </c>
      <c r="S4003" s="2" t="s">
        <v>30</v>
      </c>
    </row>
    <row r="4004" spans="1:19">
      <c r="A4004" s="1">
        <v>45901</v>
      </c>
      <c r="B4004" s="1">
        <v>45901</v>
      </c>
      <c r="C4004">
        <v>2025</v>
      </c>
      <c r="D4004">
        <v>9</v>
      </c>
      <c r="E4004" s="2" t="s">
        <v>106</v>
      </c>
      <c r="F4004" s="2" t="s">
        <v>107</v>
      </c>
      <c r="G4004" s="2" t="s">
        <v>80</v>
      </c>
      <c r="H4004" s="2" t="s">
        <v>81</v>
      </c>
      <c r="I4004" s="2" t="s">
        <v>82</v>
      </c>
      <c r="J4004" s="2" t="s">
        <v>24</v>
      </c>
      <c r="K4004">
        <v>0.23</v>
      </c>
      <c r="L4004">
        <v>8577149</v>
      </c>
      <c r="M4004">
        <v>3729195217.3899999</v>
      </c>
      <c r="N4004" s="2" t="s">
        <v>108</v>
      </c>
      <c r="O4004" s="2" t="s">
        <v>109</v>
      </c>
      <c r="P4004" s="2" t="s">
        <v>725</v>
      </c>
      <c r="Q4004" s="2" t="s">
        <v>6926</v>
      </c>
      <c r="R4004" s="2" t="s">
        <v>29</v>
      </c>
      <c r="S4004" s="2" t="s">
        <v>30</v>
      </c>
    </row>
    <row r="4005" spans="1:19">
      <c r="A4005" s="1">
        <v>45901</v>
      </c>
      <c r="B4005" s="1">
        <v>45901</v>
      </c>
      <c r="C4005">
        <v>2025</v>
      </c>
      <c r="D4005">
        <v>9</v>
      </c>
      <c r="E4005" s="2" t="s">
        <v>111</v>
      </c>
      <c r="F4005" s="2" t="s">
        <v>112</v>
      </c>
      <c r="G4005" s="2" t="s">
        <v>80</v>
      </c>
      <c r="H4005" s="2" t="s">
        <v>81</v>
      </c>
      <c r="I4005" s="2" t="s">
        <v>82</v>
      </c>
      <c r="J4005" s="2" t="s">
        <v>24</v>
      </c>
      <c r="K4005">
        <v>0.09</v>
      </c>
      <c r="L4005">
        <v>849759.2</v>
      </c>
      <c r="M4005">
        <v>944176888.88999999</v>
      </c>
      <c r="N4005" s="2" t="s">
        <v>113</v>
      </c>
      <c r="O4005" s="2" t="s">
        <v>114</v>
      </c>
      <c r="P4005" s="2" t="s">
        <v>534</v>
      </c>
      <c r="Q4005" s="2" t="s">
        <v>6927</v>
      </c>
      <c r="R4005" s="2" t="s">
        <v>29</v>
      </c>
      <c r="S4005" s="2" t="s">
        <v>30</v>
      </c>
    </row>
    <row r="4006" spans="1:19">
      <c r="A4006" s="1">
        <v>45901</v>
      </c>
      <c r="B4006" s="1">
        <v>45901</v>
      </c>
      <c r="C4006">
        <v>2025</v>
      </c>
      <c r="D4006">
        <v>9</v>
      </c>
      <c r="E4006" s="2" t="s">
        <v>117</v>
      </c>
      <c r="F4006" s="2" t="s">
        <v>118</v>
      </c>
      <c r="G4006" s="2" t="s">
        <v>80</v>
      </c>
      <c r="H4006" s="2" t="s">
        <v>81</v>
      </c>
      <c r="I4006" s="2" t="s">
        <v>82</v>
      </c>
      <c r="J4006" s="2" t="s">
        <v>59</v>
      </c>
      <c r="K4006">
        <v>4.95</v>
      </c>
      <c r="L4006">
        <v>30270023.370000001</v>
      </c>
      <c r="M4006">
        <v>611515623.63999999</v>
      </c>
      <c r="N4006" s="2" t="s">
        <v>119</v>
      </c>
      <c r="O4006" s="2" t="s">
        <v>120</v>
      </c>
      <c r="P4006" s="2" t="s">
        <v>6928</v>
      </c>
      <c r="Q4006" s="2" t="s">
        <v>6929</v>
      </c>
      <c r="R4006" s="2" t="s">
        <v>29</v>
      </c>
      <c r="S4006" s="2" t="s">
        <v>30</v>
      </c>
    </row>
    <row r="4007" spans="1:19">
      <c r="A4007" s="1">
        <v>45901</v>
      </c>
      <c r="B4007" s="1">
        <v>45901</v>
      </c>
      <c r="C4007">
        <v>2025</v>
      </c>
      <c r="D4007">
        <v>9</v>
      </c>
      <c r="E4007" s="2" t="s">
        <v>123</v>
      </c>
      <c r="F4007" s="2" t="s">
        <v>124</v>
      </c>
      <c r="G4007" s="2" t="s">
        <v>21</v>
      </c>
      <c r="H4007" s="2" t="s">
        <v>22</v>
      </c>
      <c r="I4007" s="2" t="s">
        <v>73</v>
      </c>
      <c r="J4007" s="2" t="s">
        <v>24</v>
      </c>
      <c r="K4007">
        <v>2536.2600000000002</v>
      </c>
      <c r="L4007">
        <v>144163.09</v>
      </c>
      <c r="M4007">
        <v>5684.08</v>
      </c>
      <c r="N4007" s="2" t="s">
        <v>125</v>
      </c>
      <c r="O4007" s="2" t="s">
        <v>126</v>
      </c>
      <c r="P4007" s="2" t="s">
        <v>6930</v>
      </c>
      <c r="Q4007" s="2" t="s">
        <v>6931</v>
      </c>
      <c r="R4007" s="2" t="s">
        <v>29</v>
      </c>
      <c r="S4007" s="2" t="s">
        <v>30</v>
      </c>
    </row>
    <row r="4008" spans="1:19">
      <c r="A4008" s="1">
        <v>45901</v>
      </c>
      <c r="B4008" s="1">
        <v>45901</v>
      </c>
      <c r="C4008">
        <v>2025</v>
      </c>
      <c r="D4008">
        <v>9</v>
      </c>
      <c r="E4008" s="2" t="s">
        <v>129</v>
      </c>
      <c r="F4008" s="2" t="s">
        <v>130</v>
      </c>
      <c r="G4008" s="2" t="s">
        <v>21</v>
      </c>
      <c r="H4008" s="2" t="s">
        <v>22</v>
      </c>
      <c r="I4008" s="2" t="s">
        <v>73</v>
      </c>
      <c r="J4008" s="2" t="s">
        <v>24</v>
      </c>
      <c r="K4008">
        <v>2416.15</v>
      </c>
      <c r="L4008">
        <v>72543.899999999994</v>
      </c>
      <c r="M4008">
        <v>3002.46</v>
      </c>
      <c r="N4008" s="2" t="s">
        <v>131</v>
      </c>
      <c r="O4008" s="2" t="s">
        <v>132</v>
      </c>
      <c r="P4008" s="2" t="s">
        <v>6932</v>
      </c>
      <c r="Q4008" s="2" t="s">
        <v>6933</v>
      </c>
      <c r="R4008" s="2" t="s">
        <v>29</v>
      </c>
      <c r="S4008" s="2" t="s">
        <v>30</v>
      </c>
    </row>
    <row r="4009" spans="1:19">
      <c r="A4009" s="1">
        <v>45901</v>
      </c>
      <c r="B4009" s="1">
        <v>45901</v>
      </c>
      <c r="C4009">
        <v>2025</v>
      </c>
      <c r="D4009">
        <v>9</v>
      </c>
      <c r="E4009" s="2" t="s">
        <v>135</v>
      </c>
      <c r="F4009" s="2" t="s">
        <v>136</v>
      </c>
      <c r="G4009" s="2" t="s">
        <v>21</v>
      </c>
      <c r="H4009" s="2" t="s">
        <v>22</v>
      </c>
      <c r="I4009" s="2" t="s">
        <v>73</v>
      </c>
      <c r="J4009" s="2" t="s">
        <v>101</v>
      </c>
      <c r="K4009">
        <v>4952.41</v>
      </c>
      <c r="L4009">
        <v>216706.99</v>
      </c>
      <c r="M4009">
        <v>4375.79</v>
      </c>
      <c r="N4009" s="2" t="s">
        <v>137</v>
      </c>
      <c r="O4009" s="2" t="s">
        <v>138</v>
      </c>
      <c r="P4009" s="2" t="s">
        <v>6934</v>
      </c>
      <c r="Q4009" s="2" t="s">
        <v>6935</v>
      </c>
      <c r="R4009" s="2" t="s">
        <v>29</v>
      </c>
      <c r="S4009" s="2" t="s">
        <v>30</v>
      </c>
    </row>
    <row r="4010" spans="1:19">
      <c r="A4010" s="1">
        <v>45901</v>
      </c>
      <c r="B4010" s="1">
        <v>45901</v>
      </c>
      <c r="C4010">
        <v>2025</v>
      </c>
      <c r="D4010">
        <v>9</v>
      </c>
      <c r="E4010" s="2" t="s">
        <v>141</v>
      </c>
      <c r="F4010" s="2" t="s">
        <v>142</v>
      </c>
      <c r="G4010" s="2" t="s">
        <v>21</v>
      </c>
      <c r="H4010" s="2" t="s">
        <v>22</v>
      </c>
      <c r="I4010" s="2" t="s">
        <v>73</v>
      </c>
      <c r="J4010" s="2" t="s">
        <v>24</v>
      </c>
      <c r="K4010">
        <v>269.83</v>
      </c>
      <c r="L4010">
        <v>14003.02</v>
      </c>
      <c r="M4010">
        <v>5189.57</v>
      </c>
      <c r="N4010" s="2" t="s">
        <v>143</v>
      </c>
      <c r="O4010" s="2" t="s">
        <v>144</v>
      </c>
      <c r="P4010" s="2" t="s">
        <v>6936</v>
      </c>
      <c r="Q4010" s="2" t="s">
        <v>6937</v>
      </c>
      <c r="R4010" s="2" t="s">
        <v>29</v>
      </c>
      <c r="S4010" s="2" t="s">
        <v>30</v>
      </c>
    </row>
    <row r="4011" spans="1:19">
      <c r="A4011" s="1">
        <v>45901</v>
      </c>
      <c r="B4011" s="1">
        <v>45901</v>
      </c>
      <c r="C4011">
        <v>2025</v>
      </c>
      <c r="D4011">
        <v>9</v>
      </c>
      <c r="E4011" s="2" t="s">
        <v>147</v>
      </c>
      <c r="F4011" s="2" t="s">
        <v>148</v>
      </c>
      <c r="G4011" s="2" t="s">
        <v>21</v>
      </c>
      <c r="H4011" s="2" t="s">
        <v>22</v>
      </c>
      <c r="I4011" s="2" t="s">
        <v>73</v>
      </c>
      <c r="J4011" s="2" t="s">
        <v>24</v>
      </c>
      <c r="K4011">
        <v>777.56</v>
      </c>
      <c r="L4011">
        <v>22772.68</v>
      </c>
      <c r="M4011">
        <v>2928.74</v>
      </c>
      <c r="N4011" s="2" t="s">
        <v>149</v>
      </c>
      <c r="O4011" s="2" t="s">
        <v>150</v>
      </c>
      <c r="P4011" s="2" t="s">
        <v>6938</v>
      </c>
      <c r="Q4011" s="2" t="s">
        <v>6939</v>
      </c>
      <c r="R4011" s="2" t="s">
        <v>29</v>
      </c>
      <c r="S4011" s="2" t="s">
        <v>30</v>
      </c>
    </row>
    <row r="4012" spans="1:19">
      <c r="A4012" s="1">
        <v>45901</v>
      </c>
      <c r="B4012" s="1">
        <v>45901</v>
      </c>
      <c r="C4012">
        <v>2025</v>
      </c>
      <c r="D4012">
        <v>9</v>
      </c>
      <c r="E4012" s="2" t="s">
        <v>153</v>
      </c>
      <c r="F4012" s="2" t="s">
        <v>154</v>
      </c>
      <c r="G4012" s="2" t="s">
        <v>21</v>
      </c>
      <c r="H4012" s="2" t="s">
        <v>22</v>
      </c>
      <c r="I4012" s="2" t="s">
        <v>73</v>
      </c>
      <c r="J4012" s="2" t="s">
        <v>101</v>
      </c>
      <c r="K4012">
        <v>1047.3900000000001</v>
      </c>
      <c r="L4012">
        <v>36775.699999999997</v>
      </c>
      <c r="M4012">
        <v>3511.18</v>
      </c>
      <c r="N4012" s="2" t="s">
        <v>155</v>
      </c>
      <c r="O4012" s="2" t="s">
        <v>156</v>
      </c>
      <c r="P4012" s="2" t="s">
        <v>6940</v>
      </c>
      <c r="Q4012" s="2" t="s">
        <v>6941</v>
      </c>
      <c r="R4012" s="2" t="s">
        <v>29</v>
      </c>
      <c r="S4012" s="2" t="s">
        <v>30</v>
      </c>
    </row>
    <row r="4013" spans="1:19">
      <c r="A4013" s="1">
        <v>45901</v>
      </c>
      <c r="B4013" s="1">
        <v>45901</v>
      </c>
      <c r="C4013">
        <v>2025</v>
      </c>
      <c r="D4013">
        <v>9</v>
      </c>
      <c r="E4013" s="2" t="s">
        <v>159</v>
      </c>
      <c r="F4013" s="2" t="s">
        <v>160</v>
      </c>
      <c r="G4013" s="2" t="s">
        <v>21</v>
      </c>
      <c r="H4013" s="2" t="s">
        <v>22</v>
      </c>
      <c r="I4013" s="2" t="s">
        <v>66</v>
      </c>
      <c r="J4013" s="2" t="s">
        <v>59</v>
      </c>
      <c r="K4013">
        <v>1926.97</v>
      </c>
      <c r="L4013">
        <v>222918.71</v>
      </c>
      <c r="M4013">
        <v>11568.35</v>
      </c>
      <c r="N4013" s="2" t="s">
        <v>161</v>
      </c>
      <c r="O4013" s="2" t="s">
        <v>162</v>
      </c>
      <c r="P4013" s="2" t="s">
        <v>6942</v>
      </c>
      <c r="Q4013" s="2" t="s">
        <v>6943</v>
      </c>
      <c r="R4013" s="2" t="s">
        <v>29</v>
      </c>
      <c r="S4013" s="2" t="s">
        <v>30</v>
      </c>
    </row>
    <row r="4014" spans="1:19">
      <c r="A4014" s="1">
        <v>45901</v>
      </c>
      <c r="B4014" s="1">
        <v>45901</v>
      </c>
      <c r="C4014">
        <v>2025</v>
      </c>
      <c r="D4014">
        <v>9</v>
      </c>
      <c r="E4014" s="2" t="s">
        <v>165</v>
      </c>
      <c r="F4014" s="2" t="s">
        <v>166</v>
      </c>
      <c r="G4014" s="2" t="s">
        <v>21</v>
      </c>
      <c r="H4014" s="2" t="s">
        <v>22</v>
      </c>
      <c r="I4014" s="2" t="s">
        <v>23</v>
      </c>
      <c r="J4014" s="2" t="s">
        <v>24</v>
      </c>
      <c r="N4014" s="2" t="s">
        <v>167</v>
      </c>
      <c r="O4014" s="2" t="s">
        <v>168</v>
      </c>
      <c r="P4014" s="2" t="s">
        <v>175</v>
      </c>
      <c r="Q4014" s="2" t="s">
        <v>175</v>
      </c>
      <c r="R4014" s="2" t="s">
        <v>640</v>
      </c>
      <c r="S4014" s="2" t="s">
        <v>641</v>
      </c>
    </row>
    <row r="4015" spans="1:19">
      <c r="A4015" s="1">
        <v>45901</v>
      </c>
      <c r="B4015" s="1">
        <v>45901</v>
      </c>
      <c r="C4015">
        <v>2025</v>
      </c>
      <c r="D4015">
        <v>9</v>
      </c>
      <c r="E4015" s="2" t="s">
        <v>171</v>
      </c>
      <c r="F4015" s="2" t="s">
        <v>172</v>
      </c>
      <c r="G4015" s="2" t="s">
        <v>21</v>
      </c>
      <c r="H4015" s="2" t="s">
        <v>22</v>
      </c>
      <c r="I4015" s="2" t="s">
        <v>66</v>
      </c>
      <c r="J4015" s="2" t="s">
        <v>24</v>
      </c>
      <c r="N4015" s="2" t="s">
        <v>173</v>
      </c>
      <c r="O4015" s="2" t="s">
        <v>174</v>
      </c>
      <c r="P4015" s="2" t="s">
        <v>175</v>
      </c>
      <c r="Q4015" s="2" t="s">
        <v>175</v>
      </c>
      <c r="R4015" s="2" t="s">
        <v>640</v>
      </c>
      <c r="S4015" s="2" t="s">
        <v>641</v>
      </c>
    </row>
    <row r="4016" spans="1:19">
      <c r="A4016" s="1">
        <v>45901</v>
      </c>
      <c r="B4016" s="1">
        <v>45901</v>
      </c>
      <c r="C4016">
        <v>2025</v>
      </c>
      <c r="D4016">
        <v>9</v>
      </c>
      <c r="E4016" s="2" t="s">
        <v>177</v>
      </c>
      <c r="F4016" s="2" t="s">
        <v>178</v>
      </c>
      <c r="G4016" s="2" t="s">
        <v>21</v>
      </c>
      <c r="H4016" s="2" t="s">
        <v>22</v>
      </c>
      <c r="I4016" s="2" t="s">
        <v>23</v>
      </c>
      <c r="J4016" s="2" t="s">
        <v>24</v>
      </c>
      <c r="K4016">
        <v>3943.79</v>
      </c>
      <c r="L4016">
        <v>596847.03</v>
      </c>
      <c r="M4016">
        <v>15133.84</v>
      </c>
      <c r="N4016" s="2" t="s">
        <v>179</v>
      </c>
      <c r="O4016" s="2" t="s">
        <v>180</v>
      </c>
      <c r="P4016" s="2" t="s">
        <v>6944</v>
      </c>
      <c r="Q4016" s="2" t="s">
        <v>6945</v>
      </c>
      <c r="R4016" s="2" t="s">
        <v>29</v>
      </c>
      <c r="S4016" s="2" t="s">
        <v>30</v>
      </c>
    </row>
    <row r="4017" spans="1:19">
      <c r="A4017" s="1">
        <v>45901</v>
      </c>
      <c r="B4017" s="1">
        <v>45901</v>
      </c>
      <c r="C4017">
        <v>2025</v>
      </c>
      <c r="D4017">
        <v>9</v>
      </c>
      <c r="E4017" s="2" t="s">
        <v>183</v>
      </c>
      <c r="F4017" s="2" t="s">
        <v>184</v>
      </c>
      <c r="G4017" s="2" t="s">
        <v>185</v>
      </c>
      <c r="H4017" s="2" t="s">
        <v>22</v>
      </c>
      <c r="I4017" s="2" t="s">
        <v>186</v>
      </c>
      <c r="J4017" s="2" t="s">
        <v>24</v>
      </c>
      <c r="K4017">
        <v>2901.57</v>
      </c>
      <c r="L4017">
        <v>6562394.6699999999</v>
      </c>
      <c r="M4017">
        <v>226167.03</v>
      </c>
      <c r="N4017" s="2" t="s">
        <v>187</v>
      </c>
      <c r="O4017" s="2" t="s">
        <v>188</v>
      </c>
      <c r="P4017" s="2" t="s">
        <v>6946</v>
      </c>
      <c r="Q4017" s="2" t="s">
        <v>6947</v>
      </c>
      <c r="R4017" s="2" t="s">
        <v>29</v>
      </c>
      <c r="S4017" s="2" t="s">
        <v>30</v>
      </c>
    </row>
    <row r="4018" spans="1:19">
      <c r="A4018" s="1">
        <v>45901</v>
      </c>
      <c r="B4018" s="1">
        <v>45901</v>
      </c>
      <c r="C4018">
        <v>2025</v>
      </c>
      <c r="D4018">
        <v>9</v>
      </c>
      <c r="E4018" s="2" t="s">
        <v>191</v>
      </c>
      <c r="F4018" s="2" t="s">
        <v>192</v>
      </c>
      <c r="G4018" s="2" t="s">
        <v>185</v>
      </c>
      <c r="H4018" s="2" t="s">
        <v>22</v>
      </c>
      <c r="I4018" s="2" t="s">
        <v>186</v>
      </c>
      <c r="J4018" s="2" t="s">
        <v>24</v>
      </c>
      <c r="K4018">
        <v>853.8</v>
      </c>
      <c r="L4018">
        <v>7091903.21</v>
      </c>
      <c r="M4018">
        <v>830628.16</v>
      </c>
      <c r="N4018" s="2" t="s">
        <v>193</v>
      </c>
      <c r="O4018" s="2" t="s">
        <v>194</v>
      </c>
      <c r="P4018" s="2" t="s">
        <v>6948</v>
      </c>
      <c r="Q4018" s="2" t="s">
        <v>6949</v>
      </c>
      <c r="R4018" s="2" t="s">
        <v>29</v>
      </c>
      <c r="S4018" s="2" t="s">
        <v>30</v>
      </c>
    </row>
    <row r="4019" spans="1:19">
      <c r="A4019" s="1">
        <v>45901</v>
      </c>
      <c r="B4019" s="1">
        <v>45901</v>
      </c>
      <c r="C4019">
        <v>2025</v>
      </c>
      <c r="D4019">
        <v>9</v>
      </c>
      <c r="E4019" s="2" t="s">
        <v>197</v>
      </c>
      <c r="F4019" s="2" t="s">
        <v>198</v>
      </c>
      <c r="G4019" s="2" t="s">
        <v>185</v>
      </c>
      <c r="H4019" s="2" t="s">
        <v>22</v>
      </c>
      <c r="I4019" s="2" t="s">
        <v>186</v>
      </c>
      <c r="J4019" s="2" t="s">
        <v>59</v>
      </c>
      <c r="K4019">
        <v>3755.37</v>
      </c>
      <c r="L4019">
        <v>13654297.880000001</v>
      </c>
      <c r="M4019">
        <v>363593.94</v>
      </c>
      <c r="N4019" s="2" t="s">
        <v>199</v>
      </c>
      <c r="O4019" s="2" t="s">
        <v>200</v>
      </c>
      <c r="P4019" s="2" t="s">
        <v>6950</v>
      </c>
      <c r="Q4019" s="2" t="s">
        <v>6951</v>
      </c>
      <c r="R4019" s="2" t="s">
        <v>29</v>
      </c>
      <c r="S4019" s="2" t="s">
        <v>30</v>
      </c>
    </row>
    <row r="4020" spans="1:19">
      <c r="A4020" s="1">
        <v>45901</v>
      </c>
      <c r="B4020" s="1">
        <v>45901</v>
      </c>
      <c r="C4020">
        <v>2025</v>
      </c>
      <c r="D4020">
        <v>9</v>
      </c>
      <c r="E4020" s="2" t="s">
        <v>203</v>
      </c>
      <c r="F4020" s="2" t="s">
        <v>204</v>
      </c>
      <c r="G4020" s="2" t="s">
        <v>39</v>
      </c>
      <c r="H4020" s="2" t="s">
        <v>22</v>
      </c>
      <c r="I4020" s="2" t="s">
        <v>40</v>
      </c>
      <c r="J4020" s="2" t="s">
        <v>24</v>
      </c>
      <c r="K4020">
        <v>1034.96</v>
      </c>
      <c r="L4020">
        <v>26355.58</v>
      </c>
      <c r="M4020">
        <v>2546.5300000000002</v>
      </c>
      <c r="N4020" s="2" t="s">
        <v>205</v>
      </c>
      <c r="O4020" s="2" t="s">
        <v>206</v>
      </c>
      <c r="P4020" s="2" t="s">
        <v>6952</v>
      </c>
      <c r="Q4020" s="2" t="s">
        <v>6953</v>
      </c>
      <c r="R4020" s="2" t="s">
        <v>29</v>
      </c>
      <c r="S4020" s="2" t="s">
        <v>30</v>
      </c>
    </row>
    <row r="4021" spans="1:19">
      <c r="A4021" s="1">
        <v>45901</v>
      </c>
      <c r="B4021" s="1">
        <v>45901</v>
      </c>
      <c r="C4021">
        <v>2025</v>
      </c>
      <c r="D4021">
        <v>9</v>
      </c>
      <c r="E4021" s="2" t="s">
        <v>209</v>
      </c>
      <c r="F4021" s="2" t="s">
        <v>210</v>
      </c>
      <c r="G4021" s="2" t="s">
        <v>39</v>
      </c>
      <c r="H4021" s="2" t="s">
        <v>22</v>
      </c>
      <c r="I4021" s="2" t="s">
        <v>40</v>
      </c>
      <c r="J4021" s="2" t="s">
        <v>59</v>
      </c>
      <c r="K4021">
        <v>1034.96</v>
      </c>
      <c r="L4021">
        <v>26355.58</v>
      </c>
      <c r="M4021">
        <v>2546.5300000000002</v>
      </c>
      <c r="N4021" s="2" t="s">
        <v>211</v>
      </c>
      <c r="O4021" s="2" t="s">
        <v>212</v>
      </c>
      <c r="P4021" s="2" t="s">
        <v>6952</v>
      </c>
      <c r="Q4021" s="2" t="s">
        <v>6953</v>
      </c>
      <c r="R4021" s="2" t="s">
        <v>29</v>
      </c>
      <c r="S4021" s="2" t="s">
        <v>30</v>
      </c>
    </row>
    <row r="4022" spans="1:19">
      <c r="A4022" s="1">
        <v>45901</v>
      </c>
      <c r="B4022" s="1">
        <v>45901</v>
      </c>
      <c r="C4022">
        <v>2025</v>
      </c>
      <c r="D4022">
        <v>9</v>
      </c>
      <c r="E4022" s="2" t="s">
        <v>213</v>
      </c>
      <c r="F4022" s="2" t="s">
        <v>214</v>
      </c>
      <c r="G4022" s="2" t="s">
        <v>185</v>
      </c>
      <c r="H4022" s="2" t="s">
        <v>22</v>
      </c>
      <c r="I4022" s="2" t="s">
        <v>215</v>
      </c>
      <c r="J4022" s="2" t="s">
        <v>24</v>
      </c>
      <c r="K4022">
        <v>170539.12</v>
      </c>
      <c r="L4022">
        <v>2984380.54</v>
      </c>
      <c r="M4022">
        <v>1749.97</v>
      </c>
      <c r="N4022" s="2" t="s">
        <v>216</v>
      </c>
      <c r="O4022" s="2" t="s">
        <v>217</v>
      </c>
      <c r="P4022" s="2" t="s">
        <v>6954</v>
      </c>
      <c r="Q4022" s="2" t="s">
        <v>6955</v>
      </c>
      <c r="R4022" s="2" t="s">
        <v>29</v>
      </c>
      <c r="S4022" s="2" t="s">
        <v>30</v>
      </c>
    </row>
    <row r="4023" spans="1:19">
      <c r="A4023" s="1">
        <v>45901</v>
      </c>
      <c r="B4023" s="1">
        <v>45901</v>
      </c>
      <c r="C4023">
        <v>2025</v>
      </c>
      <c r="D4023">
        <v>9</v>
      </c>
      <c r="E4023" s="2" t="s">
        <v>220</v>
      </c>
      <c r="F4023" s="2" t="s">
        <v>221</v>
      </c>
      <c r="G4023" s="2" t="s">
        <v>185</v>
      </c>
      <c r="H4023" s="2" t="s">
        <v>22</v>
      </c>
      <c r="I4023" s="2" t="s">
        <v>215</v>
      </c>
      <c r="J4023" s="2" t="s">
        <v>24</v>
      </c>
      <c r="K4023">
        <v>10469.49</v>
      </c>
      <c r="L4023">
        <v>633733.37</v>
      </c>
      <c r="M4023">
        <v>6053.14</v>
      </c>
      <c r="N4023" s="2" t="s">
        <v>222</v>
      </c>
      <c r="O4023" s="2" t="s">
        <v>223</v>
      </c>
      <c r="P4023" s="2" t="s">
        <v>6956</v>
      </c>
      <c r="Q4023" s="2" t="s">
        <v>6957</v>
      </c>
      <c r="R4023" s="2" t="s">
        <v>29</v>
      </c>
      <c r="S4023" s="2" t="s">
        <v>30</v>
      </c>
    </row>
    <row r="4024" spans="1:19">
      <c r="A4024" s="1">
        <v>45901</v>
      </c>
      <c r="B4024" s="1">
        <v>45901</v>
      </c>
      <c r="C4024">
        <v>2025</v>
      </c>
      <c r="D4024">
        <v>9</v>
      </c>
      <c r="E4024" s="2" t="s">
        <v>226</v>
      </c>
      <c r="F4024" s="2" t="s">
        <v>227</v>
      </c>
      <c r="G4024" s="2" t="s">
        <v>185</v>
      </c>
      <c r="H4024" s="2" t="s">
        <v>22</v>
      </c>
      <c r="I4024" s="2" t="s">
        <v>215</v>
      </c>
      <c r="J4024" s="2" t="s">
        <v>59</v>
      </c>
      <c r="K4024">
        <v>181008.61</v>
      </c>
      <c r="L4024">
        <v>3618113.91</v>
      </c>
      <c r="M4024">
        <v>1998.86</v>
      </c>
      <c r="N4024" s="2" t="s">
        <v>228</v>
      </c>
      <c r="O4024" s="2" t="s">
        <v>229</v>
      </c>
      <c r="P4024" s="2" t="s">
        <v>6958</v>
      </c>
      <c r="Q4024" s="2" t="s">
        <v>6959</v>
      </c>
      <c r="R4024" s="2" t="s">
        <v>29</v>
      </c>
      <c r="S4024" s="2" t="s">
        <v>30</v>
      </c>
    </row>
    <row r="4025" spans="1:19">
      <c r="A4025" s="1">
        <v>45901</v>
      </c>
      <c r="B4025" s="1">
        <v>45901</v>
      </c>
      <c r="C4025">
        <v>2025</v>
      </c>
      <c r="D4025">
        <v>9</v>
      </c>
      <c r="E4025" s="2" t="s">
        <v>232</v>
      </c>
      <c r="F4025" s="2" t="s">
        <v>233</v>
      </c>
      <c r="G4025" s="2" t="s">
        <v>21</v>
      </c>
      <c r="H4025" s="2" t="s">
        <v>22</v>
      </c>
      <c r="I4025" s="2" t="s">
        <v>23</v>
      </c>
      <c r="J4025" s="2" t="s">
        <v>24</v>
      </c>
      <c r="K4025">
        <v>1850.43</v>
      </c>
      <c r="L4025">
        <v>149728.73000000001</v>
      </c>
      <c r="M4025">
        <v>8091.56</v>
      </c>
      <c r="N4025" s="2" t="s">
        <v>234</v>
      </c>
      <c r="O4025" s="2" t="s">
        <v>235</v>
      </c>
      <c r="P4025" s="2" t="s">
        <v>6960</v>
      </c>
      <c r="Q4025" s="2" t="s">
        <v>6961</v>
      </c>
      <c r="R4025" s="2" t="s">
        <v>29</v>
      </c>
      <c r="S4025" s="2" t="s">
        <v>30</v>
      </c>
    </row>
    <row r="4026" spans="1:19">
      <c r="A4026" s="1">
        <v>45901</v>
      </c>
      <c r="B4026" s="1">
        <v>45901</v>
      </c>
      <c r="C4026">
        <v>2025</v>
      </c>
      <c r="D4026">
        <v>9</v>
      </c>
      <c r="E4026" s="2" t="s">
        <v>238</v>
      </c>
      <c r="F4026" s="2" t="s">
        <v>239</v>
      </c>
      <c r="G4026" s="2" t="s">
        <v>21</v>
      </c>
      <c r="H4026" s="2" t="s">
        <v>22</v>
      </c>
      <c r="I4026" s="2" t="s">
        <v>66</v>
      </c>
      <c r="J4026" s="2" t="s">
        <v>24</v>
      </c>
      <c r="K4026">
        <v>1786.47</v>
      </c>
      <c r="L4026">
        <v>222164.14</v>
      </c>
      <c r="M4026">
        <v>12435.93</v>
      </c>
      <c r="N4026" s="2" t="s">
        <v>240</v>
      </c>
      <c r="O4026" s="2" t="s">
        <v>241</v>
      </c>
      <c r="P4026" s="2" t="s">
        <v>6962</v>
      </c>
      <c r="Q4026" s="2" t="s">
        <v>6963</v>
      </c>
      <c r="R4026" s="2" t="s">
        <v>29</v>
      </c>
      <c r="S4026" s="2" t="s">
        <v>30</v>
      </c>
    </row>
    <row r="4027" spans="1:19">
      <c r="A4027" s="1">
        <v>45901</v>
      </c>
      <c r="B4027" s="1">
        <v>45901</v>
      </c>
      <c r="C4027">
        <v>2025</v>
      </c>
      <c r="D4027">
        <v>9</v>
      </c>
      <c r="E4027" s="2" t="s">
        <v>244</v>
      </c>
      <c r="F4027" s="2" t="s">
        <v>245</v>
      </c>
      <c r="G4027" s="2" t="s">
        <v>21</v>
      </c>
      <c r="H4027" s="2" t="s">
        <v>22</v>
      </c>
      <c r="I4027" s="2" t="s">
        <v>23</v>
      </c>
      <c r="J4027" s="2" t="s">
        <v>24</v>
      </c>
      <c r="K4027">
        <v>8403.2099999999991</v>
      </c>
      <c r="L4027">
        <v>4265310.16</v>
      </c>
      <c r="M4027">
        <v>50758.11</v>
      </c>
      <c r="N4027" s="2" t="s">
        <v>246</v>
      </c>
      <c r="O4027" s="2" t="s">
        <v>247</v>
      </c>
      <c r="P4027" s="2" t="s">
        <v>6964</v>
      </c>
      <c r="Q4027" s="2" t="s">
        <v>6965</v>
      </c>
      <c r="R4027" s="2" t="s">
        <v>29</v>
      </c>
      <c r="S4027" s="2" t="s">
        <v>30</v>
      </c>
    </row>
    <row r="4028" spans="1:19">
      <c r="A4028" s="1">
        <v>45901</v>
      </c>
      <c r="B4028" s="1">
        <v>45901</v>
      </c>
      <c r="C4028">
        <v>2025</v>
      </c>
      <c r="D4028">
        <v>9</v>
      </c>
      <c r="E4028" s="2" t="s">
        <v>250</v>
      </c>
      <c r="F4028" s="2" t="s">
        <v>251</v>
      </c>
      <c r="G4028" s="2" t="s">
        <v>21</v>
      </c>
      <c r="H4028" s="2" t="s">
        <v>22</v>
      </c>
      <c r="I4028" s="2" t="s">
        <v>66</v>
      </c>
      <c r="J4028" s="2" t="s">
        <v>24</v>
      </c>
      <c r="K4028">
        <v>121.6</v>
      </c>
      <c r="L4028">
        <v>164.03</v>
      </c>
      <c r="M4028">
        <v>134.88999999999999</v>
      </c>
      <c r="N4028" s="2" t="s">
        <v>252</v>
      </c>
      <c r="O4028" s="2" t="s">
        <v>253</v>
      </c>
      <c r="P4028" s="2" t="s">
        <v>6966</v>
      </c>
      <c r="Q4028" s="2" t="s">
        <v>6967</v>
      </c>
      <c r="R4028" s="2" t="s">
        <v>29</v>
      </c>
      <c r="S4028" s="2" t="s">
        <v>30</v>
      </c>
    </row>
    <row r="4029" spans="1:19">
      <c r="A4029" s="1">
        <v>45901</v>
      </c>
      <c r="B4029" s="1">
        <v>45901</v>
      </c>
      <c r="C4029">
        <v>2025</v>
      </c>
      <c r="D4029">
        <v>9</v>
      </c>
      <c r="E4029" s="2" t="s">
        <v>256</v>
      </c>
      <c r="F4029" s="2" t="s">
        <v>257</v>
      </c>
      <c r="G4029" s="2" t="s">
        <v>21</v>
      </c>
      <c r="H4029" s="2" t="s">
        <v>22</v>
      </c>
      <c r="I4029" s="2" t="s">
        <v>258</v>
      </c>
      <c r="J4029" s="2" t="s">
        <v>24</v>
      </c>
      <c r="K4029">
        <v>464.86</v>
      </c>
      <c r="L4029">
        <v>570466.54</v>
      </c>
      <c r="M4029">
        <v>122717.92</v>
      </c>
      <c r="N4029" s="2" t="s">
        <v>259</v>
      </c>
      <c r="O4029" s="2" t="s">
        <v>260</v>
      </c>
      <c r="P4029" s="2" t="s">
        <v>6968</v>
      </c>
      <c r="Q4029" s="2" t="s">
        <v>6969</v>
      </c>
      <c r="R4029" s="2" t="s">
        <v>29</v>
      </c>
      <c r="S4029" s="2" t="s">
        <v>30</v>
      </c>
    </row>
    <row r="4030" spans="1:19">
      <c r="A4030" s="1">
        <v>45901</v>
      </c>
      <c r="B4030" s="1">
        <v>45901</v>
      </c>
      <c r="C4030">
        <v>2025</v>
      </c>
      <c r="D4030">
        <v>9</v>
      </c>
      <c r="E4030" s="2" t="s">
        <v>263</v>
      </c>
      <c r="F4030" s="2" t="s">
        <v>264</v>
      </c>
      <c r="G4030" s="2" t="s">
        <v>21</v>
      </c>
      <c r="H4030" s="2" t="s">
        <v>22</v>
      </c>
      <c r="I4030" s="2" t="s">
        <v>258</v>
      </c>
      <c r="J4030" s="2" t="s">
        <v>24</v>
      </c>
      <c r="K4030">
        <v>0</v>
      </c>
      <c r="L4030">
        <v>0</v>
      </c>
      <c r="N4030" s="2" t="s">
        <v>265</v>
      </c>
      <c r="O4030" s="2" t="s">
        <v>266</v>
      </c>
      <c r="P4030" s="2" t="s">
        <v>639</v>
      </c>
      <c r="Q4030" s="2" t="s">
        <v>639</v>
      </c>
      <c r="R4030" s="2" t="s">
        <v>29</v>
      </c>
      <c r="S4030" s="2" t="s">
        <v>30</v>
      </c>
    </row>
    <row r="4031" spans="1:19">
      <c r="A4031" s="1">
        <v>45901</v>
      </c>
      <c r="B4031" s="1">
        <v>45901</v>
      </c>
      <c r="C4031">
        <v>2025</v>
      </c>
      <c r="D4031">
        <v>9</v>
      </c>
      <c r="E4031" s="2" t="s">
        <v>269</v>
      </c>
      <c r="F4031" s="2" t="s">
        <v>270</v>
      </c>
      <c r="G4031" s="2" t="s">
        <v>21</v>
      </c>
      <c r="H4031" s="2" t="s">
        <v>22</v>
      </c>
      <c r="I4031" s="2" t="s">
        <v>258</v>
      </c>
      <c r="J4031" s="2" t="s">
        <v>59</v>
      </c>
      <c r="K4031">
        <v>464.86</v>
      </c>
      <c r="L4031">
        <v>570466.54</v>
      </c>
      <c r="M4031">
        <v>122717.92</v>
      </c>
      <c r="N4031" s="2" t="s">
        <v>271</v>
      </c>
      <c r="O4031" s="2" t="s">
        <v>272</v>
      </c>
      <c r="P4031" s="2" t="s">
        <v>6968</v>
      </c>
      <c r="Q4031" s="2" t="s">
        <v>6969</v>
      </c>
      <c r="R4031" s="2" t="s">
        <v>29</v>
      </c>
      <c r="S4031" s="2" t="s">
        <v>30</v>
      </c>
    </row>
    <row r="4032" spans="1:19">
      <c r="A4032" s="1">
        <v>45901</v>
      </c>
      <c r="B4032" s="1">
        <v>45901</v>
      </c>
      <c r="C4032">
        <v>2025</v>
      </c>
      <c r="D4032">
        <v>9</v>
      </c>
      <c r="E4032" s="2" t="s">
        <v>275</v>
      </c>
      <c r="F4032" s="2" t="s">
        <v>276</v>
      </c>
      <c r="G4032" s="2" t="s">
        <v>39</v>
      </c>
      <c r="H4032" s="2" t="s">
        <v>22</v>
      </c>
      <c r="I4032" s="2" t="s">
        <v>40</v>
      </c>
      <c r="J4032" s="2" t="s">
        <v>24</v>
      </c>
      <c r="K4032">
        <v>0.1</v>
      </c>
      <c r="L4032">
        <v>1.22</v>
      </c>
      <c r="M4032">
        <v>1220</v>
      </c>
      <c r="N4032" s="2" t="s">
        <v>277</v>
      </c>
      <c r="O4032" s="2" t="s">
        <v>278</v>
      </c>
      <c r="P4032" s="2" t="s">
        <v>425</v>
      </c>
      <c r="Q4032" s="2" t="s">
        <v>1140</v>
      </c>
      <c r="R4032" s="2" t="s">
        <v>29</v>
      </c>
      <c r="S4032" s="2" t="s">
        <v>30</v>
      </c>
    </row>
    <row r="4033" spans="1:19">
      <c r="A4033" s="1">
        <v>45901</v>
      </c>
      <c r="B4033" s="1">
        <v>45901</v>
      </c>
      <c r="C4033">
        <v>2025</v>
      </c>
      <c r="D4033">
        <v>9</v>
      </c>
      <c r="E4033" s="2" t="s">
        <v>281</v>
      </c>
      <c r="F4033" s="2" t="s">
        <v>282</v>
      </c>
      <c r="G4033" s="2" t="s">
        <v>39</v>
      </c>
      <c r="H4033" s="2" t="s">
        <v>22</v>
      </c>
      <c r="I4033" s="2" t="s">
        <v>40</v>
      </c>
      <c r="J4033" s="2" t="s">
        <v>24</v>
      </c>
      <c r="K4033">
        <v>0.02</v>
      </c>
      <c r="L4033">
        <v>0.34</v>
      </c>
      <c r="M4033">
        <v>1700</v>
      </c>
      <c r="N4033" s="2" t="s">
        <v>283</v>
      </c>
      <c r="O4033" s="2" t="s">
        <v>284</v>
      </c>
      <c r="P4033" s="2" t="s">
        <v>1039</v>
      </c>
      <c r="Q4033" s="2" t="s">
        <v>3373</v>
      </c>
      <c r="R4033" s="2" t="s">
        <v>29</v>
      </c>
      <c r="S4033" s="2" t="s">
        <v>30</v>
      </c>
    </row>
    <row r="4034" spans="1:19">
      <c r="A4034" s="1">
        <v>45901</v>
      </c>
      <c r="B4034" s="1">
        <v>45901</v>
      </c>
      <c r="C4034">
        <v>2025</v>
      </c>
      <c r="D4034">
        <v>9</v>
      </c>
      <c r="E4034" s="2" t="s">
        <v>287</v>
      </c>
      <c r="F4034" s="2" t="s">
        <v>288</v>
      </c>
      <c r="G4034" s="2" t="s">
        <v>39</v>
      </c>
      <c r="H4034" s="2" t="s">
        <v>22</v>
      </c>
      <c r="I4034" s="2" t="s">
        <v>40</v>
      </c>
      <c r="J4034" s="2" t="s">
        <v>59</v>
      </c>
      <c r="K4034">
        <v>0.12</v>
      </c>
      <c r="L4034">
        <v>1.56</v>
      </c>
      <c r="M4034">
        <v>1300</v>
      </c>
      <c r="N4034" s="2" t="s">
        <v>289</v>
      </c>
      <c r="O4034" s="2" t="s">
        <v>290</v>
      </c>
      <c r="P4034" s="2" t="s">
        <v>1547</v>
      </c>
      <c r="Q4034" s="2" t="s">
        <v>6106</v>
      </c>
      <c r="R4034" s="2" t="s">
        <v>29</v>
      </c>
      <c r="S4034" s="2" t="s">
        <v>30</v>
      </c>
    </row>
    <row r="4035" spans="1:19">
      <c r="A4035" s="1">
        <v>45901</v>
      </c>
      <c r="B4035" s="1">
        <v>45901</v>
      </c>
      <c r="C4035">
        <v>2025</v>
      </c>
      <c r="D4035">
        <v>9</v>
      </c>
      <c r="E4035" s="2" t="s">
        <v>293</v>
      </c>
      <c r="F4035" s="2" t="s">
        <v>294</v>
      </c>
      <c r="G4035" s="2" t="s">
        <v>21</v>
      </c>
      <c r="H4035" s="2" t="s">
        <v>22</v>
      </c>
      <c r="I4035" s="2" t="s">
        <v>295</v>
      </c>
      <c r="J4035" s="2" t="s">
        <v>24</v>
      </c>
      <c r="K4035">
        <v>991.22</v>
      </c>
      <c r="L4035">
        <v>4362.1099999999997</v>
      </c>
      <c r="M4035">
        <v>440.07</v>
      </c>
      <c r="N4035" s="2" t="s">
        <v>296</v>
      </c>
      <c r="O4035" s="2" t="s">
        <v>297</v>
      </c>
      <c r="P4035" s="2" t="s">
        <v>6970</v>
      </c>
      <c r="Q4035" s="2" t="s">
        <v>6971</v>
      </c>
      <c r="R4035" s="2" t="s">
        <v>29</v>
      </c>
      <c r="S4035" s="2" t="s">
        <v>30</v>
      </c>
    </row>
    <row r="4036" spans="1:19">
      <c r="A4036" s="1">
        <v>45901</v>
      </c>
      <c r="B4036" s="1">
        <v>45901</v>
      </c>
      <c r="C4036">
        <v>2025</v>
      </c>
      <c r="D4036">
        <v>9</v>
      </c>
      <c r="E4036" s="2" t="s">
        <v>300</v>
      </c>
      <c r="F4036" s="2" t="s">
        <v>301</v>
      </c>
      <c r="G4036" s="2" t="s">
        <v>21</v>
      </c>
      <c r="H4036" s="2" t="s">
        <v>22</v>
      </c>
      <c r="I4036" s="2" t="s">
        <v>295</v>
      </c>
      <c r="J4036" s="2" t="s">
        <v>24</v>
      </c>
      <c r="K4036">
        <v>688.72</v>
      </c>
      <c r="L4036">
        <v>1091.79</v>
      </c>
      <c r="M4036">
        <v>158.52000000000001</v>
      </c>
      <c r="N4036" s="2" t="s">
        <v>302</v>
      </c>
      <c r="O4036" s="2" t="s">
        <v>303</v>
      </c>
      <c r="P4036" s="2" t="s">
        <v>6972</v>
      </c>
      <c r="Q4036" s="2" t="s">
        <v>6973</v>
      </c>
      <c r="R4036" s="2" t="s">
        <v>29</v>
      </c>
      <c r="S4036" s="2" t="s">
        <v>30</v>
      </c>
    </row>
    <row r="4037" spans="1:19">
      <c r="A4037" s="1">
        <v>45901</v>
      </c>
      <c r="B4037" s="1">
        <v>45901</v>
      </c>
      <c r="C4037">
        <v>2025</v>
      </c>
      <c r="D4037">
        <v>9</v>
      </c>
      <c r="E4037" s="2" t="s">
        <v>306</v>
      </c>
      <c r="F4037" s="2" t="s">
        <v>307</v>
      </c>
      <c r="G4037" s="2" t="s">
        <v>21</v>
      </c>
      <c r="H4037" s="2" t="s">
        <v>22</v>
      </c>
      <c r="I4037" s="2" t="s">
        <v>295</v>
      </c>
      <c r="J4037" s="2" t="s">
        <v>101</v>
      </c>
      <c r="K4037">
        <v>1679.93</v>
      </c>
      <c r="L4037">
        <v>5453.9</v>
      </c>
      <c r="M4037">
        <v>324.64999999999998</v>
      </c>
      <c r="N4037" s="2" t="s">
        <v>308</v>
      </c>
      <c r="O4037" s="2" t="s">
        <v>309</v>
      </c>
      <c r="P4037" s="2" t="s">
        <v>6974</v>
      </c>
      <c r="Q4037" s="2" t="s">
        <v>6975</v>
      </c>
      <c r="R4037" s="2" t="s">
        <v>29</v>
      </c>
      <c r="S4037" s="2" t="s">
        <v>30</v>
      </c>
    </row>
    <row r="4038" spans="1:19">
      <c r="A4038" s="1">
        <v>45901</v>
      </c>
      <c r="B4038" s="1">
        <v>45901</v>
      </c>
      <c r="C4038">
        <v>2025</v>
      </c>
      <c r="D4038">
        <v>9</v>
      </c>
      <c r="E4038" s="2" t="s">
        <v>312</v>
      </c>
      <c r="F4038" s="2" t="s">
        <v>313</v>
      </c>
      <c r="G4038" s="2" t="s">
        <v>21</v>
      </c>
      <c r="H4038" s="2" t="s">
        <v>22</v>
      </c>
      <c r="I4038" s="2" t="s">
        <v>295</v>
      </c>
      <c r="J4038" s="2" t="s">
        <v>59</v>
      </c>
      <c r="K4038">
        <v>8551.51</v>
      </c>
      <c r="L4038">
        <v>22636.58</v>
      </c>
      <c r="M4038">
        <v>264.70999999999998</v>
      </c>
      <c r="N4038" s="2" t="s">
        <v>314</v>
      </c>
      <c r="O4038" s="2" t="s">
        <v>315</v>
      </c>
      <c r="P4038" s="2" t="s">
        <v>6976</v>
      </c>
      <c r="Q4038" s="2" t="s">
        <v>6977</v>
      </c>
      <c r="R4038" s="2" t="s">
        <v>29</v>
      </c>
      <c r="S4038" s="2" t="s">
        <v>30</v>
      </c>
    </row>
    <row r="4039" spans="1:19">
      <c r="A4039" s="1">
        <v>45901</v>
      </c>
      <c r="B4039" s="1">
        <v>45901</v>
      </c>
      <c r="C4039">
        <v>2025</v>
      </c>
      <c r="D4039">
        <v>9</v>
      </c>
      <c r="E4039" s="2" t="s">
        <v>318</v>
      </c>
      <c r="F4039" s="2" t="s">
        <v>319</v>
      </c>
      <c r="G4039" s="2" t="s">
        <v>21</v>
      </c>
      <c r="H4039" s="2" t="s">
        <v>22</v>
      </c>
      <c r="I4039" s="2" t="s">
        <v>295</v>
      </c>
      <c r="J4039" s="2" t="s">
        <v>24</v>
      </c>
      <c r="K4039">
        <v>6871.58</v>
      </c>
      <c r="L4039">
        <v>17182.68</v>
      </c>
      <c r="M4039">
        <v>250.05</v>
      </c>
      <c r="N4039" s="2" t="s">
        <v>320</v>
      </c>
      <c r="O4039" s="2" t="s">
        <v>321</v>
      </c>
      <c r="P4039" s="2" t="s">
        <v>6978</v>
      </c>
      <c r="Q4039" s="2" t="s">
        <v>6979</v>
      </c>
      <c r="R4039" s="2" t="s">
        <v>29</v>
      </c>
      <c r="S4039" s="2" t="s">
        <v>30</v>
      </c>
    </row>
    <row r="4040" spans="1:19">
      <c r="A4040" s="1">
        <v>45901</v>
      </c>
      <c r="B4040" s="1">
        <v>45901</v>
      </c>
      <c r="C4040">
        <v>2025</v>
      </c>
      <c r="D4040">
        <v>9</v>
      </c>
      <c r="E4040" s="2" t="s">
        <v>324</v>
      </c>
      <c r="F4040" s="2" t="s">
        <v>325</v>
      </c>
      <c r="G4040" s="2" t="s">
        <v>21</v>
      </c>
      <c r="H4040" s="2" t="s">
        <v>22</v>
      </c>
      <c r="I4040" s="2" t="s">
        <v>23</v>
      </c>
      <c r="J4040" s="2" t="s">
        <v>59</v>
      </c>
      <c r="K4040">
        <v>213074.92</v>
      </c>
      <c r="L4040">
        <v>7543380.4800000004</v>
      </c>
      <c r="M4040">
        <v>3540.25</v>
      </c>
      <c r="N4040" s="2" t="s">
        <v>326</v>
      </c>
      <c r="O4040" s="2" t="s">
        <v>327</v>
      </c>
      <c r="P4040" s="2" t="s">
        <v>6980</v>
      </c>
      <c r="Q4040" s="2" t="s">
        <v>6981</v>
      </c>
      <c r="R4040" s="2" t="s">
        <v>29</v>
      </c>
      <c r="S4040" s="2" t="s">
        <v>30</v>
      </c>
    </row>
    <row r="4041" spans="1:19">
      <c r="A4041" s="1">
        <v>45901</v>
      </c>
      <c r="B4041" s="1">
        <v>45901</v>
      </c>
      <c r="C4041">
        <v>2025</v>
      </c>
      <c r="D4041">
        <v>9</v>
      </c>
      <c r="E4041" s="2" t="s">
        <v>330</v>
      </c>
      <c r="F4041" s="2" t="s">
        <v>331</v>
      </c>
      <c r="G4041" s="2" t="s">
        <v>21</v>
      </c>
      <c r="H4041" s="2" t="s">
        <v>332</v>
      </c>
      <c r="I4041" s="2" t="s">
        <v>333</v>
      </c>
      <c r="J4041" s="2" t="s">
        <v>24</v>
      </c>
      <c r="K4041">
        <v>279.64</v>
      </c>
      <c r="L4041">
        <v>18220475.32</v>
      </c>
      <c r="M4041">
        <v>6515689.9299999997</v>
      </c>
      <c r="N4041" s="2" t="s">
        <v>334</v>
      </c>
      <c r="O4041" s="2" t="s">
        <v>335</v>
      </c>
      <c r="P4041" s="2" t="s">
        <v>6982</v>
      </c>
      <c r="Q4041" s="2" t="s">
        <v>6983</v>
      </c>
      <c r="R4041" s="2" t="s">
        <v>29</v>
      </c>
      <c r="S4041" s="2" t="s">
        <v>30</v>
      </c>
    </row>
    <row r="4042" spans="1:19">
      <c r="A4042" s="1">
        <v>45901</v>
      </c>
      <c r="B4042" s="1">
        <v>45901</v>
      </c>
      <c r="C4042">
        <v>2025</v>
      </c>
      <c r="D4042">
        <v>9</v>
      </c>
      <c r="E4042" s="2" t="s">
        <v>338</v>
      </c>
      <c r="F4042" s="2" t="s">
        <v>339</v>
      </c>
      <c r="G4042" s="2" t="s">
        <v>21</v>
      </c>
      <c r="H4042" s="2" t="s">
        <v>332</v>
      </c>
      <c r="I4042" s="2" t="s">
        <v>333</v>
      </c>
      <c r="J4042" s="2" t="s">
        <v>24</v>
      </c>
      <c r="K4042">
        <v>1.19</v>
      </c>
      <c r="L4042">
        <v>1616466.65</v>
      </c>
      <c r="M4042">
        <v>135837533.61000001</v>
      </c>
      <c r="N4042" s="2" t="s">
        <v>340</v>
      </c>
      <c r="O4042" s="2" t="s">
        <v>341</v>
      </c>
      <c r="P4042" s="2" t="s">
        <v>1032</v>
      </c>
      <c r="Q4042" s="2" t="s">
        <v>6984</v>
      </c>
      <c r="R4042" s="2" t="s">
        <v>29</v>
      </c>
      <c r="S4042" s="2" t="s">
        <v>30</v>
      </c>
    </row>
    <row r="4043" spans="1:19">
      <c r="A4043" s="1">
        <v>45901</v>
      </c>
      <c r="B4043" s="1">
        <v>45901</v>
      </c>
      <c r="C4043">
        <v>2025</v>
      </c>
      <c r="D4043">
        <v>9</v>
      </c>
      <c r="E4043" s="2" t="s">
        <v>344</v>
      </c>
      <c r="F4043" s="2" t="s">
        <v>345</v>
      </c>
      <c r="G4043" s="2" t="s">
        <v>21</v>
      </c>
      <c r="H4043" s="2" t="s">
        <v>332</v>
      </c>
      <c r="I4043" s="2" t="s">
        <v>333</v>
      </c>
      <c r="J4043" s="2" t="s">
        <v>59</v>
      </c>
      <c r="K4043">
        <v>280.83</v>
      </c>
      <c r="L4043">
        <v>19836941.969999999</v>
      </c>
      <c r="M4043">
        <v>7063683.3600000003</v>
      </c>
      <c r="N4043" s="2" t="s">
        <v>346</v>
      </c>
      <c r="O4043" s="2" t="s">
        <v>347</v>
      </c>
      <c r="P4043" s="2" t="s">
        <v>6985</v>
      </c>
      <c r="Q4043" s="2" t="s">
        <v>6986</v>
      </c>
      <c r="R4043" s="2" t="s">
        <v>29</v>
      </c>
      <c r="S4043" s="2" t="s">
        <v>30</v>
      </c>
    </row>
    <row r="4044" spans="1:19">
      <c r="A4044" s="1">
        <v>45901</v>
      </c>
      <c r="B4044" s="1">
        <v>45901</v>
      </c>
      <c r="C4044">
        <v>2025</v>
      </c>
      <c r="D4044">
        <v>9</v>
      </c>
      <c r="E4044" s="2" t="s">
        <v>350</v>
      </c>
      <c r="F4044" s="2" t="s">
        <v>351</v>
      </c>
      <c r="G4044" s="2" t="s">
        <v>21</v>
      </c>
      <c r="H4044" s="2" t="s">
        <v>22</v>
      </c>
      <c r="I4044" s="2" t="s">
        <v>352</v>
      </c>
      <c r="J4044" s="2" t="s">
        <v>353</v>
      </c>
      <c r="K4044">
        <v>229834.03</v>
      </c>
      <c r="L4044">
        <v>27879360.420000002</v>
      </c>
      <c r="M4044">
        <v>12130.21</v>
      </c>
      <c r="N4044" s="2" t="s">
        <v>354</v>
      </c>
      <c r="O4044" s="2" t="s">
        <v>355</v>
      </c>
      <c r="P4044" s="2" t="s">
        <v>6987</v>
      </c>
      <c r="Q4044" s="2" t="s">
        <v>6988</v>
      </c>
      <c r="R4044" s="2" t="s">
        <v>29</v>
      </c>
      <c r="S4044" s="2" t="s">
        <v>30</v>
      </c>
    </row>
    <row r="4045" spans="1:19">
      <c r="A4045" s="1">
        <v>45901</v>
      </c>
      <c r="B4045" s="1">
        <v>45901</v>
      </c>
      <c r="C4045">
        <v>2025</v>
      </c>
      <c r="D4045">
        <v>9</v>
      </c>
      <c r="E4045" s="2" t="s">
        <v>358</v>
      </c>
      <c r="F4045" s="2" t="s">
        <v>359</v>
      </c>
      <c r="G4045" s="2" t="s">
        <v>21</v>
      </c>
      <c r="H4045" s="2" t="s">
        <v>22</v>
      </c>
      <c r="I4045" s="2" t="s">
        <v>352</v>
      </c>
      <c r="J4045" s="2" t="s">
        <v>353</v>
      </c>
      <c r="K4045">
        <v>230298.89</v>
      </c>
      <c r="L4045">
        <v>28449826.960000001</v>
      </c>
      <c r="M4045">
        <v>12353.44</v>
      </c>
      <c r="N4045" s="2" t="s">
        <v>360</v>
      </c>
      <c r="O4045" s="2" t="s">
        <v>361</v>
      </c>
      <c r="P4045" s="2" t="s">
        <v>6989</v>
      </c>
      <c r="Q4045" s="2" t="s">
        <v>6990</v>
      </c>
      <c r="R4045" s="2" t="s">
        <v>29</v>
      </c>
      <c r="S4045" s="2" t="s">
        <v>30</v>
      </c>
    </row>
    <row r="4046" spans="1:19">
      <c r="A4046" s="1">
        <v>45901</v>
      </c>
      <c r="B4046" s="1">
        <v>45901</v>
      </c>
      <c r="C4046">
        <v>2025</v>
      </c>
      <c r="D4046">
        <v>9</v>
      </c>
      <c r="E4046" s="2" t="s">
        <v>364</v>
      </c>
      <c r="F4046" s="2" t="s">
        <v>365</v>
      </c>
      <c r="G4046" s="2" t="s">
        <v>21</v>
      </c>
      <c r="H4046" s="2" t="s">
        <v>22</v>
      </c>
      <c r="I4046" s="2" t="s">
        <v>352</v>
      </c>
      <c r="J4046" s="2" t="s">
        <v>353</v>
      </c>
      <c r="K4046">
        <v>230018.06</v>
      </c>
      <c r="L4046">
        <v>8612884.9900000002</v>
      </c>
      <c r="M4046">
        <v>3744.44</v>
      </c>
      <c r="N4046" s="2" t="s">
        <v>366</v>
      </c>
      <c r="O4046" s="2" t="s">
        <v>367</v>
      </c>
      <c r="P4046" s="2" t="s">
        <v>6991</v>
      </c>
      <c r="Q4046" s="2" t="s">
        <v>6992</v>
      </c>
      <c r="R4046" s="2" t="s">
        <v>29</v>
      </c>
      <c r="S4046" s="2" t="s">
        <v>30</v>
      </c>
    </row>
    <row r="4047" spans="1:19">
      <c r="A4047" s="1">
        <v>45901</v>
      </c>
      <c r="B4047" s="1">
        <v>45901</v>
      </c>
      <c r="C4047">
        <v>2025</v>
      </c>
      <c r="D4047">
        <v>9</v>
      </c>
      <c r="E4047" s="2" t="s">
        <v>370</v>
      </c>
      <c r="F4047" s="2" t="s">
        <v>371</v>
      </c>
      <c r="G4047" s="2" t="s">
        <v>21</v>
      </c>
      <c r="H4047" s="2" t="s">
        <v>22</v>
      </c>
      <c r="I4047" s="2" t="s">
        <v>23</v>
      </c>
      <c r="J4047" s="2" t="s">
        <v>24</v>
      </c>
      <c r="K4047">
        <v>196334.33</v>
      </c>
      <c r="L4047">
        <v>2489736.52</v>
      </c>
      <c r="M4047">
        <v>1268.1099999999999</v>
      </c>
      <c r="N4047" s="2" t="s">
        <v>372</v>
      </c>
      <c r="O4047" s="2" t="s">
        <v>373</v>
      </c>
      <c r="P4047" s="2" t="s">
        <v>6993</v>
      </c>
      <c r="Q4047" s="2" t="s">
        <v>6994</v>
      </c>
      <c r="R4047" s="2" t="s">
        <v>29</v>
      </c>
      <c r="S4047" s="2" t="s">
        <v>30</v>
      </c>
    </row>
    <row r="4048" spans="1:19">
      <c r="A4048" s="1">
        <v>45901</v>
      </c>
      <c r="B4048" s="1">
        <v>45901</v>
      </c>
      <c r="C4048">
        <v>2025</v>
      </c>
      <c r="D4048">
        <v>9</v>
      </c>
      <c r="E4048" s="2" t="s">
        <v>376</v>
      </c>
      <c r="F4048" s="2" t="s">
        <v>377</v>
      </c>
      <c r="G4048" s="2" t="s">
        <v>21</v>
      </c>
      <c r="H4048" s="2" t="s">
        <v>22</v>
      </c>
      <c r="I4048" s="2" t="s">
        <v>23</v>
      </c>
      <c r="J4048" s="2" t="s">
        <v>378</v>
      </c>
      <c r="K4048">
        <v>0.94</v>
      </c>
      <c r="L4048">
        <v>9.66</v>
      </c>
      <c r="M4048">
        <v>1027.6600000000001</v>
      </c>
      <c r="N4048" s="2" t="s">
        <v>379</v>
      </c>
      <c r="O4048" s="2" t="s">
        <v>380</v>
      </c>
      <c r="P4048" s="2" t="s">
        <v>933</v>
      </c>
      <c r="Q4048" s="2" t="s">
        <v>6995</v>
      </c>
      <c r="R4048" s="2" t="s">
        <v>29</v>
      </c>
      <c r="S4048" s="2" t="s">
        <v>30</v>
      </c>
    </row>
    <row r="4049" spans="1:19">
      <c r="A4049" s="1">
        <v>45931</v>
      </c>
      <c r="B4049" s="1">
        <v>45931</v>
      </c>
      <c r="C4049">
        <v>2025</v>
      </c>
      <c r="D4049">
        <v>10</v>
      </c>
      <c r="E4049" s="2" t="s">
        <v>19</v>
      </c>
      <c r="F4049" s="2" t="s">
        <v>20</v>
      </c>
      <c r="G4049" s="2" t="s">
        <v>21</v>
      </c>
      <c r="H4049" s="2" t="s">
        <v>22</v>
      </c>
      <c r="I4049" s="2" t="s">
        <v>23</v>
      </c>
      <c r="J4049" s="2" t="s">
        <v>24</v>
      </c>
      <c r="K4049">
        <v>0.27</v>
      </c>
      <c r="L4049">
        <v>11.68</v>
      </c>
      <c r="M4049">
        <v>4325.93</v>
      </c>
      <c r="N4049" s="2" t="s">
        <v>25</v>
      </c>
      <c r="O4049" s="2" t="s">
        <v>26</v>
      </c>
      <c r="P4049" s="2" t="s">
        <v>980</v>
      </c>
      <c r="Q4049" s="2" t="s">
        <v>6996</v>
      </c>
      <c r="R4049" s="2" t="s">
        <v>29</v>
      </c>
      <c r="S4049" s="2" t="s">
        <v>30</v>
      </c>
    </row>
    <row r="4050" spans="1:19">
      <c r="A4050" s="1">
        <v>45931</v>
      </c>
      <c r="B4050" s="1">
        <v>45931</v>
      </c>
      <c r="C4050">
        <v>2025</v>
      </c>
      <c r="D4050">
        <v>10</v>
      </c>
      <c r="E4050" s="2" t="s">
        <v>31</v>
      </c>
      <c r="F4050" s="2" t="s">
        <v>32</v>
      </c>
      <c r="G4050" s="2" t="s">
        <v>21</v>
      </c>
      <c r="H4050" s="2" t="s">
        <v>22</v>
      </c>
      <c r="I4050" s="2" t="s">
        <v>23</v>
      </c>
      <c r="J4050" s="2" t="s">
        <v>24</v>
      </c>
      <c r="K4050">
        <v>2745.64</v>
      </c>
      <c r="L4050">
        <v>43352.6</v>
      </c>
      <c r="M4050">
        <v>1578.96</v>
      </c>
      <c r="N4050" s="2" t="s">
        <v>33</v>
      </c>
      <c r="O4050" s="2" t="s">
        <v>34</v>
      </c>
      <c r="P4050" s="2" t="s">
        <v>6997</v>
      </c>
      <c r="Q4050" s="2" t="s">
        <v>6998</v>
      </c>
      <c r="R4050" s="2" t="s">
        <v>29</v>
      </c>
      <c r="S4050" s="2" t="s">
        <v>30</v>
      </c>
    </row>
    <row r="4051" spans="1:19">
      <c r="A4051" s="1">
        <v>45931</v>
      </c>
      <c r="B4051" s="1">
        <v>45931</v>
      </c>
      <c r="C4051">
        <v>2025</v>
      </c>
      <c r="D4051">
        <v>10</v>
      </c>
      <c r="E4051" s="2" t="s">
        <v>37</v>
      </c>
      <c r="F4051" s="2" t="s">
        <v>38</v>
      </c>
      <c r="G4051" s="2" t="s">
        <v>39</v>
      </c>
      <c r="H4051" s="2" t="s">
        <v>22</v>
      </c>
      <c r="I4051" s="2" t="s">
        <v>40</v>
      </c>
      <c r="J4051" s="2" t="s">
        <v>24</v>
      </c>
      <c r="K4051">
        <v>7.12</v>
      </c>
      <c r="L4051">
        <v>403.88</v>
      </c>
      <c r="M4051">
        <v>5672.47</v>
      </c>
      <c r="N4051" s="2" t="s">
        <v>41</v>
      </c>
      <c r="O4051" s="2" t="s">
        <v>42</v>
      </c>
      <c r="P4051" s="2" t="s">
        <v>6999</v>
      </c>
      <c r="Q4051" s="2" t="s">
        <v>7000</v>
      </c>
      <c r="R4051" s="2" t="s">
        <v>29</v>
      </c>
      <c r="S4051" s="2" t="s">
        <v>30</v>
      </c>
    </row>
    <row r="4052" spans="1:19">
      <c r="A4052" s="1">
        <v>45931</v>
      </c>
      <c r="B4052" s="1">
        <v>45931</v>
      </c>
      <c r="C4052">
        <v>2025</v>
      </c>
      <c r="D4052">
        <v>10</v>
      </c>
      <c r="E4052" s="2" t="s">
        <v>45</v>
      </c>
      <c r="F4052" s="2" t="s">
        <v>46</v>
      </c>
      <c r="G4052" s="2" t="s">
        <v>39</v>
      </c>
      <c r="H4052" s="2" t="s">
        <v>22</v>
      </c>
      <c r="I4052" s="2" t="s">
        <v>40</v>
      </c>
      <c r="J4052" s="2" t="s">
        <v>24</v>
      </c>
      <c r="K4052">
        <v>4636.34</v>
      </c>
      <c r="L4052">
        <v>250321.45</v>
      </c>
      <c r="M4052">
        <v>5399.12</v>
      </c>
      <c r="N4052" s="2" t="s">
        <v>47</v>
      </c>
      <c r="O4052" s="2" t="s">
        <v>48</v>
      </c>
      <c r="P4052" s="2" t="s">
        <v>7001</v>
      </c>
      <c r="Q4052" s="2" t="s">
        <v>7002</v>
      </c>
      <c r="R4052" s="2" t="s">
        <v>29</v>
      </c>
      <c r="S4052" s="2" t="s">
        <v>30</v>
      </c>
    </row>
    <row r="4053" spans="1:19">
      <c r="A4053" s="1">
        <v>45931</v>
      </c>
      <c r="B4053" s="1">
        <v>45931</v>
      </c>
      <c r="C4053">
        <v>2025</v>
      </c>
      <c r="D4053">
        <v>10</v>
      </c>
      <c r="E4053" s="2" t="s">
        <v>51</v>
      </c>
      <c r="F4053" s="2" t="s">
        <v>52</v>
      </c>
      <c r="G4053" s="2" t="s">
        <v>39</v>
      </c>
      <c r="H4053" s="2" t="s">
        <v>22</v>
      </c>
      <c r="I4053" s="2" t="s">
        <v>40</v>
      </c>
      <c r="J4053" s="2" t="s">
        <v>24</v>
      </c>
      <c r="K4053">
        <v>18.53</v>
      </c>
      <c r="L4053">
        <v>917.44</v>
      </c>
      <c r="M4053">
        <v>4951.1099999999997</v>
      </c>
      <c r="N4053" s="2" t="s">
        <v>53</v>
      </c>
      <c r="O4053" s="2" t="s">
        <v>54</v>
      </c>
      <c r="P4053" s="2" t="s">
        <v>7003</v>
      </c>
      <c r="Q4053" s="2" t="s">
        <v>7004</v>
      </c>
      <c r="R4053" s="2" t="s">
        <v>29</v>
      </c>
      <c r="S4053" s="2" t="s">
        <v>30</v>
      </c>
    </row>
    <row r="4054" spans="1:19">
      <c r="A4054" s="1">
        <v>45931</v>
      </c>
      <c r="B4054" s="1">
        <v>45931</v>
      </c>
      <c r="C4054">
        <v>2025</v>
      </c>
      <c r="D4054">
        <v>10</v>
      </c>
      <c r="E4054" s="2" t="s">
        <v>57</v>
      </c>
      <c r="F4054" s="2" t="s">
        <v>58</v>
      </c>
      <c r="G4054" s="2" t="s">
        <v>39</v>
      </c>
      <c r="H4054" s="2" t="s">
        <v>22</v>
      </c>
      <c r="I4054" s="2" t="s">
        <v>40</v>
      </c>
      <c r="J4054" s="2" t="s">
        <v>59</v>
      </c>
      <c r="K4054">
        <v>4661.9799999999996</v>
      </c>
      <c r="L4054">
        <v>251642.77</v>
      </c>
      <c r="M4054">
        <v>5397.77</v>
      </c>
      <c r="N4054" s="2" t="s">
        <v>60</v>
      </c>
      <c r="O4054" s="2" t="s">
        <v>61</v>
      </c>
      <c r="P4054" s="2" t="s">
        <v>7005</v>
      </c>
      <c r="Q4054" s="2" t="s">
        <v>7006</v>
      </c>
      <c r="R4054" s="2" t="s">
        <v>29</v>
      </c>
      <c r="S4054" s="2" t="s">
        <v>30</v>
      </c>
    </row>
    <row r="4055" spans="1:19">
      <c r="A4055" s="1">
        <v>45931</v>
      </c>
      <c r="B4055" s="1">
        <v>45931</v>
      </c>
      <c r="C4055">
        <v>2025</v>
      </c>
      <c r="D4055">
        <v>10</v>
      </c>
      <c r="E4055" s="2" t="s">
        <v>64</v>
      </c>
      <c r="F4055" s="2" t="s">
        <v>65</v>
      </c>
      <c r="G4055" s="2" t="s">
        <v>21</v>
      </c>
      <c r="H4055" s="2" t="s">
        <v>22</v>
      </c>
      <c r="I4055" s="2" t="s">
        <v>66</v>
      </c>
      <c r="J4055" s="2" t="s">
        <v>24</v>
      </c>
      <c r="K4055">
        <v>20.58</v>
      </c>
      <c r="L4055">
        <v>661.43</v>
      </c>
      <c r="M4055">
        <v>3213.95</v>
      </c>
      <c r="N4055" s="2" t="s">
        <v>67</v>
      </c>
      <c r="O4055" s="2" t="s">
        <v>68</v>
      </c>
      <c r="P4055" s="2" t="s">
        <v>7007</v>
      </c>
      <c r="Q4055" s="2" t="s">
        <v>4314</v>
      </c>
      <c r="R4055" s="2" t="s">
        <v>29</v>
      </c>
      <c r="S4055" s="2" t="s">
        <v>30</v>
      </c>
    </row>
    <row r="4056" spans="1:19">
      <c r="A4056" s="1">
        <v>45931</v>
      </c>
      <c r="B4056" s="1">
        <v>45931</v>
      </c>
      <c r="C4056">
        <v>2025</v>
      </c>
      <c r="D4056">
        <v>10</v>
      </c>
      <c r="E4056" s="2" t="s">
        <v>71</v>
      </c>
      <c r="F4056" s="2" t="s">
        <v>72</v>
      </c>
      <c r="G4056" s="2" t="s">
        <v>21</v>
      </c>
      <c r="H4056" s="2" t="s">
        <v>22</v>
      </c>
      <c r="I4056" s="2" t="s">
        <v>73</v>
      </c>
      <c r="J4056" s="2" t="s">
        <v>59</v>
      </c>
      <c r="K4056">
        <v>6279.14</v>
      </c>
      <c r="L4056">
        <v>256373.31</v>
      </c>
      <c r="M4056">
        <v>4082.94</v>
      </c>
      <c r="N4056" s="2" t="s">
        <v>74</v>
      </c>
      <c r="O4056" s="2" t="s">
        <v>75</v>
      </c>
      <c r="P4056" s="2" t="s">
        <v>7008</v>
      </c>
      <c r="Q4056" s="2" t="s">
        <v>7009</v>
      </c>
      <c r="R4056" s="2" t="s">
        <v>29</v>
      </c>
      <c r="S4056" s="2" t="s">
        <v>30</v>
      </c>
    </row>
    <row r="4057" spans="1:19">
      <c r="A4057" s="1">
        <v>45931</v>
      </c>
      <c r="B4057" s="1">
        <v>45931</v>
      </c>
      <c r="C4057">
        <v>2025</v>
      </c>
      <c r="D4057">
        <v>10</v>
      </c>
      <c r="E4057" s="2" t="s">
        <v>78</v>
      </c>
      <c r="F4057" s="2" t="s">
        <v>79</v>
      </c>
      <c r="G4057" s="2" t="s">
        <v>80</v>
      </c>
      <c r="H4057" s="2" t="s">
        <v>81</v>
      </c>
      <c r="I4057" s="2" t="s">
        <v>82</v>
      </c>
      <c r="J4057" s="2" t="s">
        <v>24</v>
      </c>
      <c r="K4057">
        <v>2.5099999999999998</v>
      </c>
      <c r="L4057">
        <v>11161870.99</v>
      </c>
      <c r="M4057">
        <v>444696055.38</v>
      </c>
      <c r="N4057" s="2" t="s">
        <v>83</v>
      </c>
      <c r="O4057" s="2" t="s">
        <v>84</v>
      </c>
      <c r="P4057" s="2" t="s">
        <v>1090</v>
      </c>
      <c r="Q4057" s="2" t="s">
        <v>7010</v>
      </c>
      <c r="R4057" s="2" t="s">
        <v>29</v>
      </c>
      <c r="S4057" s="2" t="s">
        <v>30</v>
      </c>
    </row>
    <row r="4058" spans="1:19">
      <c r="A4058" s="1">
        <v>45931</v>
      </c>
      <c r="B4058" s="1">
        <v>45931</v>
      </c>
      <c r="C4058">
        <v>2025</v>
      </c>
      <c r="D4058">
        <v>10</v>
      </c>
      <c r="E4058" s="2" t="s">
        <v>87</v>
      </c>
      <c r="F4058" s="2" t="s">
        <v>88</v>
      </c>
      <c r="G4058" s="2" t="s">
        <v>80</v>
      </c>
      <c r="H4058" s="2" t="s">
        <v>81</v>
      </c>
      <c r="I4058" s="2" t="s">
        <v>82</v>
      </c>
      <c r="J4058" s="2" t="s">
        <v>24</v>
      </c>
      <c r="K4058">
        <v>0.95</v>
      </c>
      <c r="L4058">
        <v>1439939.43</v>
      </c>
      <c r="M4058">
        <v>151572571.58000001</v>
      </c>
      <c r="N4058" s="2" t="s">
        <v>89</v>
      </c>
      <c r="O4058" s="2" t="s">
        <v>90</v>
      </c>
      <c r="P4058" s="2" t="s">
        <v>1843</v>
      </c>
      <c r="Q4058" s="2" t="s">
        <v>7011</v>
      </c>
      <c r="R4058" s="2" t="s">
        <v>29</v>
      </c>
      <c r="S4058" s="2" t="s">
        <v>30</v>
      </c>
    </row>
    <row r="4059" spans="1:19">
      <c r="A4059" s="1">
        <v>45931</v>
      </c>
      <c r="B4059" s="1">
        <v>45931</v>
      </c>
      <c r="C4059">
        <v>2025</v>
      </c>
      <c r="D4059">
        <v>10</v>
      </c>
      <c r="E4059" s="2" t="s">
        <v>93</v>
      </c>
      <c r="F4059" s="2" t="s">
        <v>94</v>
      </c>
      <c r="G4059" s="2" t="s">
        <v>80</v>
      </c>
      <c r="H4059" s="2" t="s">
        <v>81</v>
      </c>
      <c r="I4059" s="2" t="s">
        <v>82</v>
      </c>
      <c r="J4059" s="2" t="s">
        <v>24</v>
      </c>
      <c r="K4059">
        <v>0.46</v>
      </c>
      <c r="L4059">
        <v>8365989.75</v>
      </c>
      <c r="M4059">
        <v>1818693423.9100001</v>
      </c>
      <c r="N4059" s="2" t="s">
        <v>95</v>
      </c>
      <c r="O4059" s="2" t="s">
        <v>96</v>
      </c>
      <c r="P4059" s="2" t="s">
        <v>2711</v>
      </c>
      <c r="Q4059" s="2" t="s">
        <v>7012</v>
      </c>
      <c r="R4059" s="2" t="s">
        <v>29</v>
      </c>
      <c r="S4059" s="2" t="s">
        <v>30</v>
      </c>
    </row>
    <row r="4060" spans="1:19">
      <c r="A4060" s="1">
        <v>45931</v>
      </c>
      <c r="B4060" s="1">
        <v>45931</v>
      </c>
      <c r="C4060">
        <v>2025</v>
      </c>
      <c r="D4060">
        <v>10</v>
      </c>
      <c r="E4060" s="2" t="s">
        <v>99</v>
      </c>
      <c r="F4060" s="2" t="s">
        <v>100</v>
      </c>
      <c r="G4060" s="2" t="s">
        <v>80</v>
      </c>
      <c r="H4060" s="2" t="s">
        <v>81</v>
      </c>
      <c r="I4060" s="2" t="s">
        <v>82</v>
      </c>
      <c r="J4060" s="2" t="s">
        <v>101</v>
      </c>
      <c r="K4060">
        <v>1.63</v>
      </c>
      <c r="L4060">
        <v>18365110.73</v>
      </c>
      <c r="M4060">
        <v>1126693909.8199999</v>
      </c>
      <c r="N4060" s="2" t="s">
        <v>102</v>
      </c>
      <c r="O4060" s="2" t="s">
        <v>103</v>
      </c>
      <c r="P4060" s="2" t="s">
        <v>3637</v>
      </c>
      <c r="Q4060" s="2" t="s">
        <v>7013</v>
      </c>
      <c r="R4060" s="2" t="s">
        <v>29</v>
      </c>
      <c r="S4060" s="2" t="s">
        <v>30</v>
      </c>
    </row>
    <row r="4061" spans="1:19">
      <c r="A4061" s="1">
        <v>45931</v>
      </c>
      <c r="B4061" s="1">
        <v>45931</v>
      </c>
      <c r="C4061">
        <v>2025</v>
      </c>
      <c r="D4061">
        <v>10</v>
      </c>
      <c r="E4061" s="2" t="s">
        <v>106</v>
      </c>
      <c r="F4061" s="2" t="s">
        <v>107</v>
      </c>
      <c r="G4061" s="2" t="s">
        <v>80</v>
      </c>
      <c r="H4061" s="2" t="s">
        <v>81</v>
      </c>
      <c r="I4061" s="2" t="s">
        <v>82</v>
      </c>
      <c r="J4061" s="2" t="s">
        <v>24</v>
      </c>
      <c r="K4061">
        <v>0.23</v>
      </c>
      <c r="L4061">
        <v>8559181.5500000007</v>
      </c>
      <c r="M4061">
        <v>3721383282.6100001</v>
      </c>
      <c r="N4061" s="2" t="s">
        <v>108</v>
      </c>
      <c r="O4061" s="2" t="s">
        <v>109</v>
      </c>
      <c r="P4061" s="2" t="s">
        <v>725</v>
      </c>
      <c r="Q4061" s="2" t="s">
        <v>7014</v>
      </c>
      <c r="R4061" s="2" t="s">
        <v>29</v>
      </c>
      <c r="S4061" s="2" t="s">
        <v>30</v>
      </c>
    </row>
    <row r="4062" spans="1:19">
      <c r="A4062" s="1">
        <v>45931</v>
      </c>
      <c r="B4062" s="1">
        <v>45931</v>
      </c>
      <c r="C4062">
        <v>2025</v>
      </c>
      <c r="D4062">
        <v>10</v>
      </c>
      <c r="E4062" s="2" t="s">
        <v>111</v>
      </c>
      <c r="F4062" s="2" t="s">
        <v>112</v>
      </c>
      <c r="G4062" s="2" t="s">
        <v>80</v>
      </c>
      <c r="H4062" s="2" t="s">
        <v>81</v>
      </c>
      <c r="I4062" s="2" t="s">
        <v>82</v>
      </c>
      <c r="J4062" s="2" t="s">
        <v>24</v>
      </c>
      <c r="K4062">
        <v>0.11</v>
      </c>
      <c r="L4062">
        <v>907619.55</v>
      </c>
      <c r="M4062">
        <v>825108681.82000005</v>
      </c>
      <c r="N4062" s="2" t="s">
        <v>113</v>
      </c>
      <c r="O4062" s="2" t="s">
        <v>114</v>
      </c>
      <c r="P4062" s="2" t="s">
        <v>1291</v>
      </c>
      <c r="Q4062" s="2" t="s">
        <v>7015</v>
      </c>
      <c r="R4062" s="2" t="s">
        <v>29</v>
      </c>
      <c r="S4062" s="2" t="s">
        <v>30</v>
      </c>
    </row>
    <row r="4063" spans="1:19">
      <c r="A4063" s="1">
        <v>45931</v>
      </c>
      <c r="B4063" s="1">
        <v>45931</v>
      </c>
      <c r="C4063">
        <v>2025</v>
      </c>
      <c r="D4063">
        <v>10</v>
      </c>
      <c r="E4063" s="2" t="s">
        <v>117</v>
      </c>
      <c r="F4063" s="2" t="s">
        <v>118</v>
      </c>
      <c r="G4063" s="2" t="s">
        <v>80</v>
      </c>
      <c r="H4063" s="2" t="s">
        <v>81</v>
      </c>
      <c r="I4063" s="2" t="s">
        <v>82</v>
      </c>
      <c r="J4063" s="2" t="s">
        <v>59</v>
      </c>
      <c r="K4063">
        <v>4.25</v>
      </c>
      <c r="L4063">
        <v>30434601.27</v>
      </c>
      <c r="M4063">
        <v>716108265.17999995</v>
      </c>
      <c r="N4063" s="2" t="s">
        <v>119</v>
      </c>
      <c r="O4063" s="2" t="s">
        <v>120</v>
      </c>
      <c r="P4063" s="2" t="s">
        <v>7016</v>
      </c>
      <c r="Q4063" s="2" t="s">
        <v>7017</v>
      </c>
      <c r="R4063" s="2" t="s">
        <v>29</v>
      </c>
      <c r="S4063" s="2" t="s">
        <v>30</v>
      </c>
    </row>
    <row r="4064" spans="1:19">
      <c r="A4064" s="1">
        <v>45931</v>
      </c>
      <c r="B4064" s="1">
        <v>45931</v>
      </c>
      <c r="C4064">
        <v>2025</v>
      </c>
      <c r="D4064">
        <v>10</v>
      </c>
      <c r="E4064" s="2" t="s">
        <v>123</v>
      </c>
      <c r="F4064" s="2" t="s">
        <v>124</v>
      </c>
      <c r="G4064" s="2" t="s">
        <v>21</v>
      </c>
      <c r="H4064" s="2" t="s">
        <v>22</v>
      </c>
      <c r="I4064" s="2" t="s">
        <v>73</v>
      </c>
      <c r="J4064" s="2" t="s">
        <v>24</v>
      </c>
      <c r="K4064">
        <v>2573.48</v>
      </c>
      <c r="L4064">
        <v>125873.31</v>
      </c>
      <c r="M4064">
        <v>4891.17</v>
      </c>
      <c r="N4064" s="2" t="s">
        <v>125</v>
      </c>
      <c r="O4064" s="2" t="s">
        <v>126</v>
      </c>
      <c r="P4064" s="2" t="s">
        <v>7018</v>
      </c>
      <c r="Q4064" s="2" t="s">
        <v>7019</v>
      </c>
      <c r="R4064" s="2" t="s">
        <v>29</v>
      </c>
      <c r="S4064" s="2" t="s">
        <v>30</v>
      </c>
    </row>
    <row r="4065" spans="1:19">
      <c r="A4065" s="1">
        <v>45931</v>
      </c>
      <c r="B4065" s="1">
        <v>45931</v>
      </c>
      <c r="C4065">
        <v>2025</v>
      </c>
      <c r="D4065">
        <v>10</v>
      </c>
      <c r="E4065" s="2" t="s">
        <v>129</v>
      </c>
      <c r="F4065" s="2" t="s">
        <v>130</v>
      </c>
      <c r="G4065" s="2" t="s">
        <v>21</v>
      </c>
      <c r="H4065" s="2" t="s">
        <v>22</v>
      </c>
      <c r="I4065" s="2" t="s">
        <v>73</v>
      </c>
      <c r="J4065" s="2" t="s">
        <v>24</v>
      </c>
      <c r="K4065">
        <v>2609.42</v>
      </c>
      <c r="L4065">
        <v>88357</v>
      </c>
      <c r="M4065">
        <v>3386.08</v>
      </c>
      <c r="N4065" s="2" t="s">
        <v>131</v>
      </c>
      <c r="O4065" s="2" t="s">
        <v>132</v>
      </c>
      <c r="P4065" s="2" t="s">
        <v>7020</v>
      </c>
      <c r="Q4065" s="2" t="s">
        <v>7021</v>
      </c>
      <c r="R4065" s="2" t="s">
        <v>29</v>
      </c>
      <c r="S4065" s="2" t="s">
        <v>30</v>
      </c>
    </row>
    <row r="4066" spans="1:19">
      <c r="A4066" s="1">
        <v>45931</v>
      </c>
      <c r="B4066" s="1">
        <v>45931</v>
      </c>
      <c r="C4066">
        <v>2025</v>
      </c>
      <c r="D4066">
        <v>10</v>
      </c>
      <c r="E4066" s="2" t="s">
        <v>135</v>
      </c>
      <c r="F4066" s="2" t="s">
        <v>136</v>
      </c>
      <c r="G4066" s="2" t="s">
        <v>21</v>
      </c>
      <c r="H4066" s="2" t="s">
        <v>22</v>
      </c>
      <c r="I4066" s="2" t="s">
        <v>73</v>
      </c>
      <c r="J4066" s="2" t="s">
        <v>101</v>
      </c>
      <c r="K4066">
        <v>5182.8999999999996</v>
      </c>
      <c r="L4066">
        <v>214230.3</v>
      </c>
      <c r="M4066">
        <v>4133.41</v>
      </c>
      <c r="N4066" s="2" t="s">
        <v>137</v>
      </c>
      <c r="O4066" s="2" t="s">
        <v>138</v>
      </c>
      <c r="P4066" s="2" t="s">
        <v>7022</v>
      </c>
      <c r="Q4066" s="2" t="s">
        <v>7023</v>
      </c>
      <c r="R4066" s="2" t="s">
        <v>29</v>
      </c>
      <c r="S4066" s="2" t="s">
        <v>30</v>
      </c>
    </row>
    <row r="4067" spans="1:19">
      <c r="A4067" s="1">
        <v>45931</v>
      </c>
      <c r="B4067" s="1">
        <v>45931</v>
      </c>
      <c r="C4067">
        <v>2025</v>
      </c>
      <c r="D4067">
        <v>10</v>
      </c>
      <c r="E4067" s="2" t="s">
        <v>141</v>
      </c>
      <c r="F4067" s="2" t="s">
        <v>142</v>
      </c>
      <c r="G4067" s="2" t="s">
        <v>21</v>
      </c>
      <c r="H4067" s="2" t="s">
        <v>22</v>
      </c>
      <c r="I4067" s="2" t="s">
        <v>73</v>
      </c>
      <c r="J4067" s="2" t="s">
        <v>24</v>
      </c>
      <c r="K4067">
        <v>267.45999999999998</v>
      </c>
      <c r="L4067">
        <v>13039.48</v>
      </c>
      <c r="M4067">
        <v>4875.3</v>
      </c>
      <c r="N4067" s="2" t="s">
        <v>143</v>
      </c>
      <c r="O4067" s="2" t="s">
        <v>144</v>
      </c>
      <c r="P4067" s="2" t="s">
        <v>7024</v>
      </c>
      <c r="Q4067" s="2" t="s">
        <v>7025</v>
      </c>
      <c r="R4067" s="2" t="s">
        <v>29</v>
      </c>
      <c r="S4067" s="2" t="s">
        <v>30</v>
      </c>
    </row>
    <row r="4068" spans="1:19">
      <c r="A4068" s="1">
        <v>45931</v>
      </c>
      <c r="B4068" s="1">
        <v>45931</v>
      </c>
      <c r="C4068">
        <v>2025</v>
      </c>
      <c r="D4068">
        <v>10</v>
      </c>
      <c r="E4068" s="2" t="s">
        <v>147</v>
      </c>
      <c r="F4068" s="2" t="s">
        <v>148</v>
      </c>
      <c r="G4068" s="2" t="s">
        <v>21</v>
      </c>
      <c r="H4068" s="2" t="s">
        <v>22</v>
      </c>
      <c r="I4068" s="2" t="s">
        <v>73</v>
      </c>
      <c r="J4068" s="2" t="s">
        <v>24</v>
      </c>
      <c r="K4068">
        <v>828.79</v>
      </c>
      <c r="L4068">
        <v>29103.53</v>
      </c>
      <c r="M4068">
        <v>3511.57</v>
      </c>
      <c r="N4068" s="2" t="s">
        <v>149</v>
      </c>
      <c r="O4068" s="2" t="s">
        <v>150</v>
      </c>
      <c r="P4068" s="2" t="s">
        <v>7026</v>
      </c>
      <c r="Q4068" s="2" t="s">
        <v>7027</v>
      </c>
      <c r="R4068" s="2" t="s">
        <v>29</v>
      </c>
      <c r="S4068" s="2" t="s">
        <v>30</v>
      </c>
    </row>
    <row r="4069" spans="1:19">
      <c r="A4069" s="1">
        <v>45931</v>
      </c>
      <c r="B4069" s="1">
        <v>45931</v>
      </c>
      <c r="C4069">
        <v>2025</v>
      </c>
      <c r="D4069">
        <v>10</v>
      </c>
      <c r="E4069" s="2" t="s">
        <v>153</v>
      </c>
      <c r="F4069" s="2" t="s">
        <v>154</v>
      </c>
      <c r="G4069" s="2" t="s">
        <v>21</v>
      </c>
      <c r="H4069" s="2" t="s">
        <v>22</v>
      </c>
      <c r="I4069" s="2" t="s">
        <v>73</v>
      </c>
      <c r="J4069" s="2" t="s">
        <v>101</v>
      </c>
      <c r="K4069">
        <v>1096.25</v>
      </c>
      <c r="L4069">
        <v>42143.01</v>
      </c>
      <c r="M4069">
        <v>3844.29</v>
      </c>
      <c r="N4069" s="2" t="s">
        <v>155</v>
      </c>
      <c r="O4069" s="2" t="s">
        <v>156</v>
      </c>
      <c r="P4069" s="2" t="s">
        <v>7028</v>
      </c>
      <c r="Q4069" s="2" t="s">
        <v>7029</v>
      </c>
      <c r="R4069" s="2" t="s">
        <v>29</v>
      </c>
      <c r="S4069" s="2" t="s">
        <v>30</v>
      </c>
    </row>
    <row r="4070" spans="1:19">
      <c r="A4070" s="1">
        <v>45931</v>
      </c>
      <c r="B4070" s="1">
        <v>45931</v>
      </c>
      <c r="C4070">
        <v>2025</v>
      </c>
      <c r="D4070">
        <v>10</v>
      </c>
      <c r="E4070" s="2" t="s">
        <v>159</v>
      </c>
      <c r="F4070" s="2" t="s">
        <v>160</v>
      </c>
      <c r="G4070" s="2" t="s">
        <v>21</v>
      </c>
      <c r="H4070" s="2" t="s">
        <v>22</v>
      </c>
      <c r="I4070" s="2" t="s">
        <v>66</v>
      </c>
      <c r="J4070" s="2" t="s">
        <v>59</v>
      </c>
      <c r="K4070">
        <v>1964.66</v>
      </c>
      <c r="L4070">
        <v>223881.2</v>
      </c>
      <c r="M4070">
        <v>11395.42</v>
      </c>
      <c r="N4070" s="2" t="s">
        <v>161</v>
      </c>
      <c r="O4070" s="2" t="s">
        <v>162</v>
      </c>
      <c r="P4070" s="2" t="s">
        <v>7030</v>
      </c>
      <c r="Q4070" s="2" t="s">
        <v>7031</v>
      </c>
      <c r="R4070" s="2" t="s">
        <v>29</v>
      </c>
      <c r="S4070" s="2" t="s">
        <v>30</v>
      </c>
    </row>
    <row r="4071" spans="1:19">
      <c r="A4071" s="1">
        <v>45931</v>
      </c>
      <c r="B4071" s="1">
        <v>45931</v>
      </c>
      <c r="C4071">
        <v>2025</v>
      </c>
      <c r="D4071">
        <v>10</v>
      </c>
      <c r="E4071" s="2" t="s">
        <v>165</v>
      </c>
      <c r="F4071" s="2" t="s">
        <v>166</v>
      </c>
      <c r="G4071" s="2" t="s">
        <v>21</v>
      </c>
      <c r="H4071" s="2" t="s">
        <v>22</v>
      </c>
      <c r="I4071" s="2" t="s">
        <v>23</v>
      </c>
      <c r="J4071" s="2" t="s">
        <v>24</v>
      </c>
      <c r="N4071" s="2" t="s">
        <v>167</v>
      </c>
      <c r="O4071" s="2" t="s">
        <v>168</v>
      </c>
      <c r="P4071" s="2" t="s">
        <v>175</v>
      </c>
      <c r="Q4071" s="2" t="s">
        <v>175</v>
      </c>
      <c r="R4071" s="2" t="s">
        <v>640</v>
      </c>
      <c r="S4071" s="2" t="s">
        <v>641</v>
      </c>
    </row>
    <row r="4072" spans="1:19">
      <c r="A4072" s="1">
        <v>45931</v>
      </c>
      <c r="B4072" s="1">
        <v>45931</v>
      </c>
      <c r="C4072">
        <v>2025</v>
      </c>
      <c r="D4072">
        <v>10</v>
      </c>
      <c r="E4072" s="2" t="s">
        <v>171</v>
      </c>
      <c r="F4072" s="2" t="s">
        <v>172</v>
      </c>
      <c r="G4072" s="2" t="s">
        <v>21</v>
      </c>
      <c r="H4072" s="2" t="s">
        <v>22</v>
      </c>
      <c r="I4072" s="2" t="s">
        <v>66</v>
      </c>
      <c r="J4072" s="2" t="s">
        <v>24</v>
      </c>
      <c r="N4072" s="2" t="s">
        <v>173</v>
      </c>
      <c r="O4072" s="2" t="s">
        <v>174</v>
      </c>
      <c r="P4072" s="2" t="s">
        <v>175</v>
      </c>
      <c r="Q4072" s="2" t="s">
        <v>175</v>
      </c>
      <c r="R4072" s="2" t="s">
        <v>640</v>
      </c>
      <c r="S4072" s="2" t="s">
        <v>641</v>
      </c>
    </row>
    <row r="4073" spans="1:19">
      <c r="A4073" s="1">
        <v>45931</v>
      </c>
      <c r="B4073" s="1">
        <v>45931</v>
      </c>
      <c r="C4073">
        <v>2025</v>
      </c>
      <c r="D4073">
        <v>10</v>
      </c>
      <c r="E4073" s="2" t="s">
        <v>177</v>
      </c>
      <c r="F4073" s="2" t="s">
        <v>178</v>
      </c>
      <c r="G4073" s="2" t="s">
        <v>21</v>
      </c>
      <c r="H4073" s="2" t="s">
        <v>22</v>
      </c>
      <c r="I4073" s="2" t="s">
        <v>23</v>
      </c>
      <c r="J4073" s="2" t="s">
        <v>24</v>
      </c>
      <c r="K4073">
        <v>4035.88</v>
      </c>
      <c r="L4073">
        <v>641963.6</v>
      </c>
      <c r="M4073">
        <v>15906.41</v>
      </c>
      <c r="N4073" s="2" t="s">
        <v>179</v>
      </c>
      <c r="O4073" s="2" t="s">
        <v>180</v>
      </c>
      <c r="P4073" s="2" t="s">
        <v>7032</v>
      </c>
      <c r="Q4073" s="2" t="s">
        <v>7033</v>
      </c>
      <c r="R4073" s="2" t="s">
        <v>29</v>
      </c>
      <c r="S4073" s="2" t="s">
        <v>30</v>
      </c>
    </row>
    <row r="4074" spans="1:19">
      <c r="A4074" s="1">
        <v>45931</v>
      </c>
      <c r="B4074" s="1">
        <v>45931</v>
      </c>
      <c r="C4074">
        <v>2025</v>
      </c>
      <c r="D4074">
        <v>10</v>
      </c>
      <c r="E4074" s="2" t="s">
        <v>183</v>
      </c>
      <c r="F4074" s="2" t="s">
        <v>184</v>
      </c>
      <c r="G4074" s="2" t="s">
        <v>185</v>
      </c>
      <c r="H4074" s="2" t="s">
        <v>22</v>
      </c>
      <c r="I4074" s="2" t="s">
        <v>186</v>
      </c>
      <c r="J4074" s="2" t="s">
        <v>24</v>
      </c>
      <c r="K4074">
        <v>2931.34</v>
      </c>
      <c r="L4074">
        <v>6359304.8099999996</v>
      </c>
      <c r="M4074">
        <v>216941.9</v>
      </c>
      <c r="N4074" s="2" t="s">
        <v>187</v>
      </c>
      <c r="O4074" s="2" t="s">
        <v>188</v>
      </c>
      <c r="P4074" s="2" t="s">
        <v>7034</v>
      </c>
      <c r="Q4074" s="2" t="s">
        <v>7035</v>
      </c>
      <c r="R4074" s="2" t="s">
        <v>29</v>
      </c>
      <c r="S4074" s="2" t="s">
        <v>30</v>
      </c>
    </row>
    <row r="4075" spans="1:19">
      <c r="A4075" s="1">
        <v>45931</v>
      </c>
      <c r="B4075" s="1">
        <v>45931</v>
      </c>
      <c r="C4075">
        <v>2025</v>
      </c>
      <c r="D4075">
        <v>10</v>
      </c>
      <c r="E4075" s="2" t="s">
        <v>191</v>
      </c>
      <c r="F4075" s="2" t="s">
        <v>192</v>
      </c>
      <c r="G4075" s="2" t="s">
        <v>185</v>
      </c>
      <c r="H4075" s="2" t="s">
        <v>22</v>
      </c>
      <c r="I4075" s="2" t="s">
        <v>186</v>
      </c>
      <c r="J4075" s="2" t="s">
        <v>24</v>
      </c>
      <c r="K4075">
        <v>872.08</v>
      </c>
      <c r="L4075">
        <v>6840494.2999999998</v>
      </c>
      <c r="M4075">
        <v>784388.39</v>
      </c>
      <c r="N4075" s="2" t="s">
        <v>193</v>
      </c>
      <c r="O4075" s="2" t="s">
        <v>194</v>
      </c>
      <c r="P4075" s="2" t="s">
        <v>7036</v>
      </c>
      <c r="Q4075" s="2" t="s">
        <v>7037</v>
      </c>
      <c r="R4075" s="2" t="s">
        <v>29</v>
      </c>
      <c r="S4075" s="2" t="s">
        <v>30</v>
      </c>
    </row>
    <row r="4076" spans="1:19">
      <c r="A4076" s="1">
        <v>45931</v>
      </c>
      <c r="B4076" s="1">
        <v>45931</v>
      </c>
      <c r="C4076">
        <v>2025</v>
      </c>
      <c r="D4076">
        <v>10</v>
      </c>
      <c r="E4076" s="2" t="s">
        <v>197</v>
      </c>
      <c r="F4076" s="2" t="s">
        <v>198</v>
      </c>
      <c r="G4076" s="2" t="s">
        <v>185</v>
      </c>
      <c r="H4076" s="2" t="s">
        <v>22</v>
      </c>
      <c r="I4076" s="2" t="s">
        <v>186</v>
      </c>
      <c r="J4076" s="2" t="s">
        <v>59</v>
      </c>
      <c r="K4076">
        <v>3803.42</v>
      </c>
      <c r="L4076">
        <v>13199799.109999999</v>
      </c>
      <c r="M4076">
        <v>347050.79</v>
      </c>
      <c r="N4076" s="2" t="s">
        <v>199</v>
      </c>
      <c r="O4076" s="2" t="s">
        <v>200</v>
      </c>
      <c r="P4076" s="2" t="s">
        <v>7038</v>
      </c>
      <c r="Q4076" s="2" t="s">
        <v>7039</v>
      </c>
      <c r="R4076" s="2" t="s">
        <v>29</v>
      </c>
      <c r="S4076" s="2" t="s">
        <v>30</v>
      </c>
    </row>
    <row r="4077" spans="1:19">
      <c r="A4077" s="1">
        <v>45931</v>
      </c>
      <c r="B4077" s="1">
        <v>45931</v>
      </c>
      <c r="C4077">
        <v>2025</v>
      </c>
      <c r="D4077">
        <v>10</v>
      </c>
      <c r="E4077" s="2" t="s">
        <v>203</v>
      </c>
      <c r="F4077" s="2" t="s">
        <v>204</v>
      </c>
      <c r="G4077" s="2" t="s">
        <v>39</v>
      </c>
      <c r="H4077" s="2" t="s">
        <v>22</v>
      </c>
      <c r="I4077" s="2" t="s">
        <v>40</v>
      </c>
      <c r="J4077" s="2" t="s">
        <v>24</v>
      </c>
      <c r="K4077">
        <v>1084.3399999999999</v>
      </c>
      <c r="L4077">
        <v>29379.360000000001</v>
      </c>
      <c r="M4077">
        <v>2709.42</v>
      </c>
      <c r="N4077" s="2" t="s">
        <v>205</v>
      </c>
      <c r="O4077" s="2" t="s">
        <v>206</v>
      </c>
      <c r="P4077" s="2" t="s">
        <v>7040</v>
      </c>
      <c r="Q4077" s="2" t="s">
        <v>7041</v>
      </c>
      <c r="R4077" s="2" t="s">
        <v>29</v>
      </c>
      <c r="S4077" s="2" t="s">
        <v>30</v>
      </c>
    </row>
    <row r="4078" spans="1:19">
      <c r="A4078" s="1">
        <v>45931</v>
      </c>
      <c r="B4078" s="1">
        <v>45931</v>
      </c>
      <c r="C4078">
        <v>2025</v>
      </c>
      <c r="D4078">
        <v>10</v>
      </c>
      <c r="E4078" s="2" t="s">
        <v>209</v>
      </c>
      <c r="F4078" s="2" t="s">
        <v>210</v>
      </c>
      <c r="G4078" s="2" t="s">
        <v>39</v>
      </c>
      <c r="H4078" s="2" t="s">
        <v>22</v>
      </c>
      <c r="I4078" s="2" t="s">
        <v>40</v>
      </c>
      <c r="J4078" s="2" t="s">
        <v>59</v>
      </c>
      <c r="K4078">
        <v>1084.3399999999999</v>
      </c>
      <c r="L4078">
        <v>29379.360000000001</v>
      </c>
      <c r="M4078">
        <v>2709.42</v>
      </c>
      <c r="N4078" s="2" t="s">
        <v>211</v>
      </c>
      <c r="O4078" s="2" t="s">
        <v>212</v>
      </c>
      <c r="P4078" s="2" t="s">
        <v>7040</v>
      </c>
      <c r="Q4078" s="2" t="s">
        <v>7041</v>
      </c>
      <c r="R4078" s="2" t="s">
        <v>29</v>
      </c>
      <c r="S4078" s="2" t="s">
        <v>30</v>
      </c>
    </row>
    <row r="4079" spans="1:19">
      <c r="A4079" s="1">
        <v>45931</v>
      </c>
      <c r="B4079" s="1">
        <v>45931</v>
      </c>
      <c r="C4079">
        <v>2025</v>
      </c>
      <c r="D4079">
        <v>10</v>
      </c>
      <c r="E4079" s="2" t="s">
        <v>213</v>
      </c>
      <c r="F4079" s="2" t="s">
        <v>214</v>
      </c>
      <c r="G4079" s="2" t="s">
        <v>185</v>
      </c>
      <c r="H4079" s="2" t="s">
        <v>22</v>
      </c>
      <c r="I4079" s="2" t="s">
        <v>215</v>
      </c>
      <c r="J4079" s="2" t="s">
        <v>24</v>
      </c>
      <c r="K4079">
        <v>179129.73</v>
      </c>
      <c r="L4079">
        <v>3222946.37</v>
      </c>
      <c r="M4079">
        <v>1799.22</v>
      </c>
      <c r="N4079" s="2" t="s">
        <v>216</v>
      </c>
      <c r="O4079" s="2" t="s">
        <v>217</v>
      </c>
      <c r="P4079" s="2" t="s">
        <v>7042</v>
      </c>
      <c r="Q4079" s="2" t="s">
        <v>7043</v>
      </c>
      <c r="R4079" s="2" t="s">
        <v>29</v>
      </c>
      <c r="S4079" s="2" t="s">
        <v>30</v>
      </c>
    </row>
    <row r="4080" spans="1:19">
      <c r="A4080" s="1">
        <v>45931</v>
      </c>
      <c r="B4080" s="1">
        <v>45931</v>
      </c>
      <c r="C4080">
        <v>2025</v>
      </c>
      <c r="D4080">
        <v>10</v>
      </c>
      <c r="E4080" s="2" t="s">
        <v>220</v>
      </c>
      <c r="F4080" s="2" t="s">
        <v>221</v>
      </c>
      <c r="G4080" s="2" t="s">
        <v>185</v>
      </c>
      <c r="H4080" s="2" t="s">
        <v>22</v>
      </c>
      <c r="I4080" s="2" t="s">
        <v>215</v>
      </c>
      <c r="J4080" s="2" t="s">
        <v>24</v>
      </c>
      <c r="K4080">
        <v>10880.39</v>
      </c>
      <c r="L4080">
        <v>685229.07</v>
      </c>
      <c r="M4080">
        <v>6297.84</v>
      </c>
      <c r="N4080" s="2" t="s">
        <v>222</v>
      </c>
      <c r="O4080" s="2" t="s">
        <v>223</v>
      </c>
      <c r="P4080" s="2" t="s">
        <v>7044</v>
      </c>
      <c r="Q4080" s="2" t="s">
        <v>7045</v>
      </c>
      <c r="R4080" s="2" t="s">
        <v>29</v>
      </c>
      <c r="S4080" s="2" t="s">
        <v>30</v>
      </c>
    </row>
    <row r="4081" spans="1:19">
      <c r="A4081" s="1">
        <v>45931</v>
      </c>
      <c r="B4081" s="1">
        <v>45931</v>
      </c>
      <c r="C4081">
        <v>2025</v>
      </c>
      <c r="D4081">
        <v>10</v>
      </c>
      <c r="E4081" s="2" t="s">
        <v>226</v>
      </c>
      <c r="F4081" s="2" t="s">
        <v>227</v>
      </c>
      <c r="G4081" s="2" t="s">
        <v>185</v>
      </c>
      <c r="H4081" s="2" t="s">
        <v>22</v>
      </c>
      <c r="I4081" s="2" t="s">
        <v>215</v>
      </c>
      <c r="J4081" s="2" t="s">
        <v>59</v>
      </c>
      <c r="K4081">
        <v>190010.12</v>
      </c>
      <c r="L4081">
        <v>3908175.43</v>
      </c>
      <c r="M4081">
        <v>2056.8200000000002</v>
      </c>
      <c r="N4081" s="2" t="s">
        <v>228</v>
      </c>
      <c r="O4081" s="2" t="s">
        <v>229</v>
      </c>
      <c r="P4081" s="2" t="s">
        <v>7046</v>
      </c>
      <c r="Q4081" s="2" t="s">
        <v>7047</v>
      </c>
      <c r="R4081" s="2" t="s">
        <v>29</v>
      </c>
      <c r="S4081" s="2" t="s">
        <v>30</v>
      </c>
    </row>
    <row r="4082" spans="1:19">
      <c r="A4082" s="1">
        <v>45931</v>
      </c>
      <c r="B4082" s="1">
        <v>45931</v>
      </c>
      <c r="C4082">
        <v>2025</v>
      </c>
      <c r="D4082">
        <v>10</v>
      </c>
      <c r="E4082" s="2" t="s">
        <v>232</v>
      </c>
      <c r="F4082" s="2" t="s">
        <v>233</v>
      </c>
      <c r="G4082" s="2" t="s">
        <v>21</v>
      </c>
      <c r="H4082" s="2" t="s">
        <v>22</v>
      </c>
      <c r="I4082" s="2" t="s">
        <v>23</v>
      </c>
      <c r="J4082" s="2" t="s">
        <v>24</v>
      </c>
      <c r="K4082">
        <v>1736.26</v>
      </c>
      <c r="L4082">
        <v>165140.85</v>
      </c>
      <c r="M4082">
        <v>9511.2999999999993</v>
      </c>
      <c r="N4082" s="2" t="s">
        <v>234</v>
      </c>
      <c r="O4082" s="2" t="s">
        <v>235</v>
      </c>
      <c r="P4082" s="2" t="s">
        <v>7048</v>
      </c>
      <c r="Q4082" s="2" t="s">
        <v>7049</v>
      </c>
      <c r="R4082" s="2" t="s">
        <v>29</v>
      </c>
      <c r="S4082" s="2" t="s">
        <v>30</v>
      </c>
    </row>
    <row r="4083" spans="1:19">
      <c r="A4083" s="1">
        <v>45931</v>
      </c>
      <c r="B4083" s="1">
        <v>45931</v>
      </c>
      <c r="C4083">
        <v>2025</v>
      </c>
      <c r="D4083">
        <v>10</v>
      </c>
      <c r="E4083" s="2" t="s">
        <v>238</v>
      </c>
      <c r="F4083" s="2" t="s">
        <v>239</v>
      </c>
      <c r="G4083" s="2" t="s">
        <v>21</v>
      </c>
      <c r="H4083" s="2" t="s">
        <v>22</v>
      </c>
      <c r="I4083" s="2" t="s">
        <v>66</v>
      </c>
      <c r="J4083" s="2" t="s">
        <v>24</v>
      </c>
      <c r="K4083">
        <v>1812.26</v>
      </c>
      <c r="L4083">
        <v>223047.64</v>
      </c>
      <c r="M4083">
        <v>12307.71</v>
      </c>
      <c r="N4083" s="2" t="s">
        <v>240</v>
      </c>
      <c r="O4083" s="2" t="s">
        <v>241</v>
      </c>
      <c r="P4083" s="2" t="s">
        <v>7050</v>
      </c>
      <c r="Q4083" s="2" t="s">
        <v>7051</v>
      </c>
      <c r="R4083" s="2" t="s">
        <v>29</v>
      </c>
      <c r="S4083" s="2" t="s">
        <v>30</v>
      </c>
    </row>
    <row r="4084" spans="1:19">
      <c r="A4084" s="1">
        <v>45931</v>
      </c>
      <c r="B4084" s="1">
        <v>45931</v>
      </c>
      <c r="C4084">
        <v>2025</v>
      </c>
      <c r="D4084">
        <v>10</v>
      </c>
      <c r="E4084" s="2" t="s">
        <v>244</v>
      </c>
      <c r="F4084" s="2" t="s">
        <v>245</v>
      </c>
      <c r="G4084" s="2" t="s">
        <v>21</v>
      </c>
      <c r="H4084" s="2" t="s">
        <v>22</v>
      </c>
      <c r="I4084" s="2" t="s">
        <v>23</v>
      </c>
      <c r="J4084" s="2" t="s">
        <v>24</v>
      </c>
      <c r="K4084">
        <v>8790.9699999999993</v>
      </c>
      <c r="L4084">
        <v>4273607.8499999996</v>
      </c>
      <c r="M4084">
        <v>48613.61</v>
      </c>
      <c r="N4084" s="2" t="s">
        <v>246</v>
      </c>
      <c r="O4084" s="2" t="s">
        <v>247</v>
      </c>
      <c r="P4084" s="2" t="s">
        <v>7052</v>
      </c>
      <c r="Q4084" s="2" t="s">
        <v>7053</v>
      </c>
      <c r="R4084" s="2" t="s">
        <v>29</v>
      </c>
      <c r="S4084" s="2" t="s">
        <v>30</v>
      </c>
    </row>
    <row r="4085" spans="1:19">
      <c r="A4085" s="1">
        <v>45931</v>
      </c>
      <c r="B4085" s="1">
        <v>45931</v>
      </c>
      <c r="C4085">
        <v>2025</v>
      </c>
      <c r="D4085">
        <v>10</v>
      </c>
      <c r="E4085" s="2" t="s">
        <v>250</v>
      </c>
      <c r="F4085" s="2" t="s">
        <v>251</v>
      </c>
      <c r="G4085" s="2" t="s">
        <v>21</v>
      </c>
      <c r="H4085" s="2" t="s">
        <v>22</v>
      </c>
      <c r="I4085" s="2" t="s">
        <v>66</v>
      </c>
      <c r="J4085" s="2" t="s">
        <v>24</v>
      </c>
      <c r="K4085">
        <v>131.82</v>
      </c>
      <c r="L4085">
        <v>172.13</v>
      </c>
      <c r="M4085">
        <v>130.58000000000001</v>
      </c>
      <c r="N4085" s="2" t="s">
        <v>252</v>
      </c>
      <c r="O4085" s="2" t="s">
        <v>253</v>
      </c>
      <c r="P4085" s="2" t="s">
        <v>7054</v>
      </c>
      <c r="Q4085" s="2" t="s">
        <v>7055</v>
      </c>
      <c r="R4085" s="2" t="s">
        <v>29</v>
      </c>
      <c r="S4085" s="2" t="s">
        <v>30</v>
      </c>
    </row>
    <row r="4086" spans="1:19">
      <c r="A4086" s="1">
        <v>45931</v>
      </c>
      <c r="B4086" s="1">
        <v>45931</v>
      </c>
      <c r="C4086">
        <v>2025</v>
      </c>
      <c r="D4086">
        <v>10</v>
      </c>
      <c r="E4086" s="2" t="s">
        <v>256</v>
      </c>
      <c r="F4086" s="2" t="s">
        <v>257</v>
      </c>
      <c r="G4086" s="2" t="s">
        <v>21</v>
      </c>
      <c r="H4086" s="2" t="s">
        <v>22</v>
      </c>
      <c r="I4086" s="2" t="s">
        <v>258</v>
      </c>
      <c r="J4086" s="2" t="s">
        <v>24</v>
      </c>
      <c r="K4086">
        <v>452.12</v>
      </c>
      <c r="L4086">
        <v>574554.41</v>
      </c>
      <c r="M4086">
        <v>127080.07</v>
      </c>
      <c r="N4086" s="2" t="s">
        <v>259</v>
      </c>
      <c r="O4086" s="2" t="s">
        <v>260</v>
      </c>
      <c r="P4086" s="2" t="s">
        <v>7056</v>
      </c>
      <c r="Q4086" s="2" t="s">
        <v>7057</v>
      </c>
      <c r="R4086" s="2" t="s">
        <v>29</v>
      </c>
      <c r="S4086" s="2" t="s">
        <v>30</v>
      </c>
    </row>
    <row r="4087" spans="1:19">
      <c r="A4087" s="1">
        <v>45931</v>
      </c>
      <c r="B4087" s="1">
        <v>45931</v>
      </c>
      <c r="C4087">
        <v>2025</v>
      </c>
      <c r="D4087">
        <v>10</v>
      </c>
      <c r="E4087" s="2" t="s">
        <v>263</v>
      </c>
      <c r="F4087" s="2" t="s">
        <v>264</v>
      </c>
      <c r="G4087" s="2" t="s">
        <v>21</v>
      </c>
      <c r="H4087" s="2" t="s">
        <v>22</v>
      </c>
      <c r="I4087" s="2" t="s">
        <v>258</v>
      </c>
      <c r="J4087" s="2" t="s">
        <v>24</v>
      </c>
      <c r="K4087">
        <v>0</v>
      </c>
      <c r="L4087">
        <v>0</v>
      </c>
      <c r="N4087" s="2" t="s">
        <v>265</v>
      </c>
      <c r="O4087" s="2" t="s">
        <v>266</v>
      </c>
      <c r="P4087" s="2" t="s">
        <v>639</v>
      </c>
      <c r="Q4087" s="2" t="s">
        <v>639</v>
      </c>
      <c r="R4087" s="2" t="s">
        <v>29</v>
      </c>
      <c r="S4087" s="2" t="s">
        <v>30</v>
      </c>
    </row>
    <row r="4088" spans="1:19">
      <c r="A4088" s="1">
        <v>45931</v>
      </c>
      <c r="B4088" s="1">
        <v>45931</v>
      </c>
      <c r="C4088">
        <v>2025</v>
      </c>
      <c r="D4088">
        <v>10</v>
      </c>
      <c r="E4088" s="2" t="s">
        <v>269</v>
      </c>
      <c r="F4088" s="2" t="s">
        <v>270</v>
      </c>
      <c r="G4088" s="2" t="s">
        <v>21</v>
      </c>
      <c r="H4088" s="2" t="s">
        <v>22</v>
      </c>
      <c r="I4088" s="2" t="s">
        <v>258</v>
      </c>
      <c r="J4088" s="2" t="s">
        <v>59</v>
      </c>
      <c r="K4088">
        <v>452.12</v>
      </c>
      <c r="L4088">
        <v>574554.41</v>
      </c>
      <c r="M4088">
        <v>127080.07</v>
      </c>
      <c r="N4088" s="2" t="s">
        <v>271</v>
      </c>
      <c r="O4088" s="2" t="s">
        <v>272</v>
      </c>
      <c r="P4088" s="2" t="s">
        <v>7056</v>
      </c>
      <c r="Q4088" s="2" t="s">
        <v>7057</v>
      </c>
      <c r="R4088" s="2" t="s">
        <v>29</v>
      </c>
      <c r="S4088" s="2" t="s">
        <v>30</v>
      </c>
    </row>
    <row r="4089" spans="1:19">
      <c r="A4089" s="1">
        <v>45931</v>
      </c>
      <c r="B4089" s="1">
        <v>45931</v>
      </c>
      <c r="C4089">
        <v>2025</v>
      </c>
      <c r="D4089">
        <v>10</v>
      </c>
      <c r="E4089" s="2" t="s">
        <v>275</v>
      </c>
      <c r="F4089" s="2" t="s">
        <v>276</v>
      </c>
      <c r="G4089" s="2" t="s">
        <v>39</v>
      </c>
      <c r="H4089" s="2" t="s">
        <v>22</v>
      </c>
      <c r="I4089" s="2" t="s">
        <v>40</v>
      </c>
      <c r="J4089" s="2" t="s">
        <v>24</v>
      </c>
      <c r="K4089">
        <v>0.13</v>
      </c>
      <c r="L4089">
        <v>2</v>
      </c>
      <c r="M4089">
        <v>1538.46</v>
      </c>
      <c r="N4089" s="2" t="s">
        <v>277</v>
      </c>
      <c r="O4089" s="2" t="s">
        <v>278</v>
      </c>
      <c r="P4089" s="2" t="s">
        <v>3378</v>
      </c>
      <c r="Q4089" s="2" t="s">
        <v>7058</v>
      </c>
      <c r="R4089" s="2" t="s">
        <v>29</v>
      </c>
      <c r="S4089" s="2" t="s">
        <v>30</v>
      </c>
    </row>
    <row r="4090" spans="1:19">
      <c r="A4090" s="1">
        <v>45931</v>
      </c>
      <c r="B4090" s="1">
        <v>45931</v>
      </c>
      <c r="C4090">
        <v>2025</v>
      </c>
      <c r="D4090">
        <v>10</v>
      </c>
      <c r="E4090" s="2" t="s">
        <v>281</v>
      </c>
      <c r="F4090" s="2" t="s">
        <v>282</v>
      </c>
      <c r="G4090" s="2" t="s">
        <v>39</v>
      </c>
      <c r="H4090" s="2" t="s">
        <v>22</v>
      </c>
      <c r="I4090" s="2" t="s">
        <v>40</v>
      </c>
      <c r="J4090" s="2" t="s">
        <v>24</v>
      </c>
      <c r="K4090">
        <v>0.02</v>
      </c>
      <c r="L4090">
        <v>0.27</v>
      </c>
      <c r="M4090">
        <v>1350</v>
      </c>
      <c r="N4090" s="2" t="s">
        <v>283</v>
      </c>
      <c r="O4090" s="2" t="s">
        <v>284</v>
      </c>
      <c r="P4090" s="2" t="s">
        <v>1039</v>
      </c>
      <c r="Q4090" s="2" t="s">
        <v>980</v>
      </c>
      <c r="R4090" s="2" t="s">
        <v>29</v>
      </c>
      <c r="S4090" s="2" t="s">
        <v>30</v>
      </c>
    </row>
    <row r="4091" spans="1:19">
      <c r="A4091" s="1">
        <v>45931</v>
      </c>
      <c r="B4091" s="1">
        <v>45931</v>
      </c>
      <c r="C4091">
        <v>2025</v>
      </c>
      <c r="D4091">
        <v>10</v>
      </c>
      <c r="E4091" s="2" t="s">
        <v>287</v>
      </c>
      <c r="F4091" s="2" t="s">
        <v>288</v>
      </c>
      <c r="G4091" s="2" t="s">
        <v>39</v>
      </c>
      <c r="H4091" s="2" t="s">
        <v>22</v>
      </c>
      <c r="I4091" s="2" t="s">
        <v>40</v>
      </c>
      <c r="J4091" s="2" t="s">
        <v>59</v>
      </c>
      <c r="K4091">
        <v>0.15</v>
      </c>
      <c r="L4091">
        <v>2.27</v>
      </c>
      <c r="M4091">
        <v>1513.33</v>
      </c>
      <c r="N4091" s="2" t="s">
        <v>289</v>
      </c>
      <c r="O4091" s="2" t="s">
        <v>290</v>
      </c>
      <c r="P4091" s="2" t="s">
        <v>5445</v>
      </c>
      <c r="Q4091" s="2" t="s">
        <v>342</v>
      </c>
      <c r="R4091" s="2" t="s">
        <v>29</v>
      </c>
      <c r="S4091" s="2" t="s">
        <v>30</v>
      </c>
    </row>
    <row r="4092" spans="1:19">
      <c r="A4092" s="1">
        <v>45931</v>
      </c>
      <c r="B4092" s="1">
        <v>45931</v>
      </c>
      <c r="C4092">
        <v>2025</v>
      </c>
      <c r="D4092">
        <v>10</v>
      </c>
      <c r="E4092" s="2" t="s">
        <v>293</v>
      </c>
      <c r="F4092" s="2" t="s">
        <v>294</v>
      </c>
      <c r="G4092" s="2" t="s">
        <v>21</v>
      </c>
      <c r="H4092" s="2" t="s">
        <v>22</v>
      </c>
      <c r="I4092" s="2" t="s">
        <v>295</v>
      </c>
      <c r="J4092" s="2" t="s">
        <v>24</v>
      </c>
      <c r="K4092">
        <v>1008.54</v>
      </c>
      <c r="L4092">
        <v>4437.22</v>
      </c>
      <c r="M4092">
        <v>439.96</v>
      </c>
      <c r="N4092" s="2" t="s">
        <v>296</v>
      </c>
      <c r="O4092" s="2" t="s">
        <v>297</v>
      </c>
      <c r="P4092" s="2" t="s">
        <v>7059</v>
      </c>
      <c r="Q4092" s="2" t="s">
        <v>7060</v>
      </c>
      <c r="R4092" s="2" t="s">
        <v>29</v>
      </c>
      <c r="S4092" s="2" t="s">
        <v>30</v>
      </c>
    </row>
    <row r="4093" spans="1:19">
      <c r="A4093" s="1">
        <v>45931</v>
      </c>
      <c r="B4093" s="1">
        <v>45931</v>
      </c>
      <c r="C4093">
        <v>2025</v>
      </c>
      <c r="D4093">
        <v>10</v>
      </c>
      <c r="E4093" s="2" t="s">
        <v>300</v>
      </c>
      <c r="F4093" s="2" t="s">
        <v>301</v>
      </c>
      <c r="G4093" s="2" t="s">
        <v>21</v>
      </c>
      <c r="H4093" s="2" t="s">
        <v>22</v>
      </c>
      <c r="I4093" s="2" t="s">
        <v>295</v>
      </c>
      <c r="J4093" s="2" t="s">
        <v>24</v>
      </c>
      <c r="K4093">
        <v>649.16</v>
      </c>
      <c r="L4093">
        <v>1274.47</v>
      </c>
      <c r="M4093">
        <v>196.33</v>
      </c>
      <c r="N4093" s="2" t="s">
        <v>302</v>
      </c>
      <c r="O4093" s="2" t="s">
        <v>303</v>
      </c>
      <c r="P4093" s="2" t="s">
        <v>7061</v>
      </c>
      <c r="Q4093" s="2" t="s">
        <v>7062</v>
      </c>
      <c r="R4093" s="2" t="s">
        <v>29</v>
      </c>
      <c r="S4093" s="2" t="s">
        <v>30</v>
      </c>
    </row>
    <row r="4094" spans="1:19">
      <c r="A4094" s="1">
        <v>45931</v>
      </c>
      <c r="B4094" s="1">
        <v>45931</v>
      </c>
      <c r="C4094">
        <v>2025</v>
      </c>
      <c r="D4094">
        <v>10</v>
      </c>
      <c r="E4094" s="2" t="s">
        <v>306</v>
      </c>
      <c r="F4094" s="2" t="s">
        <v>307</v>
      </c>
      <c r="G4094" s="2" t="s">
        <v>21</v>
      </c>
      <c r="H4094" s="2" t="s">
        <v>22</v>
      </c>
      <c r="I4094" s="2" t="s">
        <v>295</v>
      </c>
      <c r="J4094" s="2" t="s">
        <v>101</v>
      </c>
      <c r="K4094">
        <v>1657.7</v>
      </c>
      <c r="L4094">
        <v>5711.69</v>
      </c>
      <c r="M4094">
        <v>344.56</v>
      </c>
      <c r="N4094" s="2" t="s">
        <v>308</v>
      </c>
      <c r="O4094" s="2" t="s">
        <v>309</v>
      </c>
      <c r="P4094" s="2" t="s">
        <v>7063</v>
      </c>
      <c r="Q4094" s="2" t="s">
        <v>7064</v>
      </c>
      <c r="R4094" s="2" t="s">
        <v>29</v>
      </c>
      <c r="S4094" s="2" t="s">
        <v>30</v>
      </c>
    </row>
    <row r="4095" spans="1:19">
      <c r="A4095" s="1">
        <v>45931</v>
      </c>
      <c r="B4095" s="1">
        <v>45931</v>
      </c>
      <c r="C4095">
        <v>2025</v>
      </c>
      <c r="D4095">
        <v>10</v>
      </c>
      <c r="E4095" s="2" t="s">
        <v>312</v>
      </c>
      <c r="F4095" s="2" t="s">
        <v>313</v>
      </c>
      <c r="G4095" s="2" t="s">
        <v>21</v>
      </c>
      <c r="H4095" s="2" t="s">
        <v>22</v>
      </c>
      <c r="I4095" s="2" t="s">
        <v>295</v>
      </c>
      <c r="J4095" s="2" t="s">
        <v>59</v>
      </c>
      <c r="K4095">
        <v>8939.26</v>
      </c>
      <c r="L4095">
        <v>24226.83</v>
      </c>
      <c r="M4095">
        <v>271.02</v>
      </c>
      <c r="N4095" s="2" t="s">
        <v>314</v>
      </c>
      <c r="O4095" s="2" t="s">
        <v>315</v>
      </c>
      <c r="P4095" s="2" t="s">
        <v>7065</v>
      </c>
      <c r="Q4095" s="2" t="s">
        <v>7066</v>
      </c>
      <c r="R4095" s="2" t="s">
        <v>29</v>
      </c>
      <c r="S4095" s="2" t="s">
        <v>30</v>
      </c>
    </row>
    <row r="4096" spans="1:19">
      <c r="A4096" s="1">
        <v>45931</v>
      </c>
      <c r="B4096" s="1">
        <v>45931</v>
      </c>
      <c r="C4096">
        <v>2025</v>
      </c>
      <c r="D4096">
        <v>10</v>
      </c>
      <c r="E4096" s="2" t="s">
        <v>318</v>
      </c>
      <c r="F4096" s="2" t="s">
        <v>319</v>
      </c>
      <c r="G4096" s="2" t="s">
        <v>21</v>
      </c>
      <c r="H4096" s="2" t="s">
        <v>22</v>
      </c>
      <c r="I4096" s="2" t="s">
        <v>295</v>
      </c>
      <c r="J4096" s="2" t="s">
        <v>24</v>
      </c>
      <c r="K4096">
        <v>7281.56</v>
      </c>
      <c r="L4096">
        <v>18515.14</v>
      </c>
      <c r="M4096">
        <v>254.27</v>
      </c>
      <c r="N4096" s="2" t="s">
        <v>320</v>
      </c>
      <c r="O4096" s="2" t="s">
        <v>321</v>
      </c>
      <c r="P4096" s="2" t="s">
        <v>7067</v>
      </c>
      <c r="Q4096" s="2" t="s">
        <v>7068</v>
      </c>
      <c r="R4096" s="2" t="s">
        <v>29</v>
      </c>
      <c r="S4096" s="2" t="s">
        <v>30</v>
      </c>
    </row>
    <row r="4097" spans="1:19">
      <c r="A4097" s="1">
        <v>45931</v>
      </c>
      <c r="B4097" s="1">
        <v>45931</v>
      </c>
      <c r="C4097">
        <v>2025</v>
      </c>
      <c r="D4097">
        <v>10</v>
      </c>
      <c r="E4097" s="2" t="s">
        <v>324</v>
      </c>
      <c r="F4097" s="2" t="s">
        <v>325</v>
      </c>
      <c r="G4097" s="2" t="s">
        <v>21</v>
      </c>
      <c r="H4097" s="2" t="s">
        <v>22</v>
      </c>
      <c r="I4097" s="2" t="s">
        <v>23</v>
      </c>
      <c r="J4097" s="2" t="s">
        <v>59</v>
      </c>
      <c r="K4097">
        <v>224318.23</v>
      </c>
      <c r="L4097">
        <v>7851867.29</v>
      </c>
      <c r="M4097">
        <v>3500.33</v>
      </c>
      <c r="N4097" s="2" t="s">
        <v>326</v>
      </c>
      <c r="O4097" s="2" t="s">
        <v>327</v>
      </c>
      <c r="P4097" s="2" t="s">
        <v>7069</v>
      </c>
      <c r="Q4097" s="2" t="s">
        <v>7070</v>
      </c>
      <c r="R4097" s="2" t="s">
        <v>29</v>
      </c>
      <c r="S4097" s="2" t="s">
        <v>30</v>
      </c>
    </row>
    <row r="4098" spans="1:19">
      <c r="A4098" s="1">
        <v>45931</v>
      </c>
      <c r="B4098" s="1">
        <v>45931</v>
      </c>
      <c r="C4098">
        <v>2025</v>
      </c>
      <c r="D4098">
        <v>10</v>
      </c>
      <c r="E4098" s="2" t="s">
        <v>330</v>
      </c>
      <c r="F4098" s="2" t="s">
        <v>331</v>
      </c>
      <c r="G4098" s="2" t="s">
        <v>21</v>
      </c>
      <c r="H4098" s="2" t="s">
        <v>332</v>
      </c>
      <c r="I4098" s="2" t="s">
        <v>333</v>
      </c>
      <c r="J4098" s="2" t="s">
        <v>24</v>
      </c>
      <c r="K4098">
        <v>295.56</v>
      </c>
      <c r="L4098">
        <v>17108665.760000002</v>
      </c>
      <c r="M4098">
        <v>5788559.2599999998</v>
      </c>
      <c r="N4098" s="2" t="s">
        <v>334</v>
      </c>
      <c r="O4098" s="2" t="s">
        <v>335</v>
      </c>
      <c r="P4098" s="2" t="s">
        <v>7071</v>
      </c>
      <c r="Q4098" s="2" t="s">
        <v>7072</v>
      </c>
      <c r="R4098" s="2" t="s">
        <v>29</v>
      </c>
      <c r="S4098" s="2" t="s">
        <v>30</v>
      </c>
    </row>
    <row r="4099" spans="1:19">
      <c r="A4099" s="1">
        <v>45931</v>
      </c>
      <c r="B4099" s="1">
        <v>45931</v>
      </c>
      <c r="C4099">
        <v>2025</v>
      </c>
      <c r="D4099">
        <v>10</v>
      </c>
      <c r="E4099" s="2" t="s">
        <v>338</v>
      </c>
      <c r="F4099" s="2" t="s">
        <v>339</v>
      </c>
      <c r="G4099" s="2" t="s">
        <v>21</v>
      </c>
      <c r="H4099" s="2" t="s">
        <v>332</v>
      </c>
      <c r="I4099" s="2" t="s">
        <v>333</v>
      </c>
      <c r="J4099" s="2" t="s">
        <v>24</v>
      </c>
      <c r="K4099">
        <v>1.2</v>
      </c>
      <c r="L4099">
        <v>1624036.38</v>
      </c>
      <c r="M4099">
        <v>135336365</v>
      </c>
      <c r="N4099" s="2" t="s">
        <v>340</v>
      </c>
      <c r="O4099" s="2" t="s">
        <v>341</v>
      </c>
      <c r="P4099" s="2" t="s">
        <v>3533</v>
      </c>
      <c r="Q4099" s="2" t="s">
        <v>7073</v>
      </c>
      <c r="R4099" s="2" t="s">
        <v>29</v>
      </c>
      <c r="S4099" s="2" t="s">
        <v>30</v>
      </c>
    </row>
    <row r="4100" spans="1:19">
      <c r="A4100" s="1">
        <v>45931</v>
      </c>
      <c r="B4100" s="1">
        <v>45931</v>
      </c>
      <c r="C4100">
        <v>2025</v>
      </c>
      <c r="D4100">
        <v>10</v>
      </c>
      <c r="E4100" s="2" t="s">
        <v>344</v>
      </c>
      <c r="F4100" s="2" t="s">
        <v>345</v>
      </c>
      <c r="G4100" s="2" t="s">
        <v>21</v>
      </c>
      <c r="H4100" s="2" t="s">
        <v>332</v>
      </c>
      <c r="I4100" s="2" t="s">
        <v>333</v>
      </c>
      <c r="J4100" s="2" t="s">
        <v>59</v>
      </c>
      <c r="K4100">
        <v>296.76</v>
      </c>
      <c r="L4100">
        <v>18732702.140000001</v>
      </c>
      <c r="M4100">
        <v>6312408.0499999998</v>
      </c>
      <c r="N4100" s="2" t="s">
        <v>346</v>
      </c>
      <c r="O4100" s="2" t="s">
        <v>347</v>
      </c>
      <c r="P4100" s="2" t="s">
        <v>7074</v>
      </c>
      <c r="Q4100" s="2" t="s">
        <v>7075</v>
      </c>
      <c r="R4100" s="2" t="s">
        <v>29</v>
      </c>
      <c r="S4100" s="2" t="s">
        <v>30</v>
      </c>
    </row>
    <row r="4101" spans="1:19">
      <c r="A4101" s="1">
        <v>45931</v>
      </c>
      <c r="B4101" s="1">
        <v>45931</v>
      </c>
      <c r="C4101">
        <v>2025</v>
      </c>
      <c r="D4101">
        <v>10</v>
      </c>
      <c r="E4101" s="2" t="s">
        <v>350</v>
      </c>
      <c r="F4101" s="2" t="s">
        <v>351</v>
      </c>
      <c r="G4101" s="2" t="s">
        <v>21</v>
      </c>
      <c r="H4101" s="2" t="s">
        <v>22</v>
      </c>
      <c r="I4101" s="2" t="s">
        <v>352</v>
      </c>
      <c r="J4101" s="2" t="s">
        <v>353</v>
      </c>
      <c r="K4101">
        <v>241798.06</v>
      </c>
      <c r="L4101">
        <v>27089050.780000001</v>
      </c>
      <c r="M4101">
        <v>11203.17</v>
      </c>
      <c r="N4101" s="2" t="s">
        <v>354</v>
      </c>
      <c r="O4101" s="2" t="s">
        <v>355</v>
      </c>
      <c r="P4101" s="2" t="s">
        <v>7076</v>
      </c>
      <c r="Q4101" s="2" t="s">
        <v>7077</v>
      </c>
      <c r="R4101" s="2" t="s">
        <v>29</v>
      </c>
      <c r="S4101" s="2" t="s">
        <v>30</v>
      </c>
    </row>
    <row r="4102" spans="1:19">
      <c r="A4102" s="1">
        <v>45931</v>
      </c>
      <c r="B4102" s="1">
        <v>45931</v>
      </c>
      <c r="C4102">
        <v>2025</v>
      </c>
      <c r="D4102">
        <v>10</v>
      </c>
      <c r="E4102" s="2" t="s">
        <v>358</v>
      </c>
      <c r="F4102" s="2" t="s">
        <v>359</v>
      </c>
      <c r="G4102" s="2" t="s">
        <v>21</v>
      </c>
      <c r="H4102" s="2" t="s">
        <v>22</v>
      </c>
      <c r="I4102" s="2" t="s">
        <v>352</v>
      </c>
      <c r="J4102" s="2" t="s">
        <v>353</v>
      </c>
      <c r="K4102">
        <v>242250.18</v>
      </c>
      <c r="L4102">
        <v>27663605.190000001</v>
      </c>
      <c r="M4102">
        <v>11419.44</v>
      </c>
      <c r="N4102" s="2" t="s">
        <v>360</v>
      </c>
      <c r="O4102" s="2" t="s">
        <v>361</v>
      </c>
      <c r="P4102" s="2" t="s">
        <v>7078</v>
      </c>
      <c r="Q4102" s="2" t="s">
        <v>7079</v>
      </c>
      <c r="R4102" s="2" t="s">
        <v>29</v>
      </c>
      <c r="S4102" s="2" t="s">
        <v>30</v>
      </c>
    </row>
    <row r="4103" spans="1:19">
      <c r="A4103" s="1">
        <v>45931</v>
      </c>
      <c r="B4103" s="1">
        <v>45931</v>
      </c>
      <c r="C4103">
        <v>2025</v>
      </c>
      <c r="D4103">
        <v>10</v>
      </c>
      <c r="E4103" s="2" t="s">
        <v>364</v>
      </c>
      <c r="F4103" s="2" t="s">
        <v>365</v>
      </c>
      <c r="G4103" s="2" t="s">
        <v>21</v>
      </c>
      <c r="H4103" s="2" t="s">
        <v>22</v>
      </c>
      <c r="I4103" s="2" t="s">
        <v>352</v>
      </c>
      <c r="J4103" s="2" t="s">
        <v>353</v>
      </c>
      <c r="K4103">
        <v>241953.42</v>
      </c>
      <c r="L4103">
        <v>8930903.0500000007</v>
      </c>
      <c r="M4103">
        <v>3691.17</v>
      </c>
      <c r="N4103" s="2" t="s">
        <v>366</v>
      </c>
      <c r="O4103" s="2" t="s">
        <v>367</v>
      </c>
      <c r="P4103" s="2" t="s">
        <v>7080</v>
      </c>
      <c r="Q4103" s="2" t="s">
        <v>7081</v>
      </c>
      <c r="R4103" s="2" t="s">
        <v>29</v>
      </c>
      <c r="S4103" s="2" t="s">
        <v>30</v>
      </c>
    </row>
    <row r="4104" spans="1:19">
      <c r="A4104" s="1">
        <v>45931</v>
      </c>
      <c r="B4104" s="1">
        <v>45931</v>
      </c>
      <c r="C4104">
        <v>2025</v>
      </c>
      <c r="D4104">
        <v>10</v>
      </c>
      <c r="E4104" s="2" t="s">
        <v>370</v>
      </c>
      <c r="F4104" s="2" t="s">
        <v>371</v>
      </c>
      <c r="G4104" s="2" t="s">
        <v>21</v>
      </c>
      <c r="H4104" s="2" t="s">
        <v>22</v>
      </c>
      <c r="I4104" s="2" t="s">
        <v>23</v>
      </c>
      <c r="J4104" s="2" t="s">
        <v>24</v>
      </c>
      <c r="K4104">
        <v>207009.21</v>
      </c>
      <c r="L4104">
        <v>2727790.71</v>
      </c>
      <c r="M4104">
        <v>1317.71</v>
      </c>
      <c r="N4104" s="2" t="s">
        <v>372</v>
      </c>
      <c r="O4104" s="2" t="s">
        <v>373</v>
      </c>
      <c r="P4104" s="2" t="s">
        <v>7082</v>
      </c>
      <c r="Q4104" s="2" t="s">
        <v>7083</v>
      </c>
      <c r="R4104" s="2" t="s">
        <v>29</v>
      </c>
      <c r="S4104" s="2" t="s">
        <v>30</v>
      </c>
    </row>
    <row r="4105" spans="1:19">
      <c r="A4105" s="1">
        <v>45931</v>
      </c>
      <c r="B4105" s="1">
        <v>45931</v>
      </c>
      <c r="C4105">
        <v>2025</v>
      </c>
      <c r="D4105">
        <v>10</v>
      </c>
      <c r="E4105" s="2" t="s">
        <v>376</v>
      </c>
      <c r="F4105" s="2" t="s">
        <v>377</v>
      </c>
      <c r="G4105" s="2" t="s">
        <v>21</v>
      </c>
      <c r="H4105" s="2" t="s">
        <v>22</v>
      </c>
      <c r="I4105" s="2" t="s">
        <v>23</v>
      </c>
      <c r="J4105" s="2" t="s">
        <v>378</v>
      </c>
      <c r="K4105">
        <v>1.1399999999999999</v>
      </c>
      <c r="L4105">
        <v>12.65</v>
      </c>
      <c r="M4105">
        <v>1109.6500000000001</v>
      </c>
      <c r="N4105" s="2" t="s">
        <v>379</v>
      </c>
      <c r="O4105" s="2" t="s">
        <v>380</v>
      </c>
      <c r="P4105" s="2" t="s">
        <v>2133</v>
      </c>
      <c r="Q4105" s="2" t="s">
        <v>7084</v>
      </c>
      <c r="R4105" s="2" t="s">
        <v>29</v>
      </c>
      <c r="S4105" s="2" t="s">
        <v>30</v>
      </c>
    </row>
    <row r="4106" spans="1:19">
      <c r="A4106" s="1">
        <v>45962</v>
      </c>
      <c r="B4106" s="1">
        <v>45962</v>
      </c>
      <c r="C4106">
        <v>2025</v>
      </c>
      <c r="D4106">
        <v>11</v>
      </c>
      <c r="E4106" s="2" t="s">
        <v>19</v>
      </c>
      <c r="F4106" s="2" t="s">
        <v>20</v>
      </c>
      <c r="G4106" s="2" t="s">
        <v>21</v>
      </c>
      <c r="H4106" s="2" t="s">
        <v>22</v>
      </c>
      <c r="I4106" s="2" t="s">
        <v>23</v>
      </c>
      <c r="J4106" s="2" t="s">
        <v>24</v>
      </c>
      <c r="K4106">
        <v>0.26</v>
      </c>
      <c r="L4106">
        <v>10.92</v>
      </c>
      <c r="M4106">
        <v>4200</v>
      </c>
      <c r="N4106" s="2" t="s">
        <v>25</v>
      </c>
      <c r="O4106" s="2" t="s">
        <v>26</v>
      </c>
      <c r="P4106" s="2" t="s">
        <v>1941</v>
      </c>
      <c r="Q4106" s="2" t="s">
        <v>7085</v>
      </c>
      <c r="R4106" s="2" t="s">
        <v>29</v>
      </c>
      <c r="S4106" s="2" t="s">
        <v>30</v>
      </c>
    </row>
    <row r="4107" spans="1:19">
      <c r="A4107" s="1">
        <v>45962</v>
      </c>
      <c r="B4107" s="1">
        <v>45962</v>
      </c>
      <c r="C4107">
        <v>2025</v>
      </c>
      <c r="D4107">
        <v>11</v>
      </c>
      <c r="E4107" s="2" t="s">
        <v>31</v>
      </c>
      <c r="F4107" s="2" t="s">
        <v>32</v>
      </c>
      <c r="G4107" s="2" t="s">
        <v>21</v>
      </c>
      <c r="H4107" s="2" t="s">
        <v>22</v>
      </c>
      <c r="I4107" s="2" t="s">
        <v>23</v>
      </c>
      <c r="J4107" s="2" t="s">
        <v>24</v>
      </c>
      <c r="K4107">
        <v>3375.31</v>
      </c>
      <c r="L4107">
        <v>69482.77</v>
      </c>
      <c r="M4107">
        <v>2058.56</v>
      </c>
      <c r="N4107" s="2" t="s">
        <v>33</v>
      </c>
      <c r="O4107" s="2" t="s">
        <v>34</v>
      </c>
      <c r="P4107" s="2" t="s">
        <v>7086</v>
      </c>
      <c r="Q4107" s="2" t="s">
        <v>7087</v>
      </c>
      <c r="R4107" s="2" t="s">
        <v>29</v>
      </c>
      <c r="S4107" s="2" t="s">
        <v>30</v>
      </c>
    </row>
    <row r="4108" spans="1:19">
      <c r="A4108" s="1">
        <v>45962</v>
      </c>
      <c r="B4108" s="1">
        <v>45962</v>
      </c>
      <c r="C4108">
        <v>2025</v>
      </c>
      <c r="D4108">
        <v>11</v>
      </c>
      <c r="E4108" s="2" t="s">
        <v>37</v>
      </c>
      <c r="F4108" s="2" t="s">
        <v>38</v>
      </c>
      <c r="G4108" s="2" t="s">
        <v>39</v>
      </c>
      <c r="H4108" s="2" t="s">
        <v>22</v>
      </c>
      <c r="I4108" s="2" t="s">
        <v>40</v>
      </c>
      <c r="J4108" s="2" t="s">
        <v>24</v>
      </c>
      <c r="K4108">
        <v>6.72</v>
      </c>
      <c r="L4108">
        <v>378.46</v>
      </c>
      <c r="M4108">
        <v>5631.85</v>
      </c>
      <c r="N4108" s="2" t="s">
        <v>41</v>
      </c>
      <c r="O4108" s="2" t="s">
        <v>42</v>
      </c>
      <c r="P4108" s="2" t="s">
        <v>7088</v>
      </c>
      <c r="Q4108" s="2" t="s">
        <v>7089</v>
      </c>
      <c r="R4108" s="2" t="s">
        <v>29</v>
      </c>
      <c r="S4108" s="2" t="s">
        <v>30</v>
      </c>
    </row>
    <row r="4109" spans="1:19">
      <c r="A4109" s="1">
        <v>45962</v>
      </c>
      <c r="B4109" s="1">
        <v>45962</v>
      </c>
      <c r="C4109">
        <v>2025</v>
      </c>
      <c r="D4109">
        <v>11</v>
      </c>
      <c r="E4109" s="2" t="s">
        <v>45</v>
      </c>
      <c r="F4109" s="2" t="s">
        <v>46</v>
      </c>
      <c r="G4109" s="2" t="s">
        <v>39</v>
      </c>
      <c r="H4109" s="2" t="s">
        <v>22</v>
      </c>
      <c r="I4109" s="2" t="s">
        <v>40</v>
      </c>
      <c r="J4109" s="2" t="s">
        <v>24</v>
      </c>
      <c r="K4109">
        <v>4380.2299999999996</v>
      </c>
      <c r="L4109">
        <v>234054.56</v>
      </c>
      <c r="M4109">
        <v>5343.43</v>
      </c>
      <c r="N4109" s="2" t="s">
        <v>47</v>
      </c>
      <c r="O4109" s="2" t="s">
        <v>48</v>
      </c>
      <c r="P4109" s="2" t="s">
        <v>7090</v>
      </c>
      <c r="Q4109" s="2" t="s">
        <v>7091</v>
      </c>
      <c r="R4109" s="2" t="s">
        <v>29</v>
      </c>
      <c r="S4109" s="2" t="s">
        <v>30</v>
      </c>
    </row>
    <row r="4110" spans="1:19">
      <c r="A4110" s="1">
        <v>45962</v>
      </c>
      <c r="B4110" s="1">
        <v>45962</v>
      </c>
      <c r="C4110">
        <v>2025</v>
      </c>
      <c r="D4110">
        <v>11</v>
      </c>
      <c r="E4110" s="2" t="s">
        <v>51</v>
      </c>
      <c r="F4110" s="2" t="s">
        <v>52</v>
      </c>
      <c r="G4110" s="2" t="s">
        <v>39</v>
      </c>
      <c r="H4110" s="2" t="s">
        <v>22</v>
      </c>
      <c r="I4110" s="2" t="s">
        <v>40</v>
      </c>
      <c r="J4110" s="2" t="s">
        <v>24</v>
      </c>
      <c r="K4110">
        <v>17.829999999999998</v>
      </c>
      <c r="L4110">
        <v>880.28</v>
      </c>
      <c r="M4110">
        <v>4937.07</v>
      </c>
      <c r="N4110" s="2" t="s">
        <v>53</v>
      </c>
      <c r="O4110" s="2" t="s">
        <v>54</v>
      </c>
      <c r="P4110" s="2" t="s">
        <v>7092</v>
      </c>
      <c r="Q4110" s="2" t="s">
        <v>7093</v>
      </c>
      <c r="R4110" s="2" t="s">
        <v>29</v>
      </c>
      <c r="S4110" s="2" t="s">
        <v>30</v>
      </c>
    </row>
    <row r="4111" spans="1:19">
      <c r="A4111" s="1">
        <v>45962</v>
      </c>
      <c r="B4111" s="1">
        <v>45962</v>
      </c>
      <c r="C4111">
        <v>2025</v>
      </c>
      <c r="D4111">
        <v>11</v>
      </c>
      <c r="E4111" s="2" t="s">
        <v>57</v>
      </c>
      <c r="F4111" s="2" t="s">
        <v>58</v>
      </c>
      <c r="G4111" s="2" t="s">
        <v>39</v>
      </c>
      <c r="H4111" s="2" t="s">
        <v>22</v>
      </c>
      <c r="I4111" s="2" t="s">
        <v>40</v>
      </c>
      <c r="J4111" s="2" t="s">
        <v>59</v>
      </c>
      <c r="K4111">
        <v>4404.78</v>
      </c>
      <c r="L4111">
        <v>235313.3</v>
      </c>
      <c r="M4111">
        <v>5342.23</v>
      </c>
      <c r="N4111" s="2" t="s">
        <v>60</v>
      </c>
      <c r="O4111" s="2" t="s">
        <v>61</v>
      </c>
      <c r="P4111" s="2" t="s">
        <v>7094</v>
      </c>
      <c r="Q4111" s="2" t="s">
        <v>7095</v>
      </c>
      <c r="R4111" s="2" t="s">
        <v>29</v>
      </c>
      <c r="S4111" s="2" t="s">
        <v>30</v>
      </c>
    </row>
    <row r="4112" spans="1:19">
      <c r="A4112" s="1">
        <v>45962</v>
      </c>
      <c r="B4112" s="1">
        <v>45962</v>
      </c>
      <c r="C4112">
        <v>2025</v>
      </c>
      <c r="D4112">
        <v>11</v>
      </c>
      <c r="E4112" s="2" t="s">
        <v>64</v>
      </c>
      <c r="F4112" s="2" t="s">
        <v>65</v>
      </c>
      <c r="G4112" s="2" t="s">
        <v>21</v>
      </c>
      <c r="H4112" s="2" t="s">
        <v>22</v>
      </c>
      <c r="I4112" s="2" t="s">
        <v>66</v>
      </c>
      <c r="J4112" s="2" t="s">
        <v>24</v>
      </c>
      <c r="K4112">
        <v>19.28</v>
      </c>
      <c r="L4112">
        <v>608.79</v>
      </c>
      <c r="M4112">
        <v>3157.62</v>
      </c>
      <c r="N4112" s="2" t="s">
        <v>67</v>
      </c>
      <c r="O4112" s="2" t="s">
        <v>68</v>
      </c>
      <c r="P4112" s="2" t="s">
        <v>7096</v>
      </c>
      <c r="Q4112" s="2" t="s">
        <v>7097</v>
      </c>
      <c r="R4112" s="2" t="s">
        <v>29</v>
      </c>
      <c r="S4112" s="2" t="s">
        <v>30</v>
      </c>
    </row>
    <row r="4113" spans="1:19">
      <c r="A4113" s="1">
        <v>45962</v>
      </c>
      <c r="B4113" s="1">
        <v>45962</v>
      </c>
      <c r="C4113">
        <v>2025</v>
      </c>
      <c r="D4113">
        <v>11</v>
      </c>
      <c r="E4113" s="2" t="s">
        <v>71</v>
      </c>
      <c r="F4113" s="2" t="s">
        <v>72</v>
      </c>
      <c r="G4113" s="2" t="s">
        <v>21</v>
      </c>
      <c r="H4113" s="2" t="s">
        <v>22</v>
      </c>
      <c r="I4113" s="2" t="s">
        <v>73</v>
      </c>
      <c r="J4113" s="2" t="s">
        <v>59</v>
      </c>
      <c r="K4113">
        <v>6041.95</v>
      </c>
      <c r="L4113">
        <v>222942.4</v>
      </c>
      <c r="M4113">
        <v>3689.91</v>
      </c>
      <c r="N4113" s="2" t="s">
        <v>74</v>
      </c>
      <c r="O4113" s="2" t="s">
        <v>75</v>
      </c>
      <c r="P4113" s="2" t="s">
        <v>7098</v>
      </c>
      <c r="Q4113" s="2" t="s">
        <v>7099</v>
      </c>
      <c r="R4113" s="2" t="s">
        <v>29</v>
      </c>
      <c r="S4113" s="2" t="s">
        <v>30</v>
      </c>
    </row>
    <row r="4114" spans="1:19">
      <c r="A4114" s="1">
        <v>45962</v>
      </c>
      <c r="B4114" s="1">
        <v>45962</v>
      </c>
      <c r="C4114">
        <v>2025</v>
      </c>
      <c r="D4114">
        <v>11</v>
      </c>
      <c r="E4114" s="2" t="s">
        <v>78</v>
      </c>
      <c r="F4114" s="2" t="s">
        <v>79</v>
      </c>
      <c r="G4114" s="2" t="s">
        <v>80</v>
      </c>
      <c r="H4114" s="2" t="s">
        <v>81</v>
      </c>
      <c r="I4114" s="2" t="s">
        <v>82</v>
      </c>
      <c r="J4114" s="2" t="s">
        <v>24</v>
      </c>
      <c r="K4114">
        <v>2.46</v>
      </c>
      <c r="L4114">
        <v>10100566.880000001</v>
      </c>
      <c r="M4114">
        <v>410592149.58999997</v>
      </c>
      <c r="N4114" s="2" t="s">
        <v>83</v>
      </c>
      <c r="O4114" s="2" t="s">
        <v>84</v>
      </c>
      <c r="P4114" s="2" t="s">
        <v>6436</v>
      </c>
      <c r="Q4114" s="2" t="s">
        <v>7100</v>
      </c>
      <c r="R4114" s="2" t="s">
        <v>29</v>
      </c>
      <c r="S4114" s="2" t="s">
        <v>30</v>
      </c>
    </row>
    <row r="4115" spans="1:19">
      <c r="A4115" s="1">
        <v>45962</v>
      </c>
      <c r="B4115" s="1">
        <v>45962</v>
      </c>
      <c r="C4115">
        <v>2025</v>
      </c>
      <c r="D4115">
        <v>11</v>
      </c>
      <c r="E4115" s="2" t="s">
        <v>87</v>
      </c>
      <c r="F4115" s="2" t="s">
        <v>88</v>
      </c>
      <c r="G4115" s="2" t="s">
        <v>80</v>
      </c>
      <c r="H4115" s="2" t="s">
        <v>81</v>
      </c>
      <c r="I4115" s="2" t="s">
        <v>82</v>
      </c>
      <c r="J4115" s="2" t="s">
        <v>24</v>
      </c>
      <c r="K4115">
        <v>0.88</v>
      </c>
      <c r="L4115">
        <v>1226375.21</v>
      </c>
      <c r="M4115">
        <v>139360819.31999999</v>
      </c>
      <c r="N4115" s="2" t="s">
        <v>89</v>
      </c>
      <c r="O4115" s="2" t="s">
        <v>90</v>
      </c>
      <c r="P4115" s="2" t="s">
        <v>1726</v>
      </c>
      <c r="Q4115" s="2" t="s">
        <v>7101</v>
      </c>
      <c r="R4115" s="2" t="s">
        <v>29</v>
      </c>
      <c r="S4115" s="2" t="s">
        <v>30</v>
      </c>
    </row>
    <row r="4116" spans="1:19">
      <c r="A4116" s="1">
        <v>45962</v>
      </c>
      <c r="B4116" s="1">
        <v>45962</v>
      </c>
      <c r="C4116">
        <v>2025</v>
      </c>
      <c r="D4116">
        <v>11</v>
      </c>
      <c r="E4116" s="2" t="s">
        <v>93</v>
      </c>
      <c r="F4116" s="2" t="s">
        <v>94</v>
      </c>
      <c r="G4116" s="2" t="s">
        <v>80</v>
      </c>
      <c r="H4116" s="2" t="s">
        <v>81</v>
      </c>
      <c r="I4116" s="2" t="s">
        <v>82</v>
      </c>
      <c r="J4116" s="2" t="s">
        <v>24</v>
      </c>
      <c r="K4116">
        <v>0.44</v>
      </c>
      <c r="L4116">
        <v>7838568.7999999998</v>
      </c>
      <c r="M4116">
        <v>1781492909.0899999</v>
      </c>
      <c r="N4116" s="2" t="s">
        <v>95</v>
      </c>
      <c r="O4116" s="2" t="s">
        <v>96</v>
      </c>
      <c r="P4116" s="2" t="s">
        <v>4665</v>
      </c>
      <c r="Q4116" s="2" t="s">
        <v>7102</v>
      </c>
      <c r="R4116" s="2" t="s">
        <v>29</v>
      </c>
      <c r="S4116" s="2" t="s">
        <v>30</v>
      </c>
    </row>
    <row r="4117" spans="1:19">
      <c r="A4117" s="1">
        <v>45962</v>
      </c>
      <c r="B4117" s="1">
        <v>45962</v>
      </c>
      <c r="C4117">
        <v>2025</v>
      </c>
      <c r="D4117">
        <v>11</v>
      </c>
      <c r="E4117" s="2" t="s">
        <v>99</v>
      </c>
      <c r="F4117" s="2" t="s">
        <v>100</v>
      </c>
      <c r="G4117" s="2" t="s">
        <v>80</v>
      </c>
      <c r="H4117" s="2" t="s">
        <v>81</v>
      </c>
      <c r="I4117" s="2" t="s">
        <v>82</v>
      </c>
      <c r="J4117" s="2" t="s">
        <v>101</v>
      </c>
      <c r="K4117">
        <v>1.53</v>
      </c>
      <c r="L4117">
        <v>17161812.809999999</v>
      </c>
      <c r="M4117">
        <v>1121687111.76</v>
      </c>
      <c r="N4117" s="2" t="s">
        <v>102</v>
      </c>
      <c r="O4117" s="2" t="s">
        <v>103</v>
      </c>
      <c r="P4117" s="2" t="s">
        <v>2709</v>
      </c>
      <c r="Q4117" s="2" t="s">
        <v>7103</v>
      </c>
      <c r="R4117" s="2" t="s">
        <v>29</v>
      </c>
      <c r="S4117" s="2" t="s">
        <v>30</v>
      </c>
    </row>
    <row r="4118" spans="1:19">
      <c r="A4118" s="1">
        <v>45962</v>
      </c>
      <c r="B4118" s="1">
        <v>45962</v>
      </c>
      <c r="C4118">
        <v>2025</v>
      </c>
      <c r="D4118">
        <v>11</v>
      </c>
      <c r="E4118" s="2" t="s">
        <v>106</v>
      </c>
      <c r="F4118" s="2" t="s">
        <v>107</v>
      </c>
      <c r="G4118" s="2" t="s">
        <v>80</v>
      </c>
      <c r="H4118" s="2" t="s">
        <v>81</v>
      </c>
      <c r="I4118" s="2" t="s">
        <v>82</v>
      </c>
      <c r="J4118" s="2" t="s">
        <v>24</v>
      </c>
      <c r="K4118">
        <v>0.21</v>
      </c>
      <c r="L4118">
        <v>8096868.7999999998</v>
      </c>
      <c r="M4118">
        <v>3855651809.52</v>
      </c>
      <c r="N4118" s="2" t="s">
        <v>108</v>
      </c>
      <c r="O4118" s="2" t="s">
        <v>109</v>
      </c>
      <c r="P4118" s="2" t="s">
        <v>403</v>
      </c>
      <c r="Q4118" s="2" t="s">
        <v>7104</v>
      </c>
      <c r="R4118" s="2" t="s">
        <v>29</v>
      </c>
      <c r="S4118" s="2" t="s">
        <v>30</v>
      </c>
    </row>
    <row r="4119" spans="1:19">
      <c r="A4119" s="1">
        <v>45962</v>
      </c>
      <c r="B4119" s="1">
        <v>45962</v>
      </c>
      <c r="C4119">
        <v>2025</v>
      </c>
      <c r="D4119">
        <v>11</v>
      </c>
      <c r="E4119" s="2" t="s">
        <v>111</v>
      </c>
      <c r="F4119" s="2" t="s">
        <v>112</v>
      </c>
      <c r="G4119" s="2" t="s">
        <v>80</v>
      </c>
      <c r="H4119" s="2" t="s">
        <v>81</v>
      </c>
      <c r="I4119" s="2" t="s">
        <v>82</v>
      </c>
      <c r="J4119" s="2" t="s">
        <v>24</v>
      </c>
      <c r="K4119">
        <v>0.08</v>
      </c>
      <c r="L4119">
        <v>946876.07</v>
      </c>
      <c r="M4119">
        <v>1183595087.5</v>
      </c>
      <c r="N4119" s="2" t="s">
        <v>113</v>
      </c>
      <c r="O4119" s="2" t="s">
        <v>114</v>
      </c>
      <c r="P4119" s="2" t="s">
        <v>1393</v>
      </c>
      <c r="Q4119" s="2" t="s">
        <v>7105</v>
      </c>
      <c r="R4119" s="2" t="s">
        <v>29</v>
      </c>
      <c r="S4119" s="2" t="s">
        <v>30</v>
      </c>
    </row>
    <row r="4120" spans="1:19">
      <c r="A4120" s="1">
        <v>45962</v>
      </c>
      <c r="B4120" s="1">
        <v>45962</v>
      </c>
      <c r="C4120">
        <v>2025</v>
      </c>
      <c r="D4120">
        <v>11</v>
      </c>
      <c r="E4120" s="2" t="s">
        <v>117</v>
      </c>
      <c r="F4120" s="2" t="s">
        <v>118</v>
      </c>
      <c r="G4120" s="2" t="s">
        <v>80</v>
      </c>
      <c r="H4120" s="2" t="s">
        <v>81</v>
      </c>
      <c r="I4120" s="2" t="s">
        <v>82</v>
      </c>
      <c r="J4120" s="2" t="s">
        <v>59</v>
      </c>
      <c r="K4120">
        <v>4.08</v>
      </c>
      <c r="L4120">
        <v>28209255.760000002</v>
      </c>
      <c r="M4120">
        <v>691403327.45000005</v>
      </c>
      <c r="N4120" s="2" t="s">
        <v>119</v>
      </c>
      <c r="O4120" s="2" t="s">
        <v>120</v>
      </c>
      <c r="P4120" s="2" t="s">
        <v>5856</v>
      </c>
      <c r="Q4120" s="2" t="s">
        <v>7106</v>
      </c>
      <c r="R4120" s="2" t="s">
        <v>29</v>
      </c>
      <c r="S4120" s="2" t="s">
        <v>30</v>
      </c>
    </row>
    <row r="4121" spans="1:19">
      <c r="A4121" s="1">
        <v>45962</v>
      </c>
      <c r="B4121" s="1">
        <v>45962</v>
      </c>
      <c r="C4121">
        <v>2025</v>
      </c>
      <c r="D4121">
        <v>11</v>
      </c>
      <c r="E4121" s="2" t="s">
        <v>123</v>
      </c>
      <c r="F4121" s="2" t="s">
        <v>124</v>
      </c>
      <c r="G4121" s="2" t="s">
        <v>21</v>
      </c>
      <c r="H4121" s="2" t="s">
        <v>22</v>
      </c>
      <c r="I4121" s="2" t="s">
        <v>73</v>
      </c>
      <c r="J4121" s="2" t="s">
        <v>24</v>
      </c>
      <c r="K4121">
        <v>2491.4499999999998</v>
      </c>
      <c r="L4121">
        <v>113159.14</v>
      </c>
      <c r="M4121">
        <v>4541.8999999999996</v>
      </c>
      <c r="N4121" s="2" t="s">
        <v>125</v>
      </c>
      <c r="O4121" s="2" t="s">
        <v>126</v>
      </c>
      <c r="P4121" s="2" t="s">
        <v>7107</v>
      </c>
      <c r="Q4121" s="2" t="s">
        <v>7108</v>
      </c>
      <c r="R4121" s="2" t="s">
        <v>29</v>
      </c>
      <c r="S4121" s="2" t="s">
        <v>30</v>
      </c>
    </row>
    <row r="4122" spans="1:19">
      <c r="A4122" s="1">
        <v>45962</v>
      </c>
      <c r="B4122" s="1">
        <v>45962</v>
      </c>
      <c r="C4122">
        <v>2025</v>
      </c>
      <c r="D4122">
        <v>11</v>
      </c>
      <c r="E4122" s="2" t="s">
        <v>129</v>
      </c>
      <c r="F4122" s="2" t="s">
        <v>130</v>
      </c>
      <c r="G4122" s="2" t="s">
        <v>21</v>
      </c>
      <c r="H4122" s="2" t="s">
        <v>22</v>
      </c>
      <c r="I4122" s="2" t="s">
        <v>73</v>
      </c>
      <c r="J4122" s="2" t="s">
        <v>24</v>
      </c>
      <c r="K4122">
        <v>2538.4</v>
      </c>
      <c r="L4122">
        <v>75639.87</v>
      </c>
      <c r="M4122">
        <v>2979.82</v>
      </c>
      <c r="N4122" s="2" t="s">
        <v>131</v>
      </c>
      <c r="O4122" s="2" t="s">
        <v>132</v>
      </c>
      <c r="P4122" s="2" t="s">
        <v>7109</v>
      </c>
      <c r="Q4122" s="2" t="s">
        <v>7110</v>
      </c>
      <c r="R4122" s="2" t="s">
        <v>29</v>
      </c>
      <c r="S4122" s="2" t="s">
        <v>30</v>
      </c>
    </row>
    <row r="4123" spans="1:19">
      <c r="A4123" s="1">
        <v>45962</v>
      </c>
      <c r="B4123" s="1">
        <v>45962</v>
      </c>
      <c r="C4123">
        <v>2025</v>
      </c>
      <c r="D4123">
        <v>11</v>
      </c>
      <c r="E4123" s="2" t="s">
        <v>135</v>
      </c>
      <c r="F4123" s="2" t="s">
        <v>136</v>
      </c>
      <c r="G4123" s="2" t="s">
        <v>21</v>
      </c>
      <c r="H4123" s="2" t="s">
        <v>22</v>
      </c>
      <c r="I4123" s="2" t="s">
        <v>73</v>
      </c>
      <c r="J4123" s="2" t="s">
        <v>101</v>
      </c>
      <c r="K4123">
        <v>5029.84</v>
      </c>
      <c r="L4123">
        <v>188799.01</v>
      </c>
      <c r="M4123">
        <v>3753.58</v>
      </c>
      <c r="N4123" s="2" t="s">
        <v>137</v>
      </c>
      <c r="O4123" s="2" t="s">
        <v>138</v>
      </c>
      <c r="P4123" s="2" t="s">
        <v>7111</v>
      </c>
      <c r="Q4123" s="2" t="s">
        <v>7112</v>
      </c>
      <c r="R4123" s="2" t="s">
        <v>29</v>
      </c>
      <c r="S4123" s="2" t="s">
        <v>30</v>
      </c>
    </row>
    <row r="4124" spans="1:19">
      <c r="A4124" s="1">
        <v>45962</v>
      </c>
      <c r="B4124" s="1">
        <v>45962</v>
      </c>
      <c r="C4124">
        <v>2025</v>
      </c>
      <c r="D4124">
        <v>11</v>
      </c>
      <c r="E4124" s="2" t="s">
        <v>141</v>
      </c>
      <c r="F4124" s="2" t="s">
        <v>142</v>
      </c>
      <c r="G4124" s="2" t="s">
        <v>21</v>
      </c>
      <c r="H4124" s="2" t="s">
        <v>22</v>
      </c>
      <c r="I4124" s="2" t="s">
        <v>73</v>
      </c>
      <c r="J4124" s="2" t="s">
        <v>24</v>
      </c>
      <c r="K4124">
        <v>248.8</v>
      </c>
      <c r="L4124">
        <v>11389.26</v>
      </c>
      <c r="M4124">
        <v>4577.68</v>
      </c>
      <c r="N4124" s="2" t="s">
        <v>143</v>
      </c>
      <c r="O4124" s="2" t="s">
        <v>144</v>
      </c>
      <c r="P4124" s="2" t="s">
        <v>7113</v>
      </c>
      <c r="Q4124" s="2" t="s">
        <v>7114</v>
      </c>
      <c r="R4124" s="2" t="s">
        <v>29</v>
      </c>
      <c r="S4124" s="2" t="s">
        <v>30</v>
      </c>
    </row>
    <row r="4125" spans="1:19">
      <c r="A4125" s="1">
        <v>45962</v>
      </c>
      <c r="B4125" s="1">
        <v>45962</v>
      </c>
      <c r="C4125">
        <v>2025</v>
      </c>
      <c r="D4125">
        <v>11</v>
      </c>
      <c r="E4125" s="2" t="s">
        <v>147</v>
      </c>
      <c r="F4125" s="2" t="s">
        <v>148</v>
      </c>
      <c r="G4125" s="2" t="s">
        <v>21</v>
      </c>
      <c r="H4125" s="2" t="s">
        <v>22</v>
      </c>
      <c r="I4125" s="2" t="s">
        <v>73</v>
      </c>
      <c r="J4125" s="2" t="s">
        <v>24</v>
      </c>
      <c r="K4125">
        <v>763.31</v>
      </c>
      <c r="L4125">
        <v>22754.12</v>
      </c>
      <c r="M4125">
        <v>2980.98</v>
      </c>
      <c r="N4125" s="2" t="s">
        <v>149</v>
      </c>
      <c r="O4125" s="2" t="s">
        <v>150</v>
      </c>
      <c r="P4125" s="2" t="s">
        <v>7115</v>
      </c>
      <c r="Q4125" s="2" t="s">
        <v>7116</v>
      </c>
      <c r="R4125" s="2" t="s">
        <v>29</v>
      </c>
      <c r="S4125" s="2" t="s">
        <v>30</v>
      </c>
    </row>
    <row r="4126" spans="1:19">
      <c r="A4126" s="1">
        <v>45962</v>
      </c>
      <c r="B4126" s="1">
        <v>45962</v>
      </c>
      <c r="C4126">
        <v>2025</v>
      </c>
      <c r="D4126">
        <v>11</v>
      </c>
      <c r="E4126" s="2" t="s">
        <v>153</v>
      </c>
      <c r="F4126" s="2" t="s">
        <v>154</v>
      </c>
      <c r="G4126" s="2" t="s">
        <v>21</v>
      </c>
      <c r="H4126" s="2" t="s">
        <v>22</v>
      </c>
      <c r="I4126" s="2" t="s">
        <v>73</v>
      </c>
      <c r="J4126" s="2" t="s">
        <v>101</v>
      </c>
      <c r="K4126">
        <v>1012.11</v>
      </c>
      <c r="L4126">
        <v>34143.39</v>
      </c>
      <c r="M4126">
        <v>3373.49</v>
      </c>
      <c r="N4126" s="2" t="s">
        <v>155</v>
      </c>
      <c r="O4126" s="2" t="s">
        <v>156</v>
      </c>
      <c r="P4126" s="2" t="s">
        <v>5514</v>
      </c>
      <c r="Q4126" s="2" t="s">
        <v>7117</v>
      </c>
      <c r="R4126" s="2" t="s">
        <v>29</v>
      </c>
      <c r="S4126" s="2" t="s">
        <v>30</v>
      </c>
    </row>
    <row r="4127" spans="1:19">
      <c r="A4127" s="1">
        <v>45962</v>
      </c>
      <c r="B4127" s="1">
        <v>45962</v>
      </c>
      <c r="C4127">
        <v>2025</v>
      </c>
      <c r="D4127">
        <v>11</v>
      </c>
      <c r="E4127" s="2" t="s">
        <v>159</v>
      </c>
      <c r="F4127" s="2" t="s">
        <v>160</v>
      </c>
      <c r="G4127" s="2" t="s">
        <v>21</v>
      </c>
      <c r="H4127" s="2" t="s">
        <v>22</v>
      </c>
      <c r="I4127" s="2" t="s">
        <v>66</v>
      </c>
      <c r="J4127" s="2" t="s">
        <v>59</v>
      </c>
      <c r="K4127">
        <v>1987.04</v>
      </c>
      <c r="L4127">
        <v>226303.51</v>
      </c>
      <c r="M4127">
        <v>11388.98</v>
      </c>
      <c r="N4127" s="2" t="s">
        <v>161</v>
      </c>
      <c r="O4127" s="2" t="s">
        <v>162</v>
      </c>
      <c r="P4127" s="2" t="s">
        <v>7118</v>
      </c>
      <c r="Q4127" s="2" t="s">
        <v>7119</v>
      </c>
      <c r="R4127" s="2" t="s">
        <v>29</v>
      </c>
      <c r="S4127" s="2" t="s">
        <v>30</v>
      </c>
    </row>
    <row r="4128" spans="1:19">
      <c r="A4128" s="1">
        <v>45962</v>
      </c>
      <c r="B4128" s="1">
        <v>45962</v>
      </c>
      <c r="C4128">
        <v>2025</v>
      </c>
      <c r="D4128">
        <v>11</v>
      </c>
      <c r="E4128" s="2" t="s">
        <v>165</v>
      </c>
      <c r="F4128" s="2" t="s">
        <v>166</v>
      </c>
      <c r="G4128" s="2" t="s">
        <v>21</v>
      </c>
      <c r="H4128" s="2" t="s">
        <v>22</v>
      </c>
      <c r="I4128" s="2" t="s">
        <v>23</v>
      </c>
      <c r="J4128" s="2" t="s">
        <v>24</v>
      </c>
      <c r="N4128" s="2" t="s">
        <v>167</v>
      </c>
      <c r="O4128" s="2" t="s">
        <v>168</v>
      </c>
      <c r="P4128" s="2" t="s">
        <v>175</v>
      </c>
      <c r="Q4128" s="2" t="s">
        <v>175</v>
      </c>
      <c r="R4128" s="2" t="s">
        <v>640</v>
      </c>
      <c r="S4128" s="2" t="s">
        <v>641</v>
      </c>
    </row>
    <row r="4129" spans="1:19">
      <c r="A4129" s="1">
        <v>45962</v>
      </c>
      <c r="B4129" s="1">
        <v>45962</v>
      </c>
      <c r="C4129">
        <v>2025</v>
      </c>
      <c r="D4129">
        <v>11</v>
      </c>
      <c r="E4129" s="2" t="s">
        <v>171</v>
      </c>
      <c r="F4129" s="2" t="s">
        <v>172</v>
      </c>
      <c r="G4129" s="2" t="s">
        <v>21</v>
      </c>
      <c r="H4129" s="2" t="s">
        <v>22</v>
      </c>
      <c r="I4129" s="2" t="s">
        <v>66</v>
      </c>
      <c r="J4129" s="2" t="s">
        <v>24</v>
      </c>
      <c r="N4129" s="2" t="s">
        <v>173</v>
      </c>
      <c r="O4129" s="2" t="s">
        <v>174</v>
      </c>
      <c r="P4129" s="2" t="s">
        <v>175</v>
      </c>
      <c r="Q4129" s="2" t="s">
        <v>175</v>
      </c>
      <c r="R4129" s="2" t="s">
        <v>640</v>
      </c>
      <c r="S4129" s="2" t="s">
        <v>641</v>
      </c>
    </row>
    <row r="4130" spans="1:19">
      <c r="A4130" s="1">
        <v>45962</v>
      </c>
      <c r="B4130" s="1">
        <v>45962</v>
      </c>
      <c r="C4130">
        <v>2025</v>
      </c>
      <c r="D4130">
        <v>11</v>
      </c>
      <c r="E4130" s="2" t="s">
        <v>177</v>
      </c>
      <c r="F4130" s="2" t="s">
        <v>178</v>
      </c>
      <c r="G4130" s="2" t="s">
        <v>21</v>
      </c>
      <c r="H4130" s="2" t="s">
        <v>22</v>
      </c>
      <c r="I4130" s="2" t="s">
        <v>23</v>
      </c>
      <c r="J4130" s="2" t="s">
        <v>24</v>
      </c>
      <c r="K4130">
        <v>3689.31</v>
      </c>
      <c r="L4130">
        <v>615176.80000000005</v>
      </c>
      <c r="M4130">
        <v>16674.580000000002</v>
      </c>
      <c r="N4130" s="2" t="s">
        <v>179</v>
      </c>
      <c r="O4130" s="2" t="s">
        <v>180</v>
      </c>
      <c r="P4130" s="2" t="s">
        <v>7120</v>
      </c>
      <c r="Q4130" s="2" t="s">
        <v>7121</v>
      </c>
      <c r="R4130" s="2" t="s">
        <v>29</v>
      </c>
      <c r="S4130" s="2" t="s">
        <v>30</v>
      </c>
    </row>
    <row r="4131" spans="1:19">
      <c r="A4131" s="1">
        <v>45962</v>
      </c>
      <c r="B4131" s="1">
        <v>45962</v>
      </c>
      <c r="C4131">
        <v>2025</v>
      </c>
      <c r="D4131">
        <v>11</v>
      </c>
      <c r="E4131" s="2" t="s">
        <v>183</v>
      </c>
      <c r="F4131" s="2" t="s">
        <v>184</v>
      </c>
      <c r="G4131" s="2" t="s">
        <v>185</v>
      </c>
      <c r="H4131" s="2" t="s">
        <v>22</v>
      </c>
      <c r="I4131" s="2" t="s">
        <v>186</v>
      </c>
      <c r="J4131" s="2" t="s">
        <v>24</v>
      </c>
      <c r="K4131">
        <v>2717.48</v>
      </c>
      <c r="L4131">
        <v>5622372.0999999996</v>
      </c>
      <c r="M4131">
        <v>206896.54</v>
      </c>
      <c r="N4131" s="2" t="s">
        <v>187</v>
      </c>
      <c r="O4131" s="2" t="s">
        <v>188</v>
      </c>
      <c r="P4131" s="2" t="s">
        <v>7122</v>
      </c>
      <c r="Q4131" s="2" t="s">
        <v>7123</v>
      </c>
      <c r="R4131" s="2" t="s">
        <v>29</v>
      </c>
      <c r="S4131" s="2" t="s">
        <v>30</v>
      </c>
    </row>
    <row r="4132" spans="1:19">
      <c r="A4132" s="1">
        <v>45962</v>
      </c>
      <c r="B4132" s="1">
        <v>45962</v>
      </c>
      <c r="C4132">
        <v>2025</v>
      </c>
      <c r="D4132">
        <v>11</v>
      </c>
      <c r="E4132" s="2" t="s">
        <v>191</v>
      </c>
      <c r="F4132" s="2" t="s">
        <v>192</v>
      </c>
      <c r="G4132" s="2" t="s">
        <v>185</v>
      </c>
      <c r="H4132" s="2" t="s">
        <v>22</v>
      </c>
      <c r="I4132" s="2" t="s">
        <v>186</v>
      </c>
      <c r="J4132" s="2" t="s">
        <v>24</v>
      </c>
      <c r="K4132">
        <v>809.63</v>
      </c>
      <c r="L4132">
        <v>6241771.0899999999</v>
      </c>
      <c r="M4132">
        <v>770941.18</v>
      </c>
      <c r="N4132" s="2" t="s">
        <v>193</v>
      </c>
      <c r="O4132" s="2" t="s">
        <v>194</v>
      </c>
      <c r="P4132" s="2" t="s">
        <v>7124</v>
      </c>
      <c r="Q4132" s="2" t="s">
        <v>7125</v>
      </c>
      <c r="R4132" s="2" t="s">
        <v>29</v>
      </c>
      <c r="S4132" s="2" t="s">
        <v>30</v>
      </c>
    </row>
    <row r="4133" spans="1:19">
      <c r="A4133" s="1">
        <v>45962</v>
      </c>
      <c r="B4133" s="1">
        <v>45962</v>
      </c>
      <c r="C4133">
        <v>2025</v>
      </c>
      <c r="D4133">
        <v>11</v>
      </c>
      <c r="E4133" s="2" t="s">
        <v>197</v>
      </c>
      <c r="F4133" s="2" t="s">
        <v>198</v>
      </c>
      <c r="G4133" s="2" t="s">
        <v>185</v>
      </c>
      <c r="H4133" s="2" t="s">
        <v>22</v>
      </c>
      <c r="I4133" s="2" t="s">
        <v>186</v>
      </c>
      <c r="J4133" s="2" t="s">
        <v>59</v>
      </c>
      <c r="K4133">
        <v>3527.1</v>
      </c>
      <c r="L4133">
        <v>11864143.199999999</v>
      </c>
      <c r="M4133">
        <v>336371.05</v>
      </c>
      <c r="N4133" s="2" t="s">
        <v>199</v>
      </c>
      <c r="O4133" s="2" t="s">
        <v>200</v>
      </c>
      <c r="P4133" s="2" t="s">
        <v>7126</v>
      </c>
      <c r="Q4133" s="2" t="s">
        <v>7127</v>
      </c>
      <c r="R4133" s="2" t="s">
        <v>29</v>
      </c>
      <c r="S4133" s="2" t="s">
        <v>30</v>
      </c>
    </row>
    <row r="4134" spans="1:19">
      <c r="A4134" s="1">
        <v>45962</v>
      </c>
      <c r="B4134" s="1">
        <v>45962</v>
      </c>
      <c r="C4134">
        <v>2025</v>
      </c>
      <c r="D4134">
        <v>11</v>
      </c>
      <c r="E4134" s="2" t="s">
        <v>203</v>
      </c>
      <c r="F4134" s="2" t="s">
        <v>204</v>
      </c>
      <c r="G4134" s="2" t="s">
        <v>39</v>
      </c>
      <c r="H4134" s="2" t="s">
        <v>22</v>
      </c>
      <c r="I4134" s="2" t="s">
        <v>40</v>
      </c>
      <c r="J4134" s="2" t="s">
        <v>24</v>
      </c>
      <c r="K4134">
        <v>1048.96</v>
      </c>
      <c r="L4134">
        <v>27357.69</v>
      </c>
      <c r="M4134">
        <v>2608.08</v>
      </c>
      <c r="N4134" s="2" t="s">
        <v>205</v>
      </c>
      <c r="O4134" s="2" t="s">
        <v>206</v>
      </c>
      <c r="P4134" s="2" t="s">
        <v>7128</v>
      </c>
      <c r="Q4134" s="2" t="s">
        <v>7129</v>
      </c>
      <c r="R4134" s="2" t="s">
        <v>29</v>
      </c>
      <c r="S4134" s="2" t="s">
        <v>30</v>
      </c>
    </row>
    <row r="4135" spans="1:19">
      <c r="A4135" s="1">
        <v>45962</v>
      </c>
      <c r="B4135" s="1">
        <v>45962</v>
      </c>
      <c r="C4135">
        <v>2025</v>
      </c>
      <c r="D4135">
        <v>11</v>
      </c>
      <c r="E4135" s="2" t="s">
        <v>209</v>
      </c>
      <c r="F4135" s="2" t="s">
        <v>210</v>
      </c>
      <c r="G4135" s="2" t="s">
        <v>39</v>
      </c>
      <c r="H4135" s="2" t="s">
        <v>22</v>
      </c>
      <c r="I4135" s="2" t="s">
        <v>40</v>
      </c>
      <c r="J4135" s="2" t="s">
        <v>59</v>
      </c>
      <c r="K4135">
        <v>1048.96</v>
      </c>
      <c r="L4135">
        <v>27357.69</v>
      </c>
      <c r="M4135">
        <v>2608.08</v>
      </c>
      <c r="N4135" s="2" t="s">
        <v>211</v>
      </c>
      <c r="O4135" s="2" t="s">
        <v>212</v>
      </c>
      <c r="P4135" s="2" t="s">
        <v>7128</v>
      </c>
      <c r="Q4135" s="2" t="s">
        <v>7129</v>
      </c>
      <c r="R4135" s="2" t="s">
        <v>29</v>
      </c>
      <c r="S4135" s="2" t="s">
        <v>30</v>
      </c>
    </row>
    <row r="4136" spans="1:19">
      <c r="A4136" s="1">
        <v>45962</v>
      </c>
      <c r="B4136" s="1">
        <v>45962</v>
      </c>
      <c r="C4136">
        <v>2025</v>
      </c>
      <c r="D4136">
        <v>11</v>
      </c>
      <c r="E4136" s="2" t="s">
        <v>213</v>
      </c>
      <c r="F4136" s="2" t="s">
        <v>214</v>
      </c>
      <c r="G4136" s="2" t="s">
        <v>185</v>
      </c>
      <c r="H4136" s="2" t="s">
        <v>22</v>
      </c>
      <c r="I4136" s="2" t="s">
        <v>215</v>
      </c>
      <c r="J4136" s="2" t="s">
        <v>24</v>
      </c>
      <c r="K4136">
        <v>177480.21</v>
      </c>
      <c r="L4136">
        <v>3131721.74</v>
      </c>
      <c r="M4136">
        <v>1764.55</v>
      </c>
      <c r="N4136" s="2" t="s">
        <v>216</v>
      </c>
      <c r="O4136" s="2" t="s">
        <v>217</v>
      </c>
      <c r="P4136" s="2" t="s">
        <v>7130</v>
      </c>
      <c r="Q4136" s="2" t="s">
        <v>7131</v>
      </c>
      <c r="R4136" s="2" t="s">
        <v>29</v>
      </c>
      <c r="S4136" s="2" t="s">
        <v>30</v>
      </c>
    </row>
    <row r="4137" spans="1:19">
      <c r="A4137" s="1">
        <v>45962</v>
      </c>
      <c r="B4137" s="1">
        <v>45962</v>
      </c>
      <c r="C4137">
        <v>2025</v>
      </c>
      <c r="D4137">
        <v>11</v>
      </c>
      <c r="E4137" s="2" t="s">
        <v>220</v>
      </c>
      <c r="F4137" s="2" t="s">
        <v>221</v>
      </c>
      <c r="G4137" s="2" t="s">
        <v>185</v>
      </c>
      <c r="H4137" s="2" t="s">
        <v>22</v>
      </c>
      <c r="I4137" s="2" t="s">
        <v>215</v>
      </c>
      <c r="J4137" s="2" t="s">
        <v>24</v>
      </c>
      <c r="K4137">
        <v>10306.94</v>
      </c>
      <c r="L4137">
        <v>637681.49</v>
      </c>
      <c r="M4137">
        <v>6186.91</v>
      </c>
      <c r="N4137" s="2" t="s">
        <v>222</v>
      </c>
      <c r="O4137" s="2" t="s">
        <v>223</v>
      </c>
      <c r="P4137" s="2" t="s">
        <v>7132</v>
      </c>
      <c r="Q4137" s="2" t="s">
        <v>7133</v>
      </c>
      <c r="R4137" s="2" t="s">
        <v>29</v>
      </c>
      <c r="S4137" s="2" t="s">
        <v>30</v>
      </c>
    </row>
    <row r="4138" spans="1:19">
      <c r="A4138" s="1">
        <v>45962</v>
      </c>
      <c r="B4138" s="1">
        <v>45962</v>
      </c>
      <c r="C4138">
        <v>2025</v>
      </c>
      <c r="D4138">
        <v>11</v>
      </c>
      <c r="E4138" s="2" t="s">
        <v>226</v>
      </c>
      <c r="F4138" s="2" t="s">
        <v>227</v>
      </c>
      <c r="G4138" s="2" t="s">
        <v>185</v>
      </c>
      <c r="H4138" s="2" t="s">
        <v>22</v>
      </c>
      <c r="I4138" s="2" t="s">
        <v>215</v>
      </c>
      <c r="J4138" s="2" t="s">
        <v>59</v>
      </c>
      <c r="K4138">
        <v>187787.15</v>
      </c>
      <c r="L4138">
        <v>3769403.23</v>
      </c>
      <c r="M4138">
        <v>2007.27</v>
      </c>
      <c r="N4138" s="2" t="s">
        <v>228</v>
      </c>
      <c r="O4138" s="2" t="s">
        <v>229</v>
      </c>
      <c r="P4138" s="2" t="s">
        <v>7134</v>
      </c>
      <c r="Q4138" s="2" t="s">
        <v>7135</v>
      </c>
      <c r="R4138" s="2" t="s">
        <v>29</v>
      </c>
      <c r="S4138" s="2" t="s">
        <v>30</v>
      </c>
    </row>
    <row r="4139" spans="1:19">
      <c r="A4139" s="1">
        <v>45962</v>
      </c>
      <c r="B4139" s="1">
        <v>45962</v>
      </c>
      <c r="C4139">
        <v>2025</v>
      </c>
      <c r="D4139">
        <v>11</v>
      </c>
      <c r="E4139" s="2" t="s">
        <v>232</v>
      </c>
      <c r="F4139" s="2" t="s">
        <v>233</v>
      </c>
      <c r="G4139" s="2" t="s">
        <v>21</v>
      </c>
      <c r="H4139" s="2" t="s">
        <v>22</v>
      </c>
      <c r="I4139" s="2" t="s">
        <v>23</v>
      </c>
      <c r="J4139" s="2" t="s">
        <v>24</v>
      </c>
      <c r="K4139">
        <v>1690.81</v>
      </c>
      <c r="L4139">
        <v>163207.76</v>
      </c>
      <c r="M4139">
        <v>9652.64</v>
      </c>
      <c r="N4139" s="2" t="s">
        <v>234</v>
      </c>
      <c r="O4139" s="2" t="s">
        <v>235</v>
      </c>
      <c r="P4139" s="2" t="s">
        <v>7136</v>
      </c>
      <c r="Q4139" s="2" t="s">
        <v>7137</v>
      </c>
      <c r="R4139" s="2" t="s">
        <v>29</v>
      </c>
      <c r="S4139" s="2" t="s">
        <v>30</v>
      </c>
    </row>
    <row r="4140" spans="1:19">
      <c r="A4140" s="1">
        <v>45962</v>
      </c>
      <c r="B4140" s="1">
        <v>45962</v>
      </c>
      <c r="C4140">
        <v>2025</v>
      </c>
      <c r="D4140">
        <v>11</v>
      </c>
      <c r="E4140" s="2" t="s">
        <v>238</v>
      </c>
      <c r="F4140" s="2" t="s">
        <v>239</v>
      </c>
      <c r="G4140" s="2" t="s">
        <v>21</v>
      </c>
      <c r="H4140" s="2" t="s">
        <v>22</v>
      </c>
      <c r="I4140" s="2" t="s">
        <v>66</v>
      </c>
      <c r="J4140" s="2" t="s">
        <v>24</v>
      </c>
      <c r="K4140">
        <v>1835.73</v>
      </c>
      <c r="L4140">
        <v>225516.61</v>
      </c>
      <c r="M4140">
        <v>12284.85</v>
      </c>
      <c r="N4140" s="2" t="s">
        <v>240</v>
      </c>
      <c r="O4140" s="2" t="s">
        <v>241</v>
      </c>
      <c r="P4140" s="2" t="s">
        <v>7138</v>
      </c>
      <c r="Q4140" s="2" t="s">
        <v>7139</v>
      </c>
      <c r="R4140" s="2" t="s">
        <v>29</v>
      </c>
      <c r="S4140" s="2" t="s">
        <v>30</v>
      </c>
    </row>
    <row r="4141" spans="1:19">
      <c r="A4141" s="1">
        <v>45962</v>
      </c>
      <c r="B4141" s="1">
        <v>45962</v>
      </c>
      <c r="C4141">
        <v>2025</v>
      </c>
      <c r="D4141">
        <v>11</v>
      </c>
      <c r="E4141" s="2" t="s">
        <v>244</v>
      </c>
      <c r="F4141" s="2" t="s">
        <v>245</v>
      </c>
      <c r="G4141" s="2" t="s">
        <v>21</v>
      </c>
      <c r="H4141" s="2" t="s">
        <v>22</v>
      </c>
      <c r="I4141" s="2" t="s">
        <v>23</v>
      </c>
      <c r="J4141" s="2" t="s">
        <v>24</v>
      </c>
      <c r="K4141">
        <v>8175.04</v>
      </c>
      <c r="L4141">
        <v>3834099.39</v>
      </c>
      <c r="M4141">
        <v>46900.07</v>
      </c>
      <c r="N4141" s="2" t="s">
        <v>246</v>
      </c>
      <c r="O4141" s="2" t="s">
        <v>247</v>
      </c>
      <c r="P4141" s="2" t="s">
        <v>7140</v>
      </c>
      <c r="Q4141" s="2" t="s">
        <v>7141</v>
      </c>
      <c r="R4141" s="2" t="s">
        <v>29</v>
      </c>
      <c r="S4141" s="2" t="s">
        <v>30</v>
      </c>
    </row>
    <row r="4142" spans="1:19">
      <c r="A4142" s="1">
        <v>45962</v>
      </c>
      <c r="B4142" s="1">
        <v>45962</v>
      </c>
      <c r="C4142">
        <v>2025</v>
      </c>
      <c r="D4142">
        <v>11</v>
      </c>
      <c r="E4142" s="2" t="s">
        <v>250</v>
      </c>
      <c r="F4142" s="2" t="s">
        <v>251</v>
      </c>
      <c r="G4142" s="2" t="s">
        <v>21</v>
      </c>
      <c r="H4142" s="2" t="s">
        <v>22</v>
      </c>
      <c r="I4142" s="2" t="s">
        <v>66</v>
      </c>
      <c r="J4142" s="2" t="s">
        <v>24</v>
      </c>
      <c r="K4142">
        <v>132.03</v>
      </c>
      <c r="L4142">
        <v>178.11</v>
      </c>
      <c r="M4142">
        <v>134.9</v>
      </c>
      <c r="N4142" s="2" t="s">
        <v>252</v>
      </c>
      <c r="O4142" s="2" t="s">
        <v>253</v>
      </c>
      <c r="P4142" s="2" t="s">
        <v>7142</v>
      </c>
      <c r="Q4142" s="2" t="s">
        <v>7143</v>
      </c>
      <c r="R4142" s="2" t="s">
        <v>29</v>
      </c>
      <c r="S4142" s="2" t="s">
        <v>30</v>
      </c>
    </row>
    <row r="4143" spans="1:19">
      <c r="A4143" s="1">
        <v>45962</v>
      </c>
      <c r="B4143" s="1">
        <v>45962</v>
      </c>
      <c r="C4143">
        <v>2025</v>
      </c>
      <c r="D4143">
        <v>11</v>
      </c>
      <c r="E4143" s="2" t="s">
        <v>256</v>
      </c>
      <c r="F4143" s="2" t="s">
        <v>257</v>
      </c>
      <c r="G4143" s="2" t="s">
        <v>21</v>
      </c>
      <c r="H4143" s="2" t="s">
        <v>22</v>
      </c>
      <c r="I4143" s="2" t="s">
        <v>258</v>
      </c>
      <c r="J4143" s="2" t="s">
        <v>24</v>
      </c>
      <c r="K4143">
        <v>448.6</v>
      </c>
      <c r="L4143">
        <v>570250.88</v>
      </c>
      <c r="M4143">
        <v>127117.9</v>
      </c>
      <c r="N4143" s="2" t="s">
        <v>259</v>
      </c>
      <c r="O4143" s="2" t="s">
        <v>260</v>
      </c>
      <c r="P4143" s="2" t="s">
        <v>7144</v>
      </c>
      <c r="Q4143" s="2" t="s">
        <v>7145</v>
      </c>
      <c r="R4143" s="2" t="s">
        <v>29</v>
      </c>
      <c r="S4143" s="2" t="s">
        <v>30</v>
      </c>
    </row>
    <row r="4144" spans="1:19">
      <c r="A4144" s="1">
        <v>45962</v>
      </c>
      <c r="B4144" s="1">
        <v>45962</v>
      </c>
      <c r="C4144">
        <v>2025</v>
      </c>
      <c r="D4144">
        <v>11</v>
      </c>
      <c r="E4144" s="2" t="s">
        <v>263</v>
      </c>
      <c r="F4144" s="2" t="s">
        <v>264</v>
      </c>
      <c r="G4144" s="2" t="s">
        <v>21</v>
      </c>
      <c r="H4144" s="2" t="s">
        <v>22</v>
      </c>
      <c r="I4144" s="2" t="s">
        <v>258</v>
      </c>
      <c r="J4144" s="2" t="s">
        <v>24</v>
      </c>
      <c r="K4144">
        <v>0</v>
      </c>
      <c r="L4144">
        <v>0</v>
      </c>
      <c r="N4144" s="2" t="s">
        <v>265</v>
      </c>
      <c r="O4144" s="2" t="s">
        <v>266</v>
      </c>
      <c r="P4144" s="2" t="s">
        <v>639</v>
      </c>
      <c r="Q4144" s="2" t="s">
        <v>639</v>
      </c>
      <c r="R4144" s="2" t="s">
        <v>29</v>
      </c>
      <c r="S4144" s="2" t="s">
        <v>30</v>
      </c>
    </row>
    <row r="4145" spans="1:19">
      <c r="A4145" s="1">
        <v>45962</v>
      </c>
      <c r="B4145" s="1">
        <v>45962</v>
      </c>
      <c r="C4145">
        <v>2025</v>
      </c>
      <c r="D4145">
        <v>11</v>
      </c>
      <c r="E4145" s="2" t="s">
        <v>269</v>
      </c>
      <c r="F4145" s="2" t="s">
        <v>270</v>
      </c>
      <c r="G4145" s="2" t="s">
        <v>21</v>
      </c>
      <c r="H4145" s="2" t="s">
        <v>22</v>
      </c>
      <c r="I4145" s="2" t="s">
        <v>258</v>
      </c>
      <c r="J4145" s="2" t="s">
        <v>59</v>
      </c>
      <c r="K4145">
        <v>448.6</v>
      </c>
      <c r="L4145">
        <v>570250.88</v>
      </c>
      <c r="M4145">
        <v>127117.9</v>
      </c>
      <c r="N4145" s="2" t="s">
        <v>271</v>
      </c>
      <c r="O4145" s="2" t="s">
        <v>272</v>
      </c>
      <c r="P4145" s="2" t="s">
        <v>7144</v>
      </c>
      <c r="Q4145" s="2" t="s">
        <v>7145</v>
      </c>
      <c r="R4145" s="2" t="s">
        <v>29</v>
      </c>
      <c r="S4145" s="2" t="s">
        <v>30</v>
      </c>
    </row>
    <row r="4146" spans="1:19">
      <c r="A4146" s="1">
        <v>45962</v>
      </c>
      <c r="B4146" s="1">
        <v>45962</v>
      </c>
      <c r="C4146">
        <v>2025</v>
      </c>
      <c r="D4146">
        <v>11</v>
      </c>
      <c r="E4146" s="2" t="s">
        <v>275</v>
      </c>
      <c r="F4146" s="2" t="s">
        <v>276</v>
      </c>
      <c r="G4146" s="2" t="s">
        <v>39</v>
      </c>
      <c r="H4146" s="2" t="s">
        <v>22</v>
      </c>
      <c r="I4146" s="2" t="s">
        <v>40</v>
      </c>
      <c r="J4146" s="2" t="s">
        <v>24</v>
      </c>
      <c r="K4146">
        <v>0.12</v>
      </c>
      <c r="L4146">
        <v>1.99</v>
      </c>
      <c r="M4146">
        <v>1658.33</v>
      </c>
      <c r="N4146" s="2" t="s">
        <v>277</v>
      </c>
      <c r="O4146" s="2" t="s">
        <v>278</v>
      </c>
      <c r="P4146" s="2" t="s">
        <v>1547</v>
      </c>
      <c r="Q4146" s="2" t="s">
        <v>7146</v>
      </c>
      <c r="R4146" s="2" t="s">
        <v>29</v>
      </c>
      <c r="S4146" s="2" t="s">
        <v>30</v>
      </c>
    </row>
    <row r="4147" spans="1:19">
      <c r="A4147" s="1">
        <v>45962</v>
      </c>
      <c r="B4147" s="1">
        <v>45962</v>
      </c>
      <c r="C4147">
        <v>2025</v>
      </c>
      <c r="D4147">
        <v>11</v>
      </c>
      <c r="E4147" s="2" t="s">
        <v>281</v>
      </c>
      <c r="F4147" s="2" t="s">
        <v>282</v>
      </c>
      <c r="G4147" s="2" t="s">
        <v>39</v>
      </c>
      <c r="H4147" s="2" t="s">
        <v>22</v>
      </c>
      <c r="I4147" s="2" t="s">
        <v>40</v>
      </c>
      <c r="J4147" s="2" t="s">
        <v>24</v>
      </c>
      <c r="K4147">
        <v>0.02</v>
      </c>
      <c r="L4147">
        <v>0.26</v>
      </c>
      <c r="M4147">
        <v>1300</v>
      </c>
      <c r="N4147" s="2" t="s">
        <v>283</v>
      </c>
      <c r="O4147" s="2" t="s">
        <v>284</v>
      </c>
      <c r="P4147" s="2" t="s">
        <v>1039</v>
      </c>
      <c r="Q4147" s="2" t="s">
        <v>1941</v>
      </c>
      <c r="R4147" s="2" t="s">
        <v>29</v>
      </c>
      <c r="S4147" s="2" t="s">
        <v>30</v>
      </c>
    </row>
    <row r="4148" spans="1:19">
      <c r="A4148" s="1">
        <v>45962</v>
      </c>
      <c r="B4148" s="1">
        <v>45962</v>
      </c>
      <c r="C4148">
        <v>2025</v>
      </c>
      <c r="D4148">
        <v>11</v>
      </c>
      <c r="E4148" s="2" t="s">
        <v>287</v>
      </c>
      <c r="F4148" s="2" t="s">
        <v>288</v>
      </c>
      <c r="G4148" s="2" t="s">
        <v>39</v>
      </c>
      <c r="H4148" s="2" t="s">
        <v>22</v>
      </c>
      <c r="I4148" s="2" t="s">
        <v>40</v>
      </c>
      <c r="J4148" s="2" t="s">
        <v>59</v>
      </c>
      <c r="K4148">
        <v>0.14000000000000001</v>
      </c>
      <c r="L4148">
        <v>2.25</v>
      </c>
      <c r="M4148">
        <v>1607.14</v>
      </c>
      <c r="N4148" s="2" t="s">
        <v>289</v>
      </c>
      <c r="O4148" s="2" t="s">
        <v>290</v>
      </c>
      <c r="P4148" s="2" t="s">
        <v>1187</v>
      </c>
      <c r="Q4148" s="2" t="s">
        <v>3516</v>
      </c>
      <c r="R4148" s="2" t="s">
        <v>29</v>
      </c>
      <c r="S4148" s="2" t="s">
        <v>30</v>
      </c>
    </row>
    <row r="4149" spans="1:19">
      <c r="A4149" s="1">
        <v>45962</v>
      </c>
      <c r="B4149" s="1">
        <v>45962</v>
      </c>
      <c r="C4149">
        <v>2025</v>
      </c>
      <c r="D4149">
        <v>11</v>
      </c>
      <c r="E4149" s="2" t="s">
        <v>293</v>
      </c>
      <c r="F4149" s="2" t="s">
        <v>294</v>
      </c>
      <c r="G4149" s="2" t="s">
        <v>21</v>
      </c>
      <c r="H4149" s="2" t="s">
        <v>22</v>
      </c>
      <c r="I4149" s="2" t="s">
        <v>295</v>
      </c>
      <c r="J4149" s="2" t="s">
        <v>24</v>
      </c>
      <c r="K4149">
        <v>943.66</v>
      </c>
      <c r="L4149">
        <v>4009.56</v>
      </c>
      <c r="M4149">
        <v>424.89</v>
      </c>
      <c r="N4149" s="2" t="s">
        <v>296</v>
      </c>
      <c r="O4149" s="2" t="s">
        <v>297</v>
      </c>
      <c r="P4149" s="2" t="s">
        <v>7147</v>
      </c>
      <c r="Q4149" s="2" t="s">
        <v>7148</v>
      </c>
      <c r="R4149" s="2" t="s">
        <v>29</v>
      </c>
      <c r="S4149" s="2" t="s">
        <v>30</v>
      </c>
    </row>
    <row r="4150" spans="1:19">
      <c r="A4150" s="1">
        <v>45962</v>
      </c>
      <c r="B4150" s="1">
        <v>45962</v>
      </c>
      <c r="C4150">
        <v>2025</v>
      </c>
      <c r="D4150">
        <v>11</v>
      </c>
      <c r="E4150" s="2" t="s">
        <v>300</v>
      </c>
      <c r="F4150" s="2" t="s">
        <v>301</v>
      </c>
      <c r="G4150" s="2" t="s">
        <v>21</v>
      </c>
      <c r="H4150" s="2" t="s">
        <v>22</v>
      </c>
      <c r="I4150" s="2" t="s">
        <v>295</v>
      </c>
      <c r="J4150" s="2" t="s">
        <v>24</v>
      </c>
      <c r="K4150">
        <v>682.35</v>
      </c>
      <c r="L4150">
        <v>1364.66</v>
      </c>
      <c r="M4150">
        <v>199.99</v>
      </c>
      <c r="N4150" s="2" t="s">
        <v>302</v>
      </c>
      <c r="O4150" s="2" t="s">
        <v>303</v>
      </c>
      <c r="P4150" s="2" t="s">
        <v>7149</v>
      </c>
      <c r="Q4150" s="2" t="s">
        <v>7150</v>
      </c>
      <c r="R4150" s="2" t="s">
        <v>29</v>
      </c>
      <c r="S4150" s="2" t="s">
        <v>30</v>
      </c>
    </row>
    <row r="4151" spans="1:19">
      <c r="A4151" s="1">
        <v>45962</v>
      </c>
      <c r="B4151" s="1">
        <v>45962</v>
      </c>
      <c r="C4151">
        <v>2025</v>
      </c>
      <c r="D4151">
        <v>11</v>
      </c>
      <c r="E4151" s="2" t="s">
        <v>306</v>
      </c>
      <c r="F4151" s="2" t="s">
        <v>307</v>
      </c>
      <c r="G4151" s="2" t="s">
        <v>21</v>
      </c>
      <c r="H4151" s="2" t="s">
        <v>22</v>
      </c>
      <c r="I4151" s="2" t="s">
        <v>295</v>
      </c>
      <c r="J4151" s="2" t="s">
        <v>101</v>
      </c>
      <c r="K4151">
        <v>1626.02</v>
      </c>
      <c r="L4151">
        <v>5374.22</v>
      </c>
      <c r="M4151">
        <v>330.51</v>
      </c>
      <c r="N4151" s="2" t="s">
        <v>308</v>
      </c>
      <c r="O4151" s="2" t="s">
        <v>309</v>
      </c>
      <c r="P4151" s="2" t="s">
        <v>7151</v>
      </c>
      <c r="Q4151" s="2" t="s">
        <v>7152</v>
      </c>
      <c r="R4151" s="2" t="s">
        <v>29</v>
      </c>
      <c r="S4151" s="2" t="s">
        <v>30</v>
      </c>
    </row>
    <row r="4152" spans="1:19">
      <c r="A4152" s="1">
        <v>45962</v>
      </c>
      <c r="B4152" s="1">
        <v>45962</v>
      </c>
      <c r="C4152">
        <v>2025</v>
      </c>
      <c r="D4152">
        <v>11</v>
      </c>
      <c r="E4152" s="2" t="s">
        <v>312</v>
      </c>
      <c r="F4152" s="2" t="s">
        <v>313</v>
      </c>
      <c r="G4152" s="2" t="s">
        <v>21</v>
      </c>
      <c r="H4152" s="2" t="s">
        <v>22</v>
      </c>
      <c r="I4152" s="2" t="s">
        <v>295</v>
      </c>
      <c r="J4152" s="2" t="s">
        <v>59</v>
      </c>
      <c r="K4152">
        <v>8973.35</v>
      </c>
      <c r="L4152">
        <v>24638.84</v>
      </c>
      <c r="M4152">
        <v>274.58</v>
      </c>
      <c r="N4152" s="2" t="s">
        <v>314</v>
      </c>
      <c r="O4152" s="2" t="s">
        <v>315</v>
      </c>
      <c r="P4152" s="2" t="s">
        <v>7153</v>
      </c>
      <c r="Q4152" s="2" t="s">
        <v>7154</v>
      </c>
      <c r="R4152" s="2" t="s">
        <v>29</v>
      </c>
      <c r="S4152" s="2" t="s">
        <v>30</v>
      </c>
    </row>
    <row r="4153" spans="1:19">
      <c r="A4153" s="1">
        <v>45962</v>
      </c>
      <c r="B4153" s="1">
        <v>45962</v>
      </c>
      <c r="C4153">
        <v>2025</v>
      </c>
      <c r="D4153">
        <v>11</v>
      </c>
      <c r="E4153" s="2" t="s">
        <v>318</v>
      </c>
      <c r="F4153" s="2" t="s">
        <v>319</v>
      </c>
      <c r="G4153" s="2" t="s">
        <v>21</v>
      </c>
      <c r="H4153" s="2" t="s">
        <v>22</v>
      </c>
      <c r="I4153" s="2" t="s">
        <v>295</v>
      </c>
      <c r="J4153" s="2" t="s">
        <v>24</v>
      </c>
      <c r="K4153">
        <v>7347.33</v>
      </c>
      <c r="L4153">
        <v>19264.61</v>
      </c>
      <c r="M4153">
        <v>262.2</v>
      </c>
      <c r="N4153" s="2" t="s">
        <v>320</v>
      </c>
      <c r="O4153" s="2" t="s">
        <v>321</v>
      </c>
      <c r="P4153" s="2" t="s">
        <v>7155</v>
      </c>
      <c r="Q4153" s="2" t="s">
        <v>7156</v>
      </c>
      <c r="R4153" s="2" t="s">
        <v>29</v>
      </c>
      <c r="S4153" s="2" t="s">
        <v>30</v>
      </c>
    </row>
    <row r="4154" spans="1:19">
      <c r="A4154" s="1">
        <v>45962</v>
      </c>
      <c r="B4154" s="1">
        <v>45962</v>
      </c>
      <c r="C4154">
        <v>2025</v>
      </c>
      <c r="D4154">
        <v>11</v>
      </c>
      <c r="E4154" s="2" t="s">
        <v>324</v>
      </c>
      <c r="F4154" s="2" t="s">
        <v>325</v>
      </c>
      <c r="G4154" s="2" t="s">
        <v>21</v>
      </c>
      <c r="H4154" s="2" t="s">
        <v>22</v>
      </c>
      <c r="I4154" s="2" t="s">
        <v>23</v>
      </c>
      <c r="J4154" s="2" t="s">
        <v>59</v>
      </c>
      <c r="K4154">
        <v>221600.52</v>
      </c>
      <c r="L4154">
        <v>7313610.2800000003</v>
      </c>
      <c r="M4154">
        <v>3300.36</v>
      </c>
      <c r="N4154" s="2" t="s">
        <v>326</v>
      </c>
      <c r="O4154" s="2" t="s">
        <v>327</v>
      </c>
      <c r="P4154" s="2" t="s">
        <v>7157</v>
      </c>
      <c r="Q4154" s="2" t="s">
        <v>7158</v>
      </c>
      <c r="R4154" s="2" t="s">
        <v>29</v>
      </c>
      <c r="S4154" s="2" t="s">
        <v>30</v>
      </c>
    </row>
    <row r="4155" spans="1:19">
      <c r="A4155" s="1">
        <v>45962</v>
      </c>
      <c r="B4155" s="1">
        <v>45962</v>
      </c>
      <c r="C4155">
        <v>2025</v>
      </c>
      <c r="D4155">
        <v>11</v>
      </c>
      <c r="E4155" s="2" t="s">
        <v>330</v>
      </c>
      <c r="F4155" s="2" t="s">
        <v>331</v>
      </c>
      <c r="G4155" s="2" t="s">
        <v>21</v>
      </c>
      <c r="H4155" s="2" t="s">
        <v>332</v>
      </c>
      <c r="I4155" s="2" t="s">
        <v>333</v>
      </c>
      <c r="J4155" s="2" t="s">
        <v>24</v>
      </c>
      <c r="K4155">
        <v>283.75</v>
      </c>
      <c r="L4155">
        <v>15505696.439999999</v>
      </c>
      <c r="M4155">
        <v>5464562.6200000001</v>
      </c>
      <c r="N4155" s="2" t="s">
        <v>334</v>
      </c>
      <c r="O4155" s="2" t="s">
        <v>335</v>
      </c>
      <c r="P4155" s="2" t="s">
        <v>7159</v>
      </c>
      <c r="Q4155" s="2" t="s">
        <v>7160</v>
      </c>
      <c r="R4155" s="2" t="s">
        <v>29</v>
      </c>
      <c r="S4155" s="2" t="s">
        <v>30</v>
      </c>
    </row>
    <row r="4156" spans="1:19">
      <c r="A4156" s="1">
        <v>45962</v>
      </c>
      <c r="B4156" s="1">
        <v>45962</v>
      </c>
      <c r="C4156">
        <v>2025</v>
      </c>
      <c r="D4156">
        <v>11</v>
      </c>
      <c r="E4156" s="2" t="s">
        <v>338</v>
      </c>
      <c r="F4156" s="2" t="s">
        <v>339</v>
      </c>
      <c r="G4156" s="2" t="s">
        <v>21</v>
      </c>
      <c r="H4156" s="2" t="s">
        <v>332</v>
      </c>
      <c r="I4156" s="2" t="s">
        <v>333</v>
      </c>
      <c r="J4156" s="2" t="s">
        <v>24</v>
      </c>
      <c r="K4156">
        <v>1.1399999999999999</v>
      </c>
      <c r="L4156">
        <v>1375908.07</v>
      </c>
      <c r="M4156">
        <v>120693690.34999999</v>
      </c>
      <c r="N4156" s="2" t="s">
        <v>340</v>
      </c>
      <c r="O4156" s="2" t="s">
        <v>341</v>
      </c>
      <c r="P4156" s="2" t="s">
        <v>2133</v>
      </c>
      <c r="Q4156" s="2" t="s">
        <v>7161</v>
      </c>
      <c r="R4156" s="2" t="s">
        <v>29</v>
      </c>
      <c r="S4156" s="2" t="s">
        <v>30</v>
      </c>
    </row>
    <row r="4157" spans="1:19">
      <c r="A4157" s="1">
        <v>45962</v>
      </c>
      <c r="B4157" s="1">
        <v>45962</v>
      </c>
      <c r="C4157">
        <v>2025</v>
      </c>
      <c r="D4157">
        <v>11</v>
      </c>
      <c r="E4157" s="2" t="s">
        <v>344</v>
      </c>
      <c r="F4157" s="2" t="s">
        <v>345</v>
      </c>
      <c r="G4157" s="2" t="s">
        <v>21</v>
      </c>
      <c r="H4157" s="2" t="s">
        <v>332</v>
      </c>
      <c r="I4157" s="2" t="s">
        <v>333</v>
      </c>
      <c r="J4157" s="2" t="s">
        <v>59</v>
      </c>
      <c r="K4157">
        <v>284.89</v>
      </c>
      <c r="L4157">
        <v>16881604.510000002</v>
      </c>
      <c r="M4157">
        <v>5925657.0999999996</v>
      </c>
      <c r="N4157" s="2" t="s">
        <v>346</v>
      </c>
      <c r="O4157" s="2" t="s">
        <v>347</v>
      </c>
      <c r="P4157" s="2" t="s">
        <v>7162</v>
      </c>
      <c r="Q4157" s="2" t="s">
        <v>7163</v>
      </c>
      <c r="R4157" s="2" t="s">
        <v>29</v>
      </c>
      <c r="S4157" s="2" t="s">
        <v>30</v>
      </c>
    </row>
    <row r="4158" spans="1:19">
      <c r="A4158" s="1">
        <v>45962</v>
      </c>
      <c r="B4158" s="1">
        <v>45962</v>
      </c>
      <c r="C4158">
        <v>2025</v>
      </c>
      <c r="D4158">
        <v>11</v>
      </c>
      <c r="E4158" s="2" t="s">
        <v>350</v>
      </c>
      <c r="F4158" s="2" t="s">
        <v>351</v>
      </c>
      <c r="G4158" s="2" t="s">
        <v>21</v>
      </c>
      <c r="H4158" s="2" t="s">
        <v>22</v>
      </c>
      <c r="I4158" s="2" t="s">
        <v>352</v>
      </c>
      <c r="J4158" s="2" t="s">
        <v>353</v>
      </c>
      <c r="K4158">
        <v>238887.74</v>
      </c>
      <c r="L4158">
        <v>24669099.539999999</v>
      </c>
      <c r="M4158">
        <v>10326.65</v>
      </c>
      <c r="N4158" s="2" t="s">
        <v>354</v>
      </c>
      <c r="O4158" s="2" t="s">
        <v>355</v>
      </c>
      <c r="P4158" s="2" t="s">
        <v>7164</v>
      </c>
      <c r="Q4158" s="2" t="s">
        <v>7165</v>
      </c>
      <c r="R4158" s="2" t="s">
        <v>29</v>
      </c>
      <c r="S4158" s="2" t="s">
        <v>30</v>
      </c>
    </row>
    <row r="4159" spans="1:19">
      <c r="A4159" s="1">
        <v>45962</v>
      </c>
      <c r="B4159" s="1">
        <v>45962</v>
      </c>
      <c r="C4159">
        <v>2025</v>
      </c>
      <c r="D4159">
        <v>11</v>
      </c>
      <c r="E4159" s="2" t="s">
        <v>358</v>
      </c>
      <c r="F4159" s="2" t="s">
        <v>359</v>
      </c>
      <c r="G4159" s="2" t="s">
        <v>21</v>
      </c>
      <c r="H4159" s="2" t="s">
        <v>22</v>
      </c>
      <c r="I4159" s="2" t="s">
        <v>352</v>
      </c>
      <c r="J4159" s="2" t="s">
        <v>353</v>
      </c>
      <c r="K4159">
        <v>239336.34</v>
      </c>
      <c r="L4159">
        <v>25239350.420000002</v>
      </c>
      <c r="M4159">
        <v>10545.56</v>
      </c>
      <c r="N4159" s="2" t="s">
        <v>360</v>
      </c>
      <c r="O4159" s="2" t="s">
        <v>361</v>
      </c>
      <c r="P4159" s="2" t="s">
        <v>7166</v>
      </c>
      <c r="Q4159" s="2" t="s">
        <v>7167</v>
      </c>
      <c r="R4159" s="2" t="s">
        <v>29</v>
      </c>
      <c r="S4159" s="2" t="s">
        <v>30</v>
      </c>
    </row>
    <row r="4160" spans="1:19">
      <c r="A4160" s="1">
        <v>45962</v>
      </c>
      <c r="B4160" s="1">
        <v>45962</v>
      </c>
      <c r="C4160">
        <v>2025</v>
      </c>
      <c r="D4160">
        <v>11</v>
      </c>
      <c r="E4160" s="2" t="s">
        <v>364</v>
      </c>
      <c r="F4160" s="2" t="s">
        <v>365</v>
      </c>
      <c r="G4160" s="2" t="s">
        <v>21</v>
      </c>
      <c r="H4160" s="2" t="s">
        <v>22</v>
      </c>
      <c r="I4160" s="2" t="s">
        <v>352</v>
      </c>
      <c r="J4160" s="2" t="s">
        <v>353</v>
      </c>
      <c r="K4160">
        <v>239051.46</v>
      </c>
      <c r="L4160">
        <v>8357745.9100000001</v>
      </c>
      <c r="M4160">
        <v>3496.21</v>
      </c>
      <c r="N4160" s="2" t="s">
        <v>366</v>
      </c>
      <c r="O4160" s="2" t="s">
        <v>367</v>
      </c>
      <c r="P4160" s="2" t="s">
        <v>7168</v>
      </c>
      <c r="Q4160" s="2" t="s">
        <v>7169</v>
      </c>
      <c r="R4160" s="2" t="s">
        <v>29</v>
      </c>
      <c r="S4160" s="2" t="s">
        <v>30</v>
      </c>
    </row>
    <row r="4161" spans="1:19">
      <c r="A4161" s="1">
        <v>45962</v>
      </c>
      <c r="B4161" s="1">
        <v>45962</v>
      </c>
      <c r="C4161">
        <v>2025</v>
      </c>
      <c r="D4161">
        <v>11</v>
      </c>
      <c r="E4161" s="2" t="s">
        <v>370</v>
      </c>
      <c r="F4161" s="2" t="s">
        <v>371</v>
      </c>
      <c r="G4161" s="2" t="s">
        <v>21</v>
      </c>
      <c r="H4161" s="2" t="s">
        <v>22</v>
      </c>
      <c r="I4161" s="2" t="s">
        <v>23</v>
      </c>
      <c r="J4161" s="2" t="s">
        <v>24</v>
      </c>
      <c r="K4161">
        <v>204669.79</v>
      </c>
      <c r="L4161">
        <v>2631632.64</v>
      </c>
      <c r="M4161">
        <v>1285.79</v>
      </c>
      <c r="N4161" s="2" t="s">
        <v>372</v>
      </c>
      <c r="O4161" s="2" t="s">
        <v>373</v>
      </c>
      <c r="P4161" s="2" t="s">
        <v>7170</v>
      </c>
      <c r="Q4161" s="2" t="s">
        <v>7171</v>
      </c>
      <c r="R4161" s="2" t="s">
        <v>29</v>
      </c>
      <c r="S4161" s="2" t="s">
        <v>30</v>
      </c>
    </row>
    <row r="4162" spans="1:19">
      <c r="A4162" s="1">
        <v>45962</v>
      </c>
      <c r="B4162" s="1">
        <v>45962</v>
      </c>
      <c r="C4162">
        <v>2025</v>
      </c>
      <c r="D4162">
        <v>11</v>
      </c>
      <c r="E4162" s="2" t="s">
        <v>376</v>
      </c>
      <c r="F4162" s="2" t="s">
        <v>377</v>
      </c>
      <c r="G4162" s="2" t="s">
        <v>21</v>
      </c>
      <c r="H4162" s="2" t="s">
        <v>22</v>
      </c>
      <c r="I4162" s="2" t="s">
        <v>23</v>
      </c>
      <c r="J4162" s="2" t="s">
        <v>378</v>
      </c>
      <c r="K4162">
        <v>0.56000000000000005</v>
      </c>
      <c r="L4162">
        <v>6.56</v>
      </c>
      <c r="M4162">
        <v>1171.43</v>
      </c>
      <c r="N4162" s="2" t="s">
        <v>379</v>
      </c>
      <c r="O4162" s="2" t="s">
        <v>380</v>
      </c>
      <c r="P4162" s="2" t="s">
        <v>930</v>
      </c>
      <c r="Q4162" s="2" t="s">
        <v>7172</v>
      </c>
      <c r="R4162" s="2" t="s">
        <v>29</v>
      </c>
      <c r="S4162" s="2" t="s">
        <v>30</v>
      </c>
    </row>
    <row r="4163" spans="1:19">
      <c r="A4163" s="1">
        <v>45992</v>
      </c>
      <c r="B4163" s="1">
        <v>45992</v>
      </c>
      <c r="C4163">
        <v>2025</v>
      </c>
      <c r="D4163">
        <v>12</v>
      </c>
      <c r="E4163" s="2" t="s">
        <v>19</v>
      </c>
      <c r="F4163" s="2" t="s">
        <v>20</v>
      </c>
      <c r="G4163" s="2" t="s">
        <v>21</v>
      </c>
      <c r="H4163" s="2" t="s">
        <v>22</v>
      </c>
      <c r="I4163" s="2" t="s">
        <v>23</v>
      </c>
      <c r="J4163" s="2" t="s">
        <v>24</v>
      </c>
      <c r="K4163">
        <v>0.21</v>
      </c>
      <c r="L4163">
        <v>12.01</v>
      </c>
      <c r="M4163">
        <v>5719.05</v>
      </c>
      <c r="N4163" s="2" t="s">
        <v>25</v>
      </c>
      <c r="O4163" s="2" t="s">
        <v>26</v>
      </c>
      <c r="P4163" s="2" t="s">
        <v>403</v>
      </c>
      <c r="Q4163" s="2" t="s">
        <v>7173</v>
      </c>
      <c r="R4163" s="2" t="s">
        <v>29</v>
      </c>
      <c r="S4163" s="2" t="s">
        <v>30</v>
      </c>
    </row>
    <row r="4164" spans="1:19">
      <c r="A4164" s="1">
        <v>45992</v>
      </c>
      <c r="B4164" s="1">
        <v>45992</v>
      </c>
      <c r="C4164">
        <v>2025</v>
      </c>
      <c r="D4164">
        <v>12</v>
      </c>
      <c r="E4164" s="2" t="s">
        <v>31</v>
      </c>
      <c r="F4164" s="2" t="s">
        <v>32</v>
      </c>
      <c r="G4164" s="2" t="s">
        <v>21</v>
      </c>
      <c r="H4164" s="2" t="s">
        <v>22</v>
      </c>
      <c r="I4164" s="2" t="s">
        <v>23</v>
      </c>
      <c r="J4164" s="2" t="s">
        <v>24</v>
      </c>
      <c r="K4164">
        <v>2357.7800000000002</v>
      </c>
      <c r="L4164">
        <v>81224.039999999994</v>
      </c>
      <c r="M4164">
        <v>3444.94</v>
      </c>
      <c r="N4164" s="2" t="s">
        <v>33</v>
      </c>
      <c r="O4164" s="2" t="s">
        <v>34</v>
      </c>
      <c r="P4164" s="2" t="s">
        <v>7174</v>
      </c>
      <c r="Q4164" s="2" t="s">
        <v>7175</v>
      </c>
      <c r="R4164" s="2" t="s">
        <v>29</v>
      </c>
      <c r="S4164" s="2" t="s">
        <v>30</v>
      </c>
    </row>
    <row r="4165" spans="1:19">
      <c r="A4165" s="1">
        <v>45992</v>
      </c>
      <c r="B4165" s="1">
        <v>45992</v>
      </c>
      <c r="C4165">
        <v>2025</v>
      </c>
      <c r="D4165">
        <v>12</v>
      </c>
      <c r="E4165" s="2" t="s">
        <v>37</v>
      </c>
      <c r="F4165" s="2" t="s">
        <v>38</v>
      </c>
      <c r="G4165" s="2" t="s">
        <v>39</v>
      </c>
      <c r="H4165" s="2" t="s">
        <v>22</v>
      </c>
      <c r="I4165" s="2" t="s">
        <v>40</v>
      </c>
      <c r="J4165" s="2" t="s">
        <v>24</v>
      </c>
      <c r="K4165">
        <v>6.96</v>
      </c>
      <c r="L4165">
        <v>393.15</v>
      </c>
      <c r="M4165">
        <v>5648.71</v>
      </c>
      <c r="N4165" s="2" t="s">
        <v>41</v>
      </c>
      <c r="O4165" s="2" t="s">
        <v>42</v>
      </c>
      <c r="P4165" s="2" t="s">
        <v>7176</v>
      </c>
      <c r="Q4165" s="2" t="s">
        <v>7177</v>
      </c>
      <c r="R4165" s="2" t="s">
        <v>29</v>
      </c>
      <c r="S4165" s="2" t="s">
        <v>30</v>
      </c>
    </row>
    <row r="4166" spans="1:19">
      <c r="A4166" s="1">
        <v>45992</v>
      </c>
      <c r="B4166" s="1">
        <v>45992</v>
      </c>
      <c r="C4166">
        <v>2025</v>
      </c>
      <c r="D4166">
        <v>12</v>
      </c>
      <c r="E4166" s="2" t="s">
        <v>45</v>
      </c>
      <c r="F4166" s="2" t="s">
        <v>46</v>
      </c>
      <c r="G4166" s="2" t="s">
        <v>39</v>
      </c>
      <c r="H4166" s="2" t="s">
        <v>22</v>
      </c>
      <c r="I4166" s="2" t="s">
        <v>40</v>
      </c>
      <c r="J4166" s="2" t="s">
        <v>24</v>
      </c>
      <c r="K4166">
        <v>4444.0200000000004</v>
      </c>
      <c r="L4166">
        <v>238924.79999999999</v>
      </c>
      <c r="M4166">
        <v>5376.32</v>
      </c>
      <c r="N4166" s="2" t="s">
        <v>47</v>
      </c>
      <c r="O4166" s="2" t="s">
        <v>48</v>
      </c>
      <c r="P4166" s="2" t="s">
        <v>7178</v>
      </c>
      <c r="Q4166" s="2" t="s">
        <v>7179</v>
      </c>
      <c r="R4166" s="2" t="s">
        <v>29</v>
      </c>
      <c r="S4166" s="2" t="s">
        <v>30</v>
      </c>
    </row>
    <row r="4167" spans="1:19">
      <c r="A4167" s="1">
        <v>45992</v>
      </c>
      <c r="B4167" s="1">
        <v>45992</v>
      </c>
      <c r="C4167">
        <v>2025</v>
      </c>
      <c r="D4167">
        <v>12</v>
      </c>
      <c r="E4167" s="2" t="s">
        <v>51</v>
      </c>
      <c r="F4167" s="2" t="s">
        <v>52</v>
      </c>
      <c r="G4167" s="2" t="s">
        <v>39</v>
      </c>
      <c r="H4167" s="2" t="s">
        <v>22</v>
      </c>
      <c r="I4167" s="2" t="s">
        <v>40</v>
      </c>
      <c r="J4167" s="2" t="s">
        <v>24</v>
      </c>
      <c r="K4167">
        <v>18.11</v>
      </c>
      <c r="L4167">
        <v>904.19</v>
      </c>
      <c r="M4167">
        <v>4992.7700000000004</v>
      </c>
      <c r="N4167" s="2" t="s">
        <v>53</v>
      </c>
      <c r="O4167" s="2" t="s">
        <v>54</v>
      </c>
      <c r="P4167" s="2" t="s">
        <v>7180</v>
      </c>
      <c r="Q4167" s="2" t="s">
        <v>7181</v>
      </c>
      <c r="R4167" s="2" t="s">
        <v>29</v>
      </c>
      <c r="S4167" s="2" t="s">
        <v>30</v>
      </c>
    </row>
    <row r="4168" spans="1:19">
      <c r="A4168" s="1">
        <v>45992</v>
      </c>
      <c r="B4168" s="1">
        <v>45992</v>
      </c>
      <c r="C4168">
        <v>2025</v>
      </c>
      <c r="D4168">
        <v>12</v>
      </c>
      <c r="E4168" s="2" t="s">
        <v>57</v>
      </c>
      <c r="F4168" s="2" t="s">
        <v>58</v>
      </c>
      <c r="G4168" s="2" t="s">
        <v>39</v>
      </c>
      <c r="H4168" s="2" t="s">
        <v>22</v>
      </c>
      <c r="I4168" s="2" t="s">
        <v>40</v>
      </c>
      <c r="J4168" s="2" t="s">
        <v>59</v>
      </c>
      <c r="K4168">
        <v>4469.09</v>
      </c>
      <c r="L4168">
        <v>240222.14</v>
      </c>
      <c r="M4168">
        <v>5375.19</v>
      </c>
      <c r="N4168" s="2" t="s">
        <v>60</v>
      </c>
      <c r="O4168" s="2" t="s">
        <v>61</v>
      </c>
      <c r="P4168" s="2" t="s">
        <v>7182</v>
      </c>
      <c r="Q4168" s="2" t="s">
        <v>7183</v>
      </c>
      <c r="R4168" s="2" t="s">
        <v>29</v>
      </c>
      <c r="S4168" s="2" t="s">
        <v>30</v>
      </c>
    </row>
    <row r="4169" spans="1:19">
      <c r="A4169" s="1">
        <v>45992</v>
      </c>
      <c r="B4169" s="1">
        <v>45992</v>
      </c>
      <c r="C4169">
        <v>2025</v>
      </c>
      <c r="D4169">
        <v>12</v>
      </c>
      <c r="E4169" s="2" t="s">
        <v>64</v>
      </c>
      <c r="F4169" s="2" t="s">
        <v>65</v>
      </c>
      <c r="G4169" s="2" t="s">
        <v>21</v>
      </c>
      <c r="H4169" s="2" t="s">
        <v>22</v>
      </c>
      <c r="I4169" s="2" t="s">
        <v>66</v>
      </c>
      <c r="J4169" s="2" t="s">
        <v>24</v>
      </c>
      <c r="K4169">
        <v>17.39</v>
      </c>
      <c r="L4169">
        <v>600.41</v>
      </c>
      <c r="M4169">
        <v>3452.62</v>
      </c>
      <c r="N4169" s="2" t="s">
        <v>67</v>
      </c>
      <c r="O4169" s="2" t="s">
        <v>68</v>
      </c>
      <c r="P4169" s="2" t="s">
        <v>6473</v>
      </c>
      <c r="Q4169" s="2" t="s">
        <v>7184</v>
      </c>
      <c r="R4169" s="2" t="s">
        <v>29</v>
      </c>
      <c r="S4169" s="2" t="s">
        <v>30</v>
      </c>
    </row>
    <row r="4170" spans="1:19">
      <c r="A4170" s="1">
        <v>45992</v>
      </c>
      <c r="B4170" s="1">
        <v>45992</v>
      </c>
      <c r="C4170">
        <v>2025</v>
      </c>
      <c r="D4170">
        <v>12</v>
      </c>
      <c r="E4170" s="2" t="s">
        <v>71</v>
      </c>
      <c r="F4170" s="2" t="s">
        <v>72</v>
      </c>
      <c r="G4170" s="2" t="s">
        <v>21</v>
      </c>
      <c r="H4170" s="2" t="s">
        <v>22</v>
      </c>
      <c r="I4170" s="2" t="s">
        <v>73</v>
      </c>
      <c r="J4170" s="2" t="s">
        <v>59</v>
      </c>
      <c r="K4170">
        <v>6447.58</v>
      </c>
      <c r="L4170">
        <v>241960.99</v>
      </c>
      <c r="M4170">
        <v>3752.74</v>
      </c>
      <c r="N4170" s="2" t="s">
        <v>74</v>
      </c>
      <c r="O4170" s="2" t="s">
        <v>75</v>
      </c>
      <c r="P4170" s="2" t="s">
        <v>7185</v>
      </c>
      <c r="Q4170" s="2" t="s">
        <v>7186</v>
      </c>
      <c r="R4170" s="2" t="s">
        <v>29</v>
      </c>
      <c r="S4170" s="2" t="s">
        <v>30</v>
      </c>
    </row>
    <row r="4171" spans="1:19">
      <c r="A4171" s="1">
        <v>45992</v>
      </c>
      <c r="B4171" s="1">
        <v>45992</v>
      </c>
      <c r="C4171">
        <v>2025</v>
      </c>
      <c r="D4171">
        <v>12</v>
      </c>
      <c r="E4171" s="2" t="s">
        <v>78</v>
      </c>
      <c r="F4171" s="2" t="s">
        <v>79</v>
      </c>
      <c r="G4171" s="2" t="s">
        <v>80</v>
      </c>
      <c r="H4171" s="2" t="s">
        <v>81</v>
      </c>
      <c r="I4171" s="2" t="s">
        <v>82</v>
      </c>
      <c r="J4171" s="2" t="s">
        <v>24</v>
      </c>
      <c r="K4171">
        <v>3.27</v>
      </c>
      <c r="L4171">
        <v>13484009.65</v>
      </c>
      <c r="M4171">
        <v>412355035.17000002</v>
      </c>
      <c r="N4171" s="2" t="s">
        <v>83</v>
      </c>
      <c r="O4171" s="2" t="s">
        <v>84</v>
      </c>
      <c r="P4171" s="2" t="s">
        <v>7187</v>
      </c>
      <c r="Q4171" s="2" t="s">
        <v>7188</v>
      </c>
      <c r="R4171" s="2" t="s">
        <v>29</v>
      </c>
      <c r="S4171" s="2" t="s">
        <v>30</v>
      </c>
    </row>
    <row r="4172" spans="1:19">
      <c r="A4172" s="1">
        <v>45992</v>
      </c>
      <c r="B4172" s="1">
        <v>45992</v>
      </c>
      <c r="C4172">
        <v>2025</v>
      </c>
      <c r="D4172">
        <v>12</v>
      </c>
      <c r="E4172" s="2" t="s">
        <v>87</v>
      </c>
      <c r="F4172" s="2" t="s">
        <v>88</v>
      </c>
      <c r="G4172" s="2" t="s">
        <v>80</v>
      </c>
      <c r="H4172" s="2" t="s">
        <v>81</v>
      </c>
      <c r="I4172" s="2" t="s">
        <v>82</v>
      </c>
      <c r="J4172" s="2" t="s">
        <v>24</v>
      </c>
      <c r="K4172">
        <v>0.94</v>
      </c>
      <c r="L4172">
        <v>1358771.76</v>
      </c>
      <c r="M4172">
        <v>144550187.22999999</v>
      </c>
      <c r="N4172" s="2" t="s">
        <v>89</v>
      </c>
      <c r="O4172" s="2" t="s">
        <v>90</v>
      </c>
      <c r="P4172" s="2" t="s">
        <v>933</v>
      </c>
      <c r="Q4172" s="2" t="s">
        <v>7189</v>
      </c>
      <c r="R4172" s="2" t="s">
        <v>29</v>
      </c>
      <c r="S4172" s="2" t="s">
        <v>30</v>
      </c>
    </row>
    <row r="4173" spans="1:19">
      <c r="A4173" s="1">
        <v>45992</v>
      </c>
      <c r="B4173" s="1">
        <v>45992</v>
      </c>
      <c r="C4173">
        <v>2025</v>
      </c>
      <c r="D4173">
        <v>12</v>
      </c>
      <c r="E4173" s="2" t="s">
        <v>93</v>
      </c>
      <c r="F4173" s="2" t="s">
        <v>94</v>
      </c>
      <c r="G4173" s="2" t="s">
        <v>80</v>
      </c>
      <c r="H4173" s="2" t="s">
        <v>81</v>
      </c>
      <c r="I4173" s="2" t="s">
        <v>82</v>
      </c>
      <c r="J4173" s="2" t="s">
        <v>24</v>
      </c>
      <c r="K4173">
        <v>0.51</v>
      </c>
      <c r="L4173">
        <v>9176296.7799999993</v>
      </c>
      <c r="M4173">
        <v>1799273878.4300001</v>
      </c>
      <c r="N4173" s="2" t="s">
        <v>95</v>
      </c>
      <c r="O4173" s="2" t="s">
        <v>96</v>
      </c>
      <c r="P4173" s="2" t="s">
        <v>1646</v>
      </c>
      <c r="Q4173" s="2" t="s">
        <v>7190</v>
      </c>
      <c r="R4173" s="2" t="s">
        <v>29</v>
      </c>
      <c r="S4173" s="2" t="s">
        <v>30</v>
      </c>
    </row>
    <row r="4174" spans="1:19">
      <c r="A4174" s="1">
        <v>45992</v>
      </c>
      <c r="B4174" s="1">
        <v>45992</v>
      </c>
      <c r="C4174">
        <v>2025</v>
      </c>
      <c r="D4174">
        <v>12</v>
      </c>
      <c r="E4174" s="2" t="s">
        <v>99</v>
      </c>
      <c r="F4174" s="2" t="s">
        <v>100</v>
      </c>
      <c r="G4174" s="2" t="s">
        <v>80</v>
      </c>
      <c r="H4174" s="2" t="s">
        <v>81</v>
      </c>
      <c r="I4174" s="2" t="s">
        <v>82</v>
      </c>
      <c r="J4174" s="2" t="s">
        <v>101</v>
      </c>
      <c r="K4174">
        <v>1.71</v>
      </c>
      <c r="L4174">
        <v>20459215.739999998</v>
      </c>
      <c r="M4174">
        <v>1196445364.9100001</v>
      </c>
      <c r="N4174" s="2" t="s">
        <v>102</v>
      </c>
      <c r="O4174" s="2" t="s">
        <v>103</v>
      </c>
      <c r="P4174" s="2" t="s">
        <v>938</v>
      </c>
      <c r="Q4174" s="2" t="s">
        <v>7191</v>
      </c>
      <c r="R4174" s="2" t="s">
        <v>29</v>
      </c>
      <c r="S4174" s="2" t="s">
        <v>30</v>
      </c>
    </row>
    <row r="4175" spans="1:19">
      <c r="A4175" s="1">
        <v>45992</v>
      </c>
      <c r="B4175" s="1">
        <v>45992</v>
      </c>
      <c r="C4175">
        <v>2025</v>
      </c>
      <c r="D4175">
        <v>12</v>
      </c>
      <c r="E4175" s="2" t="s">
        <v>106</v>
      </c>
      <c r="F4175" s="2" t="s">
        <v>107</v>
      </c>
      <c r="G4175" s="2" t="s">
        <v>80</v>
      </c>
      <c r="H4175" s="2" t="s">
        <v>81</v>
      </c>
      <c r="I4175" s="2" t="s">
        <v>82</v>
      </c>
      <c r="J4175" s="2" t="s">
        <v>24</v>
      </c>
      <c r="K4175">
        <v>0.26</v>
      </c>
      <c r="L4175">
        <v>9924147.1999999993</v>
      </c>
      <c r="M4175">
        <v>3816979692.3099999</v>
      </c>
      <c r="N4175" s="2" t="s">
        <v>108</v>
      </c>
      <c r="O4175" s="2" t="s">
        <v>109</v>
      </c>
      <c r="P4175" s="2" t="s">
        <v>1941</v>
      </c>
      <c r="Q4175" s="2" t="s">
        <v>7192</v>
      </c>
      <c r="R4175" s="2" t="s">
        <v>29</v>
      </c>
      <c r="S4175" s="2" t="s">
        <v>30</v>
      </c>
    </row>
    <row r="4176" spans="1:19">
      <c r="A4176" s="1">
        <v>45992</v>
      </c>
      <c r="B4176" s="1">
        <v>45992</v>
      </c>
      <c r="C4176">
        <v>2025</v>
      </c>
      <c r="D4176">
        <v>12</v>
      </c>
      <c r="E4176" s="2" t="s">
        <v>111</v>
      </c>
      <c r="F4176" s="2" t="s">
        <v>112</v>
      </c>
      <c r="G4176" s="2" t="s">
        <v>80</v>
      </c>
      <c r="H4176" s="2" t="s">
        <v>81</v>
      </c>
      <c r="I4176" s="2" t="s">
        <v>82</v>
      </c>
      <c r="J4176" s="2" t="s">
        <v>24</v>
      </c>
      <c r="K4176">
        <v>0.1</v>
      </c>
      <c r="L4176">
        <v>870665.58</v>
      </c>
      <c r="M4176">
        <v>870665580</v>
      </c>
      <c r="N4176" s="2" t="s">
        <v>113</v>
      </c>
      <c r="O4176" s="2" t="s">
        <v>114</v>
      </c>
      <c r="P4176" s="2" t="s">
        <v>425</v>
      </c>
      <c r="Q4176" s="2" t="s">
        <v>7193</v>
      </c>
      <c r="R4176" s="2" t="s">
        <v>29</v>
      </c>
      <c r="S4176" s="2" t="s">
        <v>30</v>
      </c>
    </row>
    <row r="4177" spans="1:19">
      <c r="A4177" s="1">
        <v>45992</v>
      </c>
      <c r="B4177" s="1">
        <v>45992</v>
      </c>
      <c r="C4177">
        <v>2025</v>
      </c>
      <c r="D4177">
        <v>12</v>
      </c>
      <c r="E4177" s="2" t="s">
        <v>117</v>
      </c>
      <c r="F4177" s="2" t="s">
        <v>118</v>
      </c>
      <c r="G4177" s="2" t="s">
        <v>80</v>
      </c>
      <c r="H4177" s="2" t="s">
        <v>81</v>
      </c>
      <c r="I4177" s="2" t="s">
        <v>82</v>
      </c>
      <c r="J4177" s="2" t="s">
        <v>59</v>
      </c>
      <c r="K4177">
        <v>5.07</v>
      </c>
      <c r="L4177">
        <v>34813890.969999999</v>
      </c>
      <c r="M4177">
        <v>686664516.16999996</v>
      </c>
      <c r="N4177" s="2" t="s">
        <v>119</v>
      </c>
      <c r="O4177" s="2" t="s">
        <v>120</v>
      </c>
      <c r="P4177" s="2" t="s">
        <v>5262</v>
      </c>
      <c r="Q4177" s="2" t="s">
        <v>7194</v>
      </c>
      <c r="R4177" s="2" t="s">
        <v>29</v>
      </c>
      <c r="S4177" s="2" t="s">
        <v>30</v>
      </c>
    </row>
    <row r="4178" spans="1:19">
      <c r="A4178" s="1">
        <v>45992</v>
      </c>
      <c r="B4178" s="1">
        <v>45992</v>
      </c>
      <c r="C4178">
        <v>2025</v>
      </c>
      <c r="D4178">
        <v>12</v>
      </c>
      <c r="E4178" s="2" t="s">
        <v>123</v>
      </c>
      <c r="F4178" s="2" t="s">
        <v>124</v>
      </c>
      <c r="G4178" s="2" t="s">
        <v>21</v>
      </c>
      <c r="H4178" s="2" t="s">
        <v>22</v>
      </c>
      <c r="I4178" s="2" t="s">
        <v>73</v>
      </c>
      <c r="J4178" s="2" t="s">
        <v>24</v>
      </c>
      <c r="K4178">
        <v>2672.02</v>
      </c>
      <c r="L4178">
        <v>126210.12</v>
      </c>
      <c r="M4178">
        <v>4723.3999999999996</v>
      </c>
      <c r="N4178" s="2" t="s">
        <v>125</v>
      </c>
      <c r="O4178" s="2" t="s">
        <v>126</v>
      </c>
      <c r="P4178" s="2" t="s">
        <v>7195</v>
      </c>
      <c r="Q4178" s="2" t="s">
        <v>7196</v>
      </c>
      <c r="R4178" s="2" t="s">
        <v>29</v>
      </c>
      <c r="S4178" s="2" t="s">
        <v>30</v>
      </c>
    </row>
    <row r="4179" spans="1:19">
      <c r="A4179" s="1">
        <v>45992</v>
      </c>
      <c r="B4179" s="1">
        <v>45992</v>
      </c>
      <c r="C4179">
        <v>2025</v>
      </c>
      <c r="D4179">
        <v>12</v>
      </c>
      <c r="E4179" s="2" t="s">
        <v>129</v>
      </c>
      <c r="F4179" s="2" t="s">
        <v>130</v>
      </c>
      <c r="G4179" s="2" t="s">
        <v>21</v>
      </c>
      <c r="H4179" s="2" t="s">
        <v>22</v>
      </c>
      <c r="I4179" s="2" t="s">
        <v>73</v>
      </c>
      <c r="J4179" s="2" t="s">
        <v>24</v>
      </c>
      <c r="K4179">
        <v>2726.32</v>
      </c>
      <c r="L4179">
        <v>78476.479999999996</v>
      </c>
      <c r="M4179">
        <v>2878.48</v>
      </c>
      <c r="N4179" s="2" t="s">
        <v>131</v>
      </c>
      <c r="O4179" s="2" t="s">
        <v>132</v>
      </c>
      <c r="P4179" s="2" t="s">
        <v>7197</v>
      </c>
      <c r="Q4179" s="2" t="s">
        <v>7198</v>
      </c>
      <c r="R4179" s="2" t="s">
        <v>29</v>
      </c>
      <c r="S4179" s="2" t="s">
        <v>30</v>
      </c>
    </row>
    <row r="4180" spans="1:19">
      <c r="A4180" s="1">
        <v>45992</v>
      </c>
      <c r="B4180" s="1">
        <v>45992</v>
      </c>
      <c r="C4180">
        <v>2025</v>
      </c>
      <c r="D4180">
        <v>12</v>
      </c>
      <c r="E4180" s="2" t="s">
        <v>135</v>
      </c>
      <c r="F4180" s="2" t="s">
        <v>136</v>
      </c>
      <c r="G4180" s="2" t="s">
        <v>21</v>
      </c>
      <c r="H4180" s="2" t="s">
        <v>22</v>
      </c>
      <c r="I4180" s="2" t="s">
        <v>73</v>
      </c>
      <c r="J4180" s="2" t="s">
        <v>101</v>
      </c>
      <c r="K4180">
        <v>5398.34</v>
      </c>
      <c r="L4180">
        <v>204686.61</v>
      </c>
      <c r="M4180">
        <v>3791.66</v>
      </c>
      <c r="N4180" s="2" t="s">
        <v>137</v>
      </c>
      <c r="O4180" s="2" t="s">
        <v>138</v>
      </c>
      <c r="P4180" s="2" t="s">
        <v>7199</v>
      </c>
      <c r="Q4180" s="2" t="s">
        <v>7200</v>
      </c>
      <c r="R4180" s="2" t="s">
        <v>29</v>
      </c>
      <c r="S4180" s="2" t="s">
        <v>30</v>
      </c>
    </row>
    <row r="4181" spans="1:19">
      <c r="A4181" s="1">
        <v>45992</v>
      </c>
      <c r="B4181" s="1">
        <v>45992</v>
      </c>
      <c r="C4181">
        <v>2025</v>
      </c>
      <c r="D4181">
        <v>12</v>
      </c>
      <c r="E4181" s="2" t="s">
        <v>141</v>
      </c>
      <c r="F4181" s="2" t="s">
        <v>142</v>
      </c>
      <c r="G4181" s="2" t="s">
        <v>21</v>
      </c>
      <c r="H4181" s="2" t="s">
        <v>22</v>
      </c>
      <c r="I4181" s="2" t="s">
        <v>73</v>
      </c>
      <c r="J4181" s="2" t="s">
        <v>24</v>
      </c>
      <c r="K4181">
        <v>254.89</v>
      </c>
      <c r="L4181">
        <v>12675.28</v>
      </c>
      <c r="M4181">
        <v>4972.84</v>
      </c>
      <c r="N4181" s="2" t="s">
        <v>143</v>
      </c>
      <c r="O4181" s="2" t="s">
        <v>144</v>
      </c>
      <c r="P4181" s="2" t="s">
        <v>7201</v>
      </c>
      <c r="Q4181" s="2" t="s">
        <v>7202</v>
      </c>
      <c r="R4181" s="2" t="s">
        <v>29</v>
      </c>
      <c r="S4181" s="2" t="s">
        <v>30</v>
      </c>
    </row>
    <row r="4182" spans="1:19">
      <c r="A4182" s="1">
        <v>45992</v>
      </c>
      <c r="B4182" s="1">
        <v>45992</v>
      </c>
      <c r="C4182">
        <v>2025</v>
      </c>
      <c r="D4182">
        <v>12</v>
      </c>
      <c r="E4182" s="2" t="s">
        <v>147</v>
      </c>
      <c r="F4182" s="2" t="s">
        <v>148</v>
      </c>
      <c r="G4182" s="2" t="s">
        <v>21</v>
      </c>
      <c r="H4182" s="2" t="s">
        <v>22</v>
      </c>
      <c r="I4182" s="2" t="s">
        <v>73</v>
      </c>
      <c r="J4182" s="2" t="s">
        <v>24</v>
      </c>
      <c r="K4182">
        <v>794.35</v>
      </c>
      <c r="L4182">
        <v>24599.1</v>
      </c>
      <c r="M4182">
        <v>3096.76</v>
      </c>
      <c r="N4182" s="2" t="s">
        <v>149</v>
      </c>
      <c r="O4182" s="2" t="s">
        <v>150</v>
      </c>
      <c r="P4182" s="2" t="s">
        <v>7203</v>
      </c>
      <c r="Q4182" s="2" t="s">
        <v>7204</v>
      </c>
      <c r="R4182" s="2" t="s">
        <v>29</v>
      </c>
      <c r="S4182" s="2" t="s">
        <v>30</v>
      </c>
    </row>
    <row r="4183" spans="1:19">
      <c r="A4183" s="1">
        <v>45992</v>
      </c>
      <c r="B4183" s="1">
        <v>45992</v>
      </c>
      <c r="C4183">
        <v>2025</v>
      </c>
      <c r="D4183">
        <v>12</v>
      </c>
      <c r="E4183" s="2" t="s">
        <v>153</v>
      </c>
      <c r="F4183" s="2" t="s">
        <v>154</v>
      </c>
      <c r="G4183" s="2" t="s">
        <v>21</v>
      </c>
      <c r="H4183" s="2" t="s">
        <v>22</v>
      </c>
      <c r="I4183" s="2" t="s">
        <v>73</v>
      </c>
      <c r="J4183" s="2" t="s">
        <v>101</v>
      </c>
      <c r="K4183">
        <v>1049.24</v>
      </c>
      <c r="L4183">
        <v>37274.379999999997</v>
      </c>
      <c r="M4183">
        <v>3552.51</v>
      </c>
      <c r="N4183" s="2" t="s">
        <v>155</v>
      </c>
      <c r="O4183" s="2" t="s">
        <v>156</v>
      </c>
      <c r="P4183" s="2" t="s">
        <v>7205</v>
      </c>
      <c r="Q4183" s="2" t="s">
        <v>7206</v>
      </c>
      <c r="R4183" s="2" t="s">
        <v>29</v>
      </c>
      <c r="S4183" s="2" t="s">
        <v>30</v>
      </c>
    </row>
    <row r="4184" spans="1:19">
      <c r="A4184" s="1">
        <v>45992</v>
      </c>
      <c r="B4184" s="1">
        <v>45992</v>
      </c>
      <c r="C4184">
        <v>2025</v>
      </c>
      <c r="D4184">
        <v>12</v>
      </c>
      <c r="E4184" s="2" t="s">
        <v>159</v>
      </c>
      <c r="F4184" s="2" t="s">
        <v>160</v>
      </c>
      <c r="G4184" s="2" t="s">
        <v>21</v>
      </c>
      <c r="H4184" s="2" t="s">
        <v>22</v>
      </c>
      <c r="I4184" s="2" t="s">
        <v>66</v>
      </c>
      <c r="J4184" s="2" t="s">
        <v>59</v>
      </c>
      <c r="K4184">
        <v>2012.39</v>
      </c>
      <c r="L4184">
        <v>242667.43</v>
      </c>
      <c r="M4184">
        <v>12058.67</v>
      </c>
      <c r="N4184" s="2" t="s">
        <v>161</v>
      </c>
      <c r="O4184" s="2" t="s">
        <v>162</v>
      </c>
      <c r="P4184" s="2" t="s">
        <v>7207</v>
      </c>
      <c r="Q4184" s="2" t="s">
        <v>7208</v>
      </c>
      <c r="R4184" s="2" t="s">
        <v>29</v>
      </c>
      <c r="S4184" s="2" t="s">
        <v>30</v>
      </c>
    </row>
    <row r="4185" spans="1:19">
      <c r="A4185" s="1">
        <v>45992</v>
      </c>
      <c r="B4185" s="1">
        <v>45992</v>
      </c>
      <c r="C4185">
        <v>2025</v>
      </c>
      <c r="D4185">
        <v>12</v>
      </c>
      <c r="E4185" s="2" t="s">
        <v>165</v>
      </c>
      <c r="F4185" s="2" t="s">
        <v>166</v>
      </c>
      <c r="G4185" s="2" t="s">
        <v>21</v>
      </c>
      <c r="H4185" s="2" t="s">
        <v>22</v>
      </c>
      <c r="I4185" s="2" t="s">
        <v>23</v>
      </c>
      <c r="J4185" s="2" t="s">
        <v>24</v>
      </c>
      <c r="K4185">
        <v>0</v>
      </c>
      <c r="L4185">
        <v>0</v>
      </c>
      <c r="N4185" s="2" t="s">
        <v>167</v>
      </c>
      <c r="O4185" s="2" t="s">
        <v>168</v>
      </c>
      <c r="P4185" s="2" t="s">
        <v>639</v>
      </c>
      <c r="Q4185" s="2" t="s">
        <v>639</v>
      </c>
      <c r="R4185" s="2" t="s">
        <v>29</v>
      </c>
      <c r="S4185" s="2" t="s">
        <v>30</v>
      </c>
    </row>
    <row r="4186" spans="1:19">
      <c r="A4186" s="1">
        <v>45992</v>
      </c>
      <c r="B4186" s="1">
        <v>45992</v>
      </c>
      <c r="C4186">
        <v>2025</v>
      </c>
      <c r="D4186">
        <v>12</v>
      </c>
      <c r="E4186" s="2" t="s">
        <v>171</v>
      </c>
      <c r="F4186" s="2" t="s">
        <v>172</v>
      </c>
      <c r="G4186" s="2" t="s">
        <v>21</v>
      </c>
      <c r="H4186" s="2" t="s">
        <v>22</v>
      </c>
      <c r="I4186" s="2" t="s">
        <v>66</v>
      </c>
      <c r="J4186" s="2" t="s">
        <v>24</v>
      </c>
      <c r="K4186">
        <v>0</v>
      </c>
      <c r="L4186">
        <v>0</v>
      </c>
      <c r="N4186" s="2" t="s">
        <v>173</v>
      </c>
      <c r="O4186" s="2" t="s">
        <v>174</v>
      </c>
      <c r="P4186" s="2" t="s">
        <v>639</v>
      </c>
      <c r="Q4186" s="2" t="s">
        <v>639</v>
      </c>
      <c r="R4186" s="2" t="s">
        <v>29</v>
      </c>
      <c r="S4186" s="2" t="s">
        <v>30</v>
      </c>
    </row>
    <row r="4187" spans="1:19">
      <c r="A4187" s="1">
        <v>45992</v>
      </c>
      <c r="B4187" s="1">
        <v>45992</v>
      </c>
      <c r="C4187">
        <v>2025</v>
      </c>
      <c r="D4187">
        <v>12</v>
      </c>
      <c r="E4187" s="2" t="s">
        <v>177</v>
      </c>
      <c r="F4187" s="2" t="s">
        <v>178</v>
      </c>
      <c r="G4187" s="2" t="s">
        <v>21</v>
      </c>
      <c r="H4187" s="2" t="s">
        <v>22</v>
      </c>
      <c r="I4187" s="2" t="s">
        <v>23</v>
      </c>
      <c r="J4187" s="2" t="s">
        <v>24</v>
      </c>
      <c r="K4187">
        <v>3799.33</v>
      </c>
      <c r="L4187">
        <v>662451.92000000004</v>
      </c>
      <c r="M4187">
        <v>17436.02</v>
      </c>
      <c r="N4187" s="2" t="s">
        <v>179</v>
      </c>
      <c r="O4187" s="2" t="s">
        <v>180</v>
      </c>
      <c r="P4187" s="2" t="s">
        <v>7209</v>
      </c>
      <c r="Q4187" s="2" t="s">
        <v>7210</v>
      </c>
      <c r="R4187" s="2" t="s">
        <v>29</v>
      </c>
      <c r="S4187" s="2" t="s">
        <v>30</v>
      </c>
    </row>
    <row r="4188" spans="1:19">
      <c r="A4188" s="1">
        <v>45992</v>
      </c>
      <c r="B4188" s="1">
        <v>45992</v>
      </c>
      <c r="C4188">
        <v>2025</v>
      </c>
      <c r="D4188">
        <v>12</v>
      </c>
      <c r="E4188" s="2" t="s">
        <v>183</v>
      </c>
      <c r="F4188" s="2" t="s">
        <v>184</v>
      </c>
      <c r="G4188" s="2" t="s">
        <v>185</v>
      </c>
      <c r="H4188" s="2" t="s">
        <v>22</v>
      </c>
      <c r="I4188" s="2" t="s">
        <v>186</v>
      </c>
      <c r="J4188" s="2" t="s">
        <v>24</v>
      </c>
      <c r="K4188">
        <v>2882.36</v>
      </c>
      <c r="L4188">
        <v>7130080.2699999996</v>
      </c>
      <c r="M4188">
        <v>247369.53</v>
      </c>
      <c r="N4188" s="2" t="s">
        <v>187</v>
      </c>
      <c r="O4188" s="2" t="s">
        <v>188</v>
      </c>
      <c r="P4188" s="2" t="s">
        <v>7211</v>
      </c>
      <c r="Q4188" s="2" t="s">
        <v>7212</v>
      </c>
      <c r="R4188" s="2" t="s">
        <v>29</v>
      </c>
      <c r="S4188" s="2" t="s">
        <v>30</v>
      </c>
    </row>
    <row r="4189" spans="1:19">
      <c r="A4189" s="1">
        <v>45992</v>
      </c>
      <c r="B4189" s="1">
        <v>45992</v>
      </c>
      <c r="C4189">
        <v>2025</v>
      </c>
      <c r="D4189">
        <v>12</v>
      </c>
      <c r="E4189" s="2" t="s">
        <v>191</v>
      </c>
      <c r="F4189" s="2" t="s">
        <v>192</v>
      </c>
      <c r="G4189" s="2" t="s">
        <v>185</v>
      </c>
      <c r="H4189" s="2" t="s">
        <v>22</v>
      </c>
      <c r="I4189" s="2" t="s">
        <v>186</v>
      </c>
      <c r="J4189" s="2" t="s">
        <v>24</v>
      </c>
      <c r="K4189">
        <v>875.29</v>
      </c>
      <c r="L4189">
        <v>8063055.1200000001</v>
      </c>
      <c r="M4189">
        <v>921186.71</v>
      </c>
      <c r="N4189" s="2" t="s">
        <v>193</v>
      </c>
      <c r="O4189" s="2" t="s">
        <v>194</v>
      </c>
      <c r="P4189" s="2" t="s">
        <v>7213</v>
      </c>
      <c r="Q4189" s="2" t="s">
        <v>7214</v>
      </c>
      <c r="R4189" s="2" t="s">
        <v>29</v>
      </c>
      <c r="S4189" s="2" t="s">
        <v>30</v>
      </c>
    </row>
    <row r="4190" spans="1:19">
      <c r="A4190" s="1">
        <v>45992</v>
      </c>
      <c r="B4190" s="1">
        <v>45992</v>
      </c>
      <c r="C4190">
        <v>2025</v>
      </c>
      <c r="D4190">
        <v>12</v>
      </c>
      <c r="E4190" s="2" t="s">
        <v>197</v>
      </c>
      <c r="F4190" s="2" t="s">
        <v>198</v>
      </c>
      <c r="G4190" s="2" t="s">
        <v>185</v>
      </c>
      <c r="H4190" s="2" t="s">
        <v>22</v>
      </c>
      <c r="I4190" s="2" t="s">
        <v>186</v>
      </c>
      <c r="J4190" s="2" t="s">
        <v>59</v>
      </c>
      <c r="K4190">
        <v>3757.66</v>
      </c>
      <c r="L4190">
        <v>15193135.380000001</v>
      </c>
      <c r="M4190">
        <v>404324.38</v>
      </c>
      <c r="N4190" s="2" t="s">
        <v>199</v>
      </c>
      <c r="O4190" s="2" t="s">
        <v>200</v>
      </c>
      <c r="P4190" s="2" t="s">
        <v>7215</v>
      </c>
      <c r="Q4190" s="2" t="s">
        <v>7216</v>
      </c>
      <c r="R4190" s="2" t="s">
        <v>29</v>
      </c>
      <c r="S4190" s="2" t="s">
        <v>30</v>
      </c>
    </row>
    <row r="4191" spans="1:19">
      <c r="A4191" s="1">
        <v>45992</v>
      </c>
      <c r="B4191" s="1">
        <v>45992</v>
      </c>
      <c r="C4191">
        <v>2025</v>
      </c>
      <c r="D4191">
        <v>12</v>
      </c>
      <c r="E4191" s="2" t="s">
        <v>203</v>
      </c>
      <c r="F4191" s="2" t="s">
        <v>204</v>
      </c>
      <c r="G4191" s="2" t="s">
        <v>39</v>
      </c>
      <c r="H4191" s="2" t="s">
        <v>22</v>
      </c>
      <c r="I4191" s="2" t="s">
        <v>40</v>
      </c>
      <c r="J4191" s="2" t="s">
        <v>24</v>
      </c>
      <c r="K4191">
        <v>926.03</v>
      </c>
      <c r="L4191">
        <v>24082.5</v>
      </c>
      <c r="M4191">
        <v>2600.62</v>
      </c>
      <c r="N4191" s="2" t="s">
        <v>205</v>
      </c>
      <c r="O4191" s="2" t="s">
        <v>206</v>
      </c>
      <c r="P4191" s="2" t="s">
        <v>7217</v>
      </c>
      <c r="Q4191" s="2" t="s">
        <v>7218</v>
      </c>
      <c r="R4191" s="2" t="s">
        <v>29</v>
      </c>
      <c r="S4191" s="2" t="s">
        <v>30</v>
      </c>
    </row>
    <row r="4192" spans="1:19">
      <c r="A4192" s="1">
        <v>45992</v>
      </c>
      <c r="B4192" s="1">
        <v>45992</v>
      </c>
      <c r="C4192">
        <v>2025</v>
      </c>
      <c r="D4192">
        <v>12</v>
      </c>
      <c r="E4192" s="2" t="s">
        <v>209</v>
      </c>
      <c r="F4192" s="2" t="s">
        <v>210</v>
      </c>
      <c r="G4192" s="2" t="s">
        <v>39</v>
      </c>
      <c r="H4192" s="2" t="s">
        <v>22</v>
      </c>
      <c r="I4192" s="2" t="s">
        <v>40</v>
      </c>
      <c r="J4192" s="2" t="s">
        <v>59</v>
      </c>
      <c r="K4192">
        <v>926.03</v>
      </c>
      <c r="L4192">
        <v>24082.5</v>
      </c>
      <c r="M4192">
        <v>2600.62</v>
      </c>
      <c r="N4192" s="2" t="s">
        <v>211</v>
      </c>
      <c r="O4192" s="2" t="s">
        <v>212</v>
      </c>
      <c r="P4192" s="2" t="s">
        <v>7217</v>
      </c>
      <c r="Q4192" s="2" t="s">
        <v>7218</v>
      </c>
      <c r="R4192" s="2" t="s">
        <v>29</v>
      </c>
      <c r="S4192" s="2" t="s">
        <v>30</v>
      </c>
    </row>
    <row r="4193" spans="1:19">
      <c r="A4193" s="1">
        <v>45992</v>
      </c>
      <c r="B4193" s="1">
        <v>45992</v>
      </c>
      <c r="C4193">
        <v>2025</v>
      </c>
      <c r="D4193">
        <v>12</v>
      </c>
      <c r="E4193" s="2" t="s">
        <v>213</v>
      </c>
      <c r="F4193" s="2" t="s">
        <v>214</v>
      </c>
      <c r="G4193" s="2" t="s">
        <v>185</v>
      </c>
      <c r="H4193" s="2" t="s">
        <v>22</v>
      </c>
      <c r="I4193" s="2" t="s">
        <v>215</v>
      </c>
      <c r="J4193" s="2" t="s">
        <v>24</v>
      </c>
      <c r="K4193">
        <v>188061.41</v>
      </c>
      <c r="L4193">
        <v>3335119.28</v>
      </c>
      <c r="M4193">
        <v>1773.42</v>
      </c>
      <c r="N4193" s="2" t="s">
        <v>216</v>
      </c>
      <c r="O4193" s="2" t="s">
        <v>217</v>
      </c>
      <c r="P4193" s="2" t="s">
        <v>7219</v>
      </c>
      <c r="Q4193" s="2" t="s">
        <v>7220</v>
      </c>
      <c r="R4193" s="2" t="s">
        <v>29</v>
      </c>
      <c r="S4193" s="2" t="s">
        <v>30</v>
      </c>
    </row>
    <row r="4194" spans="1:19">
      <c r="A4194" s="1">
        <v>45992</v>
      </c>
      <c r="B4194" s="1">
        <v>45992</v>
      </c>
      <c r="C4194">
        <v>2025</v>
      </c>
      <c r="D4194">
        <v>12</v>
      </c>
      <c r="E4194" s="2" t="s">
        <v>220</v>
      </c>
      <c r="F4194" s="2" t="s">
        <v>221</v>
      </c>
      <c r="G4194" s="2" t="s">
        <v>185</v>
      </c>
      <c r="H4194" s="2" t="s">
        <v>22</v>
      </c>
      <c r="I4194" s="2" t="s">
        <v>215</v>
      </c>
      <c r="J4194" s="2" t="s">
        <v>24</v>
      </c>
      <c r="K4194">
        <v>10679.51</v>
      </c>
      <c r="L4194">
        <v>694232.78</v>
      </c>
      <c r="M4194">
        <v>6500.61</v>
      </c>
      <c r="N4194" s="2" t="s">
        <v>222</v>
      </c>
      <c r="O4194" s="2" t="s">
        <v>223</v>
      </c>
      <c r="P4194" s="2" t="s">
        <v>7221</v>
      </c>
      <c r="Q4194" s="2" t="s">
        <v>7222</v>
      </c>
      <c r="R4194" s="2" t="s">
        <v>29</v>
      </c>
      <c r="S4194" s="2" t="s">
        <v>30</v>
      </c>
    </row>
    <row r="4195" spans="1:19">
      <c r="A4195" s="1">
        <v>45992</v>
      </c>
      <c r="B4195" s="1">
        <v>45992</v>
      </c>
      <c r="C4195">
        <v>2025</v>
      </c>
      <c r="D4195">
        <v>12</v>
      </c>
      <c r="E4195" s="2" t="s">
        <v>226</v>
      </c>
      <c r="F4195" s="2" t="s">
        <v>227</v>
      </c>
      <c r="G4195" s="2" t="s">
        <v>185</v>
      </c>
      <c r="H4195" s="2" t="s">
        <v>22</v>
      </c>
      <c r="I4195" s="2" t="s">
        <v>215</v>
      </c>
      <c r="J4195" s="2" t="s">
        <v>59</v>
      </c>
      <c r="K4195">
        <v>198740.92</v>
      </c>
      <c r="L4195">
        <v>4029352.06</v>
      </c>
      <c r="M4195">
        <v>2027.44</v>
      </c>
      <c r="N4195" s="2" t="s">
        <v>228</v>
      </c>
      <c r="O4195" s="2" t="s">
        <v>229</v>
      </c>
      <c r="P4195" s="2" t="s">
        <v>7223</v>
      </c>
      <c r="Q4195" s="2" t="s">
        <v>7224</v>
      </c>
      <c r="R4195" s="2" t="s">
        <v>29</v>
      </c>
      <c r="S4195" s="2" t="s">
        <v>30</v>
      </c>
    </row>
    <row r="4196" spans="1:19">
      <c r="A4196" s="1">
        <v>45992</v>
      </c>
      <c r="B4196" s="1">
        <v>45992</v>
      </c>
      <c r="C4196">
        <v>2025</v>
      </c>
      <c r="D4196">
        <v>12</v>
      </c>
      <c r="E4196" s="2" t="s">
        <v>232</v>
      </c>
      <c r="F4196" s="2" t="s">
        <v>233</v>
      </c>
      <c r="G4196" s="2" t="s">
        <v>21</v>
      </c>
      <c r="H4196" s="2" t="s">
        <v>22</v>
      </c>
      <c r="I4196" s="2" t="s">
        <v>23</v>
      </c>
      <c r="J4196" s="2" t="s">
        <v>24</v>
      </c>
      <c r="K4196">
        <v>1240.69</v>
      </c>
      <c r="L4196">
        <v>168800.46</v>
      </c>
      <c r="M4196">
        <v>13605.37</v>
      </c>
      <c r="N4196" s="2" t="s">
        <v>234</v>
      </c>
      <c r="O4196" s="2" t="s">
        <v>235</v>
      </c>
      <c r="P4196" s="2" t="s">
        <v>7225</v>
      </c>
      <c r="Q4196" s="2" t="s">
        <v>7226</v>
      </c>
      <c r="R4196" s="2" t="s">
        <v>29</v>
      </c>
      <c r="S4196" s="2" t="s">
        <v>30</v>
      </c>
    </row>
    <row r="4197" spans="1:19">
      <c r="A4197" s="1">
        <v>45992</v>
      </c>
      <c r="B4197" s="1">
        <v>45992</v>
      </c>
      <c r="C4197">
        <v>2025</v>
      </c>
      <c r="D4197">
        <v>12</v>
      </c>
      <c r="E4197" s="2" t="s">
        <v>238</v>
      </c>
      <c r="F4197" s="2" t="s">
        <v>239</v>
      </c>
      <c r="G4197" s="2" t="s">
        <v>21</v>
      </c>
      <c r="H4197" s="2" t="s">
        <v>22</v>
      </c>
      <c r="I4197" s="2" t="s">
        <v>66</v>
      </c>
      <c r="J4197" s="2" t="s">
        <v>24</v>
      </c>
      <c r="K4197">
        <v>1858.15</v>
      </c>
      <c r="L4197">
        <v>241878.18</v>
      </c>
      <c r="M4197">
        <v>13017.15</v>
      </c>
      <c r="N4197" s="2" t="s">
        <v>240</v>
      </c>
      <c r="O4197" s="2" t="s">
        <v>241</v>
      </c>
      <c r="P4197" s="2" t="s">
        <v>7227</v>
      </c>
      <c r="Q4197" s="2" t="s">
        <v>7228</v>
      </c>
      <c r="R4197" s="2" t="s">
        <v>29</v>
      </c>
      <c r="S4197" s="2" t="s">
        <v>30</v>
      </c>
    </row>
    <row r="4198" spans="1:19">
      <c r="A4198" s="1">
        <v>45992</v>
      </c>
      <c r="B4198" s="1">
        <v>45992</v>
      </c>
      <c r="C4198">
        <v>2025</v>
      </c>
      <c r="D4198">
        <v>12</v>
      </c>
      <c r="E4198" s="2" t="s">
        <v>244</v>
      </c>
      <c r="F4198" s="2" t="s">
        <v>245</v>
      </c>
      <c r="G4198" s="2" t="s">
        <v>21</v>
      </c>
      <c r="H4198" s="2" t="s">
        <v>22</v>
      </c>
      <c r="I4198" s="2" t="s">
        <v>23</v>
      </c>
      <c r="J4198" s="2" t="s">
        <v>24</v>
      </c>
      <c r="K4198">
        <v>8777.58</v>
      </c>
      <c r="L4198">
        <v>4376908.93</v>
      </c>
      <c r="M4198">
        <v>49864.639999999999</v>
      </c>
      <c r="N4198" s="2" t="s">
        <v>246</v>
      </c>
      <c r="O4198" s="2" t="s">
        <v>247</v>
      </c>
      <c r="P4198" s="2" t="s">
        <v>7229</v>
      </c>
      <c r="Q4198" s="2" t="s">
        <v>7230</v>
      </c>
      <c r="R4198" s="2" t="s">
        <v>29</v>
      </c>
      <c r="S4198" s="2" t="s">
        <v>30</v>
      </c>
    </row>
    <row r="4199" spans="1:19">
      <c r="A4199" s="1">
        <v>45992</v>
      </c>
      <c r="B4199" s="1">
        <v>45992</v>
      </c>
      <c r="C4199">
        <v>2025</v>
      </c>
      <c r="D4199">
        <v>12</v>
      </c>
      <c r="E4199" s="2" t="s">
        <v>250</v>
      </c>
      <c r="F4199" s="2" t="s">
        <v>251</v>
      </c>
      <c r="G4199" s="2" t="s">
        <v>21</v>
      </c>
      <c r="H4199" s="2" t="s">
        <v>22</v>
      </c>
      <c r="I4199" s="2" t="s">
        <v>66</v>
      </c>
      <c r="J4199" s="2" t="s">
        <v>24</v>
      </c>
      <c r="K4199">
        <v>136.85</v>
      </c>
      <c r="L4199">
        <v>188.84</v>
      </c>
      <c r="M4199">
        <v>137.99</v>
      </c>
      <c r="N4199" s="2" t="s">
        <v>252</v>
      </c>
      <c r="O4199" s="2" t="s">
        <v>253</v>
      </c>
      <c r="P4199" s="2" t="s">
        <v>7231</v>
      </c>
      <c r="Q4199" s="2" t="s">
        <v>7232</v>
      </c>
      <c r="R4199" s="2" t="s">
        <v>29</v>
      </c>
      <c r="S4199" s="2" t="s">
        <v>30</v>
      </c>
    </row>
    <row r="4200" spans="1:19">
      <c r="A4200" s="1">
        <v>45992</v>
      </c>
      <c r="B4200" s="1">
        <v>45992</v>
      </c>
      <c r="C4200">
        <v>2025</v>
      </c>
      <c r="D4200">
        <v>12</v>
      </c>
      <c r="E4200" s="2" t="s">
        <v>256</v>
      </c>
      <c r="F4200" s="2" t="s">
        <v>257</v>
      </c>
      <c r="G4200" s="2" t="s">
        <v>21</v>
      </c>
      <c r="H4200" s="2" t="s">
        <v>22</v>
      </c>
      <c r="I4200" s="2" t="s">
        <v>258</v>
      </c>
      <c r="J4200" s="2" t="s">
        <v>24</v>
      </c>
      <c r="K4200">
        <v>476.39</v>
      </c>
      <c r="L4200">
        <v>620352.43999999994</v>
      </c>
      <c r="M4200">
        <v>130219.45</v>
      </c>
      <c r="N4200" s="2" t="s">
        <v>259</v>
      </c>
      <c r="O4200" s="2" t="s">
        <v>260</v>
      </c>
      <c r="P4200" s="2" t="s">
        <v>7233</v>
      </c>
      <c r="Q4200" s="2" t="s">
        <v>7234</v>
      </c>
      <c r="R4200" s="2" t="s">
        <v>29</v>
      </c>
      <c r="S4200" s="2" t="s">
        <v>30</v>
      </c>
    </row>
    <row r="4201" spans="1:19">
      <c r="A4201" s="1">
        <v>45992</v>
      </c>
      <c r="B4201" s="1">
        <v>45992</v>
      </c>
      <c r="C4201">
        <v>2025</v>
      </c>
      <c r="D4201">
        <v>12</v>
      </c>
      <c r="E4201" s="2" t="s">
        <v>263</v>
      </c>
      <c r="F4201" s="2" t="s">
        <v>264</v>
      </c>
      <c r="G4201" s="2" t="s">
        <v>21</v>
      </c>
      <c r="H4201" s="2" t="s">
        <v>22</v>
      </c>
      <c r="I4201" s="2" t="s">
        <v>258</v>
      </c>
      <c r="J4201" s="2" t="s">
        <v>24</v>
      </c>
      <c r="K4201">
        <v>0</v>
      </c>
      <c r="L4201">
        <v>0</v>
      </c>
      <c r="N4201" s="2" t="s">
        <v>265</v>
      </c>
      <c r="O4201" s="2" t="s">
        <v>266</v>
      </c>
      <c r="P4201" s="2" t="s">
        <v>639</v>
      </c>
      <c r="Q4201" s="2" t="s">
        <v>639</v>
      </c>
      <c r="R4201" s="2" t="s">
        <v>29</v>
      </c>
      <c r="S4201" s="2" t="s">
        <v>30</v>
      </c>
    </row>
    <row r="4202" spans="1:19">
      <c r="A4202" s="1">
        <v>45992</v>
      </c>
      <c r="B4202" s="1">
        <v>45992</v>
      </c>
      <c r="C4202">
        <v>2025</v>
      </c>
      <c r="D4202">
        <v>12</v>
      </c>
      <c r="E4202" s="2" t="s">
        <v>269</v>
      </c>
      <c r="F4202" s="2" t="s">
        <v>270</v>
      </c>
      <c r="G4202" s="2" t="s">
        <v>21</v>
      </c>
      <c r="H4202" s="2" t="s">
        <v>22</v>
      </c>
      <c r="I4202" s="2" t="s">
        <v>258</v>
      </c>
      <c r="J4202" s="2" t="s">
        <v>59</v>
      </c>
      <c r="K4202">
        <v>476.39</v>
      </c>
      <c r="L4202">
        <v>620352.43999999994</v>
      </c>
      <c r="M4202">
        <v>130219.45</v>
      </c>
      <c r="N4202" s="2" t="s">
        <v>271</v>
      </c>
      <c r="O4202" s="2" t="s">
        <v>272</v>
      </c>
      <c r="P4202" s="2" t="s">
        <v>7233</v>
      </c>
      <c r="Q4202" s="2" t="s">
        <v>7234</v>
      </c>
      <c r="R4202" s="2" t="s">
        <v>29</v>
      </c>
      <c r="S4202" s="2" t="s">
        <v>30</v>
      </c>
    </row>
    <row r="4203" spans="1:19">
      <c r="A4203" s="1">
        <v>45992</v>
      </c>
      <c r="B4203" s="1">
        <v>45992</v>
      </c>
      <c r="C4203">
        <v>2025</v>
      </c>
      <c r="D4203">
        <v>12</v>
      </c>
      <c r="E4203" s="2" t="s">
        <v>275</v>
      </c>
      <c r="F4203" s="2" t="s">
        <v>276</v>
      </c>
      <c r="G4203" s="2" t="s">
        <v>39</v>
      </c>
      <c r="H4203" s="2" t="s">
        <v>22</v>
      </c>
      <c r="I4203" s="2" t="s">
        <v>40</v>
      </c>
      <c r="J4203" s="2" t="s">
        <v>24</v>
      </c>
      <c r="K4203">
        <v>0.12</v>
      </c>
      <c r="L4203">
        <v>1.96</v>
      </c>
      <c r="M4203">
        <v>1633.33</v>
      </c>
      <c r="N4203" s="2" t="s">
        <v>277</v>
      </c>
      <c r="O4203" s="2" t="s">
        <v>278</v>
      </c>
      <c r="P4203" s="2" t="s">
        <v>1547</v>
      </c>
      <c r="Q4203" s="2" t="s">
        <v>2804</v>
      </c>
      <c r="R4203" s="2" t="s">
        <v>29</v>
      </c>
      <c r="S4203" s="2" t="s">
        <v>30</v>
      </c>
    </row>
    <row r="4204" spans="1:19">
      <c r="A4204" s="1">
        <v>45992</v>
      </c>
      <c r="B4204" s="1">
        <v>45992</v>
      </c>
      <c r="C4204">
        <v>2025</v>
      </c>
      <c r="D4204">
        <v>12</v>
      </c>
      <c r="E4204" s="2" t="s">
        <v>281</v>
      </c>
      <c r="F4204" s="2" t="s">
        <v>282</v>
      </c>
      <c r="G4204" s="2" t="s">
        <v>39</v>
      </c>
      <c r="H4204" s="2" t="s">
        <v>22</v>
      </c>
      <c r="I4204" s="2" t="s">
        <v>40</v>
      </c>
      <c r="J4204" s="2" t="s">
        <v>24</v>
      </c>
      <c r="K4204">
        <v>0.02</v>
      </c>
      <c r="L4204">
        <v>0.31</v>
      </c>
      <c r="M4204">
        <v>1550</v>
      </c>
      <c r="N4204" s="2" t="s">
        <v>283</v>
      </c>
      <c r="O4204" s="2" t="s">
        <v>284</v>
      </c>
      <c r="P4204" s="2" t="s">
        <v>1039</v>
      </c>
      <c r="Q4204" s="2" t="s">
        <v>2811</v>
      </c>
      <c r="R4204" s="2" t="s">
        <v>29</v>
      </c>
      <c r="S4204" s="2" t="s">
        <v>30</v>
      </c>
    </row>
    <row r="4205" spans="1:19">
      <c r="A4205" s="1">
        <v>45992</v>
      </c>
      <c r="B4205" s="1">
        <v>45992</v>
      </c>
      <c r="C4205">
        <v>2025</v>
      </c>
      <c r="D4205">
        <v>12</v>
      </c>
      <c r="E4205" s="2" t="s">
        <v>287</v>
      </c>
      <c r="F4205" s="2" t="s">
        <v>288</v>
      </c>
      <c r="G4205" s="2" t="s">
        <v>39</v>
      </c>
      <c r="H4205" s="2" t="s">
        <v>22</v>
      </c>
      <c r="I4205" s="2" t="s">
        <v>40</v>
      </c>
      <c r="J4205" s="2" t="s">
        <v>59</v>
      </c>
      <c r="K4205">
        <v>0.14000000000000001</v>
      </c>
      <c r="L4205">
        <v>2.27</v>
      </c>
      <c r="M4205">
        <v>1621.43</v>
      </c>
      <c r="N4205" s="2" t="s">
        <v>289</v>
      </c>
      <c r="O4205" s="2" t="s">
        <v>290</v>
      </c>
      <c r="P4205" s="2" t="s">
        <v>1187</v>
      </c>
      <c r="Q4205" s="2" t="s">
        <v>342</v>
      </c>
      <c r="R4205" s="2" t="s">
        <v>29</v>
      </c>
      <c r="S4205" s="2" t="s">
        <v>30</v>
      </c>
    </row>
    <row r="4206" spans="1:19">
      <c r="A4206" s="1">
        <v>45992</v>
      </c>
      <c r="B4206" s="1">
        <v>45992</v>
      </c>
      <c r="C4206">
        <v>2025</v>
      </c>
      <c r="D4206">
        <v>12</v>
      </c>
      <c r="E4206" s="2" t="s">
        <v>293</v>
      </c>
      <c r="F4206" s="2" t="s">
        <v>294</v>
      </c>
      <c r="G4206" s="2" t="s">
        <v>21</v>
      </c>
      <c r="H4206" s="2" t="s">
        <v>22</v>
      </c>
      <c r="I4206" s="2" t="s">
        <v>295</v>
      </c>
      <c r="J4206" s="2" t="s">
        <v>24</v>
      </c>
      <c r="K4206">
        <v>966.3</v>
      </c>
      <c r="L4206">
        <v>4819.12</v>
      </c>
      <c r="M4206">
        <v>498.72</v>
      </c>
      <c r="N4206" s="2" t="s">
        <v>296</v>
      </c>
      <c r="O4206" s="2" t="s">
        <v>297</v>
      </c>
      <c r="P4206" s="2" t="s">
        <v>7235</v>
      </c>
      <c r="Q4206" s="2" t="s">
        <v>7236</v>
      </c>
      <c r="R4206" s="2" t="s">
        <v>29</v>
      </c>
      <c r="S4206" s="2" t="s">
        <v>30</v>
      </c>
    </row>
    <row r="4207" spans="1:19">
      <c r="A4207" s="1">
        <v>45992</v>
      </c>
      <c r="B4207" s="1">
        <v>45992</v>
      </c>
      <c r="C4207">
        <v>2025</v>
      </c>
      <c r="D4207">
        <v>12</v>
      </c>
      <c r="E4207" s="2" t="s">
        <v>300</v>
      </c>
      <c r="F4207" s="2" t="s">
        <v>301</v>
      </c>
      <c r="G4207" s="2" t="s">
        <v>21</v>
      </c>
      <c r="H4207" s="2" t="s">
        <v>22</v>
      </c>
      <c r="I4207" s="2" t="s">
        <v>295</v>
      </c>
      <c r="J4207" s="2" t="s">
        <v>24</v>
      </c>
      <c r="K4207">
        <v>694.23</v>
      </c>
      <c r="L4207">
        <v>1390.97</v>
      </c>
      <c r="M4207">
        <v>200.36</v>
      </c>
      <c r="N4207" s="2" t="s">
        <v>302</v>
      </c>
      <c r="O4207" s="2" t="s">
        <v>303</v>
      </c>
      <c r="P4207" s="2" t="s">
        <v>7237</v>
      </c>
      <c r="Q4207" s="2" t="s">
        <v>7238</v>
      </c>
      <c r="R4207" s="2" t="s">
        <v>29</v>
      </c>
      <c r="S4207" s="2" t="s">
        <v>30</v>
      </c>
    </row>
    <row r="4208" spans="1:19">
      <c r="A4208" s="1">
        <v>45992</v>
      </c>
      <c r="B4208" s="1">
        <v>45992</v>
      </c>
      <c r="C4208">
        <v>2025</v>
      </c>
      <c r="D4208">
        <v>12</v>
      </c>
      <c r="E4208" s="2" t="s">
        <v>306</v>
      </c>
      <c r="F4208" s="2" t="s">
        <v>307</v>
      </c>
      <c r="G4208" s="2" t="s">
        <v>21</v>
      </c>
      <c r="H4208" s="2" t="s">
        <v>22</v>
      </c>
      <c r="I4208" s="2" t="s">
        <v>295</v>
      </c>
      <c r="J4208" s="2" t="s">
        <v>101</v>
      </c>
      <c r="K4208">
        <v>1660.53</v>
      </c>
      <c r="L4208">
        <v>6210.09</v>
      </c>
      <c r="M4208">
        <v>373.98</v>
      </c>
      <c r="N4208" s="2" t="s">
        <v>308</v>
      </c>
      <c r="O4208" s="2" t="s">
        <v>309</v>
      </c>
      <c r="P4208" s="2" t="s">
        <v>7239</v>
      </c>
      <c r="Q4208" s="2" t="s">
        <v>7240</v>
      </c>
      <c r="R4208" s="2" t="s">
        <v>29</v>
      </c>
      <c r="S4208" s="2" t="s">
        <v>30</v>
      </c>
    </row>
    <row r="4209" spans="1:19">
      <c r="A4209" s="1">
        <v>45992</v>
      </c>
      <c r="B4209" s="1">
        <v>45992</v>
      </c>
      <c r="C4209">
        <v>2025</v>
      </c>
      <c r="D4209">
        <v>12</v>
      </c>
      <c r="E4209" s="2" t="s">
        <v>312</v>
      </c>
      <c r="F4209" s="2" t="s">
        <v>313</v>
      </c>
      <c r="G4209" s="2" t="s">
        <v>21</v>
      </c>
      <c r="H4209" s="2" t="s">
        <v>22</v>
      </c>
      <c r="I4209" s="2" t="s">
        <v>295</v>
      </c>
      <c r="J4209" s="2" t="s">
        <v>59</v>
      </c>
      <c r="K4209">
        <v>9755.15</v>
      </c>
      <c r="L4209">
        <v>27044.19</v>
      </c>
      <c r="M4209">
        <v>277.23</v>
      </c>
      <c r="N4209" s="2" t="s">
        <v>314</v>
      </c>
      <c r="O4209" s="2" t="s">
        <v>315</v>
      </c>
      <c r="P4209" s="2" t="s">
        <v>7241</v>
      </c>
      <c r="Q4209" s="2" t="s">
        <v>7242</v>
      </c>
      <c r="R4209" s="2" t="s">
        <v>29</v>
      </c>
      <c r="S4209" s="2" t="s">
        <v>30</v>
      </c>
    </row>
    <row r="4210" spans="1:19">
      <c r="A4210" s="1">
        <v>45992</v>
      </c>
      <c r="B4210" s="1">
        <v>45992</v>
      </c>
      <c r="C4210">
        <v>2025</v>
      </c>
      <c r="D4210">
        <v>12</v>
      </c>
      <c r="E4210" s="2" t="s">
        <v>318</v>
      </c>
      <c r="F4210" s="2" t="s">
        <v>319</v>
      </c>
      <c r="G4210" s="2" t="s">
        <v>21</v>
      </c>
      <c r="H4210" s="2" t="s">
        <v>22</v>
      </c>
      <c r="I4210" s="2" t="s">
        <v>295</v>
      </c>
      <c r="J4210" s="2" t="s">
        <v>24</v>
      </c>
      <c r="K4210">
        <v>8094.62</v>
      </c>
      <c r="L4210">
        <v>20834.099999999999</v>
      </c>
      <c r="M4210">
        <v>257.38</v>
      </c>
      <c r="N4210" s="2" t="s">
        <v>320</v>
      </c>
      <c r="O4210" s="2" t="s">
        <v>321</v>
      </c>
      <c r="P4210" s="2" t="s">
        <v>7243</v>
      </c>
      <c r="Q4210" s="2" t="s">
        <v>7244</v>
      </c>
      <c r="R4210" s="2" t="s">
        <v>29</v>
      </c>
      <c r="S4210" s="2" t="s">
        <v>30</v>
      </c>
    </row>
    <row r="4211" spans="1:19">
      <c r="A4211" s="1">
        <v>45992</v>
      </c>
      <c r="B4211" s="1">
        <v>45992</v>
      </c>
      <c r="C4211">
        <v>2025</v>
      </c>
      <c r="D4211">
        <v>12</v>
      </c>
      <c r="E4211" s="2" t="s">
        <v>324</v>
      </c>
      <c r="F4211" s="2" t="s">
        <v>325</v>
      </c>
      <c r="G4211" s="2" t="s">
        <v>21</v>
      </c>
      <c r="H4211" s="2" t="s">
        <v>22</v>
      </c>
      <c r="I4211" s="2" t="s">
        <v>23</v>
      </c>
      <c r="J4211" s="2" t="s">
        <v>59</v>
      </c>
      <c r="K4211">
        <v>232522.27</v>
      </c>
      <c r="L4211">
        <v>8086110.0700000003</v>
      </c>
      <c r="M4211">
        <v>3477.56</v>
      </c>
      <c r="N4211" s="2" t="s">
        <v>326</v>
      </c>
      <c r="O4211" s="2" t="s">
        <v>327</v>
      </c>
      <c r="P4211" s="2" t="s">
        <v>7245</v>
      </c>
      <c r="Q4211" s="2" t="s">
        <v>7246</v>
      </c>
      <c r="R4211" s="2" t="s">
        <v>29</v>
      </c>
      <c r="S4211" s="2" t="s">
        <v>30</v>
      </c>
    </row>
    <row r="4212" spans="1:19">
      <c r="A4212" s="1">
        <v>45992</v>
      </c>
      <c r="B4212" s="1">
        <v>45992</v>
      </c>
      <c r="C4212">
        <v>2025</v>
      </c>
      <c r="D4212">
        <v>12</v>
      </c>
      <c r="E4212" s="2" t="s">
        <v>330</v>
      </c>
      <c r="F4212" s="2" t="s">
        <v>331</v>
      </c>
      <c r="G4212" s="2" t="s">
        <v>21</v>
      </c>
      <c r="H4212" s="2" t="s">
        <v>332</v>
      </c>
      <c r="I4212" s="2" t="s">
        <v>333</v>
      </c>
      <c r="J4212" s="2" t="s">
        <v>24</v>
      </c>
      <c r="K4212">
        <v>316.41000000000003</v>
      </c>
      <c r="L4212">
        <v>19992108.129999999</v>
      </c>
      <c r="M4212">
        <v>6318418.5499999998</v>
      </c>
      <c r="N4212" s="2" t="s">
        <v>334</v>
      </c>
      <c r="O4212" s="2" t="s">
        <v>335</v>
      </c>
      <c r="P4212" s="2" t="s">
        <v>7247</v>
      </c>
      <c r="Q4212" s="2" t="s">
        <v>7248</v>
      </c>
      <c r="R4212" s="2" t="s">
        <v>29</v>
      </c>
      <c r="S4212" s="2" t="s">
        <v>30</v>
      </c>
    </row>
    <row r="4213" spans="1:19">
      <c r="A4213" s="1">
        <v>45992</v>
      </c>
      <c r="B4213" s="1">
        <v>45992</v>
      </c>
      <c r="C4213">
        <v>2025</v>
      </c>
      <c r="D4213">
        <v>12</v>
      </c>
      <c r="E4213" s="2" t="s">
        <v>338</v>
      </c>
      <c r="F4213" s="2" t="s">
        <v>339</v>
      </c>
      <c r="G4213" s="2" t="s">
        <v>21</v>
      </c>
      <c r="H4213" s="2" t="s">
        <v>332</v>
      </c>
      <c r="I4213" s="2" t="s">
        <v>333</v>
      </c>
      <c r="J4213" s="2" t="s">
        <v>24</v>
      </c>
      <c r="K4213">
        <v>1.26</v>
      </c>
      <c r="L4213">
        <v>1977373.29</v>
      </c>
      <c r="M4213">
        <v>156934388.09999999</v>
      </c>
      <c r="N4213" s="2" t="s">
        <v>340</v>
      </c>
      <c r="O4213" s="2" t="s">
        <v>341</v>
      </c>
      <c r="P4213" s="2" t="s">
        <v>267</v>
      </c>
      <c r="Q4213" s="2" t="s">
        <v>7249</v>
      </c>
      <c r="R4213" s="2" t="s">
        <v>29</v>
      </c>
      <c r="S4213" s="2" t="s">
        <v>30</v>
      </c>
    </row>
    <row r="4214" spans="1:19">
      <c r="A4214" s="1">
        <v>45992</v>
      </c>
      <c r="B4214" s="1">
        <v>45992</v>
      </c>
      <c r="C4214">
        <v>2025</v>
      </c>
      <c r="D4214">
        <v>12</v>
      </c>
      <c r="E4214" s="2" t="s">
        <v>344</v>
      </c>
      <c r="F4214" s="2" t="s">
        <v>345</v>
      </c>
      <c r="G4214" s="2" t="s">
        <v>21</v>
      </c>
      <c r="H4214" s="2" t="s">
        <v>332</v>
      </c>
      <c r="I4214" s="2" t="s">
        <v>333</v>
      </c>
      <c r="J4214" s="2" t="s">
        <v>59</v>
      </c>
      <c r="K4214">
        <v>317.67</v>
      </c>
      <c r="L4214">
        <v>21969481.420000002</v>
      </c>
      <c r="M4214">
        <v>6915818.75</v>
      </c>
      <c r="N4214" s="2" t="s">
        <v>346</v>
      </c>
      <c r="O4214" s="2" t="s">
        <v>347</v>
      </c>
      <c r="P4214" s="2" t="s">
        <v>7250</v>
      </c>
      <c r="Q4214" s="2" t="s">
        <v>7251</v>
      </c>
      <c r="R4214" s="2" t="s">
        <v>29</v>
      </c>
      <c r="S4214" s="2" t="s">
        <v>30</v>
      </c>
    </row>
    <row r="4215" spans="1:19">
      <c r="A4215" s="1">
        <v>45992</v>
      </c>
      <c r="B4215" s="1">
        <v>45992</v>
      </c>
      <c r="C4215">
        <v>2025</v>
      </c>
      <c r="D4215">
        <v>12</v>
      </c>
      <c r="E4215" s="2" t="s">
        <v>350</v>
      </c>
      <c r="F4215" s="2" t="s">
        <v>351</v>
      </c>
      <c r="G4215" s="2" t="s">
        <v>21</v>
      </c>
      <c r="H4215" s="2" t="s">
        <v>22</v>
      </c>
      <c r="I4215" s="2" t="s">
        <v>352</v>
      </c>
      <c r="J4215" s="2" t="s">
        <v>353</v>
      </c>
      <c r="K4215">
        <v>251055.07</v>
      </c>
      <c r="L4215">
        <v>30567264.100000001</v>
      </c>
      <c r="M4215">
        <v>12175.52</v>
      </c>
      <c r="N4215" s="2" t="s">
        <v>354</v>
      </c>
      <c r="O4215" s="2" t="s">
        <v>355</v>
      </c>
      <c r="P4215" s="2" t="s">
        <v>7252</v>
      </c>
      <c r="Q4215" s="2" t="s">
        <v>7253</v>
      </c>
      <c r="R4215" s="2" t="s">
        <v>29</v>
      </c>
      <c r="S4215" s="2" t="s">
        <v>30</v>
      </c>
    </row>
    <row r="4216" spans="1:19">
      <c r="A4216" s="1">
        <v>45992</v>
      </c>
      <c r="B4216" s="1">
        <v>45992</v>
      </c>
      <c r="C4216">
        <v>2025</v>
      </c>
      <c r="D4216">
        <v>12</v>
      </c>
      <c r="E4216" s="2" t="s">
        <v>358</v>
      </c>
      <c r="F4216" s="2" t="s">
        <v>359</v>
      </c>
      <c r="G4216" s="2" t="s">
        <v>21</v>
      </c>
      <c r="H4216" s="2" t="s">
        <v>22</v>
      </c>
      <c r="I4216" s="2" t="s">
        <v>352</v>
      </c>
      <c r="J4216" s="2" t="s">
        <v>353</v>
      </c>
      <c r="K4216">
        <v>251531.46</v>
      </c>
      <c r="L4216">
        <v>31187616.539999999</v>
      </c>
      <c r="M4216">
        <v>12399.09</v>
      </c>
      <c r="N4216" s="2" t="s">
        <v>360</v>
      </c>
      <c r="O4216" s="2" t="s">
        <v>361</v>
      </c>
      <c r="P4216" s="2" t="s">
        <v>7254</v>
      </c>
      <c r="Q4216" s="2" t="s">
        <v>7255</v>
      </c>
      <c r="R4216" s="2" t="s">
        <v>29</v>
      </c>
      <c r="S4216" s="2" t="s">
        <v>30</v>
      </c>
    </row>
    <row r="4217" spans="1:19">
      <c r="A4217" s="1">
        <v>45992</v>
      </c>
      <c r="B4217" s="1">
        <v>45992</v>
      </c>
      <c r="C4217">
        <v>2025</v>
      </c>
      <c r="D4217">
        <v>12</v>
      </c>
      <c r="E4217" s="2" t="s">
        <v>364</v>
      </c>
      <c r="F4217" s="2" t="s">
        <v>365</v>
      </c>
      <c r="G4217" s="2" t="s">
        <v>21</v>
      </c>
      <c r="H4217" s="2" t="s">
        <v>22</v>
      </c>
      <c r="I4217" s="2" t="s">
        <v>352</v>
      </c>
      <c r="J4217" s="2" t="s">
        <v>353</v>
      </c>
      <c r="K4217">
        <v>251213.79</v>
      </c>
      <c r="L4217">
        <v>9218135.1199999992</v>
      </c>
      <c r="M4217">
        <v>3669.44</v>
      </c>
      <c r="N4217" s="2" t="s">
        <v>366</v>
      </c>
      <c r="O4217" s="2" t="s">
        <v>367</v>
      </c>
      <c r="P4217" s="2" t="s">
        <v>7256</v>
      </c>
      <c r="Q4217" s="2" t="s">
        <v>7257</v>
      </c>
      <c r="R4217" s="2" t="s">
        <v>29</v>
      </c>
      <c r="S4217" s="2" t="s">
        <v>30</v>
      </c>
    </row>
    <row r="4218" spans="1:19">
      <c r="A4218" s="1">
        <v>45992</v>
      </c>
      <c r="B4218" s="1">
        <v>45992</v>
      </c>
      <c r="C4218">
        <v>2025</v>
      </c>
      <c r="D4218">
        <v>12</v>
      </c>
      <c r="E4218" s="2" t="s">
        <v>370</v>
      </c>
      <c r="F4218" s="2" t="s">
        <v>371</v>
      </c>
      <c r="G4218" s="2" t="s">
        <v>21</v>
      </c>
      <c r="H4218" s="2" t="s">
        <v>22</v>
      </c>
      <c r="I4218" s="2" t="s">
        <v>23</v>
      </c>
      <c r="J4218" s="2" t="s">
        <v>24</v>
      </c>
      <c r="K4218">
        <v>216346.68</v>
      </c>
      <c r="L4218">
        <v>2796712.71</v>
      </c>
      <c r="M4218">
        <v>1292.7</v>
      </c>
      <c r="N4218" s="2" t="s">
        <v>372</v>
      </c>
      <c r="O4218" s="2" t="s">
        <v>373</v>
      </c>
      <c r="P4218" s="2" t="s">
        <v>7258</v>
      </c>
      <c r="Q4218" s="2" t="s">
        <v>7259</v>
      </c>
      <c r="R4218" s="2" t="s">
        <v>29</v>
      </c>
      <c r="S4218" s="2" t="s">
        <v>30</v>
      </c>
    </row>
    <row r="4219" spans="1:19">
      <c r="A4219" s="1">
        <v>45992</v>
      </c>
      <c r="B4219" s="1">
        <v>45992</v>
      </c>
      <c r="C4219">
        <v>2025</v>
      </c>
      <c r="D4219">
        <v>12</v>
      </c>
      <c r="E4219" s="2" t="s">
        <v>376</v>
      </c>
      <c r="F4219" s="2" t="s">
        <v>377</v>
      </c>
      <c r="G4219" s="2" t="s">
        <v>21</v>
      </c>
      <c r="H4219" s="2" t="s">
        <v>22</v>
      </c>
      <c r="I4219" s="2" t="s">
        <v>23</v>
      </c>
      <c r="J4219" s="2" t="s">
        <v>378</v>
      </c>
      <c r="K4219">
        <v>0.52</v>
      </c>
      <c r="L4219">
        <v>5.3</v>
      </c>
      <c r="M4219">
        <v>1019.23</v>
      </c>
      <c r="N4219" s="2" t="s">
        <v>379</v>
      </c>
      <c r="O4219" s="2" t="s">
        <v>380</v>
      </c>
      <c r="P4219" s="2" t="s">
        <v>1241</v>
      </c>
      <c r="Q4219" s="2" t="s">
        <v>6664</v>
      </c>
      <c r="R4219" s="2" t="s">
        <v>29</v>
      </c>
      <c r="S4219" s="2" t="s">
        <v>30</v>
      </c>
    </row>
    <row r="4220" spans="1:19">
      <c r="A4220" s="1">
        <v>46023</v>
      </c>
      <c r="B4220" s="1">
        <v>46023</v>
      </c>
      <c r="C4220">
        <v>2026</v>
      </c>
      <c r="D4220">
        <v>1</v>
      </c>
      <c r="E4220" s="2" t="s">
        <v>19</v>
      </c>
      <c r="F4220" s="2" t="s">
        <v>20</v>
      </c>
      <c r="G4220" s="2" t="s">
        <v>21</v>
      </c>
      <c r="H4220" s="2" t="s">
        <v>22</v>
      </c>
      <c r="I4220" s="2" t="s">
        <v>23</v>
      </c>
      <c r="J4220" s="2" t="s">
        <v>24</v>
      </c>
      <c r="K4220">
        <v>0.24</v>
      </c>
      <c r="L4220">
        <v>13.72</v>
      </c>
      <c r="M4220">
        <v>5716.67</v>
      </c>
      <c r="N4220" s="2" t="s">
        <v>25</v>
      </c>
      <c r="O4220" s="2" t="s">
        <v>26</v>
      </c>
      <c r="P4220" s="2" t="s">
        <v>1650</v>
      </c>
      <c r="Q4220" s="2" t="s">
        <v>7260</v>
      </c>
      <c r="R4220" s="2" t="s">
        <v>29</v>
      </c>
      <c r="S4220" s="2" t="s">
        <v>30</v>
      </c>
    </row>
    <row r="4221" spans="1:19">
      <c r="A4221" s="1">
        <v>46023</v>
      </c>
      <c r="B4221" s="1">
        <v>46023</v>
      </c>
      <c r="C4221">
        <v>2026</v>
      </c>
      <c r="D4221">
        <v>1</v>
      </c>
      <c r="E4221" s="2" t="s">
        <v>31</v>
      </c>
      <c r="F4221" s="2" t="s">
        <v>32</v>
      </c>
      <c r="G4221" s="2" t="s">
        <v>21</v>
      </c>
      <c r="H4221" s="2" t="s">
        <v>22</v>
      </c>
      <c r="I4221" s="2" t="s">
        <v>23</v>
      </c>
      <c r="J4221" s="2" t="s">
        <v>24</v>
      </c>
      <c r="K4221">
        <v>2616.4899999999998</v>
      </c>
      <c r="L4221">
        <v>81194.84</v>
      </c>
      <c r="M4221">
        <v>3103.2</v>
      </c>
      <c r="N4221" s="2" t="s">
        <v>33</v>
      </c>
      <c r="O4221" s="2" t="s">
        <v>34</v>
      </c>
      <c r="P4221" s="2" t="s">
        <v>7261</v>
      </c>
      <c r="Q4221" s="2" t="s">
        <v>7262</v>
      </c>
      <c r="R4221" s="2" t="s">
        <v>29</v>
      </c>
      <c r="S4221" s="2" t="s">
        <v>30</v>
      </c>
    </row>
    <row r="4222" spans="1:19">
      <c r="A4222" s="1">
        <v>46023</v>
      </c>
      <c r="B4222" s="1">
        <v>46023</v>
      </c>
      <c r="C4222">
        <v>2026</v>
      </c>
      <c r="D4222">
        <v>1</v>
      </c>
      <c r="E4222" s="2" t="s">
        <v>37</v>
      </c>
      <c r="F4222" s="2" t="s">
        <v>38</v>
      </c>
      <c r="G4222" s="2" t="s">
        <v>39</v>
      </c>
      <c r="H4222" s="2" t="s">
        <v>22</v>
      </c>
      <c r="I4222" s="2" t="s">
        <v>40</v>
      </c>
      <c r="J4222" s="2" t="s">
        <v>24</v>
      </c>
      <c r="K4222">
        <v>6.97</v>
      </c>
      <c r="L4222">
        <v>394.04</v>
      </c>
      <c r="M4222">
        <v>5653.37</v>
      </c>
      <c r="N4222" s="2" t="s">
        <v>41</v>
      </c>
      <c r="O4222" s="2" t="s">
        <v>42</v>
      </c>
      <c r="P4222" s="2" t="s">
        <v>7263</v>
      </c>
      <c r="Q4222" s="2" t="s">
        <v>7264</v>
      </c>
      <c r="R4222" s="2" t="s">
        <v>29</v>
      </c>
      <c r="S4222" s="2" t="s">
        <v>30</v>
      </c>
    </row>
    <row r="4223" spans="1:19">
      <c r="A4223" s="1">
        <v>46023</v>
      </c>
      <c r="B4223" s="1">
        <v>46023</v>
      </c>
      <c r="C4223">
        <v>2026</v>
      </c>
      <c r="D4223">
        <v>1</v>
      </c>
      <c r="E4223" s="2" t="s">
        <v>45</v>
      </c>
      <c r="F4223" s="2" t="s">
        <v>46</v>
      </c>
      <c r="G4223" s="2" t="s">
        <v>39</v>
      </c>
      <c r="H4223" s="2" t="s">
        <v>22</v>
      </c>
      <c r="I4223" s="2" t="s">
        <v>40</v>
      </c>
      <c r="J4223" s="2" t="s">
        <v>24</v>
      </c>
      <c r="K4223">
        <v>4412</v>
      </c>
      <c r="L4223">
        <v>239172.03</v>
      </c>
      <c r="M4223">
        <v>5420.94</v>
      </c>
      <c r="N4223" s="2" t="s">
        <v>47</v>
      </c>
      <c r="O4223" s="2" t="s">
        <v>48</v>
      </c>
      <c r="P4223" s="2" t="s">
        <v>7265</v>
      </c>
      <c r="Q4223" s="2" t="s">
        <v>7266</v>
      </c>
      <c r="R4223" s="2" t="s">
        <v>29</v>
      </c>
      <c r="S4223" s="2" t="s">
        <v>30</v>
      </c>
    </row>
    <row r="4224" spans="1:19">
      <c r="A4224" s="1">
        <v>46023</v>
      </c>
      <c r="B4224" s="1">
        <v>46023</v>
      </c>
      <c r="C4224">
        <v>2026</v>
      </c>
      <c r="D4224">
        <v>1</v>
      </c>
      <c r="E4224" s="2" t="s">
        <v>51</v>
      </c>
      <c r="F4224" s="2" t="s">
        <v>52</v>
      </c>
      <c r="G4224" s="2" t="s">
        <v>39</v>
      </c>
      <c r="H4224" s="2" t="s">
        <v>22</v>
      </c>
      <c r="I4224" s="2" t="s">
        <v>40</v>
      </c>
      <c r="J4224" s="2" t="s">
        <v>24</v>
      </c>
      <c r="K4224">
        <v>18.09</v>
      </c>
      <c r="L4224">
        <v>906.01</v>
      </c>
      <c r="M4224">
        <v>5008.3500000000004</v>
      </c>
      <c r="N4224" s="2" t="s">
        <v>53</v>
      </c>
      <c r="O4224" s="2" t="s">
        <v>54</v>
      </c>
      <c r="P4224" s="2" t="s">
        <v>7267</v>
      </c>
      <c r="Q4224" s="2" t="s">
        <v>7268</v>
      </c>
      <c r="R4224" s="2" t="s">
        <v>29</v>
      </c>
      <c r="S4224" s="2" t="s">
        <v>30</v>
      </c>
    </row>
    <row r="4225" spans="1:19">
      <c r="A4225" s="1">
        <v>46023</v>
      </c>
      <c r="B4225" s="1">
        <v>46023</v>
      </c>
      <c r="C4225">
        <v>2026</v>
      </c>
      <c r="D4225">
        <v>1</v>
      </c>
      <c r="E4225" s="2" t="s">
        <v>57</v>
      </c>
      <c r="F4225" s="2" t="s">
        <v>58</v>
      </c>
      <c r="G4225" s="2" t="s">
        <v>39</v>
      </c>
      <c r="H4225" s="2" t="s">
        <v>22</v>
      </c>
      <c r="I4225" s="2" t="s">
        <v>40</v>
      </c>
      <c r="J4225" s="2" t="s">
        <v>59</v>
      </c>
      <c r="K4225">
        <v>4437.0600000000004</v>
      </c>
      <c r="L4225">
        <v>240472.08</v>
      </c>
      <c r="M4225">
        <v>5419.63</v>
      </c>
      <c r="N4225" s="2" t="s">
        <v>60</v>
      </c>
      <c r="O4225" s="2" t="s">
        <v>61</v>
      </c>
      <c r="P4225" s="2" t="s">
        <v>7269</v>
      </c>
      <c r="Q4225" s="2" t="s">
        <v>7270</v>
      </c>
      <c r="R4225" s="2" t="s">
        <v>29</v>
      </c>
      <c r="S4225" s="2" t="s">
        <v>30</v>
      </c>
    </row>
    <row r="4226" spans="1:19">
      <c r="A4226" s="1">
        <v>46023</v>
      </c>
      <c r="B4226" s="1">
        <v>46023</v>
      </c>
      <c r="C4226">
        <v>2026</v>
      </c>
      <c r="D4226">
        <v>1</v>
      </c>
      <c r="E4226" s="2" t="s">
        <v>64</v>
      </c>
      <c r="F4226" s="2" t="s">
        <v>65</v>
      </c>
      <c r="G4226" s="2" t="s">
        <v>21</v>
      </c>
      <c r="H4226" s="2" t="s">
        <v>22</v>
      </c>
      <c r="I4226" s="2" t="s">
        <v>66</v>
      </c>
      <c r="J4226" s="2" t="s">
        <v>24</v>
      </c>
      <c r="K4226">
        <v>17.87</v>
      </c>
      <c r="L4226">
        <v>647.95000000000005</v>
      </c>
      <c r="M4226">
        <v>3625.91</v>
      </c>
      <c r="N4226" s="2" t="s">
        <v>67</v>
      </c>
      <c r="O4226" s="2" t="s">
        <v>68</v>
      </c>
      <c r="P4226" s="2" t="s">
        <v>7271</v>
      </c>
      <c r="Q4226" s="2" t="s">
        <v>7272</v>
      </c>
      <c r="R4226" s="2" t="s">
        <v>29</v>
      </c>
      <c r="S4226" s="2" t="s">
        <v>30</v>
      </c>
    </row>
    <row r="4227" spans="1:19">
      <c r="A4227" s="1">
        <v>46023</v>
      </c>
      <c r="B4227" s="1">
        <v>46023</v>
      </c>
      <c r="C4227">
        <v>2026</v>
      </c>
      <c r="D4227">
        <v>1</v>
      </c>
      <c r="E4227" s="2" t="s">
        <v>71</v>
      </c>
      <c r="F4227" s="2" t="s">
        <v>72</v>
      </c>
      <c r="G4227" s="2" t="s">
        <v>21</v>
      </c>
      <c r="H4227" s="2" t="s">
        <v>22</v>
      </c>
      <c r="I4227" s="2" t="s">
        <v>73</v>
      </c>
      <c r="J4227" s="2" t="s">
        <v>59</v>
      </c>
      <c r="K4227">
        <v>6415.41</v>
      </c>
      <c r="L4227">
        <v>237041.56</v>
      </c>
      <c r="M4227">
        <v>3694.88</v>
      </c>
      <c r="N4227" s="2" t="s">
        <v>74</v>
      </c>
      <c r="O4227" s="2" t="s">
        <v>75</v>
      </c>
      <c r="P4227" s="2" t="s">
        <v>7273</v>
      </c>
      <c r="Q4227" s="2" t="s">
        <v>7274</v>
      </c>
      <c r="R4227" s="2" t="s">
        <v>29</v>
      </c>
      <c r="S4227" s="2" t="s">
        <v>30</v>
      </c>
    </row>
    <row r="4228" spans="1:19">
      <c r="A4228" s="1">
        <v>46023</v>
      </c>
      <c r="B4228" s="1">
        <v>46023</v>
      </c>
      <c r="C4228">
        <v>2026</v>
      </c>
      <c r="D4228">
        <v>1</v>
      </c>
      <c r="E4228" s="2" t="s">
        <v>78</v>
      </c>
      <c r="F4228" s="2" t="s">
        <v>79</v>
      </c>
      <c r="G4228" s="2" t="s">
        <v>80</v>
      </c>
      <c r="H4228" s="2" t="s">
        <v>81</v>
      </c>
      <c r="I4228" s="2" t="s">
        <v>82</v>
      </c>
      <c r="J4228" s="2" t="s">
        <v>24</v>
      </c>
      <c r="K4228">
        <v>2.64</v>
      </c>
      <c r="L4228">
        <v>12450917.02</v>
      </c>
      <c r="M4228">
        <v>471625644.69999999</v>
      </c>
      <c r="N4228" s="2" t="s">
        <v>83</v>
      </c>
      <c r="O4228" s="2" t="s">
        <v>84</v>
      </c>
      <c r="P4228" s="2" t="s">
        <v>7275</v>
      </c>
      <c r="Q4228" s="2" t="s">
        <v>7276</v>
      </c>
      <c r="R4228" s="2" t="s">
        <v>29</v>
      </c>
      <c r="S4228" s="2" t="s">
        <v>30</v>
      </c>
    </row>
    <row r="4229" spans="1:19">
      <c r="A4229" s="1">
        <v>46023</v>
      </c>
      <c r="B4229" s="1">
        <v>46023</v>
      </c>
      <c r="C4229">
        <v>2026</v>
      </c>
      <c r="D4229">
        <v>1</v>
      </c>
      <c r="E4229" s="2" t="s">
        <v>87</v>
      </c>
      <c r="F4229" s="2" t="s">
        <v>88</v>
      </c>
      <c r="G4229" s="2" t="s">
        <v>80</v>
      </c>
      <c r="H4229" s="2" t="s">
        <v>81</v>
      </c>
      <c r="I4229" s="2" t="s">
        <v>82</v>
      </c>
      <c r="J4229" s="2" t="s">
        <v>24</v>
      </c>
      <c r="K4229">
        <v>0.9</v>
      </c>
      <c r="L4229">
        <v>1235355.8799999999</v>
      </c>
      <c r="M4229">
        <v>137261764.44</v>
      </c>
      <c r="N4229" s="2" t="s">
        <v>89</v>
      </c>
      <c r="O4229" s="2" t="s">
        <v>90</v>
      </c>
      <c r="P4229" s="2" t="s">
        <v>2515</v>
      </c>
      <c r="Q4229" s="2" t="s">
        <v>7277</v>
      </c>
      <c r="R4229" s="2" t="s">
        <v>29</v>
      </c>
      <c r="S4229" s="2" t="s">
        <v>30</v>
      </c>
    </row>
    <row r="4230" spans="1:19">
      <c r="A4230" s="1">
        <v>46023</v>
      </c>
      <c r="B4230" s="1">
        <v>46023</v>
      </c>
      <c r="C4230">
        <v>2026</v>
      </c>
      <c r="D4230">
        <v>1</v>
      </c>
      <c r="E4230" s="2" t="s">
        <v>93</v>
      </c>
      <c r="F4230" s="2" t="s">
        <v>94</v>
      </c>
      <c r="G4230" s="2" t="s">
        <v>80</v>
      </c>
      <c r="H4230" s="2" t="s">
        <v>81</v>
      </c>
      <c r="I4230" s="2" t="s">
        <v>82</v>
      </c>
      <c r="J4230" s="2" t="s">
        <v>24</v>
      </c>
      <c r="K4230">
        <v>0.46</v>
      </c>
      <c r="L4230">
        <v>7775967.5899999999</v>
      </c>
      <c r="M4230">
        <v>1690427736.96</v>
      </c>
      <c r="N4230" s="2" t="s">
        <v>95</v>
      </c>
      <c r="O4230" s="2" t="s">
        <v>96</v>
      </c>
      <c r="P4230" s="2" t="s">
        <v>2711</v>
      </c>
      <c r="Q4230" s="2" t="s">
        <v>7278</v>
      </c>
      <c r="R4230" s="2" t="s">
        <v>29</v>
      </c>
      <c r="S4230" s="2" t="s">
        <v>30</v>
      </c>
    </row>
    <row r="4231" spans="1:19">
      <c r="A4231" s="1">
        <v>46023</v>
      </c>
      <c r="B4231" s="1">
        <v>46023</v>
      </c>
      <c r="C4231">
        <v>2026</v>
      </c>
      <c r="D4231">
        <v>1</v>
      </c>
      <c r="E4231" s="2" t="s">
        <v>99</v>
      </c>
      <c r="F4231" s="2" t="s">
        <v>100</v>
      </c>
      <c r="G4231" s="2" t="s">
        <v>80</v>
      </c>
      <c r="H4231" s="2" t="s">
        <v>81</v>
      </c>
      <c r="I4231" s="2" t="s">
        <v>82</v>
      </c>
      <c r="J4231" s="2" t="s">
        <v>101</v>
      </c>
      <c r="K4231">
        <v>1.61</v>
      </c>
      <c r="L4231">
        <v>18709470.219999999</v>
      </c>
      <c r="M4231">
        <v>1162078895.6500001</v>
      </c>
      <c r="N4231" s="2" t="s">
        <v>102</v>
      </c>
      <c r="O4231" s="2" t="s">
        <v>103</v>
      </c>
      <c r="P4231" s="2" t="s">
        <v>1417</v>
      </c>
      <c r="Q4231" s="2" t="s">
        <v>7279</v>
      </c>
      <c r="R4231" s="2" t="s">
        <v>29</v>
      </c>
      <c r="S4231" s="2" t="s">
        <v>30</v>
      </c>
    </row>
    <row r="4232" spans="1:19">
      <c r="A4232" s="1">
        <v>46023</v>
      </c>
      <c r="B4232" s="1">
        <v>46023</v>
      </c>
      <c r="C4232">
        <v>2026</v>
      </c>
      <c r="D4232">
        <v>1</v>
      </c>
      <c r="E4232" s="2" t="s">
        <v>106</v>
      </c>
      <c r="F4232" s="2" t="s">
        <v>107</v>
      </c>
      <c r="G4232" s="2" t="s">
        <v>80</v>
      </c>
      <c r="H4232" s="2" t="s">
        <v>81</v>
      </c>
      <c r="I4232" s="2" t="s">
        <v>82</v>
      </c>
      <c r="J4232" s="2" t="s">
        <v>24</v>
      </c>
      <c r="K4232">
        <v>0.25</v>
      </c>
      <c r="L4232">
        <v>9698146.75</v>
      </c>
      <c r="M4232">
        <v>3879258700</v>
      </c>
      <c r="N4232" s="2" t="s">
        <v>108</v>
      </c>
      <c r="O4232" s="2" t="s">
        <v>109</v>
      </c>
      <c r="P4232" s="2" t="s">
        <v>876</v>
      </c>
      <c r="Q4232" s="2" t="s">
        <v>7280</v>
      </c>
      <c r="R4232" s="2" t="s">
        <v>29</v>
      </c>
      <c r="S4232" s="2" t="s">
        <v>30</v>
      </c>
    </row>
    <row r="4233" spans="1:19">
      <c r="A4233" s="1">
        <v>46023</v>
      </c>
      <c r="B4233" s="1">
        <v>46023</v>
      </c>
      <c r="C4233">
        <v>2026</v>
      </c>
      <c r="D4233">
        <v>1</v>
      </c>
      <c r="E4233" s="2" t="s">
        <v>111</v>
      </c>
      <c r="F4233" s="2" t="s">
        <v>112</v>
      </c>
      <c r="G4233" s="2" t="s">
        <v>80</v>
      </c>
      <c r="H4233" s="2" t="s">
        <v>81</v>
      </c>
      <c r="I4233" s="2" t="s">
        <v>82</v>
      </c>
      <c r="J4233" s="2" t="s">
        <v>24</v>
      </c>
      <c r="K4233">
        <v>0.1</v>
      </c>
      <c r="L4233">
        <v>994966.5</v>
      </c>
      <c r="M4233">
        <v>994966500</v>
      </c>
      <c r="N4233" s="2" t="s">
        <v>113</v>
      </c>
      <c r="O4233" s="2" t="s">
        <v>114</v>
      </c>
      <c r="P4233" s="2" t="s">
        <v>425</v>
      </c>
      <c r="Q4233" s="2" t="s">
        <v>7281</v>
      </c>
      <c r="R4233" s="2" t="s">
        <v>29</v>
      </c>
      <c r="S4233" s="2" t="s">
        <v>30</v>
      </c>
    </row>
    <row r="4234" spans="1:19">
      <c r="A4234" s="1">
        <v>46023</v>
      </c>
      <c r="B4234" s="1">
        <v>46023</v>
      </c>
      <c r="C4234">
        <v>2026</v>
      </c>
      <c r="D4234">
        <v>1</v>
      </c>
      <c r="E4234" s="2" t="s">
        <v>117</v>
      </c>
      <c r="F4234" s="2" t="s">
        <v>118</v>
      </c>
      <c r="G4234" s="2" t="s">
        <v>80</v>
      </c>
      <c r="H4234" s="2" t="s">
        <v>81</v>
      </c>
      <c r="I4234" s="2" t="s">
        <v>82</v>
      </c>
      <c r="J4234" s="2" t="s">
        <v>59</v>
      </c>
      <c r="K4234">
        <v>4.3499999999999996</v>
      </c>
      <c r="L4234">
        <v>32155353.739999998</v>
      </c>
      <c r="M4234">
        <v>739203534.25</v>
      </c>
      <c r="N4234" s="2" t="s">
        <v>119</v>
      </c>
      <c r="O4234" s="2" t="s">
        <v>120</v>
      </c>
      <c r="P4234" s="2" t="s">
        <v>7282</v>
      </c>
      <c r="Q4234" s="2" t="s">
        <v>7283</v>
      </c>
      <c r="R4234" s="2" t="s">
        <v>29</v>
      </c>
      <c r="S4234" s="2" t="s">
        <v>30</v>
      </c>
    </row>
    <row r="4235" spans="1:19">
      <c r="A4235" s="1">
        <v>46023</v>
      </c>
      <c r="B4235" s="1">
        <v>46023</v>
      </c>
      <c r="C4235">
        <v>2026</v>
      </c>
      <c r="D4235">
        <v>1</v>
      </c>
      <c r="E4235" s="2" t="s">
        <v>123</v>
      </c>
      <c r="F4235" s="2" t="s">
        <v>124</v>
      </c>
      <c r="G4235" s="2" t="s">
        <v>21</v>
      </c>
      <c r="H4235" s="2" t="s">
        <v>22</v>
      </c>
      <c r="I4235" s="2" t="s">
        <v>73</v>
      </c>
      <c r="J4235" s="2" t="s">
        <v>24</v>
      </c>
      <c r="K4235">
        <v>2722.16</v>
      </c>
      <c r="L4235">
        <v>123097.04</v>
      </c>
      <c r="M4235">
        <v>4522.04</v>
      </c>
      <c r="N4235" s="2" t="s">
        <v>125</v>
      </c>
      <c r="O4235" s="2" t="s">
        <v>126</v>
      </c>
      <c r="P4235" s="2" t="s">
        <v>7284</v>
      </c>
      <c r="Q4235" s="2" t="s">
        <v>7285</v>
      </c>
      <c r="R4235" s="2" t="s">
        <v>29</v>
      </c>
      <c r="S4235" s="2" t="s">
        <v>30</v>
      </c>
    </row>
    <row r="4236" spans="1:19">
      <c r="A4236" s="1">
        <v>46023</v>
      </c>
      <c r="B4236" s="1">
        <v>46023</v>
      </c>
      <c r="C4236">
        <v>2026</v>
      </c>
      <c r="D4236">
        <v>1</v>
      </c>
      <c r="E4236" s="2" t="s">
        <v>129</v>
      </c>
      <c r="F4236" s="2" t="s">
        <v>130</v>
      </c>
      <c r="G4236" s="2" t="s">
        <v>21</v>
      </c>
      <c r="H4236" s="2" t="s">
        <v>22</v>
      </c>
      <c r="I4236" s="2" t="s">
        <v>73</v>
      </c>
      <c r="J4236" s="2" t="s">
        <v>24</v>
      </c>
      <c r="K4236">
        <v>2674.95</v>
      </c>
      <c r="L4236">
        <v>75987.83</v>
      </c>
      <c r="M4236">
        <v>2840.72</v>
      </c>
      <c r="N4236" s="2" t="s">
        <v>131</v>
      </c>
      <c r="O4236" s="2" t="s">
        <v>132</v>
      </c>
      <c r="P4236" s="2" t="s">
        <v>7286</v>
      </c>
      <c r="Q4236" s="2" t="s">
        <v>7287</v>
      </c>
      <c r="R4236" s="2" t="s">
        <v>29</v>
      </c>
      <c r="S4236" s="2" t="s">
        <v>30</v>
      </c>
    </row>
    <row r="4237" spans="1:19">
      <c r="A4237" s="1">
        <v>46023</v>
      </c>
      <c r="B4237" s="1">
        <v>46023</v>
      </c>
      <c r="C4237">
        <v>2026</v>
      </c>
      <c r="D4237">
        <v>1</v>
      </c>
      <c r="E4237" s="2" t="s">
        <v>135</v>
      </c>
      <c r="F4237" s="2" t="s">
        <v>136</v>
      </c>
      <c r="G4237" s="2" t="s">
        <v>21</v>
      </c>
      <c r="H4237" s="2" t="s">
        <v>22</v>
      </c>
      <c r="I4237" s="2" t="s">
        <v>73</v>
      </c>
      <c r="J4237" s="2" t="s">
        <v>101</v>
      </c>
      <c r="K4237">
        <v>5397.11</v>
      </c>
      <c r="L4237">
        <v>199084.87</v>
      </c>
      <c r="M4237">
        <v>3688.73</v>
      </c>
      <c r="N4237" s="2" t="s">
        <v>137</v>
      </c>
      <c r="O4237" s="2" t="s">
        <v>138</v>
      </c>
      <c r="P4237" s="2" t="s">
        <v>7288</v>
      </c>
      <c r="Q4237" s="2" t="s">
        <v>7289</v>
      </c>
      <c r="R4237" s="2" t="s">
        <v>29</v>
      </c>
      <c r="S4237" s="2" t="s">
        <v>30</v>
      </c>
    </row>
    <row r="4238" spans="1:19">
      <c r="A4238" s="1">
        <v>46023</v>
      </c>
      <c r="B4238" s="1">
        <v>46023</v>
      </c>
      <c r="C4238">
        <v>2026</v>
      </c>
      <c r="D4238">
        <v>1</v>
      </c>
      <c r="E4238" s="2" t="s">
        <v>141</v>
      </c>
      <c r="F4238" s="2" t="s">
        <v>142</v>
      </c>
      <c r="G4238" s="2" t="s">
        <v>21</v>
      </c>
      <c r="H4238" s="2" t="s">
        <v>22</v>
      </c>
      <c r="I4238" s="2" t="s">
        <v>73</v>
      </c>
      <c r="J4238" s="2" t="s">
        <v>24</v>
      </c>
      <c r="K4238">
        <v>245.1</v>
      </c>
      <c r="L4238">
        <v>12443.67</v>
      </c>
      <c r="M4238">
        <v>5076.9799999999996</v>
      </c>
      <c r="N4238" s="2" t="s">
        <v>143</v>
      </c>
      <c r="O4238" s="2" t="s">
        <v>144</v>
      </c>
      <c r="P4238" s="2" t="s">
        <v>7290</v>
      </c>
      <c r="Q4238" s="2" t="s">
        <v>7291</v>
      </c>
      <c r="R4238" s="2" t="s">
        <v>29</v>
      </c>
      <c r="S4238" s="2" t="s">
        <v>30</v>
      </c>
    </row>
    <row r="4239" spans="1:19">
      <c r="A4239" s="1">
        <v>46023</v>
      </c>
      <c r="B4239" s="1">
        <v>46023</v>
      </c>
      <c r="C4239">
        <v>2026</v>
      </c>
      <c r="D4239">
        <v>1</v>
      </c>
      <c r="E4239" s="2" t="s">
        <v>147</v>
      </c>
      <c r="F4239" s="2" t="s">
        <v>148</v>
      </c>
      <c r="G4239" s="2" t="s">
        <v>21</v>
      </c>
      <c r="H4239" s="2" t="s">
        <v>22</v>
      </c>
      <c r="I4239" s="2" t="s">
        <v>73</v>
      </c>
      <c r="J4239" s="2" t="s">
        <v>24</v>
      </c>
      <c r="K4239">
        <v>773.2</v>
      </c>
      <c r="L4239">
        <v>25513.02</v>
      </c>
      <c r="M4239">
        <v>3299.67</v>
      </c>
      <c r="N4239" s="2" t="s">
        <v>149</v>
      </c>
      <c r="O4239" s="2" t="s">
        <v>150</v>
      </c>
      <c r="P4239" s="2" t="s">
        <v>7292</v>
      </c>
      <c r="Q4239" s="2" t="s">
        <v>7293</v>
      </c>
      <c r="R4239" s="2" t="s">
        <v>29</v>
      </c>
      <c r="S4239" s="2" t="s">
        <v>30</v>
      </c>
    </row>
    <row r="4240" spans="1:19">
      <c r="A4240" s="1">
        <v>46023</v>
      </c>
      <c r="B4240" s="1">
        <v>46023</v>
      </c>
      <c r="C4240">
        <v>2026</v>
      </c>
      <c r="D4240">
        <v>1</v>
      </c>
      <c r="E4240" s="2" t="s">
        <v>153</v>
      </c>
      <c r="F4240" s="2" t="s">
        <v>154</v>
      </c>
      <c r="G4240" s="2" t="s">
        <v>21</v>
      </c>
      <c r="H4240" s="2" t="s">
        <v>22</v>
      </c>
      <c r="I4240" s="2" t="s">
        <v>73</v>
      </c>
      <c r="J4240" s="2" t="s">
        <v>101</v>
      </c>
      <c r="K4240">
        <v>1018.29</v>
      </c>
      <c r="L4240">
        <v>37956.69</v>
      </c>
      <c r="M4240">
        <v>3727.49</v>
      </c>
      <c r="N4240" s="2" t="s">
        <v>155</v>
      </c>
      <c r="O4240" s="2" t="s">
        <v>156</v>
      </c>
      <c r="P4240" s="2" t="s">
        <v>7294</v>
      </c>
      <c r="Q4240" s="2" t="s">
        <v>7295</v>
      </c>
      <c r="R4240" s="2" t="s">
        <v>29</v>
      </c>
      <c r="S4240" s="2" t="s">
        <v>30</v>
      </c>
    </row>
    <row r="4241" spans="1:19">
      <c r="A4241" s="1">
        <v>46023</v>
      </c>
      <c r="B4241" s="1">
        <v>46023</v>
      </c>
      <c r="C4241">
        <v>2026</v>
      </c>
      <c r="D4241">
        <v>1</v>
      </c>
      <c r="E4241" s="2" t="s">
        <v>159</v>
      </c>
      <c r="F4241" s="2" t="s">
        <v>160</v>
      </c>
      <c r="G4241" s="2" t="s">
        <v>21</v>
      </c>
      <c r="H4241" s="2" t="s">
        <v>22</v>
      </c>
      <c r="I4241" s="2" t="s">
        <v>66</v>
      </c>
      <c r="J4241" s="2" t="s">
        <v>59</v>
      </c>
      <c r="K4241">
        <v>2016.8</v>
      </c>
      <c r="L4241">
        <v>240345.4</v>
      </c>
      <c r="M4241">
        <v>11917.17</v>
      </c>
      <c r="N4241" s="2" t="s">
        <v>161</v>
      </c>
      <c r="O4241" s="2" t="s">
        <v>162</v>
      </c>
      <c r="P4241" s="2" t="s">
        <v>7296</v>
      </c>
      <c r="Q4241" s="2" t="s">
        <v>7297</v>
      </c>
      <c r="R4241" s="2" t="s">
        <v>29</v>
      </c>
      <c r="S4241" s="2" t="s">
        <v>30</v>
      </c>
    </row>
    <row r="4242" spans="1:19">
      <c r="A4242" s="1">
        <v>46023</v>
      </c>
      <c r="B4242" s="1">
        <v>46023</v>
      </c>
      <c r="C4242">
        <v>2026</v>
      </c>
      <c r="D4242">
        <v>1</v>
      </c>
      <c r="E4242" s="2" t="s">
        <v>165</v>
      </c>
      <c r="F4242" s="2" t="s">
        <v>166</v>
      </c>
      <c r="G4242" s="2" t="s">
        <v>21</v>
      </c>
      <c r="H4242" s="2" t="s">
        <v>22</v>
      </c>
      <c r="I4242" s="2" t="s">
        <v>23</v>
      </c>
      <c r="J4242" s="2" t="s">
        <v>24</v>
      </c>
      <c r="N4242" s="2" t="s">
        <v>167</v>
      </c>
      <c r="O4242" s="2" t="s">
        <v>168</v>
      </c>
      <c r="P4242" s="2" t="s">
        <v>175</v>
      </c>
      <c r="Q4242" s="2" t="s">
        <v>175</v>
      </c>
      <c r="R4242" s="2" t="s">
        <v>640</v>
      </c>
      <c r="S4242" s="2" t="s">
        <v>641</v>
      </c>
    </row>
    <row r="4243" spans="1:19">
      <c r="A4243" s="1">
        <v>46023</v>
      </c>
      <c r="B4243" s="1">
        <v>46023</v>
      </c>
      <c r="C4243">
        <v>2026</v>
      </c>
      <c r="D4243">
        <v>1</v>
      </c>
      <c r="E4243" s="2" t="s">
        <v>171</v>
      </c>
      <c r="F4243" s="2" t="s">
        <v>172</v>
      </c>
      <c r="G4243" s="2" t="s">
        <v>21</v>
      </c>
      <c r="H4243" s="2" t="s">
        <v>22</v>
      </c>
      <c r="I4243" s="2" t="s">
        <v>66</v>
      </c>
      <c r="J4243" s="2" t="s">
        <v>24</v>
      </c>
      <c r="N4243" s="2" t="s">
        <v>173</v>
      </c>
      <c r="O4243" s="2" t="s">
        <v>174</v>
      </c>
      <c r="P4243" s="2" t="s">
        <v>175</v>
      </c>
      <c r="Q4243" s="2" t="s">
        <v>175</v>
      </c>
      <c r="R4243" s="2" t="s">
        <v>640</v>
      </c>
      <c r="S4243" s="2" t="s">
        <v>641</v>
      </c>
    </row>
    <row r="4244" spans="1:19">
      <c r="A4244" s="1">
        <v>46023</v>
      </c>
      <c r="B4244" s="1">
        <v>46023</v>
      </c>
      <c r="C4244">
        <v>2026</v>
      </c>
      <c r="D4244">
        <v>1</v>
      </c>
      <c r="E4244" s="2" t="s">
        <v>177</v>
      </c>
      <c r="F4244" s="2" t="s">
        <v>178</v>
      </c>
      <c r="G4244" s="2" t="s">
        <v>21</v>
      </c>
      <c r="H4244" s="2" t="s">
        <v>22</v>
      </c>
      <c r="I4244" s="2" t="s">
        <v>23</v>
      </c>
      <c r="J4244" s="2" t="s">
        <v>24</v>
      </c>
      <c r="K4244">
        <v>3740.33</v>
      </c>
      <c r="L4244">
        <v>672989.44</v>
      </c>
      <c r="M4244">
        <v>17992.78</v>
      </c>
      <c r="N4244" s="2" t="s">
        <v>179</v>
      </c>
      <c r="O4244" s="2" t="s">
        <v>180</v>
      </c>
      <c r="P4244" s="2" t="s">
        <v>7298</v>
      </c>
      <c r="Q4244" s="2" t="s">
        <v>7299</v>
      </c>
      <c r="R4244" s="2" t="s">
        <v>29</v>
      </c>
      <c r="S4244" s="2" t="s">
        <v>30</v>
      </c>
    </row>
    <row r="4245" spans="1:19">
      <c r="A4245" s="1">
        <v>46023</v>
      </c>
      <c r="B4245" s="1">
        <v>46023</v>
      </c>
      <c r="C4245">
        <v>2026</v>
      </c>
      <c r="D4245">
        <v>1</v>
      </c>
      <c r="E4245" s="2" t="s">
        <v>183</v>
      </c>
      <c r="F4245" s="2" t="s">
        <v>184</v>
      </c>
      <c r="G4245" s="2" t="s">
        <v>185</v>
      </c>
      <c r="H4245" s="2" t="s">
        <v>22</v>
      </c>
      <c r="I4245" s="2" t="s">
        <v>186</v>
      </c>
      <c r="J4245" s="2" t="s">
        <v>24</v>
      </c>
      <c r="K4245">
        <v>2877.97</v>
      </c>
      <c r="L4245">
        <v>6519050.5800000001</v>
      </c>
      <c r="M4245">
        <v>226515.58</v>
      </c>
      <c r="N4245" s="2" t="s">
        <v>187</v>
      </c>
      <c r="O4245" s="2" t="s">
        <v>188</v>
      </c>
      <c r="P4245" s="2" t="s">
        <v>7300</v>
      </c>
      <c r="Q4245" s="2" t="s">
        <v>7301</v>
      </c>
      <c r="R4245" s="2" t="s">
        <v>29</v>
      </c>
      <c r="S4245" s="2" t="s">
        <v>30</v>
      </c>
    </row>
    <row r="4246" spans="1:19">
      <c r="A4246" s="1">
        <v>46023</v>
      </c>
      <c r="B4246" s="1">
        <v>46023</v>
      </c>
      <c r="C4246">
        <v>2026</v>
      </c>
      <c r="D4246">
        <v>1</v>
      </c>
      <c r="E4246" s="2" t="s">
        <v>191</v>
      </c>
      <c r="F4246" s="2" t="s">
        <v>192</v>
      </c>
      <c r="G4246" s="2" t="s">
        <v>185</v>
      </c>
      <c r="H4246" s="2" t="s">
        <v>22</v>
      </c>
      <c r="I4246" s="2" t="s">
        <v>186</v>
      </c>
      <c r="J4246" s="2" t="s">
        <v>24</v>
      </c>
      <c r="K4246">
        <v>844.98</v>
      </c>
      <c r="L4246">
        <v>7378947.6399999997</v>
      </c>
      <c r="M4246">
        <v>873268.91</v>
      </c>
      <c r="N4246" s="2" t="s">
        <v>193</v>
      </c>
      <c r="O4246" s="2" t="s">
        <v>194</v>
      </c>
      <c r="P4246" s="2" t="s">
        <v>7302</v>
      </c>
      <c r="Q4246" s="2" t="s">
        <v>7303</v>
      </c>
      <c r="R4246" s="2" t="s">
        <v>29</v>
      </c>
      <c r="S4246" s="2" t="s">
        <v>30</v>
      </c>
    </row>
    <row r="4247" spans="1:19">
      <c r="A4247" s="1">
        <v>46023</v>
      </c>
      <c r="B4247" s="1">
        <v>46023</v>
      </c>
      <c r="C4247">
        <v>2026</v>
      </c>
      <c r="D4247">
        <v>1</v>
      </c>
      <c r="E4247" s="2" t="s">
        <v>197</v>
      </c>
      <c r="F4247" s="2" t="s">
        <v>198</v>
      </c>
      <c r="G4247" s="2" t="s">
        <v>185</v>
      </c>
      <c r="H4247" s="2" t="s">
        <v>22</v>
      </c>
      <c r="I4247" s="2" t="s">
        <v>186</v>
      </c>
      <c r="J4247" s="2" t="s">
        <v>59</v>
      </c>
      <c r="K4247">
        <v>3722.95</v>
      </c>
      <c r="L4247">
        <v>13897998.220000001</v>
      </c>
      <c r="M4247">
        <v>373306.07</v>
      </c>
      <c r="N4247" s="2" t="s">
        <v>199</v>
      </c>
      <c r="O4247" s="2" t="s">
        <v>200</v>
      </c>
      <c r="P4247" s="2" t="s">
        <v>7304</v>
      </c>
      <c r="Q4247" s="2" t="s">
        <v>7305</v>
      </c>
      <c r="R4247" s="2" t="s">
        <v>29</v>
      </c>
      <c r="S4247" s="2" t="s">
        <v>30</v>
      </c>
    </row>
    <row r="4248" spans="1:19">
      <c r="A4248" s="1">
        <v>46023</v>
      </c>
      <c r="B4248" s="1">
        <v>46023</v>
      </c>
      <c r="C4248">
        <v>2026</v>
      </c>
      <c r="D4248">
        <v>1</v>
      </c>
      <c r="E4248" s="2" t="s">
        <v>203</v>
      </c>
      <c r="F4248" s="2" t="s">
        <v>204</v>
      </c>
      <c r="G4248" s="2" t="s">
        <v>39</v>
      </c>
      <c r="H4248" s="2" t="s">
        <v>22</v>
      </c>
      <c r="I4248" s="2" t="s">
        <v>40</v>
      </c>
      <c r="J4248" s="2" t="s">
        <v>24</v>
      </c>
      <c r="K4248">
        <v>956.67</v>
      </c>
      <c r="L4248">
        <v>24737.439999999999</v>
      </c>
      <c r="M4248">
        <v>2585.79</v>
      </c>
      <c r="N4248" s="2" t="s">
        <v>205</v>
      </c>
      <c r="O4248" s="2" t="s">
        <v>206</v>
      </c>
      <c r="P4248" s="2" t="s">
        <v>7306</v>
      </c>
      <c r="Q4248" s="2" t="s">
        <v>7307</v>
      </c>
      <c r="R4248" s="2" t="s">
        <v>29</v>
      </c>
      <c r="S4248" s="2" t="s">
        <v>30</v>
      </c>
    </row>
    <row r="4249" spans="1:19">
      <c r="A4249" s="1">
        <v>46023</v>
      </c>
      <c r="B4249" s="1">
        <v>46023</v>
      </c>
      <c r="C4249">
        <v>2026</v>
      </c>
      <c r="D4249">
        <v>1</v>
      </c>
      <c r="E4249" s="2" t="s">
        <v>209</v>
      </c>
      <c r="F4249" s="2" t="s">
        <v>210</v>
      </c>
      <c r="G4249" s="2" t="s">
        <v>39</v>
      </c>
      <c r="H4249" s="2" t="s">
        <v>22</v>
      </c>
      <c r="I4249" s="2" t="s">
        <v>40</v>
      </c>
      <c r="J4249" s="2" t="s">
        <v>59</v>
      </c>
      <c r="K4249">
        <v>956.67</v>
      </c>
      <c r="L4249">
        <v>24737.439999999999</v>
      </c>
      <c r="M4249">
        <v>2585.79</v>
      </c>
      <c r="N4249" s="2" t="s">
        <v>211</v>
      </c>
      <c r="O4249" s="2" t="s">
        <v>212</v>
      </c>
      <c r="P4249" s="2" t="s">
        <v>7306</v>
      </c>
      <c r="Q4249" s="2" t="s">
        <v>7307</v>
      </c>
      <c r="R4249" s="2" t="s">
        <v>29</v>
      </c>
      <c r="S4249" s="2" t="s">
        <v>30</v>
      </c>
    </row>
    <row r="4250" spans="1:19">
      <c r="A4250" s="1">
        <v>46023</v>
      </c>
      <c r="B4250" s="1">
        <v>46023</v>
      </c>
      <c r="C4250">
        <v>2026</v>
      </c>
      <c r="D4250">
        <v>1</v>
      </c>
      <c r="E4250" s="2" t="s">
        <v>213</v>
      </c>
      <c r="F4250" s="2" t="s">
        <v>214</v>
      </c>
      <c r="G4250" s="2" t="s">
        <v>185</v>
      </c>
      <c r="H4250" s="2" t="s">
        <v>22</v>
      </c>
      <c r="I4250" s="2" t="s">
        <v>215</v>
      </c>
      <c r="J4250" s="2" t="s">
        <v>24</v>
      </c>
      <c r="K4250">
        <v>188377.24</v>
      </c>
      <c r="L4250">
        <v>3411659.18</v>
      </c>
      <c r="M4250">
        <v>1811.08</v>
      </c>
      <c r="N4250" s="2" t="s">
        <v>216</v>
      </c>
      <c r="O4250" s="2" t="s">
        <v>217</v>
      </c>
      <c r="P4250" s="2" t="s">
        <v>7308</v>
      </c>
      <c r="Q4250" s="2" t="s">
        <v>7309</v>
      </c>
      <c r="R4250" s="2" t="s">
        <v>29</v>
      </c>
      <c r="S4250" s="2" t="s">
        <v>30</v>
      </c>
    </row>
    <row r="4251" spans="1:19">
      <c r="A4251" s="1">
        <v>46023</v>
      </c>
      <c r="B4251" s="1">
        <v>46023</v>
      </c>
      <c r="C4251">
        <v>2026</v>
      </c>
      <c r="D4251">
        <v>1</v>
      </c>
      <c r="E4251" s="2" t="s">
        <v>220</v>
      </c>
      <c r="F4251" s="2" t="s">
        <v>221</v>
      </c>
      <c r="G4251" s="2" t="s">
        <v>185</v>
      </c>
      <c r="H4251" s="2" t="s">
        <v>22</v>
      </c>
      <c r="I4251" s="2" t="s">
        <v>215</v>
      </c>
      <c r="J4251" s="2" t="s">
        <v>24</v>
      </c>
      <c r="K4251">
        <v>10652.94</v>
      </c>
      <c r="L4251">
        <v>709083.35</v>
      </c>
      <c r="M4251">
        <v>6656.22</v>
      </c>
      <c r="N4251" s="2" t="s">
        <v>222</v>
      </c>
      <c r="O4251" s="2" t="s">
        <v>223</v>
      </c>
      <c r="P4251" s="2" t="s">
        <v>7310</v>
      </c>
      <c r="Q4251" s="2" t="s">
        <v>7311</v>
      </c>
      <c r="R4251" s="2" t="s">
        <v>29</v>
      </c>
      <c r="S4251" s="2" t="s">
        <v>30</v>
      </c>
    </row>
    <row r="4252" spans="1:19">
      <c r="A4252" s="1">
        <v>46023</v>
      </c>
      <c r="B4252" s="1">
        <v>46023</v>
      </c>
      <c r="C4252">
        <v>2026</v>
      </c>
      <c r="D4252">
        <v>1</v>
      </c>
      <c r="E4252" s="2" t="s">
        <v>226</v>
      </c>
      <c r="F4252" s="2" t="s">
        <v>227</v>
      </c>
      <c r="G4252" s="2" t="s">
        <v>185</v>
      </c>
      <c r="H4252" s="2" t="s">
        <v>22</v>
      </c>
      <c r="I4252" s="2" t="s">
        <v>215</v>
      </c>
      <c r="J4252" s="2" t="s">
        <v>59</v>
      </c>
      <c r="K4252">
        <v>199030.19</v>
      </c>
      <c r="L4252">
        <v>4120742.54</v>
      </c>
      <c r="M4252">
        <v>2070.41</v>
      </c>
      <c r="N4252" s="2" t="s">
        <v>228</v>
      </c>
      <c r="O4252" s="2" t="s">
        <v>229</v>
      </c>
      <c r="P4252" s="2" t="s">
        <v>7312</v>
      </c>
      <c r="Q4252" s="2" t="s">
        <v>7313</v>
      </c>
      <c r="R4252" s="2" t="s">
        <v>29</v>
      </c>
      <c r="S4252" s="2" t="s">
        <v>30</v>
      </c>
    </row>
    <row r="4253" spans="1:19">
      <c r="A4253" s="1">
        <v>46023</v>
      </c>
      <c r="B4253" s="1">
        <v>46023</v>
      </c>
      <c r="C4253">
        <v>2026</v>
      </c>
      <c r="D4253">
        <v>1</v>
      </c>
      <c r="E4253" s="2" t="s">
        <v>232</v>
      </c>
      <c r="F4253" s="2" t="s">
        <v>233</v>
      </c>
      <c r="G4253" s="2" t="s">
        <v>21</v>
      </c>
      <c r="H4253" s="2" t="s">
        <v>22</v>
      </c>
      <c r="I4253" s="2" t="s">
        <v>23</v>
      </c>
      <c r="J4253" s="2" t="s">
        <v>24</v>
      </c>
      <c r="K4253">
        <v>1248.95</v>
      </c>
      <c r="L4253">
        <v>161580.13</v>
      </c>
      <c r="M4253">
        <v>12937.28</v>
      </c>
      <c r="N4253" s="2" t="s">
        <v>234</v>
      </c>
      <c r="O4253" s="2" t="s">
        <v>235</v>
      </c>
      <c r="P4253" s="2" t="s">
        <v>7314</v>
      </c>
      <c r="Q4253" s="2" t="s">
        <v>7315</v>
      </c>
      <c r="R4253" s="2" t="s">
        <v>29</v>
      </c>
      <c r="S4253" s="2" t="s">
        <v>30</v>
      </c>
    </row>
    <row r="4254" spans="1:19">
      <c r="A4254" s="1">
        <v>46023</v>
      </c>
      <c r="B4254" s="1">
        <v>46023</v>
      </c>
      <c r="C4254">
        <v>2026</v>
      </c>
      <c r="D4254">
        <v>1</v>
      </c>
      <c r="E4254" s="2" t="s">
        <v>238</v>
      </c>
      <c r="F4254" s="2" t="s">
        <v>239</v>
      </c>
      <c r="G4254" s="2" t="s">
        <v>21</v>
      </c>
      <c r="H4254" s="2" t="s">
        <v>22</v>
      </c>
      <c r="I4254" s="2" t="s">
        <v>66</v>
      </c>
      <c r="J4254" s="2" t="s">
        <v>24</v>
      </c>
      <c r="K4254">
        <v>1865.64</v>
      </c>
      <c r="L4254">
        <v>239513.52</v>
      </c>
      <c r="M4254">
        <v>12838.14</v>
      </c>
      <c r="N4254" s="2" t="s">
        <v>240</v>
      </c>
      <c r="O4254" s="2" t="s">
        <v>241</v>
      </c>
      <c r="P4254" s="2" t="s">
        <v>7316</v>
      </c>
      <c r="Q4254" s="2" t="s">
        <v>7317</v>
      </c>
      <c r="R4254" s="2" t="s">
        <v>29</v>
      </c>
      <c r="S4254" s="2" t="s">
        <v>30</v>
      </c>
    </row>
    <row r="4255" spans="1:19">
      <c r="A4255" s="1">
        <v>46023</v>
      </c>
      <c r="B4255" s="1">
        <v>46023</v>
      </c>
      <c r="C4255">
        <v>2026</v>
      </c>
      <c r="D4255">
        <v>1</v>
      </c>
      <c r="E4255" s="2" t="s">
        <v>244</v>
      </c>
      <c r="F4255" s="2" t="s">
        <v>245</v>
      </c>
      <c r="G4255" s="2" t="s">
        <v>21</v>
      </c>
      <c r="H4255" s="2" t="s">
        <v>22</v>
      </c>
      <c r="I4255" s="2" t="s">
        <v>23</v>
      </c>
      <c r="J4255" s="2" t="s">
        <v>24</v>
      </c>
      <c r="K4255">
        <v>8724.2000000000007</v>
      </c>
      <c r="L4255">
        <v>4329421.05</v>
      </c>
      <c r="M4255">
        <v>49625.42</v>
      </c>
      <c r="N4255" s="2" t="s">
        <v>246</v>
      </c>
      <c r="O4255" s="2" t="s">
        <v>247</v>
      </c>
      <c r="P4255" s="2" t="s">
        <v>7318</v>
      </c>
      <c r="Q4255" s="2" t="s">
        <v>7319</v>
      </c>
      <c r="R4255" s="2" t="s">
        <v>29</v>
      </c>
      <c r="S4255" s="2" t="s">
        <v>30</v>
      </c>
    </row>
    <row r="4256" spans="1:19">
      <c r="A4256" s="1">
        <v>46023</v>
      </c>
      <c r="B4256" s="1">
        <v>46023</v>
      </c>
      <c r="C4256">
        <v>2026</v>
      </c>
      <c r="D4256">
        <v>1</v>
      </c>
      <c r="E4256" s="2" t="s">
        <v>250</v>
      </c>
      <c r="F4256" s="2" t="s">
        <v>251</v>
      </c>
      <c r="G4256" s="2" t="s">
        <v>21</v>
      </c>
      <c r="H4256" s="2" t="s">
        <v>22</v>
      </c>
      <c r="I4256" s="2" t="s">
        <v>66</v>
      </c>
      <c r="J4256" s="2" t="s">
        <v>24</v>
      </c>
      <c r="K4256">
        <v>133.29</v>
      </c>
      <c r="L4256">
        <v>183.93</v>
      </c>
      <c r="M4256">
        <v>137.99</v>
      </c>
      <c r="N4256" s="2" t="s">
        <v>252</v>
      </c>
      <c r="O4256" s="2" t="s">
        <v>253</v>
      </c>
      <c r="P4256" s="2" t="s">
        <v>7320</v>
      </c>
      <c r="Q4256" s="2" t="s">
        <v>7321</v>
      </c>
      <c r="R4256" s="2" t="s">
        <v>29</v>
      </c>
      <c r="S4256" s="2" t="s">
        <v>30</v>
      </c>
    </row>
    <row r="4257" spans="1:19">
      <c r="A4257" s="1">
        <v>46023</v>
      </c>
      <c r="B4257" s="1">
        <v>46023</v>
      </c>
      <c r="C4257">
        <v>2026</v>
      </c>
      <c r="D4257">
        <v>1</v>
      </c>
      <c r="E4257" s="2" t="s">
        <v>256</v>
      </c>
      <c r="F4257" s="2" t="s">
        <v>257</v>
      </c>
      <c r="G4257" s="2" t="s">
        <v>21</v>
      </c>
      <c r="H4257" s="2" t="s">
        <v>22</v>
      </c>
      <c r="I4257" s="2" t="s">
        <v>258</v>
      </c>
      <c r="J4257" s="2" t="s">
        <v>24</v>
      </c>
      <c r="K4257">
        <v>458.71</v>
      </c>
      <c r="L4257">
        <v>601415.35</v>
      </c>
      <c r="M4257">
        <v>131110.15</v>
      </c>
      <c r="N4257" s="2" t="s">
        <v>259</v>
      </c>
      <c r="O4257" s="2" t="s">
        <v>260</v>
      </c>
      <c r="P4257" s="2" t="s">
        <v>7322</v>
      </c>
      <c r="Q4257" s="2" t="s">
        <v>7323</v>
      </c>
      <c r="R4257" s="2" t="s">
        <v>29</v>
      </c>
      <c r="S4257" s="2" t="s">
        <v>30</v>
      </c>
    </row>
    <row r="4258" spans="1:19">
      <c r="A4258" s="1">
        <v>46023</v>
      </c>
      <c r="B4258" s="1">
        <v>46023</v>
      </c>
      <c r="C4258">
        <v>2026</v>
      </c>
      <c r="D4258">
        <v>1</v>
      </c>
      <c r="E4258" s="2" t="s">
        <v>263</v>
      </c>
      <c r="F4258" s="2" t="s">
        <v>264</v>
      </c>
      <c r="G4258" s="2" t="s">
        <v>21</v>
      </c>
      <c r="H4258" s="2" t="s">
        <v>22</v>
      </c>
      <c r="I4258" s="2" t="s">
        <v>258</v>
      </c>
      <c r="J4258" s="2" t="s">
        <v>24</v>
      </c>
      <c r="K4258">
        <v>0</v>
      </c>
      <c r="L4258">
        <v>0</v>
      </c>
      <c r="N4258" s="2" t="s">
        <v>265</v>
      </c>
      <c r="O4258" s="2" t="s">
        <v>266</v>
      </c>
      <c r="P4258" s="2" t="s">
        <v>639</v>
      </c>
      <c r="Q4258" s="2" t="s">
        <v>639</v>
      </c>
      <c r="R4258" s="2" t="s">
        <v>29</v>
      </c>
      <c r="S4258" s="2" t="s">
        <v>30</v>
      </c>
    </row>
    <row r="4259" spans="1:19">
      <c r="A4259" s="1">
        <v>46023</v>
      </c>
      <c r="B4259" s="1">
        <v>46023</v>
      </c>
      <c r="C4259">
        <v>2026</v>
      </c>
      <c r="D4259">
        <v>1</v>
      </c>
      <c r="E4259" s="2" t="s">
        <v>269</v>
      </c>
      <c r="F4259" s="2" t="s">
        <v>270</v>
      </c>
      <c r="G4259" s="2" t="s">
        <v>21</v>
      </c>
      <c r="H4259" s="2" t="s">
        <v>22</v>
      </c>
      <c r="I4259" s="2" t="s">
        <v>258</v>
      </c>
      <c r="J4259" s="2" t="s">
        <v>59</v>
      </c>
      <c r="K4259">
        <v>458.71</v>
      </c>
      <c r="L4259">
        <v>601415.35</v>
      </c>
      <c r="M4259">
        <v>131110.15</v>
      </c>
      <c r="N4259" s="2" t="s">
        <v>271</v>
      </c>
      <c r="O4259" s="2" t="s">
        <v>272</v>
      </c>
      <c r="P4259" s="2" t="s">
        <v>7322</v>
      </c>
      <c r="Q4259" s="2" t="s">
        <v>7323</v>
      </c>
      <c r="R4259" s="2" t="s">
        <v>29</v>
      </c>
      <c r="S4259" s="2" t="s">
        <v>30</v>
      </c>
    </row>
    <row r="4260" spans="1:19">
      <c r="A4260" s="1">
        <v>46023</v>
      </c>
      <c r="B4260" s="1">
        <v>46023</v>
      </c>
      <c r="C4260">
        <v>2026</v>
      </c>
      <c r="D4260">
        <v>1</v>
      </c>
      <c r="E4260" s="2" t="s">
        <v>275</v>
      </c>
      <c r="F4260" s="2" t="s">
        <v>276</v>
      </c>
      <c r="G4260" s="2" t="s">
        <v>39</v>
      </c>
      <c r="H4260" s="2" t="s">
        <v>22</v>
      </c>
      <c r="I4260" s="2" t="s">
        <v>40</v>
      </c>
      <c r="J4260" s="2" t="s">
        <v>24</v>
      </c>
      <c r="K4260">
        <v>0.12</v>
      </c>
      <c r="L4260">
        <v>1.9</v>
      </c>
      <c r="M4260">
        <v>1583.33</v>
      </c>
      <c r="N4260" s="2" t="s">
        <v>277</v>
      </c>
      <c r="O4260" s="2" t="s">
        <v>278</v>
      </c>
      <c r="P4260" s="2" t="s">
        <v>1547</v>
      </c>
      <c r="Q4260" s="2" t="s">
        <v>3750</v>
      </c>
      <c r="R4260" s="2" t="s">
        <v>29</v>
      </c>
      <c r="S4260" s="2" t="s">
        <v>30</v>
      </c>
    </row>
    <row r="4261" spans="1:19">
      <c r="A4261" s="1">
        <v>46023</v>
      </c>
      <c r="B4261" s="1">
        <v>46023</v>
      </c>
      <c r="C4261">
        <v>2026</v>
      </c>
      <c r="D4261">
        <v>1</v>
      </c>
      <c r="E4261" s="2" t="s">
        <v>281</v>
      </c>
      <c r="F4261" s="2" t="s">
        <v>282</v>
      </c>
      <c r="G4261" s="2" t="s">
        <v>39</v>
      </c>
      <c r="H4261" s="2" t="s">
        <v>22</v>
      </c>
      <c r="I4261" s="2" t="s">
        <v>40</v>
      </c>
      <c r="J4261" s="2" t="s">
        <v>24</v>
      </c>
      <c r="K4261">
        <v>0.02</v>
      </c>
      <c r="L4261">
        <v>0.34</v>
      </c>
      <c r="M4261">
        <v>1700</v>
      </c>
      <c r="N4261" s="2" t="s">
        <v>283</v>
      </c>
      <c r="O4261" s="2" t="s">
        <v>284</v>
      </c>
      <c r="P4261" s="2" t="s">
        <v>1039</v>
      </c>
      <c r="Q4261" s="2" t="s">
        <v>3373</v>
      </c>
      <c r="R4261" s="2" t="s">
        <v>29</v>
      </c>
      <c r="S4261" s="2" t="s">
        <v>30</v>
      </c>
    </row>
    <row r="4262" spans="1:19">
      <c r="A4262" s="1">
        <v>46023</v>
      </c>
      <c r="B4262" s="1">
        <v>46023</v>
      </c>
      <c r="C4262">
        <v>2026</v>
      </c>
      <c r="D4262">
        <v>1</v>
      </c>
      <c r="E4262" s="2" t="s">
        <v>287</v>
      </c>
      <c r="F4262" s="2" t="s">
        <v>288</v>
      </c>
      <c r="G4262" s="2" t="s">
        <v>39</v>
      </c>
      <c r="H4262" s="2" t="s">
        <v>22</v>
      </c>
      <c r="I4262" s="2" t="s">
        <v>40</v>
      </c>
      <c r="J4262" s="2" t="s">
        <v>59</v>
      </c>
      <c r="K4262">
        <v>0.15</v>
      </c>
      <c r="L4262">
        <v>2.2400000000000002</v>
      </c>
      <c r="M4262">
        <v>1493.33</v>
      </c>
      <c r="N4262" s="2" t="s">
        <v>289</v>
      </c>
      <c r="O4262" s="2" t="s">
        <v>290</v>
      </c>
      <c r="P4262" s="2" t="s">
        <v>5445</v>
      </c>
      <c r="Q4262" s="2" t="s">
        <v>1795</v>
      </c>
      <c r="R4262" s="2" t="s">
        <v>29</v>
      </c>
      <c r="S4262" s="2" t="s">
        <v>30</v>
      </c>
    </row>
    <row r="4263" spans="1:19">
      <c r="A4263" s="1">
        <v>46023</v>
      </c>
      <c r="B4263" s="1">
        <v>46023</v>
      </c>
      <c r="C4263">
        <v>2026</v>
      </c>
      <c r="D4263">
        <v>1</v>
      </c>
      <c r="E4263" s="2" t="s">
        <v>293</v>
      </c>
      <c r="F4263" s="2" t="s">
        <v>294</v>
      </c>
      <c r="G4263" s="2" t="s">
        <v>21</v>
      </c>
      <c r="H4263" s="2" t="s">
        <v>22</v>
      </c>
      <c r="I4263" s="2" t="s">
        <v>295</v>
      </c>
      <c r="J4263" s="2" t="s">
        <v>24</v>
      </c>
      <c r="K4263">
        <v>993.74</v>
      </c>
      <c r="L4263">
        <v>5058.8599999999997</v>
      </c>
      <c r="M4263">
        <v>509.07</v>
      </c>
      <c r="N4263" s="2" t="s">
        <v>296</v>
      </c>
      <c r="O4263" s="2" t="s">
        <v>297</v>
      </c>
      <c r="P4263" s="2" t="s">
        <v>7324</v>
      </c>
      <c r="Q4263" s="2" t="s">
        <v>7325</v>
      </c>
      <c r="R4263" s="2" t="s">
        <v>29</v>
      </c>
      <c r="S4263" s="2" t="s">
        <v>30</v>
      </c>
    </row>
    <row r="4264" spans="1:19">
      <c r="A4264" s="1">
        <v>46023</v>
      </c>
      <c r="B4264" s="1">
        <v>46023</v>
      </c>
      <c r="C4264">
        <v>2026</v>
      </c>
      <c r="D4264">
        <v>1</v>
      </c>
      <c r="E4264" s="2" t="s">
        <v>300</v>
      </c>
      <c r="F4264" s="2" t="s">
        <v>301</v>
      </c>
      <c r="G4264" s="2" t="s">
        <v>21</v>
      </c>
      <c r="H4264" s="2" t="s">
        <v>22</v>
      </c>
      <c r="I4264" s="2" t="s">
        <v>295</v>
      </c>
      <c r="J4264" s="2" t="s">
        <v>24</v>
      </c>
      <c r="K4264">
        <v>827.76</v>
      </c>
      <c r="L4264">
        <v>1581.87</v>
      </c>
      <c r="M4264">
        <v>191.1</v>
      </c>
      <c r="N4264" s="2" t="s">
        <v>302</v>
      </c>
      <c r="O4264" s="2" t="s">
        <v>303</v>
      </c>
      <c r="P4264" s="2" t="s">
        <v>7326</v>
      </c>
      <c r="Q4264" s="2" t="s">
        <v>7327</v>
      </c>
      <c r="R4264" s="2" t="s">
        <v>29</v>
      </c>
      <c r="S4264" s="2" t="s">
        <v>30</v>
      </c>
    </row>
    <row r="4265" spans="1:19">
      <c r="A4265" s="1">
        <v>46023</v>
      </c>
      <c r="B4265" s="1">
        <v>46023</v>
      </c>
      <c r="C4265">
        <v>2026</v>
      </c>
      <c r="D4265">
        <v>1</v>
      </c>
      <c r="E4265" s="2" t="s">
        <v>306</v>
      </c>
      <c r="F4265" s="2" t="s">
        <v>307</v>
      </c>
      <c r="G4265" s="2" t="s">
        <v>21</v>
      </c>
      <c r="H4265" s="2" t="s">
        <v>22</v>
      </c>
      <c r="I4265" s="2" t="s">
        <v>295</v>
      </c>
      <c r="J4265" s="2" t="s">
        <v>101</v>
      </c>
      <c r="K4265">
        <v>1821.5</v>
      </c>
      <c r="L4265">
        <v>6640.73</v>
      </c>
      <c r="M4265">
        <v>364.57</v>
      </c>
      <c r="N4265" s="2" t="s">
        <v>308</v>
      </c>
      <c r="O4265" s="2" t="s">
        <v>309</v>
      </c>
      <c r="P4265" s="2" t="s">
        <v>7328</v>
      </c>
      <c r="Q4265" s="2" t="s">
        <v>7329</v>
      </c>
      <c r="R4265" s="2" t="s">
        <v>29</v>
      </c>
      <c r="S4265" s="2" t="s">
        <v>30</v>
      </c>
    </row>
    <row r="4266" spans="1:19">
      <c r="A4266" s="1">
        <v>46023</v>
      </c>
      <c r="B4266" s="1">
        <v>46023</v>
      </c>
      <c r="C4266">
        <v>2026</v>
      </c>
      <c r="D4266">
        <v>1</v>
      </c>
      <c r="E4266" s="2" t="s">
        <v>312</v>
      </c>
      <c r="F4266" s="2" t="s">
        <v>313</v>
      </c>
      <c r="G4266" s="2" t="s">
        <v>21</v>
      </c>
      <c r="H4266" s="2" t="s">
        <v>22</v>
      </c>
      <c r="I4266" s="2" t="s">
        <v>295</v>
      </c>
      <c r="J4266" s="2" t="s">
        <v>59</v>
      </c>
      <c r="K4266">
        <v>9537.91</v>
      </c>
      <c r="L4266">
        <v>27625.55</v>
      </c>
      <c r="M4266">
        <v>289.64</v>
      </c>
      <c r="N4266" s="2" t="s">
        <v>314</v>
      </c>
      <c r="O4266" s="2" t="s">
        <v>315</v>
      </c>
      <c r="P4266" s="2" t="s">
        <v>7330</v>
      </c>
      <c r="Q4266" s="2" t="s">
        <v>7331</v>
      </c>
      <c r="R4266" s="2" t="s">
        <v>29</v>
      </c>
      <c r="S4266" s="2" t="s">
        <v>30</v>
      </c>
    </row>
    <row r="4267" spans="1:19">
      <c r="A4267" s="1">
        <v>46023</v>
      </c>
      <c r="B4267" s="1">
        <v>46023</v>
      </c>
      <c r="C4267">
        <v>2026</v>
      </c>
      <c r="D4267">
        <v>1</v>
      </c>
      <c r="E4267" s="2" t="s">
        <v>318</v>
      </c>
      <c r="F4267" s="2" t="s">
        <v>319</v>
      </c>
      <c r="G4267" s="2" t="s">
        <v>21</v>
      </c>
      <c r="H4267" s="2" t="s">
        <v>22</v>
      </c>
      <c r="I4267" s="2" t="s">
        <v>295</v>
      </c>
      <c r="J4267" s="2" t="s">
        <v>24</v>
      </c>
      <c r="K4267">
        <v>7716.41</v>
      </c>
      <c r="L4267">
        <v>20984.83</v>
      </c>
      <c r="M4267">
        <v>271.95</v>
      </c>
      <c r="N4267" s="2" t="s">
        <v>320</v>
      </c>
      <c r="O4267" s="2" t="s">
        <v>321</v>
      </c>
      <c r="P4267" s="2" t="s">
        <v>7332</v>
      </c>
      <c r="Q4267" s="2" t="s">
        <v>7333</v>
      </c>
      <c r="R4267" s="2" t="s">
        <v>29</v>
      </c>
      <c r="S4267" s="2" t="s">
        <v>30</v>
      </c>
    </row>
    <row r="4268" spans="1:19">
      <c r="A4268" s="1">
        <v>46023</v>
      </c>
      <c r="B4268" s="1">
        <v>46023</v>
      </c>
      <c r="C4268">
        <v>2026</v>
      </c>
      <c r="D4268">
        <v>1</v>
      </c>
      <c r="E4268" s="2" t="s">
        <v>324</v>
      </c>
      <c r="F4268" s="2" t="s">
        <v>325</v>
      </c>
      <c r="G4268" s="2" t="s">
        <v>21</v>
      </c>
      <c r="H4268" s="2" t="s">
        <v>22</v>
      </c>
      <c r="I4268" s="2" t="s">
        <v>23</v>
      </c>
      <c r="J4268" s="2" t="s">
        <v>59</v>
      </c>
      <c r="K4268">
        <v>233364.66</v>
      </c>
      <c r="L4268">
        <v>8078680.4400000004</v>
      </c>
      <c r="M4268">
        <v>3461.83</v>
      </c>
      <c r="N4268" s="2" t="s">
        <v>326</v>
      </c>
      <c r="O4268" s="2" t="s">
        <v>327</v>
      </c>
      <c r="P4268" s="2" t="s">
        <v>7334</v>
      </c>
      <c r="Q4268" s="2" t="s">
        <v>7335</v>
      </c>
      <c r="R4268" s="2" t="s">
        <v>29</v>
      </c>
      <c r="S4268" s="2" t="s">
        <v>30</v>
      </c>
    </row>
    <row r="4269" spans="1:19">
      <c r="A4269" s="1">
        <v>46023</v>
      </c>
      <c r="B4269" s="1">
        <v>46023</v>
      </c>
      <c r="C4269">
        <v>2026</v>
      </c>
      <c r="D4269">
        <v>1</v>
      </c>
      <c r="E4269" s="2" t="s">
        <v>330</v>
      </c>
      <c r="F4269" s="2" t="s">
        <v>331</v>
      </c>
      <c r="G4269" s="2" t="s">
        <v>21</v>
      </c>
      <c r="H4269" s="2" t="s">
        <v>332</v>
      </c>
      <c r="I4269" s="2" t="s">
        <v>333</v>
      </c>
      <c r="J4269" s="2" t="s">
        <v>24</v>
      </c>
      <c r="K4269">
        <v>315.76</v>
      </c>
      <c r="L4269">
        <v>17580603.949999999</v>
      </c>
      <c r="M4269">
        <v>5567710.9000000004</v>
      </c>
      <c r="N4269" s="2" t="s">
        <v>334</v>
      </c>
      <c r="O4269" s="2" t="s">
        <v>335</v>
      </c>
      <c r="P4269" s="2" t="s">
        <v>7336</v>
      </c>
      <c r="Q4269" s="2" t="s">
        <v>7337</v>
      </c>
      <c r="R4269" s="2" t="s">
        <v>29</v>
      </c>
      <c r="S4269" s="2" t="s">
        <v>30</v>
      </c>
    </row>
    <row r="4270" spans="1:19">
      <c r="A4270" s="1">
        <v>46023</v>
      </c>
      <c r="B4270" s="1">
        <v>46023</v>
      </c>
      <c r="C4270">
        <v>2026</v>
      </c>
      <c r="D4270">
        <v>1</v>
      </c>
      <c r="E4270" s="2" t="s">
        <v>338</v>
      </c>
      <c r="F4270" s="2" t="s">
        <v>339</v>
      </c>
      <c r="G4270" s="2" t="s">
        <v>21</v>
      </c>
      <c r="H4270" s="2" t="s">
        <v>332</v>
      </c>
      <c r="I4270" s="2" t="s">
        <v>333</v>
      </c>
      <c r="J4270" s="2" t="s">
        <v>24</v>
      </c>
      <c r="K4270">
        <v>1.23</v>
      </c>
      <c r="L4270">
        <v>1596099.85</v>
      </c>
      <c r="M4270">
        <v>129764215.45</v>
      </c>
      <c r="N4270" s="2" t="s">
        <v>340</v>
      </c>
      <c r="O4270" s="2" t="s">
        <v>341</v>
      </c>
      <c r="P4270" s="2" t="s">
        <v>3281</v>
      </c>
      <c r="Q4270" s="2" t="s">
        <v>7338</v>
      </c>
      <c r="R4270" s="2" t="s">
        <v>29</v>
      </c>
      <c r="S4270" s="2" t="s">
        <v>30</v>
      </c>
    </row>
    <row r="4271" spans="1:19">
      <c r="A4271" s="1">
        <v>46023</v>
      </c>
      <c r="B4271" s="1">
        <v>46023</v>
      </c>
      <c r="C4271">
        <v>2026</v>
      </c>
      <c r="D4271">
        <v>1</v>
      </c>
      <c r="E4271" s="2" t="s">
        <v>344</v>
      </c>
      <c r="F4271" s="2" t="s">
        <v>345</v>
      </c>
      <c r="G4271" s="2" t="s">
        <v>21</v>
      </c>
      <c r="H4271" s="2" t="s">
        <v>332</v>
      </c>
      <c r="I4271" s="2" t="s">
        <v>333</v>
      </c>
      <c r="J4271" s="2" t="s">
        <v>59</v>
      </c>
      <c r="K4271">
        <v>316.99</v>
      </c>
      <c r="L4271">
        <v>19176703.789999999</v>
      </c>
      <c r="M4271">
        <v>6049624.21</v>
      </c>
      <c r="N4271" s="2" t="s">
        <v>346</v>
      </c>
      <c r="O4271" s="2" t="s">
        <v>347</v>
      </c>
      <c r="P4271" s="2" t="s">
        <v>7339</v>
      </c>
      <c r="Q4271" s="2" t="s">
        <v>7340</v>
      </c>
      <c r="R4271" s="2" t="s">
        <v>29</v>
      </c>
      <c r="S4271" s="2" t="s">
        <v>30</v>
      </c>
    </row>
    <row r="4272" spans="1:19">
      <c r="A4272" s="1">
        <v>46023</v>
      </c>
      <c r="B4272" s="1">
        <v>46023</v>
      </c>
      <c r="C4272">
        <v>2026</v>
      </c>
      <c r="D4272">
        <v>1</v>
      </c>
      <c r="E4272" s="2" t="s">
        <v>350</v>
      </c>
      <c r="F4272" s="2" t="s">
        <v>351</v>
      </c>
      <c r="G4272" s="2" t="s">
        <v>21</v>
      </c>
      <c r="H4272" s="2" t="s">
        <v>22</v>
      </c>
      <c r="I4272" s="2" t="s">
        <v>352</v>
      </c>
      <c r="J4272" s="2" t="s">
        <v>353</v>
      </c>
      <c r="K4272">
        <v>251651.77</v>
      </c>
      <c r="L4272">
        <v>27760396.739999998</v>
      </c>
      <c r="M4272">
        <v>11031.27</v>
      </c>
      <c r="N4272" s="2" t="s">
        <v>354</v>
      </c>
      <c r="O4272" s="2" t="s">
        <v>355</v>
      </c>
      <c r="P4272" s="2" t="s">
        <v>7341</v>
      </c>
      <c r="Q4272" s="2" t="s">
        <v>7342</v>
      </c>
      <c r="R4272" s="2" t="s">
        <v>29</v>
      </c>
      <c r="S4272" s="2" t="s">
        <v>30</v>
      </c>
    </row>
    <row r="4273" spans="1:19">
      <c r="A4273" s="1">
        <v>46023</v>
      </c>
      <c r="B4273" s="1">
        <v>46023</v>
      </c>
      <c r="C4273">
        <v>2026</v>
      </c>
      <c r="D4273">
        <v>1</v>
      </c>
      <c r="E4273" s="2" t="s">
        <v>358</v>
      </c>
      <c r="F4273" s="2" t="s">
        <v>359</v>
      </c>
      <c r="G4273" s="2" t="s">
        <v>21</v>
      </c>
      <c r="H4273" s="2" t="s">
        <v>22</v>
      </c>
      <c r="I4273" s="2" t="s">
        <v>352</v>
      </c>
      <c r="J4273" s="2" t="s">
        <v>353</v>
      </c>
      <c r="K4273">
        <v>252110.48</v>
      </c>
      <c r="L4273">
        <v>28361812.09</v>
      </c>
      <c r="M4273">
        <v>11249.76</v>
      </c>
      <c r="N4273" s="2" t="s">
        <v>360</v>
      </c>
      <c r="O4273" s="2" t="s">
        <v>361</v>
      </c>
      <c r="P4273" s="2" t="s">
        <v>7343</v>
      </c>
      <c r="Q4273" s="2" t="s">
        <v>7344</v>
      </c>
      <c r="R4273" s="2" t="s">
        <v>29</v>
      </c>
      <c r="S4273" s="2" t="s">
        <v>30</v>
      </c>
    </row>
    <row r="4274" spans="1:19">
      <c r="A4274" s="1">
        <v>46023</v>
      </c>
      <c r="B4274" s="1">
        <v>46023</v>
      </c>
      <c r="C4274">
        <v>2026</v>
      </c>
      <c r="D4274">
        <v>1</v>
      </c>
      <c r="E4274" s="2" t="s">
        <v>364</v>
      </c>
      <c r="F4274" s="2" t="s">
        <v>365</v>
      </c>
      <c r="G4274" s="2" t="s">
        <v>21</v>
      </c>
      <c r="H4274" s="2" t="s">
        <v>22</v>
      </c>
      <c r="I4274" s="2" t="s">
        <v>352</v>
      </c>
      <c r="J4274" s="2" t="s">
        <v>353</v>
      </c>
      <c r="K4274">
        <v>251793.49</v>
      </c>
      <c r="L4274">
        <v>9185108.3000000007</v>
      </c>
      <c r="M4274">
        <v>3647.87</v>
      </c>
      <c r="N4274" s="2" t="s">
        <v>366</v>
      </c>
      <c r="O4274" s="2" t="s">
        <v>367</v>
      </c>
      <c r="P4274" s="2" t="s">
        <v>7345</v>
      </c>
      <c r="Q4274" s="2" t="s">
        <v>7346</v>
      </c>
      <c r="R4274" s="2" t="s">
        <v>29</v>
      </c>
      <c r="S4274" s="2" t="s">
        <v>30</v>
      </c>
    </row>
    <row r="4275" spans="1:19">
      <c r="A4275" s="1">
        <v>46023</v>
      </c>
      <c r="B4275" s="1">
        <v>46023</v>
      </c>
      <c r="C4275">
        <v>2026</v>
      </c>
      <c r="D4275">
        <v>1</v>
      </c>
      <c r="E4275" s="2" t="s">
        <v>370</v>
      </c>
      <c r="F4275" s="2" t="s">
        <v>371</v>
      </c>
      <c r="G4275" s="2" t="s">
        <v>21</v>
      </c>
      <c r="H4275" s="2" t="s">
        <v>22</v>
      </c>
      <c r="I4275" s="2" t="s">
        <v>23</v>
      </c>
      <c r="J4275" s="2" t="s">
        <v>24</v>
      </c>
      <c r="K4275">
        <v>217034.45</v>
      </c>
      <c r="L4275">
        <v>2833481.26</v>
      </c>
      <c r="M4275">
        <v>1305.54</v>
      </c>
      <c r="N4275" s="2" t="s">
        <v>372</v>
      </c>
      <c r="O4275" s="2" t="s">
        <v>373</v>
      </c>
      <c r="P4275" s="2" t="s">
        <v>7347</v>
      </c>
      <c r="Q4275" s="2" t="s">
        <v>7348</v>
      </c>
      <c r="R4275" s="2" t="s">
        <v>29</v>
      </c>
      <c r="S4275" s="2" t="s">
        <v>30</v>
      </c>
    </row>
    <row r="4276" spans="1:19">
      <c r="A4276" s="1">
        <v>46023</v>
      </c>
      <c r="B4276" s="1">
        <v>46023</v>
      </c>
      <c r="C4276">
        <v>2026</v>
      </c>
      <c r="D4276">
        <v>1</v>
      </c>
      <c r="E4276" s="2" t="s">
        <v>376</v>
      </c>
      <c r="F4276" s="2" t="s">
        <v>377</v>
      </c>
      <c r="G4276" s="2" t="s">
        <v>21</v>
      </c>
      <c r="H4276" s="2" t="s">
        <v>22</v>
      </c>
      <c r="I4276" s="2" t="s">
        <v>23</v>
      </c>
      <c r="J4276" s="2" t="s">
        <v>378</v>
      </c>
      <c r="K4276">
        <v>1.1399999999999999</v>
      </c>
      <c r="L4276">
        <v>11.52</v>
      </c>
      <c r="M4276">
        <v>1010.53</v>
      </c>
      <c r="N4276" s="2" t="s">
        <v>379</v>
      </c>
      <c r="O4276" s="2" t="s">
        <v>380</v>
      </c>
      <c r="P4276" s="2" t="s">
        <v>2133</v>
      </c>
      <c r="Q4276" s="2" t="s">
        <v>7349</v>
      </c>
      <c r="R4276" s="2" t="s">
        <v>29</v>
      </c>
      <c r="S4276" s="2" t="s">
        <v>30</v>
      </c>
    </row>
    <row r="4277" spans="1:19">
      <c r="A4277" s="1">
        <v>46054</v>
      </c>
      <c r="B4277" s="1">
        <v>46054</v>
      </c>
      <c r="C4277">
        <v>2026</v>
      </c>
      <c r="D4277">
        <v>2</v>
      </c>
      <c r="E4277" s="2" t="s">
        <v>19</v>
      </c>
      <c r="F4277" s="2" t="s">
        <v>20</v>
      </c>
      <c r="G4277" s="2" t="s">
        <v>21</v>
      </c>
      <c r="H4277" s="2" t="s">
        <v>22</v>
      </c>
      <c r="I4277" s="2" t="s">
        <v>23</v>
      </c>
      <c r="J4277" s="2" t="s">
        <v>24</v>
      </c>
      <c r="K4277">
        <v>0.23</v>
      </c>
      <c r="L4277">
        <v>13.62</v>
      </c>
      <c r="M4277">
        <v>5921.74</v>
      </c>
      <c r="N4277" s="2" t="s">
        <v>25</v>
      </c>
      <c r="O4277" s="2" t="s">
        <v>26</v>
      </c>
      <c r="P4277" s="2" t="s">
        <v>725</v>
      </c>
      <c r="Q4277" s="2" t="s">
        <v>7350</v>
      </c>
      <c r="R4277" s="2" t="s">
        <v>29</v>
      </c>
      <c r="S4277" s="2" t="s">
        <v>30</v>
      </c>
    </row>
    <row r="4278" spans="1:19">
      <c r="A4278" s="1">
        <v>46054</v>
      </c>
      <c r="B4278" s="1">
        <v>46054</v>
      </c>
      <c r="C4278">
        <v>2026</v>
      </c>
      <c r="D4278">
        <v>2</v>
      </c>
      <c r="E4278" s="2" t="s">
        <v>31</v>
      </c>
      <c r="F4278" s="2" t="s">
        <v>32</v>
      </c>
      <c r="G4278" s="2" t="s">
        <v>21</v>
      </c>
      <c r="H4278" s="2" t="s">
        <v>22</v>
      </c>
      <c r="I4278" s="2" t="s">
        <v>23</v>
      </c>
      <c r="J4278" s="2" t="s">
        <v>24</v>
      </c>
      <c r="K4278">
        <v>2119.52</v>
      </c>
      <c r="L4278">
        <v>51080.84</v>
      </c>
      <c r="M4278">
        <v>2410.02</v>
      </c>
      <c r="N4278" s="2" t="s">
        <v>33</v>
      </c>
      <c r="O4278" s="2" t="s">
        <v>34</v>
      </c>
      <c r="P4278" s="2" t="s">
        <v>7351</v>
      </c>
      <c r="Q4278" s="2" t="s">
        <v>7352</v>
      </c>
      <c r="R4278" s="2" t="s">
        <v>29</v>
      </c>
      <c r="S4278" s="2" t="s">
        <v>30</v>
      </c>
    </row>
    <row r="4279" spans="1:19">
      <c r="A4279" s="1">
        <v>46054</v>
      </c>
      <c r="B4279" s="1">
        <v>46054</v>
      </c>
      <c r="C4279">
        <v>2026</v>
      </c>
      <c r="D4279">
        <v>2</v>
      </c>
      <c r="E4279" s="2" t="s">
        <v>37</v>
      </c>
      <c r="F4279" s="2" t="s">
        <v>38</v>
      </c>
      <c r="G4279" s="2" t="s">
        <v>39</v>
      </c>
      <c r="H4279" s="2" t="s">
        <v>22</v>
      </c>
      <c r="I4279" s="2" t="s">
        <v>40</v>
      </c>
      <c r="J4279" s="2" t="s">
        <v>24</v>
      </c>
      <c r="K4279">
        <v>6.35</v>
      </c>
      <c r="L4279">
        <v>364.27</v>
      </c>
      <c r="M4279">
        <v>5736.54</v>
      </c>
      <c r="N4279" s="2" t="s">
        <v>41</v>
      </c>
      <c r="O4279" s="2" t="s">
        <v>42</v>
      </c>
      <c r="P4279" s="2" t="s">
        <v>7353</v>
      </c>
      <c r="Q4279" s="2" t="s">
        <v>7354</v>
      </c>
      <c r="R4279" s="2" t="s">
        <v>29</v>
      </c>
      <c r="S4279" s="2" t="s">
        <v>30</v>
      </c>
    </row>
    <row r="4280" spans="1:19">
      <c r="A4280" s="1">
        <v>46054</v>
      </c>
      <c r="B4280" s="1">
        <v>46054</v>
      </c>
      <c r="C4280">
        <v>2026</v>
      </c>
      <c r="D4280">
        <v>2</v>
      </c>
      <c r="E4280" s="2" t="s">
        <v>45</v>
      </c>
      <c r="F4280" s="2" t="s">
        <v>46</v>
      </c>
      <c r="G4280" s="2" t="s">
        <v>39</v>
      </c>
      <c r="H4280" s="2" t="s">
        <v>22</v>
      </c>
      <c r="I4280" s="2" t="s">
        <v>40</v>
      </c>
      <c r="J4280" s="2" t="s">
        <v>24</v>
      </c>
      <c r="K4280">
        <v>4145.12</v>
      </c>
      <c r="L4280">
        <v>230241.73</v>
      </c>
      <c r="M4280">
        <v>5554.53</v>
      </c>
      <c r="N4280" s="2" t="s">
        <v>47</v>
      </c>
      <c r="O4280" s="2" t="s">
        <v>48</v>
      </c>
      <c r="P4280" s="2" t="s">
        <v>7355</v>
      </c>
      <c r="Q4280" s="2" t="s">
        <v>7356</v>
      </c>
      <c r="R4280" s="2" t="s">
        <v>29</v>
      </c>
      <c r="S4280" s="2" t="s">
        <v>30</v>
      </c>
    </row>
    <row r="4281" spans="1:19">
      <c r="A4281" s="1">
        <v>46054</v>
      </c>
      <c r="B4281" s="1">
        <v>46054</v>
      </c>
      <c r="C4281">
        <v>2026</v>
      </c>
      <c r="D4281">
        <v>2</v>
      </c>
      <c r="E4281" s="2" t="s">
        <v>51</v>
      </c>
      <c r="F4281" s="2" t="s">
        <v>52</v>
      </c>
      <c r="G4281" s="2" t="s">
        <v>39</v>
      </c>
      <c r="H4281" s="2" t="s">
        <v>22</v>
      </c>
      <c r="I4281" s="2" t="s">
        <v>40</v>
      </c>
      <c r="J4281" s="2" t="s">
        <v>24</v>
      </c>
      <c r="K4281">
        <v>16.89</v>
      </c>
      <c r="L4281">
        <v>859.42</v>
      </c>
      <c r="M4281">
        <v>5088.34</v>
      </c>
      <c r="N4281" s="2" t="s">
        <v>53</v>
      </c>
      <c r="O4281" s="2" t="s">
        <v>54</v>
      </c>
      <c r="P4281" s="2" t="s">
        <v>7357</v>
      </c>
      <c r="Q4281" s="2" t="s">
        <v>7358</v>
      </c>
      <c r="R4281" s="2" t="s">
        <v>29</v>
      </c>
      <c r="S4281" s="2" t="s">
        <v>30</v>
      </c>
    </row>
    <row r="4282" spans="1:19">
      <c r="A4282" s="1">
        <v>46054</v>
      </c>
      <c r="B4282" s="1">
        <v>46054</v>
      </c>
      <c r="C4282">
        <v>2026</v>
      </c>
      <c r="D4282">
        <v>2</v>
      </c>
      <c r="E4282" s="2" t="s">
        <v>57</v>
      </c>
      <c r="F4282" s="2" t="s">
        <v>58</v>
      </c>
      <c r="G4282" s="2" t="s">
        <v>39</v>
      </c>
      <c r="H4282" s="2" t="s">
        <v>22</v>
      </c>
      <c r="I4282" s="2" t="s">
        <v>40</v>
      </c>
      <c r="J4282" s="2" t="s">
        <v>59</v>
      </c>
      <c r="K4282">
        <v>4168.3599999999997</v>
      </c>
      <c r="L4282">
        <v>231465.42</v>
      </c>
      <c r="M4282">
        <v>5552.91</v>
      </c>
      <c r="N4282" s="2" t="s">
        <v>60</v>
      </c>
      <c r="O4282" s="2" t="s">
        <v>61</v>
      </c>
      <c r="P4282" s="2" t="s">
        <v>7359</v>
      </c>
      <c r="Q4282" s="2" t="s">
        <v>7360</v>
      </c>
      <c r="R4282" s="2" t="s">
        <v>29</v>
      </c>
      <c r="S4282" s="2" t="s">
        <v>30</v>
      </c>
    </row>
    <row r="4283" spans="1:19">
      <c r="A4283" s="1">
        <v>46054</v>
      </c>
      <c r="B4283" s="1">
        <v>46054</v>
      </c>
      <c r="C4283">
        <v>2026</v>
      </c>
      <c r="D4283">
        <v>2</v>
      </c>
      <c r="E4283" s="2" t="s">
        <v>64</v>
      </c>
      <c r="F4283" s="2" t="s">
        <v>65</v>
      </c>
      <c r="G4283" s="2" t="s">
        <v>21</v>
      </c>
      <c r="H4283" s="2" t="s">
        <v>22</v>
      </c>
      <c r="I4283" s="2" t="s">
        <v>66</v>
      </c>
      <c r="J4283" s="2" t="s">
        <v>24</v>
      </c>
      <c r="K4283">
        <v>16.45</v>
      </c>
      <c r="L4283">
        <v>636.22</v>
      </c>
      <c r="M4283">
        <v>3867.6</v>
      </c>
      <c r="N4283" s="2" t="s">
        <v>67</v>
      </c>
      <c r="O4283" s="2" t="s">
        <v>68</v>
      </c>
      <c r="P4283" s="2" t="s">
        <v>7361</v>
      </c>
      <c r="Q4283" s="2" t="s">
        <v>7362</v>
      </c>
      <c r="R4283" s="2" t="s">
        <v>29</v>
      </c>
      <c r="S4283" s="2" t="s">
        <v>30</v>
      </c>
    </row>
    <row r="4284" spans="1:19">
      <c r="A4284" s="1">
        <v>46054</v>
      </c>
      <c r="B4284" s="1">
        <v>46054</v>
      </c>
      <c r="C4284">
        <v>2026</v>
      </c>
      <c r="D4284">
        <v>2</v>
      </c>
      <c r="E4284" s="2" t="s">
        <v>71</v>
      </c>
      <c r="F4284" s="2" t="s">
        <v>72</v>
      </c>
      <c r="G4284" s="2" t="s">
        <v>21</v>
      </c>
      <c r="H4284" s="2" t="s">
        <v>22</v>
      </c>
      <c r="I4284" s="2" t="s">
        <v>73</v>
      </c>
      <c r="J4284" s="2" t="s">
        <v>59</v>
      </c>
      <c r="K4284">
        <v>5855.08</v>
      </c>
      <c r="L4284">
        <v>210426.61</v>
      </c>
      <c r="M4284">
        <v>3593.92</v>
      </c>
      <c r="N4284" s="2" t="s">
        <v>74</v>
      </c>
      <c r="O4284" s="2" t="s">
        <v>75</v>
      </c>
      <c r="P4284" s="2" t="s">
        <v>7363</v>
      </c>
      <c r="Q4284" s="2" t="s">
        <v>7364</v>
      </c>
      <c r="R4284" s="2" t="s">
        <v>29</v>
      </c>
      <c r="S4284" s="2" t="s">
        <v>30</v>
      </c>
    </row>
    <row r="4285" spans="1:19">
      <c r="A4285" s="1">
        <v>46054</v>
      </c>
      <c r="B4285" s="1">
        <v>46054</v>
      </c>
      <c r="C4285">
        <v>2026</v>
      </c>
      <c r="D4285">
        <v>2</v>
      </c>
      <c r="E4285" s="2" t="s">
        <v>78</v>
      </c>
      <c r="F4285" s="2" t="s">
        <v>79</v>
      </c>
      <c r="G4285" s="2" t="s">
        <v>80</v>
      </c>
      <c r="H4285" s="2" t="s">
        <v>81</v>
      </c>
      <c r="I4285" s="2" t="s">
        <v>82</v>
      </c>
      <c r="J4285" s="2" t="s">
        <v>24</v>
      </c>
      <c r="K4285">
        <v>2.62</v>
      </c>
      <c r="L4285">
        <v>11010746.460000001</v>
      </c>
      <c r="M4285">
        <v>420257498.47000003</v>
      </c>
      <c r="N4285" s="2" t="s">
        <v>83</v>
      </c>
      <c r="O4285" s="2" t="s">
        <v>84</v>
      </c>
      <c r="P4285" s="2" t="s">
        <v>1653</v>
      </c>
      <c r="Q4285" s="2" t="s">
        <v>7365</v>
      </c>
      <c r="R4285" s="2" t="s">
        <v>29</v>
      </c>
      <c r="S4285" s="2" t="s">
        <v>30</v>
      </c>
    </row>
    <row r="4286" spans="1:19">
      <c r="A4286" s="1">
        <v>46054</v>
      </c>
      <c r="B4286" s="1">
        <v>46054</v>
      </c>
      <c r="C4286">
        <v>2026</v>
      </c>
      <c r="D4286">
        <v>2</v>
      </c>
      <c r="E4286" s="2" t="s">
        <v>87</v>
      </c>
      <c r="F4286" s="2" t="s">
        <v>88</v>
      </c>
      <c r="G4286" s="2" t="s">
        <v>80</v>
      </c>
      <c r="H4286" s="2" t="s">
        <v>81</v>
      </c>
      <c r="I4286" s="2" t="s">
        <v>82</v>
      </c>
      <c r="J4286" s="2" t="s">
        <v>24</v>
      </c>
      <c r="K4286">
        <v>0.94</v>
      </c>
      <c r="L4286">
        <v>1339432.6100000001</v>
      </c>
      <c r="M4286">
        <v>142492830.84999999</v>
      </c>
      <c r="N4286" s="2" t="s">
        <v>89</v>
      </c>
      <c r="O4286" s="2" t="s">
        <v>90</v>
      </c>
      <c r="P4286" s="2" t="s">
        <v>933</v>
      </c>
      <c r="Q4286" s="2" t="s">
        <v>7366</v>
      </c>
      <c r="R4286" s="2" t="s">
        <v>29</v>
      </c>
      <c r="S4286" s="2" t="s">
        <v>30</v>
      </c>
    </row>
    <row r="4287" spans="1:19">
      <c r="A4287" s="1">
        <v>46054</v>
      </c>
      <c r="B4287" s="1">
        <v>46054</v>
      </c>
      <c r="C4287">
        <v>2026</v>
      </c>
      <c r="D4287">
        <v>2</v>
      </c>
      <c r="E4287" s="2" t="s">
        <v>93</v>
      </c>
      <c r="F4287" s="2" t="s">
        <v>94</v>
      </c>
      <c r="G4287" s="2" t="s">
        <v>80</v>
      </c>
      <c r="H4287" s="2" t="s">
        <v>81</v>
      </c>
      <c r="I4287" s="2" t="s">
        <v>82</v>
      </c>
      <c r="J4287" s="2" t="s">
        <v>24</v>
      </c>
      <c r="K4287">
        <v>0.46</v>
      </c>
      <c r="L4287">
        <v>6696114.6299999999</v>
      </c>
      <c r="M4287">
        <v>1455677093.48</v>
      </c>
      <c r="N4287" s="2" t="s">
        <v>95</v>
      </c>
      <c r="O4287" s="2" t="s">
        <v>96</v>
      </c>
      <c r="P4287" s="2" t="s">
        <v>2711</v>
      </c>
      <c r="Q4287" s="2" t="s">
        <v>7367</v>
      </c>
      <c r="R4287" s="2" t="s">
        <v>29</v>
      </c>
      <c r="S4287" s="2" t="s">
        <v>30</v>
      </c>
    </row>
    <row r="4288" spans="1:19">
      <c r="A4288" s="1">
        <v>46054</v>
      </c>
      <c r="B4288" s="1">
        <v>46054</v>
      </c>
      <c r="C4288">
        <v>2026</v>
      </c>
      <c r="D4288">
        <v>2</v>
      </c>
      <c r="E4288" s="2" t="s">
        <v>99</v>
      </c>
      <c r="F4288" s="2" t="s">
        <v>100</v>
      </c>
      <c r="G4288" s="2" t="s">
        <v>80</v>
      </c>
      <c r="H4288" s="2" t="s">
        <v>81</v>
      </c>
      <c r="I4288" s="2" t="s">
        <v>82</v>
      </c>
      <c r="J4288" s="2" t="s">
        <v>101</v>
      </c>
      <c r="K4288">
        <v>1.62</v>
      </c>
      <c r="L4288">
        <v>17227563.989999998</v>
      </c>
      <c r="M4288">
        <v>1063429875.9299999</v>
      </c>
      <c r="N4288" s="2" t="s">
        <v>102</v>
      </c>
      <c r="O4288" s="2" t="s">
        <v>103</v>
      </c>
      <c r="P4288" s="2" t="s">
        <v>3545</v>
      </c>
      <c r="Q4288" s="2" t="s">
        <v>7368</v>
      </c>
      <c r="R4288" s="2" t="s">
        <v>29</v>
      </c>
      <c r="S4288" s="2" t="s">
        <v>30</v>
      </c>
    </row>
    <row r="4289" spans="1:19">
      <c r="A4289" s="1">
        <v>46054</v>
      </c>
      <c r="B4289" s="1">
        <v>46054</v>
      </c>
      <c r="C4289">
        <v>2026</v>
      </c>
      <c r="D4289">
        <v>2</v>
      </c>
      <c r="E4289" s="2" t="s">
        <v>106</v>
      </c>
      <c r="F4289" s="2" t="s">
        <v>107</v>
      </c>
      <c r="G4289" s="2" t="s">
        <v>80</v>
      </c>
      <c r="H4289" s="2" t="s">
        <v>81</v>
      </c>
      <c r="I4289" s="2" t="s">
        <v>82</v>
      </c>
      <c r="J4289" s="2" t="s">
        <v>24</v>
      </c>
      <c r="K4289">
        <v>0.22</v>
      </c>
      <c r="L4289">
        <v>9192016.75</v>
      </c>
      <c r="M4289">
        <v>4178189431.8200002</v>
      </c>
      <c r="N4289" s="2" t="s">
        <v>108</v>
      </c>
      <c r="O4289" s="2" t="s">
        <v>109</v>
      </c>
      <c r="P4289" s="2" t="s">
        <v>514</v>
      </c>
      <c r="Q4289" s="2" t="s">
        <v>7369</v>
      </c>
      <c r="R4289" s="2" t="s">
        <v>29</v>
      </c>
      <c r="S4289" s="2" t="s">
        <v>30</v>
      </c>
    </row>
    <row r="4290" spans="1:19">
      <c r="A4290" s="1">
        <v>46054</v>
      </c>
      <c r="B4290" s="1">
        <v>46054</v>
      </c>
      <c r="C4290">
        <v>2026</v>
      </c>
      <c r="D4290">
        <v>2</v>
      </c>
      <c r="E4290" s="2" t="s">
        <v>111</v>
      </c>
      <c r="F4290" s="2" t="s">
        <v>112</v>
      </c>
      <c r="G4290" s="2" t="s">
        <v>80</v>
      </c>
      <c r="H4290" s="2" t="s">
        <v>81</v>
      </c>
      <c r="I4290" s="2" t="s">
        <v>82</v>
      </c>
      <c r="J4290" s="2" t="s">
        <v>24</v>
      </c>
      <c r="K4290">
        <v>0.13</v>
      </c>
      <c r="L4290">
        <v>1124767.49</v>
      </c>
      <c r="M4290">
        <v>865205761.53999996</v>
      </c>
      <c r="N4290" s="2" t="s">
        <v>113</v>
      </c>
      <c r="O4290" s="2" t="s">
        <v>114</v>
      </c>
      <c r="P4290" s="2" t="s">
        <v>3378</v>
      </c>
      <c r="Q4290" s="2" t="s">
        <v>7370</v>
      </c>
      <c r="R4290" s="2" t="s">
        <v>29</v>
      </c>
      <c r="S4290" s="2" t="s">
        <v>30</v>
      </c>
    </row>
    <row r="4291" spans="1:19">
      <c r="A4291" s="1">
        <v>46054</v>
      </c>
      <c r="B4291" s="1">
        <v>46054</v>
      </c>
      <c r="C4291">
        <v>2026</v>
      </c>
      <c r="D4291">
        <v>2</v>
      </c>
      <c r="E4291" s="2" t="s">
        <v>117</v>
      </c>
      <c r="F4291" s="2" t="s">
        <v>118</v>
      </c>
      <c r="G4291" s="2" t="s">
        <v>80</v>
      </c>
      <c r="H4291" s="2" t="s">
        <v>81</v>
      </c>
      <c r="I4291" s="2" t="s">
        <v>82</v>
      </c>
      <c r="J4291" s="2" t="s">
        <v>59</v>
      </c>
      <c r="K4291">
        <v>4.37</v>
      </c>
      <c r="L4291">
        <v>29363077.940000001</v>
      </c>
      <c r="M4291">
        <v>671923980.32000005</v>
      </c>
      <c r="N4291" s="2" t="s">
        <v>119</v>
      </c>
      <c r="O4291" s="2" t="s">
        <v>120</v>
      </c>
      <c r="P4291" s="2" t="s">
        <v>7371</v>
      </c>
      <c r="Q4291" s="2" t="s">
        <v>7372</v>
      </c>
      <c r="R4291" s="2" t="s">
        <v>29</v>
      </c>
      <c r="S4291" s="2" t="s">
        <v>30</v>
      </c>
    </row>
    <row r="4292" spans="1:19">
      <c r="A4292" s="1">
        <v>46054</v>
      </c>
      <c r="B4292" s="1">
        <v>46054</v>
      </c>
      <c r="C4292">
        <v>2026</v>
      </c>
      <c r="D4292">
        <v>2</v>
      </c>
      <c r="E4292" s="2" t="s">
        <v>123</v>
      </c>
      <c r="F4292" s="2" t="s">
        <v>124</v>
      </c>
      <c r="G4292" s="2" t="s">
        <v>21</v>
      </c>
      <c r="H4292" s="2" t="s">
        <v>22</v>
      </c>
      <c r="I4292" s="2" t="s">
        <v>73</v>
      </c>
      <c r="J4292" s="2" t="s">
        <v>24</v>
      </c>
      <c r="K4292">
        <v>2503.9499999999998</v>
      </c>
      <c r="L4292">
        <v>109856.58</v>
      </c>
      <c r="M4292">
        <v>4387.33</v>
      </c>
      <c r="N4292" s="2" t="s">
        <v>125</v>
      </c>
      <c r="O4292" s="2" t="s">
        <v>126</v>
      </c>
      <c r="P4292" s="2" t="s">
        <v>7373</v>
      </c>
      <c r="Q4292" s="2" t="s">
        <v>7374</v>
      </c>
      <c r="R4292" s="2" t="s">
        <v>29</v>
      </c>
      <c r="S4292" s="2" t="s">
        <v>30</v>
      </c>
    </row>
    <row r="4293" spans="1:19">
      <c r="A4293" s="1">
        <v>46054</v>
      </c>
      <c r="B4293" s="1">
        <v>46054</v>
      </c>
      <c r="C4293">
        <v>2026</v>
      </c>
      <c r="D4293">
        <v>2</v>
      </c>
      <c r="E4293" s="2" t="s">
        <v>129</v>
      </c>
      <c r="F4293" s="2" t="s">
        <v>130</v>
      </c>
      <c r="G4293" s="2" t="s">
        <v>21</v>
      </c>
      <c r="H4293" s="2" t="s">
        <v>22</v>
      </c>
      <c r="I4293" s="2" t="s">
        <v>73</v>
      </c>
      <c r="J4293" s="2" t="s">
        <v>24</v>
      </c>
      <c r="K4293">
        <v>2434</v>
      </c>
      <c r="L4293">
        <v>67435.41</v>
      </c>
      <c r="M4293">
        <v>2770.56</v>
      </c>
      <c r="N4293" s="2" t="s">
        <v>131</v>
      </c>
      <c r="O4293" s="2" t="s">
        <v>132</v>
      </c>
      <c r="P4293" s="2" t="s">
        <v>7375</v>
      </c>
      <c r="Q4293" s="2" t="s">
        <v>7376</v>
      </c>
      <c r="R4293" s="2" t="s">
        <v>29</v>
      </c>
      <c r="S4293" s="2" t="s">
        <v>30</v>
      </c>
    </row>
    <row r="4294" spans="1:19">
      <c r="A4294" s="1">
        <v>46054</v>
      </c>
      <c r="B4294" s="1">
        <v>46054</v>
      </c>
      <c r="C4294">
        <v>2026</v>
      </c>
      <c r="D4294">
        <v>2</v>
      </c>
      <c r="E4294" s="2" t="s">
        <v>135</v>
      </c>
      <c r="F4294" s="2" t="s">
        <v>136</v>
      </c>
      <c r="G4294" s="2" t="s">
        <v>21</v>
      </c>
      <c r="H4294" s="2" t="s">
        <v>22</v>
      </c>
      <c r="I4294" s="2" t="s">
        <v>73</v>
      </c>
      <c r="J4294" s="2" t="s">
        <v>101</v>
      </c>
      <c r="K4294">
        <v>4937.96</v>
      </c>
      <c r="L4294">
        <v>177291.98</v>
      </c>
      <c r="M4294">
        <v>3590.39</v>
      </c>
      <c r="N4294" s="2" t="s">
        <v>137</v>
      </c>
      <c r="O4294" s="2" t="s">
        <v>138</v>
      </c>
      <c r="P4294" s="2" t="s">
        <v>7377</v>
      </c>
      <c r="Q4294" s="2" t="s">
        <v>7378</v>
      </c>
      <c r="R4294" s="2" t="s">
        <v>29</v>
      </c>
      <c r="S4294" s="2" t="s">
        <v>30</v>
      </c>
    </row>
    <row r="4295" spans="1:19">
      <c r="A4295" s="1">
        <v>46054</v>
      </c>
      <c r="B4295" s="1">
        <v>46054</v>
      </c>
      <c r="C4295">
        <v>2026</v>
      </c>
      <c r="D4295">
        <v>2</v>
      </c>
      <c r="E4295" s="2" t="s">
        <v>141</v>
      </c>
      <c r="F4295" s="2" t="s">
        <v>142</v>
      </c>
      <c r="G4295" s="2" t="s">
        <v>21</v>
      </c>
      <c r="H4295" s="2" t="s">
        <v>22</v>
      </c>
      <c r="I4295" s="2" t="s">
        <v>73</v>
      </c>
      <c r="J4295" s="2" t="s">
        <v>24</v>
      </c>
      <c r="K4295">
        <v>227.36</v>
      </c>
      <c r="L4295">
        <v>11272.83</v>
      </c>
      <c r="M4295">
        <v>4958.1400000000003</v>
      </c>
      <c r="N4295" s="2" t="s">
        <v>143</v>
      </c>
      <c r="O4295" s="2" t="s">
        <v>144</v>
      </c>
      <c r="P4295" s="2" t="s">
        <v>7379</v>
      </c>
      <c r="Q4295" s="2" t="s">
        <v>7380</v>
      </c>
      <c r="R4295" s="2" t="s">
        <v>29</v>
      </c>
      <c r="S4295" s="2" t="s">
        <v>30</v>
      </c>
    </row>
    <row r="4296" spans="1:19">
      <c r="A4296" s="1">
        <v>46054</v>
      </c>
      <c r="B4296" s="1">
        <v>46054</v>
      </c>
      <c r="C4296">
        <v>2026</v>
      </c>
      <c r="D4296">
        <v>2</v>
      </c>
      <c r="E4296" s="2" t="s">
        <v>147</v>
      </c>
      <c r="F4296" s="2" t="s">
        <v>148</v>
      </c>
      <c r="G4296" s="2" t="s">
        <v>21</v>
      </c>
      <c r="H4296" s="2" t="s">
        <v>22</v>
      </c>
      <c r="I4296" s="2" t="s">
        <v>73</v>
      </c>
      <c r="J4296" s="2" t="s">
        <v>24</v>
      </c>
      <c r="K4296">
        <v>689.77</v>
      </c>
      <c r="L4296">
        <v>21861.8</v>
      </c>
      <c r="M4296">
        <v>3169.43</v>
      </c>
      <c r="N4296" s="2" t="s">
        <v>149</v>
      </c>
      <c r="O4296" s="2" t="s">
        <v>150</v>
      </c>
      <c r="P4296" s="2" t="s">
        <v>7381</v>
      </c>
      <c r="Q4296" s="2" t="s">
        <v>7382</v>
      </c>
      <c r="R4296" s="2" t="s">
        <v>29</v>
      </c>
      <c r="S4296" s="2" t="s">
        <v>30</v>
      </c>
    </row>
    <row r="4297" spans="1:19">
      <c r="A4297" s="1">
        <v>46054</v>
      </c>
      <c r="B4297" s="1">
        <v>46054</v>
      </c>
      <c r="C4297">
        <v>2026</v>
      </c>
      <c r="D4297">
        <v>2</v>
      </c>
      <c r="E4297" s="2" t="s">
        <v>153</v>
      </c>
      <c r="F4297" s="2" t="s">
        <v>154</v>
      </c>
      <c r="G4297" s="2" t="s">
        <v>21</v>
      </c>
      <c r="H4297" s="2" t="s">
        <v>22</v>
      </c>
      <c r="I4297" s="2" t="s">
        <v>73</v>
      </c>
      <c r="J4297" s="2" t="s">
        <v>101</v>
      </c>
      <c r="K4297">
        <v>917.12</v>
      </c>
      <c r="L4297">
        <v>33134.629999999997</v>
      </c>
      <c r="M4297">
        <v>3612.9</v>
      </c>
      <c r="N4297" s="2" t="s">
        <v>155</v>
      </c>
      <c r="O4297" s="2" t="s">
        <v>156</v>
      </c>
      <c r="P4297" s="2" t="s">
        <v>7383</v>
      </c>
      <c r="Q4297" s="2" t="s">
        <v>7384</v>
      </c>
      <c r="R4297" s="2" t="s">
        <v>29</v>
      </c>
      <c r="S4297" s="2" t="s">
        <v>30</v>
      </c>
    </row>
    <row r="4298" spans="1:19">
      <c r="A4298" s="1">
        <v>46054</v>
      </c>
      <c r="B4298" s="1">
        <v>46054</v>
      </c>
      <c r="C4298">
        <v>2026</v>
      </c>
      <c r="D4298">
        <v>2</v>
      </c>
      <c r="E4298" s="2" t="s">
        <v>159</v>
      </c>
      <c r="F4298" s="2" t="s">
        <v>160</v>
      </c>
      <c r="G4298" s="2" t="s">
        <v>21</v>
      </c>
      <c r="H4298" s="2" t="s">
        <v>22</v>
      </c>
      <c r="I4298" s="2" t="s">
        <v>66</v>
      </c>
      <c r="J4298" s="2" t="s">
        <v>59</v>
      </c>
      <c r="K4298">
        <v>1989.09</v>
      </c>
      <c r="L4298">
        <v>235001.1</v>
      </c>
      <c r="M4298">
        <v>11814.5</v>
      </c>
      <c r="N4298" s="2" t="s">
        <v>161</v>
      </c>
      <c r="O4298" s="2" t="s">
        <v>162</v>
      </c>
      <c r="P4298" s="2" t="s">
        <v>7385</v>
      </c>
      <c r="Q4298" s="2" t="s">
        <v>7386</v>
      </c>
      <c r="R4298" s="2" t="s">
        <v>29</v>
      </c>
      <c r="S4298" s="2" t="s">
        <v>30</v>
      </c>
    </row>
    <row r="4299" spans="1:19">
      <c r="A4299" s="1">
        <v>46054</v>
      </c>
      <c r="B4299" s="1">
        <v>46054</v>
      </c>
      <c r="C4299">
        <v>2026</v>
      </c>
      <c r="D4299">
        <v>2</v>
      </c>
      <c r="E4299" s="2" t="s">
        <v>165</v>
      </c>
      <c r="F4299" s="2" t="s">
        <v>166</v>
      </c>
      <c r="G4299" s="2" t="s">
        <v>21</v>
      </c>
      <c r="H4299" s="2" t="s">
        <v>22</v>
      </c>
      <c r="I4299" s="2" t="s">
        <v>23</v>
      </c>
      <c r="J4299" s="2" t="s">
        <v>24</v>
      </c>
      <c r="L4299">
        <v>0</v>
      </c>
      <c r="N4299" s="2" t="s">
        <v>167</v>
      </c>
      <c r="O4299" s="2" t="s">
        <v>168</v>
      </c>
      <c r="P4299" s="2" t="s">
        <v>175</v>
      </c>
      <c r="Q4299" s="2" t="s">
        <v>639</v>
      </c>
      <c r="R4299" s="2" t="s">
        <v>640</v>
      </c>
      <c r="S4299" s="2" t="s">
        <v>641</v>
      </c>
    </row>
    <row r="4300" spans="1:19">
      <c r="A4300" s="1">
        <v>46054</v>
      </c>
      <c r="B4300" s="1">
        <v>46054</v>
      </c>
      <c r="C4300">
        <v>2026</v>
      </c>
      <c r="D4300">
        <v>2</v>
      </c>
      <c r="E4300" s="2" t="s">
        <v>171</v>
      </c>
      <c r="F4300" s="2" t="s">
        <v>172</v>
      </c>
      <c r="G4300" s="2" t="s">
        <v>21</v>
      </c>
      <c r="H4300" s="2" t="s">
        <v>22</v>
      </c>
      <c r="I4300" s="2" t="s">
        <v>66</v>
      </c>
      <c r="J4300" s="2" t="s">
        <v>24</v>
      </c>
      <c r="N4300" s="2" t="s">
        <v>173</v>
      </c>
      <c r="O4300" s="2" t="s">
        <v>174</v>
      </c>
      <c r="P4300" s="2" t="s">
        <v>175</v>
      </c>
      <c r="Q4300" s="2" t="s">
        <v>175</v>
      </c>
      <c r="R4300" s="2" t="s">
        <v>640</v>
      </c>
      <c r="S4300" s="2" t="s">
        <v>641</v>
      </c>
    </row>
    <row r="4301" spans="1:19">
      <c r="A4301" s="1">
        <v>46054</v>
      </c>
      <c r="B4301" s="1">
        <v>46054</v>
      </c>
      <c r="C4301">
        <v>2026</v>
      </c>
      <c r="D4301">
        <v>2</v>
      </c>
      <c r="E4301" s="2" t="s">
        <v>177</v>
      </c>
      <c r="F4301" s="2" t="s">
        <v>178</v>
      </c>
      <c r="G4301" s="2" t="s">
        <v>21</v>
      </c>
      <c r="H4301" s="2" t="s">
        <v>22</v>
      </c>
      <c r="I4301" s="2" t="s">
        <v>23</v>
      </c>
      <c r="J4301" s="2" t="s">
        <v>24</v>
      </c>
      <c r="K4301">
        <v>3360.96</v>
      </c>
      <c r="L4301">
        <v>642473.94999999995</v>
      </c>
      <c r="M4301">
        <v>19115.79</v>
      </c>
      <c r="N4301" s="2" t="s">
        <v>179</v>
      </c>
      <c r="O4301" s="2" t="s">
        <v>180</v>
      </c>
      <c r="P4301" s="2" t="s">
        <v>7387</v>
      </c>
      <c r="Q4301" s="2" t="s">
        <v>7388</v>
      </c>
      <c r="R4301" s="2" t="s">
        <v>29</v>
      </c>
      <c r="S4301" s="2" t="s">
        <v>30</v>
      </c>
    </row>
    <row r="4302" spans="1:19">
      <c r="A4302" s="1">
        <v>46054</v>
      </c>
      <c r="B4302" s="1">
        <v>46054</v>
      </c>
      <c r="C4302">
        <v>2026</v>
      </c>
      <c r="D4302">
        <v>2</v>
      </c>
      <c r="E4302" s="2" t="s">
        <v>183</v>
      </c>
      <c r="F4302" s="2" t="s">
        <v>184</v>
      </c>
      <c r="G4302" s="2" t="s">
        <v>185</v>
      </c>
      <c r="H4302" s="2" t="s">
        <v>22</v>
      </c>
      <c r="I4302" s="2" t="s">
        <v>186</v>
      </c>
      <c r="J4302" s="2" t="s">
        <v>24</v>
      </c>
      <c r="K4302">
        <v>2716.41</v>
      </c>
      <c r="L4302">
        <v>6385271.9299999997</v>
      </c>
      <c r="M4302">
        <v>235062.89</v>
      </c>
      <c r="N4302" s="2" t="s">
        <v>187</v>
      </c>
      <c r="O4302" s="2" t="s">
        <v>188</v>
      </c>
      <c r="P4302" s="2" t="s">
        <v>7389</v>
      </c>
      <c r="Q4302" s="2" t="s">
        <v>7390</v>
      </c>
      <c r="R4302" s="2" t="s">
        <v>29</v>
      </c>
      <c r="S4302" s="2" t="s">
        <v>30</v>
      </c>
    </row>
    <row r="4303" spans="1:19">
      <c r="A4303" s="1">
        <v>46054</v>
      </c>
      <c r="B4303" s="1">
        <v>46054</v>
      </c>
      <c r="C4303">
        <v>2026</v>
      </c>
      <c r="D4303">
        <v>2</v>
      </c>
      <c r="E4303" s="2" t="s">
        <v>191</v>
      </c>
      <c r="F4303" s="2" t="s">
        <v>192</v>
      </c>
      <c r="G4303" s="2" t="s">
        <v>185</v>
      </c>
      <c r="H4303" s="2" t="s">
        <v>22</v>
      </c>
      <c r="I4303" s="2" t="s">
        <v>186</v>
      </c>
      <c r="J4303" s="2" t="s">
        <v>24</v>
      </c>
      <c r="K4303">
        <v>804.89</v>
      </c>
      <c r="L4303">
        <v>7438766.3600000003</v>
      </c>
      <c r="M4303">
        <v>924196.64</v>
      </c>
      <c r="N4303" s="2" t="s">
        <v>193</v>
      </c>
      <c r="O4303" s="2" t="s">
        <v>194</v>
      </c>
      <c r="P4303" s="2" t="s">
        <v>7391</v>
      </c>
      <c r="Q4303" s="2" t="s">
        <v>7392</v>
      </c>
      <c r="R4303" s="2" t="s">
        <v>29</v>
      </c>
      <c r="S4303" s="2" t="s">
        <v>30</v>
      </c>
    </row>
    <row r="4304" spans="1:19">
      <c r="A4304" s="1">
        <v>46054</v>
      </c>
      <c r="B4304" s="1">
        <v>46054</v>
      </c>
      <c r="C4304">
        <v>2026</v>
      </c>
      <c r="D4304">
        <v>2</v>
      </c>
      <c r="E4304" s="2" t="s">
        <v>197</v>
      </c>
      <c r="F4304" s="2" t="s">
        <v>198</v>
      </c>
      <c r="G4304" s="2" t="s">
        <v>185</v>
      </c>
      <c r="H4304" s="2" t="s">
        <v>22</v>
      </c>
      <c r="I4304" s="2" t="s">
        <v>186</v>
      </c>
      <c r="J4304" s="2" t="s">
        <v>59</v>
      </c>
      <c r="K4304">
        <v>3521.3</v>
      </c>
      <c r="L4304">
        <v>13824038.289999999</v>
      </c>
      <c r="M4304">
        <v>392583.37</v>
      </c>
      <c r="N4304" s="2" t="s">
        <v>199</v>
      </c>
      <c r="O4304" s="2" t="s">
        <v>200</v>
      </c>
      <c r="P4304" s="2" t="s">
        <v>7393</v>
      </c>
      <c r="Q4304" s="2" t="s">
        <v>7394</v>
      </c>
      <c r="R4304" s="2" t="s">
        <v>29</v>
      </c>
      <c r="S4304" s="2" t="s">
        <v>30</v>
      </c>
    </row>
    <row r="4305" spans="1:19">
      <c r="A4305" s="1">
        <v>46054</v>
      </c>
      <c r="B4305" s="1">
        <v>46054</v>
      </c>
      <c r="C4305">
        <v>2026</v>
      </c>
      <c r="D4305">
        <v>2</v>
      </c>
      <c r="E4305" s="2" t="s">
        <v>203</v>
      </c>
      <c r="F4305" s="2" t="s">
        <v>204</v>
      </c>
      <c r="G4305" s="2" t="s">
        <v>39</v>
      </c>
      <c r="H4305" s="2" t="s">
        <v>22</v>
      </c>
      <c r="I4305" s="2" t="s">
        <v>40</v>
      </c>
      <c r="J4305" s="2" t="s">
        <v>24</v>
      </c>
      <c r="K4305">
        <v>867.37</v>
      </c>
      <c r="L4305">
        <v>24595.4</v>
      </c>
      <c r="M4305">
        <v>2835.63</v>
      </c>
      <c r="N4305" s="2" t="s">
        <v>205</v>
      </c>
      <c r="O4305" s="2" t="s">
        <v>206</v>
      </c>
      <c r="P4305" s="2" t="s">
        <v>7395</v>
      </c>
      <c r="Q4305" s="2" t="s">
        <v>7396</v>
      </c>
      <c r="R4305" s="2" t="s">
        <v>29</v>
      </c>
      <c r="S4305" s="2" t="s">
        <v>30</v>
      </c>
    </row>
    <row r="4306" spans="1:19">
      <c r="A4306" s="1">
        <v>46054</v>
      </c>
      <c r="B4306" s="1">
        <v>46054</v>
      </c>
      <c r="C4306">
        <v>2026</v>
      </c>
      <c r="D4306">
        <v>2</v>
      </c>
      <c r="E4306" s="2" t="s">
        <v>209</v>
      </c>
      <c r="F4306" s="2" t="s">
        <v>210</v>
      </c>
      <c r="G4306" s="2" t="s">
        <v>39</v>
      </c>
      <c r="H4306" s="2" t="s">
        <v>22</v>
      </c>
      <c r="I4306" s="2" t="s">
        <v>40</v>
      </c>
      <c r="J4306" s="2" t="s">
        <v>59</v>
      </c>
      <c r="K4306">
        <v>867.37</v>
      </c>
      <c r="L4306">
        <v>24595.4</v>
      </c>
      <c r="M4306">
        <v>2835.63</v>
      </c>
      <c r="N4306" s="2" t="s">
        <v>211</v>
      </c>
      <c r="O4306" s="2" t="s">
        <v>212</v>
      </c>
      <c r="P4306" s="2" t="s">
        <v>7395</v>
      </c>
      <c r="Q4306" s="2" t="s">
        <v>7396</v>
      </c>
      <c r="R4306" s="2" t="s">
        <v>29</v>
      </c>
      <c r="S4306" s="2" t="s">
        <v>30</v>
      </c>
    </row>
    <row r="4307" spans="1:19">
      <c r="A4307" s="1">
        <v>46054</v>
      </c>
      <c r="B4307" s="1">
        <v>46054</v>
      </c>
      <c r="C4307">
        <v>2026</v>
      </c>
      <c r="D4307">
        <v>2</v>
      </c>
      <c r="E4307" s="2" t="s">
        <v>213</v>
      </c>
      <c r="F4307" s="2" t="s">
        <v>214</v>
      </c>
      <c r="G4307" s="2" t="s">
        <v>185</v>
      </c>
      <c r="H4307" s="2" t="s">
        <v>22</v>
      </c>
      <c r="I4307" s="2" t="s">
        <v>215</v>
      </c>
      <c r="J4307" s="2" t="s">
        <v>24</v>
      </c>
      <c r="K4307">
        <v>177117.33</v>
      </c>
      <c r="L4307">
        <v>3228675.99</v>
      </c>
      <c r="M4307">
        <v>1822.9</v>
      </c>
      <c r="N4307" s="2" t="s">
        <v>216</v>
      </c>
      <c r="O4307" s="2" t="s">
        <v>217</v>
      </c>
      <c r="P4307" s="2" t="s">
        <v>7397</v>
      </c>
      <c r="Q4307" s="2" t="s">
        <v>7398</v>
      </c>
      <c r="R4307" s="2" t="s">
        <v>29</v>
      </c>
      <c r="S4307" s="2" t="s">
        <v>30</v>
      </c>
    </row>
    <row r="4308" spans="1:19">
      <c r="A4308" s="1">
        <v>46054</v>
      </c>
      <c r="B4308" s="1">
        <v>46054</v>
      </c>
      <c r="C4308">
        <v>2026</v>
      </c>
      <c r="D4308">
        <v>2</v>
      </c>
      <c r="E4308" s="2" t="s">
        <v>220</v>
      </c>
      <c r="F4308" s="2" t="s">
        <v>221</v>
      </c>
      <c r="G4308" s="2" t="s">
        <v>185</v>
      </c>
      <c r="H4308" s="2" t="s">
        <v>22</v>
      </c>
      <c r="I4308" s="2" t="s">
        <v>215</v>
      </c>
      <c r="J4308" s="2" t="s">
        <v>24</v>
      </c>
      <c r="K4308">
        <v>9717.48</v>
      </c>
      <c r="L4308">
        <v>685835.93</v>
      </c>
      <c r="M4308">
        <v>7057.75</v>
      </c>
      <c r="N4308" s="2" t="s">
        <v>222</v>
      </c>
      <c r="O4308" s="2" t="s">
        <v>223</v>
      </c>
      <c r="P4308" s="2" t="s">
        <v>7399</v>
      </c>
      <c r="Q4308" s="2" t="s">
        <v>7400</v>
      </c>
      <c r="R4308" s="2" t="s">
        <v>29</v>
      </c>
      <c r="S4308" s="2" t="s">
        <v>30</v>
      </c>
    </row>
    <row r="4309" spans="1:19">
      <c r="A4309" s="1">
        <v>46054</v>
      </c>
      <c r="B4309" s="1">
        <v>46054</v>
      </c>
      <c r="C4309">
        <v>2026</v>
      </c>
      <c r="D4309">
        <v>2</v>
      </c>
      <c r="E4309" s="2" t="s">
        <v>226</v>
      </c>
      <c r="F4309" s="2" t="s">
        <v>227</v>
      </c>
      <c r="G4309" s="2" t="s">
        <v>185</v>
      </c>
      <c r="H4309" s="2" t="s">
        <v>22</v>
      </c>
      <c r="I4309" s="2" t="s">
        <v>215</v>
      </c>
      <c r="J4309" s="2" t="s">
        <v>59</v>
      </c>
      <c r="K4309">
        <v>186834.81</v>
      </c>
      <c r="L4309">
        <v>3914511.92</v>
      </c>
      <c r="M4309">
        <v>2095.17</v>
      </c>
      <c r="N4309" s="2" t="s">
        <v>228</v>
      </c>
      <c r="O4309" s="2" t="s">
        <v>229</v>
      </c>
      <c r="P4309" s="2" t="s">
        <v>7401</v>
      </c>
      <c r="Q4309" s="2" t="s">
        <v>7402</v>
      </c>
      <c r="R4309" s="2" t="s">
        <v>29</v>
      </c>
      <c r="S4309" s="2" t="s">
        <v>30</v>
      </c>
    </row>
    <row r="4310" spans="1:19">
      <c r="A4310" s="1">
        <v>46054</v>
      </c>
      <c r="B4310" s="1">
        <v>46054</v>
      </c>
      <c r="C4310">
        <v>2026</v>
      </c>
      <c r="D4310">
        <v>2</v>
      </c>
      <c r="E4310" s="2" t="s">
        <v>232</v>
      </c>
      <c r="F4310" s="2" t="s">
        <v>233</v>
      </c>
      <c r="G4310" s="2" t="s">
        <v>21</v>
      </c>
      <c r="H4310" s="2" t="s">
        <v>22</v>
      </c>
      <c r="I4310" s="2" t="s">
        <v>23</v>
      </c>
      <c r="J4310" s="2" t="s">
        <v>24</v>
      </c>
      <c r="K4310">
        <v>1702.37</v>
      </c>
      <c r="L4310">
        <v>164970.13</v>
      </c>
      <c r="M4310">
        <v>9690.6200000000008</v>
      </c>
      <c r="N4310" s="2" t="s">
        <v>234</v>
      </c>
      <c r="O4310" s="2" t="s">
        <v>235</v>
      </c>
      <c r="P4310" s="2" t="s">
        <v>7403</v>
      </c>
      <c r="Q4310" s="2" t="s">
        <v>7404</v>
      </c>
      <c r="R4310" s="2" t="s">
        <v>29</v>
      </c>
      <c r="S4310" s="2" t="s">
        <v>30</v>
      </c>
    </row>
    <row r="4311" spans="1:19">
      <c r="A4311" s="1">
        <v>46054</v>
      </c>
      <c r="B4311" s="1">
        <v>46054</v>
      </c>
      <c r="C4311">
        <v>2026</v>
      </c>
      <c r="D4311">
        <v>2</v>
      </c>
      <c r="E4311" s="2" t="s">
        <v>238</v>
      </c>
      <c r="F4311" s="2" t="s">
        <v>239</v>
      </c>
      <c r="G4311" s="2" t="s">
        <v>21</v>
      </c>
      <c r="H4311" s="2" t="s">
        <v>22</v>
      </c>
      <c r="I4311" s="2" t="s">
        <v>66</v>
      </c>
      <c r="J4311" s="2" t="s">
        <v>24</v>
      </c>
      <c r="K4311">
        <v>1849.39</v>
      </c>
      <c r="L4311">
        <v>234191.14</v>
      </c>
      <c r="M4311">
        <v>12663.16</v>
      </c>
      <c r="N4311" s="2" t="s">
        <v>240</v>
      </c>
      <c r="O4311" s="2" t="s">
        <v>241</v>
      </c>
      <c r="P4311" s="2" t="s">
        <v>7405</v>
      </c>
      <c r="Q4311" s="2" t="s">
        <v>7406</v>
      </c>
      <c r="R4311" s="2" t="s">
        <v>29</v>
      </c>
      <c r="S4311" s="2" t="s">
        <v>30</v>
      </c>
    </row>
    <row r="4312" spans="1:19">
      <c r="A4312" s="1">
        <v>46054</v>
      </c>
      <c r="B4312" s="1">
        <v>46054</v>
      </c>
      <c r="C4312">
        <v>2026</v>
      </c>
      <c r="D4312">
        <v>2</v>
      </c>
      <c r="E4312" s="2" t="s">
        <v>244</v>
      </c>
      <c r="F4312" s="2" t="s">
        <v>245</v>
      </c>
      <c r="G4312" s="2" t="s">
        <v>21</v>
      </c>
      <c r="H4312" s="2" t="s">
        <v>22</v>
      </c>
      <c r="I4312" s="2" t="s">
        <v>23</v>
      </c>
      <c r="J4312" s="2" t="s">
        <v>24</v>
      </c>
      <c r="K4312">
        <v>8122.47</v>
      </c>
      <c r="L4312">
        <v>4251140.62</v>
      </c>
      <c r="M4312">
        <v>52338.03</v>
      </c>
      <c r="N4312" s="2" t="s">
        <v>246</v>
      </c>
      <c r="O4312" s="2" t="s">
        <v>247</v>
      </c>
      <c r="P4312" s="2" t="s">
        <v>7407</v>
      </c>
      <c r="Q4312" s="2" t="s">
        <v>7408</v>
      </c>
      <c r="R4312" s="2" t="s">
        <v>29</v>
      </c>
      <c r="S4312" s="2" t="s">
        <v>30</v>
      </c>
    </row>
    <row r="4313" spans="1:19">
      <c r="A4313" s="1">
        <v>46054</v>
      </c>
      <c r="B4313" s="1">
        <v>46054</v>
      </c>
      <c r="C4313">
        <v>2026</v>
      </c>
      <c r="D4313">
        <v>2</v>
      </c>
      <c r="E4313" s="2" t="s">
        <v>250</v>
      </c>
      <c r="F4313" s="2" t="s">
        <v>251</v>
      </c>
      <c r="G4313" s="2" t="s">
        <v>21</v>
      </c>
      <c r="H4313" s="2" t="s">
        <v>22</v>
      </c>
      <c r="I4313" s="2" t="s">
        <v>66</v>
      </c>
      <c r="J4313" s="2" t="s">
        <v>24</v>
      </c>
      <c r="K4313">
        <v>123.25</v>
      </c>
      <c r="L4313">
        <v>173.74</v>
      </c>
      <c r="M4313">
        <v>140.97</v>
      </c>
      <c r="N4313" s="2" t="s">
        <v>252</v>
      </c>
      <c r="O4313" s="2" t="s">
        <v>253</v>
      </c>
      <c r="P4313" s="2" t="s">
        <v>7409</v>
      </c>
      <c r="Q4313" s="2" t="s">
        <v>7410</v>
      </c>
      <c r="R4313" s="2" t="s">
        <v>29</v>
      </c>
      <c r="S4313" s="2" t="s">
        <v>30</v>
      </c>
    </row>
    <row r="4314" spans="1:19">
      <c r="A4314" s="1">
        <v>46054</v>
      </c>
      <c r="B4314" s="1">
        <v>46054</v>
      </c>
      <c r="C4314">
        <v>2026</v>
      </c>
      <c r="D4314">
        <v>2</v>
      </c>
      <c r="E4314" s="2" t="s">
        <v>256</v>
      </c>
      <c r="F4314" s="2" t="s">
        <v>257</v>
      </c>
      <c r="G4314" s="2" t="s">
        <v>21</v>
      </c>
      <c r="H4314" s="2" t="s">
        <v>22</v>
      </c>
      <c r="I4314" s="2" t="s">
        <v>258</v>
      </c>
      <c r="J4314" s="2" t="s">
        <v>24</v>
      </c>
      <c r="K4314">
        <v>430.51</v>
      </c>
      <c r="L4314">
        <v>579783.14</v>
      </c>
      <c r="M4314">
        <v>134673.56</v>
      </c>
      <c r="N4314" s="2" t="s">
        <v>259</v>
      </c>
      <c r="O4314" s="2" t="s">
        <v>260</v>
      </c>
      <c r="P4314" s="2" t="s">
        <v>7411</v>
      </c>
      <c r="Q4314" s="2" t="s">
        <v>7412</v>
      </c>
      <c r="R4314" s="2" t="s">
        <v>29</v>
      </c>
      <c r="S4314" s="2" t="s">
        <v>30</v>
      </c>
    </row>
    <row r="4315" spans="1:19">
      <c r="A4315" s="1">
        <v>46054</v>
      </c>
      <c r="B4315" s="1">
        <v>46054</v>
      </c>
      <c r="C4315">
        <v>2026</v>
      </c>
      <c r="D4315">
        <v>2</v>
      </c>
      <c r="E4315" s="2" t="s">
        <v>263</v>
      </c>
      <c r="F4315" s="2" t="s">
        <v>264</v>
      </c>
      <c r="G4315" s="2" t="s">
        <v>21</v>
      </c>
      <c r="H4315" s="2" t="s">
        <v>22</v>
      </c>
      <c r="I4315" s="2" t="s">
        <v>258</v>
      </c>
      <c r="J4315" s="2" t="s">
        <v>24</v>
      </c>
      <c r="K4315">
        <v>0</v>
      </c>
      <c r="L4315">
        <v>0</v>
      </c>
      <c r="N4315" s="2" t="s">
        <v>265</v>
      </c>
      <c r="O4315" s="2" t="s">
        <v>266</v>
      </c>
      <c r="P4315" s="2" t="s">
        <v>639</v>
      </c>
      <c r="Q4315" s="2" t="s">
        <v>639</v>
      </c>
      <c r="R4315" s="2" t="s">
        <v>29</v>
      </c>
      <c r="S4315" s="2" t="s">
        <v>30</v>
      </c>
    </row>
    <row r="4316" spans="1:19">
      <c r="A4316" s="1">
        <v>46054</v>
      </c>
      <c r="B4316" s="1">
        <v>46054</v>
      </c>
      <c r="C4316">
        <v>2026</v>
      </c>
      <c r="D4316">
        <v>2</v>
      </c>
      <c r="E4316" s="2" t="s">
        <v>269</v>
      </c>
      <c r="F4316" s="2" t="s">
        <v>270</v>
      </c>
      <c r="G4316" s="2" t="s">
        <v>21</v>
      </c>
      <c r="H4316" s="2" t="s">
        <v>22</v>
      </c>
      <c r="I4316" s="2" t="s">
        <v>258</v>
      </c>
      <c r="J4316" s="2" t="s">
        <v>59</v>
      </c>
      <c r="K4316">
        <v>430.51</v>
      </c>
      <c r="L4316">
        <v>579783.14</v>
      </c>
      <c r="M4316">
        <v>134673.56</v>
      </c>
      <c r="N4316" s="2" t="s">
        <v>271</v>
      </c>
      <c r="O4316" s="2" t="s">
        <v>272</v>
      </c>
      <c r="P4316" s="2" t="s">
        <v>7411</v>
      </c>
      <c r="Q4316" s="2" t="s">
        <v>7412</v>
      </c>
      <c r="R4316" s="2" t="s">
        <v>29</v>
      </c>
      <c r="S4316" s="2" t="s">
        <v>30</v>
      </c>
    </row>
    <row r="4317" spans="1:19">
      <c r="A4317" s="1">
        <v>46054</v>
      </c>
      <c r="B4317" s="1">
        <v>46054</v>
      </c>
      <c r="C4317">
        <v>2026</v>
      </c>
      <c r="D4317">
        <v>2</v>
      </c>
      <c r="E4317" s="2" t="s">
        <v>275</v>
      </c>
      <c r="F4317" s="2" t="s">
        <v>276</v>
      </c>
      <c r="G4317" s="2" t="s">
        <v>39</v>
      </c>
      <c r="H4317" s="2" t="s">
        <v>22</v>
      </c>
      <c r="I4317" s="2" t="s">
        <v>40</v>
      </c>
      <c r="J4317" s="2" t="s">
        <v>24</v>
      </c>
      <c r="K4317">
        <v>0.11</v>
      </c>
      <c r="L4317">
        <v>1.68</v>
      </c>
      <c r="M4317">
        <v>1527.27</v>
      </c>
      <c r="N4317" s="2" t="s">
        <v>277</v>
      </c>
      <c r="O4317" s="2" t="s">
        <v>278</v>
      </c>
      <c r="P4317" s="2" t="s">
        <v>1291</v>
      </c>
      <c r="Q4317" s="2" t="s">
        <v>1513</v>
      </c>
      <c r="R4317" s="2" t="s">
        <v>29</v>
      </c>
      <c r="S4317" s="2" t="s">
        <v>30</v>
      </c>
    </row>
    <row r="4318" spans="1:19">
      <c r="A4318" s="1">
        <v>46054</v>
      </c>
      <c r="B4318" s="1">
        <v>46054</v>
      </c>
      <c r="C4318">
        <v>2026</v>
      </c>
      <c r="D4318">
        <v>2</v>
      </c>
      <c r="E4318" s="2" t="s">
        <v>281</v>
      </c>
      <c r="F4318" s="2" t="s">
        <v>282</v>
      </c>
      <c r="G4318" s="2" t="s">
        <v>39</v>
      </c>
      <c r="H4318" s="2" t="s">
        <v>22</v>
      </c>
      <c r="I4318" s="2" t="s">
        <v>40</v>
      </c>
      <c r="J4318" s="2" t="s">
        <v>24</v>
      </c>
      <c r="K4318">
        <v>0.03</v>
      </c>
      <c r="L4318">
        <v>0.42</v>
      </c>
      <c r="M4318">
        <v>1400</v>
      </c>
      <c r="N4318" s="2" t="s">
        <v>283</v>
      </c>
      <c r="O4318" s="2" t="s">
        <v>284</v>
      </c>
      <c r="P4318" s="2" t="s">
        <v>1247</v>
      </c>
      <c r="Q4318" s="2" t="s">
        <v>1939</v>
      </c>
      <c r="R4318" s="2" t="s">
        <v>29</v>
      </c>
      <c r="S4318" s="2" t="s">
        <v>30</v>
      </c>
    </row>
    <row r="4319" spans="1:19">
      <c r="A4319" s="1">
        <v>46054</v>
      </c>
      <c r="B4319" s="1">
        <v>46054</v>
      </c>
      <c r="C4319">
        <v>2026</v>
      </c>
      <c r="D4319">
        <v>2</v>
      </c>
      <c r="E4319" s="2" t="s">
        <v>287</v>
      </c>
      <c r="F4319" s="2" t="s">
        <v>288</v>
      </c>
      <c r="G4319" s="2" t="s">
        <v>39</v>
      </c>
      <c r="H4319" s="2" t="s">
        <v>22</v>
      </c>
      <c r="I4319" s="2" t="s">
        <v>40</v>
      </c>
      <c r="J4319" s="2" t="s">
        <v>59</v>
      </c>
      <c r="K4319">
        <v>0.14000000000000001</v>
      </c>
      <c r="L4319">
        <v>2.1</v>
      </c>
      <c r="M4319">
        <v>1500</v>
      </c>
      <c r="N4319" s="2" t="s">
        <v>289</v>
      </c>
      <c r="O4319" s="2" t="s">
        <v>290</v>
      </c>
      <c r="P4319" s="2" t="s">
        <v>1187</v>
      </c>
      <c r="Q4319" s="2" t="s">
        <v>4756</v>
      </c>
      <c r="R4319" s="2" t="s">
        <v>29</v>
      </c>
      <c r="S4319" s="2" t="s">
        <v>30</v>
      </c>
    </row>
    <row r="4320" spans="1:19">
      <c r="A4320" s="1">
        <v>46054</v>
      </c>
      <c r="B4320" s="1">
        <v>46054</v>
      </c>
      <c r="C4320">
        <v>2026</v>
      </c>
      <c r="D4320">
        <v>2</v>
      </c>
      <c r="E4320" s="2" t="s">
        <v>293</v>
      </c>
      <c r="F4320" s="2" t="s">
        <v>294</v>
      </c>
      <c r="G4320" s="2" t="s">
        <v>21</v>
      </c>
      <c r="H4320" s="2" t="s">
        <v>22</v>
      </c>
      <c r="I4320" s="2" t="s">
        <v>295</v>
      </c>
      <c r="J4320" s="2" t="s">
        <v>24</v>
      </c>
      <c r="K4320">
        <v>913.68</v>
      </c>
      <c r="L4320">
        <v>4712.76</v>
      </c>
      <c r="M4320">
        <v>515.79999999999995</v>
      </c>
      <c r="N4320" s="2" t="s">
        <v>296</v>
      </c>
      <c r="O4320" s="2" t="s">
        <v>297</v>
      </c>
      <c r="P4320" s="2" t="s">
        <v>7413</v>
      </c>
      <c r="Q4320" s="2" t="s">
        <v>7414</v>
      </c>
      <c r="R4320" s="2" t="s">
        <v>29</v>
      </c>
      <c r="S4320" s="2" t="s">
        <v>30</v>
      </c>
    </row>
    <row r="4321" spans="1:19">
      <c r="A4321" s="1">
        <v>46054</v>
      </c>
      <c r="B4321" s="1">
        <v>46054</v>
      </c>
      <c r="C4321">
        <v>2026</v>
      </c>
      <c r="D4321">
        <v>2</v>
      </c>
      <c r="E4321" s="2" t="s">
        <v>300</v>
      </c>
      <c r="F4321" s="2" t="s">
        <v>301</v>
      </c>
      <c r="G4321" s="2" t="s">
        <v>21</v>
      </c>
      <c r="H4321" s="2" t="s">
        <v>22</v>
      </c>
      <c r="I4321" s="2" t="s">
        <v>295</v>
      </c>
      <c r="J4321" s="2" t="s">
        <v>24</v>
      </c>
      <c r="K4321">
        <v>793.5</v>
      </c>
      <c r="L4321">
        <v>1426.88</v>
      </c>
      <c r="M4321">
        <v>179.82</v>
      </c>
      <c r="N4321" s="2" t="s">
        <v>302</v>
      </c>
      <c r="O4321" s="2" t="s">
        <v>303</v>
      </c>
      <c r="P4321" s="2" t="s">
        <v>7415</v>
      </c>
      <c r="Q4321" s="2" t="s">
        <v>7416</v>
      </c>
      <c r="R4321" s="2" t="s">
        <v>29</v>
      </c>
      <c r="S4321" s="2" t="s">
        <v>30</v>
      </c>
    </row>
    <row r="4322" spans="1:19">
      <c r="A4322" s="1">
        <v>46054</v>
      </c>
      <c r="B4322" s="1">
        <v>46054</v>
      </c>
      <c r="C4322">
        <v>2026</v>
      </c>
      <c r="D4322">
        <v>2</v>
      </c>
      <c r="E4322" s="2" t="s">
        <v>306</v>
      </c>
      <c r="F4322" s="2" t="s">
        <v>307</v>
      </c>
      <c r="G4322" s="2" t="s">
        <v>21</v>
      </c>
      <c r="H4322" s="2" t="s">
        <v>22</v>
      </c>
      <c r="I4322" s="2" t="s">
        <v>295</v>
      </c>
      <c r="J4322" s="2" t="s">
        <v>101</v>
      </c>
      <c r="K4322">
        <v>1707.18</v>
      </c>
      <c r="L4322">
        <v>6139.64</v>
      </c>
      <c r="M4322">
        <v>359.64</v>
      </c>
      <c r="N4322" s="2" t="s">
        <v>308</v>
      </c>
      <c r="O4322" s="2" t="s">
        <v>309</v>
      </c>
      <c r="P4322" s="2" t="s">
        <v>7417</v>
      </c>
      <c r="Q4322" s="2" t="s">
        <v>7418</v>
      </c>
      <c r="R4322" s="2" t="s">
        <v>29</v>
      </c>
      <c r="S4322" s="2" t="s">
        <v>30</v>
      </c>
    </row>
    <row r="4323" spans="1:19">
      <c r="A4323" s="1">
        <v>46054</v>
      </c>
      <c r="B4323" s="1">
        <v>46054</v>
      </c>
      <c r="C4323">
        <v>2026</v>
      </c>
      <c r="D4323">
        <v>2</v>
      </c>
      <c r="E4323" s="2" t="s">
        <v>312</v>
      </c>
      <c r="F4323" s="2" t="s">
        <v>313</v>
      </c>
      <c r="G4323" s="2" t="s">
        <v>21</v>
      </c>
      <c r="H4323" s="2" t="s">
        <v>22</v>
      </c>
      <c r="I4323" s="2" t="s">
        <v>295</v>
      </c>
      <c r="J4323" s="2" t="s">
        <v>59</v>
      </c>
      <c r="K4323">
        <v>8359.24</v>
      </c>
      <c r="L4323">
        <v>25969.03</v>
      </c>
      <c r="M4323">
        <v>310.66000000000003</v>
      </c>
      <c r="N4323" s="2" t="s">
        <v>314</v>
      </c>
      <c r="O4323" s="2" t="s">
        <v>315</v>
      </c>
      <c r="P4323" s="2" t="s">
        <v>7419</v>
      </c>
      <c r="Q4323" s="2" t="s">
        <v>7420</v>
      </c>
      <c r="R4323" s="2" t="s">
        <v>29</v>
      </c>
      <c r="S4323" s="2" t="s">
        <v>30</v>
      </c>
    </row>
    <row r="4324" spans="1:19">
      <c r="A4324" s="1">
        <v>46054</v>
      </c>
      <c r="B4324" s="1">
        <v>46054</v>
      </c>
      <c r="C4324">
        <v>2026</v>
      </c>
      <c r="D4324">
        <v>2</v>
      </c>
      <c r="E4324" s="2" t="s">
        <v>318</v>
      </c>
      <c r="F4324" s="2" t="s">
        <v>319</v>
      </c>
      <c r="G4324" s="2" t="s">
        <v>21</v>
      </c>
      <c r="H4324" s="2" t="s">
        <v>22</v>
      </c>
      <c r="I4324" s="2" t="s">
        <v>295</v>
      </c>
      <c r="J4324" s="2" t="s">
        <v>24</v>
      </c>
      <c r="K4324">
        <v>6652.06</v>
      </c>
      <c r="L4324">
        <v>19829.39</v>
      </c>
      <c r="M4324">
        <v>298.08999999999997</v>
      </c>
      <c r="N4324" s="2" t="s">
        <v>320</v>
      </c>
      <c r="O4324" s="2" t="s">
        <v>321</v>
      </c>
      <c r="P4324" s="2" t="s">
        <v>7421</v>
      </c>
      <c r="Q4324" s="2" t="s">
        <v>7422</v>
      </c>
      <c r="R4324" s="2" t="s">
        <v>29</v>
      </c>
      <c r="S4324" s="2" t="s">
        <v>30</v>
      </c>
    </row>
    <row r="4325" spans="1:19">
      <c r="A4325" s="1">
        <v>46054</v>
      </c>
      <c r="B4325" s="1">
        <v>46054</v>
      </c>
      <c r="C4325">
        <v>2026</v>
      </c>
      <c r="D4325">
        <v>2</v>
      </c>
      <c r="E4325" s="2" t="s">
        <v>324</v>
      </c>
      <c r="F4325" s="2" t="s">
        <v>325</v>
      </c>
      <c r="G4325" s="2" t="s">
        <v>21</v>
      </c>
      <c r="H4325" s="2" t="s">
        <v>22</v>
      </c>
      <c r="I4325" s="2" t="s">
        <v>23</v>
      </c>
      <c r="J4325" s="2" t="s">
        <v>59</v>
      </c>
      <c r="K4325">
        <v>219247.4</v>
      </c>
      <c r="L4325">
        <v>7793908.46</v>
      </c>
      <c r="M4325">
        <v>3554.85</v>
      </c>
      <c r="N4325" s="2" t="s">
        <v>326</v>
      </c>
      <c r="O4325" s="2" t="s">
        <v>327</v>
      </c>
      <c r="P4325" s="2" t="s">
        <v>7423</v>
      </c>
      <c r="Q4325" s="2" t="s">
        <v>7424</v>
      </c>
      <c r="R4325" s="2" t="s">
        <v>29</v>
      </c>
      <c r="S4325" s="2" t="s">
        <v>30</v>
      </c>
    </row>
    <row r="4326" spans="1:19">
      <c r="A4326" s="1">
        <v>46054</v>
      </c>
      <c r="B4326" s="1">
        <v>46054</v>
      </c>
      <c r="C4326">
        <v>2026</v>
      </c>
      <c r="D4326">
        <v>2</v>
      </c>
      <c r="E4326" s="2" t="s">
        <v>330</v>
      </c>
      <c r="F4326" s="2" t="s">
        <v>331</v>
      </c>
      <c r="G4326" s="2" t="s">
        <v>21</v>
      </c>
      <c r="H4326" s="2" t="s">
        <v>332</v>
      </c>
      <c r="I4326" s="2" t="s">
        <v>333</v>
      </c>
      <c r="J4326" s="2" t="s">
        <v>24</v>
      </c>
      <c r="K4326">
        <v>304.72000000000003</v>
      </c>
      <c r="L4326">
        <v>17509377.039999999</v>
      </c>
      <c r="M4326">
        <v>5746054.4199999999</v>
      </c>
      <c r="N4326" s="2" t="s">
        <v>334</v>
      </c>
      <c r="O4326" s="2" t="s">
        <v>335</v>
      </c>
      <c r="P4326" s="2" t="s">
        <v>7425</v>
      </c>
      <c r="Q4326" s="2" t="s">
        <v>7426</v>
      </c>
      <c r="R4326" s="2" t="s">
        <v>29</v>
      </c>
      <c r="S4326" s="2" t="s">
        <v>30</v>
      </c>
    </row>
    <row r="4327" spans="1:19">
      <c r="A4327" s="1">
        <v>46054</v>
      </c>
      <c r="B4327" s="1">
        <v>46054</v>
      </c>
      <c r="C4327">
        <v>2026</v>
      </c>
      <c r="D4327">
        <v>2</v>
      </c>
      <c r="E4327" s="2" t="s">
        <v>338</v>
      </c>
      <c r="F4327" s="2" t="s">
        <v>339</v>
      </c>
      <c r="G4327" s="2" t="s">
        <v>21</v>
      </c>
      <c r="H4327" s="2" t="s">
        <v>332</v>
      </c>
      <c r="I4327" s="2" t="s">
        <v>333</v>
      </c>
      <c r="J4327" s="2" t="s">
        <v>24</v>
      </c>
      <c r="K4327">
        <v>1.1399999999999999</v>
      </c>
      <c r="L4327">
        <v>1350041.2</v>
      </c>
      <c r="M4327">
        <v>118424666.67</v>
      </c>
      <c r="N4327" s="2" t="s">
        <v>340</v>
      </c>
      <c r="O4327" s="2" t="s">
        <v>341</v>
      </c>
      <c r="P4327" s="2" t="s">
        <v>2133</v>
      </c>
      <c r="Q4327" s="2" t="s">
        <v>7427</v>
      </c>
      <c r="R4327" s="2" t="s">
        <v>29</v>
      </c>
      <c r="S4327" s="2" t="s">
        <v>30</v>
      </c>
    </row>
    <row r="4328" spans="1:19">
      <c r="A4328" s="1">
        <v>46054</v>
      </c>
      <c r="B4328" s="1">
        <v>46054</v>
      </c>
      <c r="C4328">
        <v>2026</v>
      </c>
      <c r="D4328">
        <v>2</v>
      </c>
      <c r="E4328" s="2" t="s">
        <v>344</v>
      </c>
      <c r="F4328" s="2" t="s">
        <v>345</v>
      </c>
      <c r="G4328" s="2" t="s">
        <v>21</v>
      </c>
      <c r="H4328" s="2" t="s">
        <v>332</v>
      </c>
      <c r="I4328" s="2" t="s">
        <v>333</v>
      </c>
      <c r="J4328" s="2" t="s">
        <v>59</v>
      </c>
      <c r="K4328">
        <v>305.85000000000002</v>
      </c>
      <c r="L4328">
        <v>18859418.25</v>
      </c>
      <c r="M4328">
        <v>6166231.2400000002</v>
      </c>
      <c r="N4328" s="2" t="s">
        <v>346</v>
      </c>
      <c r="O4328" s="2" t="s">
        <v>347</v>
      </c>
      <c r="P4328" s="2" t="s">
        <v>7428</v>
      </c>
      <c r="Q4328" s="2" t="s">
        <v>7429</v>
      </c>
      <c r="R4328" s="2" t="s">
        <v>29</v>
      </c>
      <c r="S4328" s="2" t="s">
        <v>30</v>
      </c>
    </row>
    <row r="4329" spans="1:19">
      <c r="A4329" s="1">
        <v>46054</v>
      </c>
      <c r="B4329" s="1">
        <v>46054</v>
      </c>
      <c r="C4329">
        <v>2026</v>
      </c>
      <c r="D4329">
        <v>2</v>
      </c>
      <c r="E4329" s="2" t="s">
        <v>350</v>
      </c>
      <c r="F4329" s="2" t="s">
        <v>351</v>
      </c>
      <c r="G4329" s="2" t="s">
        <v>21</v>
      </c>
      <c r="H4329" s="2" t="s">
        <v>22</v>
      </c>
      <c r="I4329" s="2" t="s">
        <v>352</v>
      </c>
      <c r="J4329" s="2" t="s">
        <v>353</v>
      </c>
      <c r="K4329">
        <v>235756.65</v>
      </c>
      <c r="L4329">
        <v>27124723.440000001</v>
      </c>
      <c r="M4329">
        <v>11505.39</v>
      </c>
      <c r="N4329" s="2" t="s">
        <v>354</v>
      </c>
      <c r="O4329" s="2" t="s">
        <v>355</v>
      </c>
      <c r="P4329" s="2" t="s">
        <v>7430</v>
      </c>
      <c r="Q4329" s="2" t="s">
        <v>7431</v>
      </c>
      <c r="R4329" s="2" t="s">
        <v>29</v>
      </c>
      <c r="S4329" s="2" t="s">
        <v>30</v>
      </c>
    </row>
    <row r="4330" spans="1:19">
      <c r="A4330" s="1">
        <v>46054</v>
      </c>
      <c r="B4330" s="1">
        <v>46054</v>
      </c>
      <c r="C4330">
        <v>2026</v>
      </c>
      <c r="D4330">
        <v>2</v>
      </c>
      <c r="E4330" s="2" t="s">
        <v>358</v>
      </c>
      <c r="F4330" s="2" t="s">
        <v>359</v>
      </c>
      <c r="G4330" s="2" t="s">
        <v>21</v>
      </c>
      <c r="H4330" s="2" t="s">
        <v>22</v>
      </c>
      <c r="I4330" s="2" t="s">
        <v>352</v>
      </c>
      <c r="J4330" s="2" t="s">
        <v>353</v>
      </c>
      <c r="K4330">
        <v>236187.16</v>
      </c>
      <c r="L4330">
        <v>27704506.579999998</v>
      </c>
      <c r="M4330">
        <v>11729.9</v>
      </c>
      <c r="N4330" s="2" t="s">
        <v>360</v>
      </c>
      <c r="O4330" s="2" t="s">
        <v>361</v>
      </c>
      <c r="P4330" s="2" t="s">
        <v>7432</v>
      </c>
      <c r="Q4330" s="2" t="s">
        <v>7433</v>
      </c>
      <c r="R4330" s="2" t="s">
        <v>29</v>
      </c>
      <c r="S4330" s="2" t="s">
        <v>30</v>
      </c>
    </row>
    <row r="4331" spans="1:19">
      <c r="A4331" s="1">
        <v>46054</v>
      </c>
      <c r="B4331" s="1">
        <v>46054</v>
      </c>
      <c r="C4331">
        <v>2026</v>
      </c>
      <c r="D4331">
        <v>2</v>
      </c>
      <c r="E4331" s="2" t="s">
        <v>364</v>
      </c>
      <c r="F4331" s="2" t="s">
        <v>365</v>
      </c>
      <c r="G4331" s="2" t="s">
        <v>21</v>
      </c>
      <c r="H4331" s="2" t="s">
        <v>22</v>
      </c>
      <c r="I4331" s="2" t="s">
        <v>352</v>
      </c>
      <c r="J4331" s="2" t="s">
        <v>353</v>
      </c>
      <c r="K4331">
        <v>235881.31</v>
      </c>
      <c r="L4331">
        <v>8845088.3399999999</v>
      </c>
      <c r="M4331">
        <v>3749.8</v>
      </c>
      <c r="N4331" s="2" t="s">
        <v>366</v>
      </c>
      <c r="O4331" s="2" t="s">
        <v>367</v>
      </c>
      <c r="P4331" s="2" t="s">
        <v>7434</v>
      </c>
      <c r="Q4331" s="2" t="s">
        <v>7435</v>
      </c>
      <c r="R4331" s="2" t="s">
        <v>29</v>
      </c>
      <c r="S4331" s="2" t="s">
        <v>30</v>
      </c>
    </row>
    <row r="4332" spans="1:19">
      <c r="A4332" s="1">
        <v>46054</v>
      </c>
      <c r="B4332" s="1">
        <v>46054</v>
      </c>
      <c r="C4332">
        <v>2026</v>
      </c>
      <c r="D4332">
        <v>2</v>
      </c>
      <c r="E4332" s="2" t="s">
        <v>370</v>
      </c>
      <c r="F4332" s="2" t="s">
        <v>371</v>
      </c>
      <c r="G4332" s="2" t="s">
        <v>21</v>
      </c>
      <c r="H4332" s="2" t="s">
        <v>22</v>
      </c>
      <c r="I4332" s="2" t="s">
        <v>23</v>
      </c>
      <c r="J4332" s="2" t="s">
        <v>24</v>
      </c>
      <c r="K4332">
        <v>203941.84</v>
      </c>
      <c r="L4332">
        <v>2684229.2999999998</v>
      </c>
      <c r="M4332">
        <v>1316.17</v>
      </c>
      <c r="N4332" s="2" t="s">
        <v>372</v>
      </c>
      <c r="O4332" s="2" t="s">
        <v>373</v>
      </c>
      <c r="P4332" s="2" t="s">
        <v>7436</v>
      </c>
      <c r="Q4332" s="2" t="s">
        <v>7437</v>
      </c>
      <c r="R4332" s="2" t="s">
        <v>29</v>
      </c>
      <c r="S4332" s="2" t="s">
        <v>30</v>
      </c>
    </row>
    <row r="4333" spans="1:19">
      <c r="A4333" s="1">
        <v>46054</v>
      </c>
      <c r="B4333" s="1">
        <v>46054</v>
      </c>
      <c r="C4333">
        <v>2026</v>
      </c>
      <c r="D4333">
        <v>2</v>
      </c>
      <c r="E4333" s="2" t="s">
        <v>376</v>
      </c>
      <c r="F4333" s="2" t="s">
        <v>377</v>
      </c>
      <c r="G4333" s="2" t="s">
        <v>21</v>
      </c>
      <c r="H4333" s="2" t="s">
        <v>22</v>
      </c>
      <c r="I4333" s="2" t="s">
        <v>23</v>
      </c>
      <c r="J4333" s="2" t="s">
        <v>378</v>
      </c>
      <c r="K4333">
        <v>2.3199999999999998</v>
      </c>
      <c r="L4333">
        <v>24.72</v>
      </c>
      <c r="M4333">
        <v>1065.52</v>
      </c>
      <c r="N4333" s="2" t="s">
        <v>379</v>
      </c>
      <c r="O4333" s="2" t="s">
        <v>380</v>
      </c>
      <c r="P4333" s="2" t="s">
        <v>1750</v>
      </c>
      <c r="Q4333" s="2" t="s">
        <v>7438</v>
      </c>
      <c r="R4333" s="2" t="s">
        <v>29</v>
      </c>
      <c r="S4333" s="2" t="s">
        <v>30</v>
      </c>
    </row>
    <row r="4334" spans="1:19">
      <c r="A4334" s="1">
        <v>46082</v>
      </c>
      <c r="B4334" s="1">
        <v>46082</v>
      </c>
      <c r="C4334">
        <v>2026</v>
      </c>
      <c r="D4334">
        <v>3</v>
      </c>
      <c r="E4334" s="2" t="s">
        <v>19</v>
      </c>
      <c r="F4334" s="2" t="s">
        <v>20</v>
      </c>
      <c r="G4334" s="2" t="s">
        <v>21</v>
      </c>
      <c r="H4334" s="2" t="s">
        <v>22</v>
      </c>
      <c r="I4334" s="2" t="s">
        <v>23</v>
      </c>
      <c r="J4334" s="2" t="s">
        <v>24</v>
      </c>
      <c r="K4334">
        <v>0.27</v>
      </c>
      <c r="L4334">
        <v>15.78</v>
      </c>
      <c r="M4334">
        <v>5844.44</v>
      </c>
      <c r="N4334" s="2" t="s">
        <v>25</v>
      </c>
      <c r="O4334" s="2" t="s">
        <v>26</v>
      </c>
      <c r="P4334" s="2" t="s">
        <v>980</v>
      </c>
      <c r="Q4334" s="2" t="s">
        <v>7439</v>
      </c>
      <c r="R4334" s="2" t="s">
        <v>29</v>
      </c>
      <c r="S4334" s="2" t="s">
        <v>30</v>
      </c>
    </row>
    <row r="4335" spans="1:19">
      <c r="A4335" s="1">
        <v>46082</v>
      </c>
      <c r="B4335" s="1">
        <v>46082</v>
      </c>
      <c r="C4335">
        <v>2026</v>
      </c>
      <c r="D4335">
        <v>3</v>
      </c>
      <c r="E4335" s="2" t="s">
        <v>31</v>
      </c>
      <c r="F4335" s="2" t="s">
        <v>32</v>
      </c>
      <c r="G4335" s="2" t="s">
        <v>21</v>
      </c>
      <c r="H4335" s="2" t="s">
        <v>22</v>
      </c>
      <c r="I4335" s="2" t="s">
        <v>23</v>
      </c>
      <c r="J4335" s="2" t="s">
        <v>24</v>
      </c>
      <c r="K4335">
        <v>3335.83</v>
      </c>
      <c r="L4335">
        <v>83656.42</v>
      </c>
      <c r="M4335">
        <v>2507.81</v>
      </c>
      <c r="N4335" s="2" t="s">
        <v>33</v>
      </c>
      <c r="O4335" s="2" t="s">
        <v>34</v>
      </c>
      <c r="P4335" s="2" t="s">
        <v>7440</v>
      </c>
      <c r="Q4335" s="2" t="s">
        <v>7441</v>
      </c>
      <c r="R4335" s="2" t="s">
        <v>29</v>
      </c>
      <c r="S4335" s="2" t="s">
        <v>30</v>
      </c>
    </row>
    <row r="4336" spans="1:19">
      <c r="A4336" s="1">
        <v>46082</v>
      </c>
      <c r="B4336" s="1">
        <v>46082</v>
      </c>
      <c r="C4336">
        <v>2026</v>
      </c>
      <c r="D4336">
        <v>3</v>
      </c>
      <c r="E4336" s="2" t="s">
        <v>37</v>
      </c>
      <c r="F4336" s="2" t="s">
        <v>38</v>
      </c>
      <c r="G4336" s="2" t="s">
        <v>39</v>
      </c>
      <c r="H4336" s="2" t="s">
        <v>22</v>
      </c>
      <c r="I4336" s="2" t="s">
        <v>40</v>
      </c>
      <c r="J4336" s="2" t="s">
        <v>24</v>
      </c>
      <c r="K4336">
        <v>7.08</v>
      </c>
      <c r="L4336">
        <v>407.59</v>
      </c>
      <c r="M4336">
        <v>5756.92</v>
      </c>
      <c r="N4336" s="2" t="s">
        <v>41</v>
      </c>
      <c r="O4336" s="2" t="s">
        <v>42</v>
      </c>
      <c r="P4336" s="2" t="s">
        <v>7442</v>
      </c>
      <c r="Q4336" s="2" t="s">
        <v>7443</v>
      </c>
      <c r="R4336" s="2" t="s">
        <v>29</v>
      </c>
      <c r="S4336" s="2" t="s">
        <v>30</v>
      </c>
    </row>
    <row r="4337" spans="1:19">
      <c r="A4337" s="1">
        <v>46082</v>
      </c>
      <c r="B4337" s="1">
        <v>46082</v>
      </c>
      <c r="C4337">
        <v>2026</v>
      </c>
      <c r="D4337">
        <v>3</v>
      </c>
      <c r="E4337" s="2" t="s">
        <v>45</v>
      </c>
      <c r="F4337" s="2" t="s">
        <v>46</v>
      </c>
      <c r="G4337" s="2" t="s">
        <v>39</v>
      </c>
      <c r="H4337" s="2" t="s">
        <v>22</v>
      </c>
      <c r="I4337" s="2" t="s">
        <v>40</v>
      </c>
      <c r="J4337" s="2" t="s">
        <v>24</v>
      </c>
      <c r="K4337">
        <v>4439.99</v>
      </c>
      <c r="L4337">
        <v>248419.04</v>
      </c>
      <c r="M4337">
        <v>5595.04</v>
      </c>
      <c r="N4337" s="2" t="s">
        <v>47</v>
      </c>
      <c r="O4337" s="2" t="s">
        <v>48</v>
      </c>
      <c r="P4337" s="2" t="s">
        <v>7444</v>
      </c>
      <c r="Q4337" s="2" t="s">
        <v>7445</v>
      </c>
      <c r="R4337" s="2" t="s">
        <v>29</v>
      </c>
      <c r="S4337" s="2" t="s">
        <v>30</v>
      </c>
    </row>
    <row r="4338" spans="1:19">
      <c r="A4338" s="1">
        <v>46082</v>
      </c>
      <c r="B4338" s="1">
        <v>46082</v>
      </c>
      <c r="C4338">
        <v>2026</v>
      </c>
      <c r="D4338">
        <v>3</v>
      </c>
      <c r="E4338" s="2" t="s">
        <v>51</v>
      </c>
      <c r="F4338" s="2" t="s">
        <v>52</v>
      </c>
      <c r="G4338" s="2" t="s">
        <v>39</v>
      </c>
      <c r="H4338" s="2" t="s">
        <v>22</v>
      </c>
      <c r="I4338" s="2" t="s">
        <v>40</v>
      </c>
      <c r="J4338" s="2" t="s">
        <v>24</v>
      </c>
      <c r="K4338">
        <v>17.97</v>
      </c>
      <c r="L4338">
        <v>935.3</v>
      </c>
      <c r="M4338">
        <v>5204.79</v>
      </c>
      <c r="N4338" s="2" t="s">
        <v>53</v>
      </c>
      <c r="O4338" s="2" t="s">
        <v>54</v>
      </c>
      <c r="P4338" s="2" t="s">
        <v>7446</v>
      </c>
      <c r="Q4338" s="2" t="s">
        <v>7447</v>
      </c>
      <c r="R4338" s="2" t="s">
        <v>29</v>
      </c>
      <c r="S4338" s="2" t="s">
        <v>30</v>
      </c>
    </row>
    <row r="4339" spans="1:19">
      <c r="A4339" s="1">
        <v>46082</v>
      </c>
      <c r="B4339" s="1">
        <v>46082</v>
      </c>
      <c r="C4339">
        <v>2026</v>
      </c>
      <c r="D4339">
        <v>3</v>
      </c>
      <c r="E4339" s="2" t="s">
        <v>57</v>
      </c>
      <c r="F4339" s="2" t="s">
        <v>58</v>
      </c>
      <c r="G4339" s="2" t="s">
        <v>39</v>
      </c>
      <c r="H4339" s="2" t="s">
        <v>22</v>
      </c>
      <c r="I4339" s="2" t="s">
        <v>40</v>
      </c>
      <c r="J4339" s="2" t="s">
        <v>59</v>
      </c>
      <c r="K4339">
        <v>4465.04</v>
      </c>
      <c r="L4339">
        <v>249761.93</v>
      </c>
      <c r="M4339">
        <v>5593.72</v>
      </c>
      <c r="N4339" s="2" t="s">
        <v>60</v>
      </c>
      <c r="O4339" s="2" t="s">
        <v>61</v>
      </c>
      <c r="P4339" s="2" t="s">
        <v>7448</v>
      </c>
      <c r="Q4339" s="2" t="s">
        <v>7449</v>
      </c>
      <c r="R4339" s="2" t="s">
        <v>29</v>
      </c>
      <c r="S4339" s="2" t="s">
        <v>30</v>
      </c>
    </row>
    <row r="4340" spans="1:19">
      <c r="A4340" s="1">
        <v>46082</v>
      </c>
      <c r="B4340" s="1">
        <v>46082</v>
      </c>
      <c r="C4340">
        <v>2026</v>
      </c>
      <c r="D4340">
        <v>3</v>
      </c>
      <c r="E4340" s="2" t="s">
        <v>64</v>
      </c>
      <c r="F4340" s="2" t="s">
        <v>65</v>
      </c>
      <c r="G4340" s="2" t="s">
        <v>21</v>
      </c>
      <c r="H4340" s="2" t="s">
        <v>22</v>
      </c>
      <c r="I4340" s="2" t="s">
        <v>66</v>
      </c>
      <c r="J4340" s="2" t="s">
        <v>24</v>
      </c>
      <c r="K4340">
        <v>20.99</v>
      </c>
      <c r="L4340">
        <v>800.16</v>
      </c>
      <c r="M4340">
        <v>3812.1</v>
      </c>
      <c r="N4340" s="2" t="s">
        <v>67</v>
      </c>
      <c r="O4340" s="2" t="s">
        <v>68</v>
      </c>
      <c r="P4340" s="2" t="s">
        <v>7450</v>
      </c>
      <c r="Q4340" s="2" t="s">
        <v>7451</v>
      </c>
      <c r="R4340" s="2" t="s">
        <v>29</v>
      </c>
      <c r="S4340" s="2" t="s">
        <v>30</v>
      </c>
    </row>
    <row r="4341" spans="1:19">
      <c r="A4341" s="1">
        <v>46082</v>
      </c>
      <c r="B4341" s="1">
        <v>46082</v>
      </c>
      <c r="C4341">
        <v>2026</v>
      </c>
      <c r="D4341">
        <v>3</v>
      </c>
      <c r="E4341" s="2" t="s">
        <v>71</v>
      </c>
      <c r="F4341" s="2" t="s">
        <v>72</v>
      </c>
      <c r="G4341" s="2" t="s">
        <v>21</v>
      </c>
      <c r="H4341" s="2" t="s">
        <v>22</v>
      </c>
      <c r="I4341" s="2" t="s">
        <v>73</v>
      </c>
      <c r="J4341" s="2" t="s">
        <v>59</v>
      </c>
      <c r="K4341">
        <v>6787.94</v>
      </c>
      <c r="L4341">
        <v>257443.08</v>
      </c>
      <c r="M4341">
        <v>3792.65</v>
      </c>
      <c r="N4341" s="2" t="s">
        <v>74</v>
      </c>
      <c r="O4341" s="2" t="s">
        <v>75</v>
      </c>
      <c r="P4341" s="2" t="s">
        <v>7452</v>
      </c>
      <c r="Q4341" s="2" t="s">
        <v>7453</v>
      </c>
      <c r="R4341" s="2" t="s">
        <v>29</v>
      </c>
      <c r="S4341" s="2" t="s">
        <v>30</v>
      </c>
    </row>
    <row r="4342" spans="1:19">
      <c r="A4342" s="1">
        <v>46082</v>
      </c>
      <c r="B4342" s="1">
        <v>46082</v>
      </c>
      <c r="C4342">
        <v>2026</v>
      </c>
      <c r="D4342">
        <v>3</v>
      </c>
      <c r="E4342" s="2" t="s">
        <v>78</v>
      </c>
      <c r="F4342" s="2" t="s">
        <v>79</v>
      </c>
      <c r="G4342" s="2" t="s">
        <v>80</v>
      </c>
      <c r="H4342" s="2" t="s">
        <v>81</v>
      </c>
      <c r="I4342" s="2" t="s">
        <v>82</v>
      </c>
      <c r="J4342" s="2" t="s">
        <v>24</v>
      </c>
      <c r="K4342">
        <v>2.76</v>
      </c>
      <c r="L4342">
        <v>13006221.9</v>
      </c>
      <c r="M4342">
        <v>471239923.91000003</v>
      </c>
      <c r="N4342" s="2" t="s">
        <v>83</v>
      </c>
      <c r="O4342" s="2" t="s">
        <v>84</v>
      </c>
      <c r="P4342" s="2" t="s">
        <v>916</v>
      </c>
      <c r="Q4342" s="2" t="s">
        <v>7454</v>
      </c>
      <c r="R4342" s="2" t="s">
        <v>29</v>
      </c>
      <c r="S4342" s="2" t="s">
        <v>30</v>
      </c>
    </row>
    <row r="4343" spans="1:19">
      <c r="A4343" s="1">
        <v>46082</v>
      </c>
      <c r="B4343" s="1">
        <v>46082</v>
      </c>
      <c r="C4343">
        <v>2026</v>
      </c>
      <c r="D4343">
        <v>3</v>
      </c>
      <c r="E4343" s="2" t="s">
        <v>87</v>
      </c>
      <c r="F4343" s="2" t="s">
        <v>88</v>
      </c>
      <c r="G4343" s="2" t="s">
        <v>80</v>
      </c>
      <c r="H4343" s="2" t="s">
        <v>81</v>
      </c>
      <c r="I4343" s="2" t="s">
        <v>82</v>
      </c>
      <c r="J4343" s="2" t="s">
        <v>24</v>
      </c>
      <c r="K4343">
        <v>0.84</v>
      </c>
      <c r="L4343">
        <v>1200663</v>
      </c>
      <c r="M4343">
        <v>142936071.43000001</v>
      </c>
      <c r="N4343" s="2" t="s">
        <v>89</v>
      </c>
      <c r="O4343" s="2" t="s">
        <v>90</v>
      </c>
      <c r="P4343" s="2" t="s">
        <v>383</v>
      </c>
      <c r="Q4343" s="2" t="s">
        <v>7455</v>
      </c>
      <c r="R4343" s="2" t="s">
        <v>29</v>
      </c>
      <c r="S4343" s="2" t="s">
        <v>30</v>
      </c>
    </row>
    <row r="4344" spans="1:19">
      <c r="A4344" s="1">
        <v>46082</v>
      </c>
      <c r="B4344" s="1">
        <v>46082</v>
      </c>
      <c r="C4344">
        <v>2026</v>
      </c>
      <c r="D4344">
        <v>3</v>
      </c>
      <c r="E4344" s="2" t="s">
        <v>93</v>
      </c>
      <c r="F4344" s="2" t="s">
        <v>94</v>
      </c>
      <c r="G4344" s="2" t="s">
        <v>80</v>
      </c>
      <c r="H4344" s="2" t="s">
        <v>81</v>
      </c>
      <c r="I4344" s="2" t="s">
        <v>82</v>
      </c>
      <c r="J4344" s="2" t="s">
        <v>24</v>
      </c>
      <c r="K4344">
        <v>0.46</v>
      </c>
      <c r="L4344">
        <v>6833924.21</v>
      </c>
      <c r="M4344">
        <v>1485635697.8299999</v>
      </c>
      <c r="N4344" s="2" t="s">
        <v>95</v>
      </c>
      <c r="O4344" s="2" t="s">
        <v>96</v>
      </c>
      <c r="P4344" s="2" t="s">
        <v>2711</v>
      </c>
      <c r="Q4344" s="2" t="s">
        <v>7456</v>
      </c>
      <c r="R4344" s="2" t="s">
        <v>29</v>
      </c>
      <c r="S4344" s="2" t="s">
        <v>30</v>
      </c>
    </row>
    <row r="4345" spans="1:19">
      <c r="A4345" s="1">
        <v>46082</v>
      </c>
      <c r="B4345" s="1">
        <v>46082</v>
      </c>
      <c r="C4345">
        <v>2026</v>
      </c>
      <c r="D4345">
        <v>3</v>
      </c>
      <c r="E4345" s="2" t="s">
        <v>99</v>
      </c>
      <c r="F4345" s="2" t="s">
        <v>100</v>
      </c>
      <c r="G4345" s="2" t="s">
        <v>80</v>
      </c>
      <c r="H4345" s="2" t="s">
        <v>81</v>
      </c>
      <c r="I4345" s="2" t="s">
        <v>82</v>
      </c>
      <c r="J4345" s="2" t="s">
        <v>101</v>
      </c>
      <c r="K4345">
        <v>1.51</v>
      </c>
      <c r="L4345">
        <v>16548550.470000001</v>
      </c>
      <c r="M4345">
        <v>1095930494.7</v>
      </c>
      <c r="N4345" s="2" t="s">
        <v>102</v>
      </c>
      <c r="O4345" s="2" t="s">
        <v>103</v>
      </c>
      <c r="P4345" s="2" t="s">
        <v>3659</v>
      </c>
      <c r="Q4345" s="2" t="s">
        <v>7457</v>
      </c>
      <c r="R4345" s="2" t="s">
        <v>29</v>
      </c>
      <c r="S4345" s="2" t="s">
        <v>30</v>
      </c>
    </row>
    <row r="4346" spans="1:19">
      <c r="A4346" s="1">
        <v>46082</v>
      </c>
      <c r="B4346" s="1">
        <v>46082</v>
      </c>
      <c r="C4346">
        <v>2026</v>
      </c>
      <c r="D4346">
        <v>3</v>
      </c>
      <c r="E4346" s="2" t="s">
        <v>106</v>
      </c>
      <c r="F4346" s="2" t="s">
        <v>107</v>
      </c>
      <c r="G4346" s="2" t="s">
        <v>80</v>
      </c>
      <c r="H4346" s="2" t="s">
        <v>81</v>
      </c>
      <c r="I4346" s="2" t="s">
        <v>82</v>
      </c>
      <c r="J4346" s="2" t="s">
        <v>24</v>
      </c>
      <c r="K4346">
        <v>0.22</v>
      </c>
      <c r="L4346">
        <v>8513963.25</v>
      </c>
      <c r="M4346">
        <v>3869983295.4499998</v>
      </c>
      <c r="N4346" s="2" t="s">
        <v>108</v>
      </c>
      <c r="O4346" s="2" t="s">
        <v>109</v>
      </c>
      <c r="P4346" s="2" t="s">
        <v>514</v>
      </c>
      <c r="Q4346" s="2" t="s">
        <v>7458</v>
      </c>
      <c r="R4346" s="2" t="s">
        <v>29</v>
      </c>
      <c r="S4346" s="2" t="s">
        <v>30</v>
      </c>
    </row>
    <row r="4347" spans="1:19">
      <c r="A4347" s="1">
        <v>46082</v>
      </c>
      <c r="B4347" s="1">
        <v>46082</v>
      </c>
      <c r="C4347">
        <v>2026</v>
      </c>
      <c r="D4347">
        <v>3</v>
      </c>
      <c r="E4347" s="2" t="s">
        <v>111</v>
      </c>
      <c r="F4347" s="2" t="s">
        <v>112</v>
      </c>
      <c r="G4347" s="2" t="s">
        <v>80</v>
      </c>
      <c r="H4347" s="2" t="s">
        <v>81</v>
      </c>
      <c r="I4347" s="2" t="s">
        <v>82</v>
      </c>
      <c r="J4347" s="2" t="s">
        <v>24</v>
      </c>
      <c r="K4347">
        <v>0.17</v>
      </c>
      <c r="L4347">
        <v>1264482.1100000001</v>
      </c>
      <c r="M4347">
        <v>743813005.88</v>
      </c>
      <c r="N4347" s="2" t="s">
        <v>113</v>
      </c>
      <c r="O4347" s="2" t="s">
        <v>114</v>
      </c>
      <c r="P4347" s="2" t="s">
        <v>169</v>
      </c>
      <c r="Q4347" s="2" t="s">
        <v>7459</v>
      </c>
      <c r="R4347" s="2" t="s">
        <v>29</v>
      </c>
      <c r="S4347" s="2" t="s">
        <v>30</v>
      </c>
    </row>
    <row r="4348" spans="1:19">
      <c r="A4348" s="1">
        <v>46082</v>
      </c>
      <c r="B4348" s="1">
        <v>46082</v>
      </c>
      <c r="C4348">
        <v>2026</v>
      </c>
      <c r="D4348">
        <v>3</v>
      </c>
      <c r="E4348" s="2" t="s">
        <v>117</v>
      </c>
      <c r="F4348" s="2" t="s">
        <v>118</v>
      </c>
      <c r="G4348" s="2" t="s">
        <v>80</v>
      </c>
      <c r="H4348" s="2" t="s">
        <v>81</v>
      </c>
      <c r="I4348" s="2" t="s">
        <v>82</v>
      </c>
      <c r="J4348" s="2" t="s">
        <v>59</v>
      </c>
      <c r="K4348">
        <v>4.4400000000000004</v>
      </c>
      <c r="L4348">
        <v>30819254.48</v>
      </c>
      <c r="M4348">
        <v>694127353.14999998</v>
      </c>
      <c r="N4348" s="2" t="s">
        <v>119</v>
      </c>
      <c r="O4348" s="2" t="s">
        <v>120</v>
      </c>
      <c r="P4348" s="2" t="s">
        <v>2661</v>
      </c>
      <c r="Q4348" s="2" t="s">
        <v>7460</v>
      </c>
      <c r="R4348" s="2" t="s">
        <v>29</v>
      </c>
      <c r="S4348" s="2" t="s">
        <v>30</v>
      </c>
    </row>
    <row r="4349" spans="1:19">
      <c r="A4349" s="1">
        <v>46082</v>
      </c>
      <c r="B4349" s="1">
        <v>46082</v>
      </c>
      <c r="C4349">
        <v>2026</v>
      </c>
      <c r="D4349">
        <v>3</v>
      </c>
      <c r="E4349" s="2" t="s">
        <v>123</v>
      </c>
      <c r="F4349" s="2" t="s">
        <v>124</v>
      </c>
      <c r="G4349" s="2" t="s">
        <v>21</v>
      </c>
      <c r="H4349" s="2" t="s">
        <v>22</v>
      </c>
      <c r="I4349" s="2" t="s">
        <v>73</v>
      </c>
      <c r="J4349" s="2" t="s">
        <v>24</v>
      </c>
      <c r="K4349">
        <v>2934.41</v>
      </c>
      <c r="L4349">
        <v>141024.24</v>
      </c>
      <c r="M4349">
        <v>4805.88</v>
      </c>
      <c r="N4349" s="2" t="s">
        <v>125</v>
      </c>
      <c r="O4349" s="2" t="s">
        <v>126</v>
      </c>
      <c r="P4349" s="2" t="s">
        <v>7461</v>
      </c>
      <c r="Q4349" s="2" t="s">
        <v>7462</v>
      </c>
      <c r="R4349" s="2" t="s">
        <v>29</v>
      </c>
      <c r="S4349" s="2" t="s">
        <v>30</v>
      </c>
    </row>
    <row r="4350" spans="1:19">
      <c r="A4350" s="1">
        <v>46082</v>
      </c>
      <c r="B4350" s="1">
        <v>46082</v>
      </c>
      <c r="C4350">
        <v>2026</v>
      </c>
      <c r="D4350">
        <v>3</v>
      </c>
      <c r="E4350" s="2" t="s">
        <v>129</v>
      </c>
      <c r="F4350" s="2" t="s">
        <v>130</v>
      </c>
      <c r="G4350" s="2" t="s">
        <v>21</v>
      </c>
      <c r="H4350" s="2" t="s">
        <v>22</v>
      </c>
      <c r="I4350" s="2" t="s">
        <v>73</v>
      </c>
      <c r="J4350" s="2" t="s">
        <v>24</v>
      </c>
      <c r="K4350">
        <v>2840.35</v>
      </c>
      <c r="L4350">
        <v>78470.45</v>
      </c>
      <c r="M4350">
        <v>2762.7</v>
      </c>
      <c r="N4350" s="2" t="s">
        <v>131</v>
      </c>
      <c r="O4350" s="2" t="s">
        <v>132</v>
      </c>
      <c r="P4350" s="2" t="s">
        <v>7463</v>
      </c>
      <c r="Q4350" s="2" t="s">
        <v>7464</v>
      </c>
      <c r="R4350" s="2" t="s">
        <v>29</v>
      </c>
      <c r="S4350" s="2" t="s">
        <v>30</v>
      </c>
    </row>
    <row r="4351" spans="1:19">
      <c r="A4351" s="1">
        <v>46082</v>
      </c>
      <c r="B4351" s="1">
        <v>46082</v>
      </c>
      <c r="C4351">
        <v>2026</v>
      </c>
      <c r="D4351">
        <v>3</v>
      </c>
      <c r="E4351" s="2" t="s">
        <v>135</v>
      </c>
      <c r="F4351" s="2" t="s">
        <v>136</v>
      </c>
      <c r="G4351" s="2" t="s">
        <v>21</v>
      </c>
      <c r="H4351" s="2" t="s">
        <v>22</v>
      </c>
      <c r="I4351" s="2" t="s">
        <v>73</v>
      </c>
      <c r="J4351" s="2" t="s">
        <v>101</v>
      </c>
      <c r="K4351">
        <v>5774.77</v>
      </c>
      <c r="L4351">
        <v>219494.69</v>
      </c>
      <c r="M4351">
        <v>3800.93</v>
      </c>
      <c r="N4351" s="2" t="s">
        <v>137</v>
      </c>
      <c r="O4351" s="2" t="s">
        <v>138</v>
      </c>
      <c r="P4351" s="2" t="s">
        <v>7465</v>
      </c>
      <c r="Q4351" s="2" t="s">
        <v>7466</v>
      </c>
      <c r="R4351" s="2" t="s">
        <v>29</v>
      </c>
      <c r="S4351" s="2" t="s">
        <v>30</v>
      </c>
    </row>
    <row r="4352" spans="1:19">
      <c r="A4352" s="1">
        <v>46082</v>
      </c>
      <c r="B4352" s="1">
        <v>46082</v>
      </c>
      <c r="C4352">
        <v>2026</v>
      </c>
      <c r="D4352">
        <v>3</v>
      </c>
      <c r="E4352" s="2" t="s">
        <v>141</v>
      </c>
      <c r="F4352" s="2" t="s">
        <v>142</v>
      </c>
      <c r="G4352" s="2" t="s">
        <v>21</v>
      </c>
      <c r="H4352" s="2" t="s">
        <v>22</v>
      </c>
      <c r="I4352" s="2" t="s">
        <v>73</v>
      </c>
      <c r="J4352" s="2" t="s">
        <v>24</v>
      </c>
      <c r="K4352">
        <v>263.85000000000002</v>
      </c>
      <c r="L4352">
        <v>13601.94</v>
      </c>
      <c r="M4352">
        <v>5155.18</v>
      </c>
      <c r="N4352" s="2" t="s">
        <v>143</v>
      </c>
      <c r="O4352" s="2" t="s">
        <v>144</v>
      </c>
      <c r="P4352" s="2" t="s">
        <v>7467</v>
      </c>
      <c r="Q4352" s="2" t="s">
        <v>7468</v>
      </c>
      <c r="R4352" s="2" t="s">
        <v>29</v>
      </c>
      <c r="S4352" s="2" t="s">
        <v>30</v>
      </c>
    </row>
    <row r="4353" spans="1:19">
      <c r="A4353" s="1">
        <v>46082</v>
      </c>
      <c r="B4353" s="1">
        <v>46082</v>
      </c>
      <c r="C4353">
        <v>2026</v>
      </c>
      <c r="D4353">
        <v>3</v>
      </c>
      <c r="E4353" s="2" t="s">
        <v>147</v>
      </c>
      <c r="F4353" s="2" t="s">
        <v>148</v>
      </c>
      <c r="G4353" s="2" t="s">
        <v>21</v>
      </c>
      <c r="H4353" s="2" t="s">
        <v>22</v>
      </c>
      <c r="I4353" s="2" t="s">
        <v>73</v>
      </c>
      <c r="J4353" s="2" t="s">
        <v>24</v>
      </c>
      <c r="K4353">
        <v>749.32</v>
      </c>
      <c r="L4353">
        <v>24346.45</v>
      </c>
      <c r="M4353">
        <v>3249.14</v>
      </c>
      <c r="N4353" s="2" t="s">
        <v>149</v>
      </c>
      <c r="O4353" s="2" t="s">
        <v>150</v>
      </c>
      <c r="P4353" s="2" t="s">
        <v>7469</v>
      </c>
      <c r="Q4353" s="2" t="s">
        <v>7470</v>
      </c>
      <c r="R4353" s="2" t="s">
        <v>29</v>
      </c>
      <c r="S4353" s="2" t="s">
        <v>30</v>
      </c>
    </row>
    <row r="4354" spans="1:19">
      <c r="A4354" s="1">
        <v>46082</v>
      </c>
      <c r="B4354" s="1">
        <v>46082</v>
      </c>
      <c r="C4354">
        <v>2026</v>
      </c>
      <c r="D4354">
        <v>3</v>
      </c>
      <c r="E4354" s="2" t="s">
        <v>153</v>
      </c>
      <c r="F4354" s="2" t="s">
        <v>154</v>
      </c>
      <c r="G4354" s="2" t="s">
        <v>21</v>
      </c>
      <c r="H4354" s="2" t="s">
        <v>22</v>
      </c>
      <c r="I4354" s="2" t="s">
        <v>73</v>
      </c>
      <c r="J4354" s="2" t="s">
        <v>101</v>
      </c>
      <c r="K4354">
        <v>1013.17</v>
      </c>
      <c r="L4354">
        <v>37948.39</v>
      </c>
      <c r="M4354">
        <v>3745.51</v>
      </c>
      <c r="N4354" s="2" t="s">
        <v>155</v>
      </c>
      <c r="O4354" s="2" t="s">
        <v>156</v>
      </c>
      <c r="P4354" s="2" t="s">
        <v>7471</v>
      </c>
      <c r="Q4354" s="2" t="s">
        <v>7472</v>
      </c>
      <c r="R4354" s="2" t="s">
        <v>29</v>
      </c>
      <c r="S4354" s="2" t="s">
        <v>30</v>
      </c>
    </row>
    <row r="4355" spans="1:19">
      <c r="A4355" s="1">
        <v>46082</v>
      </c>
      <c r="B4355" s="1">
        <v>46082</v>
      </c>
      <c r="C4355">
        <v>2026</v>
      </c>
      <c r="D4355">
        <v>3</v>
      </c>
      <c r="E4355" s="2" t="s">
        <v>159</v>
      </c>
      <c r="F4355" s="2" t="s">
        <v>160</v>
      </c>
      <c r="G4355" s="2" t="s">
        <v>21</v>
      </c>
      <c r="H4355" s="2" t="s">
        <v>22</v>
      </c>
      <c r="I4355" s="2" t="s">
        <v>66</v>
      </c>
      <c r="J4355" s="2" t="s">
        <v>59</v>
      </c>
      <c r="K4355">
        <v>2075.65</v>
      </c>
      <c r="L4355">
        <v>257724.32</v>
      </c>
      <c r="M4355">
        <v>12416.56</v>
      </c>
      <c r="N4355" s="2" t="s">
        <v>161</v>
      </c>
      <c r="O4355" s="2" t="s">
        <v>162</v>
      </c>
      <c r="P4355" s="2" t="s">
        <v>7473</v>
      </c>
      <c r="Q4355" s="2" t="s">
        <v>7474</v>
      </c>
      <c r="R4355" s="2" t="s">
        <v>29</v>
      </c>
      <c r="S4355" s="2" t="s">
        <v>30</v>
      </c>
    </row>
    <row r="4356" spans="1:19">
      <c r="A4356" s="1">
        <v>46082</v>
      </c>
      <c r="B4356" s="1">
        <v>46082</v>
      </c>
      <c r="C4356">
        <v>2026</v>
      </c>
      <c r="D4356">
        <v>3</v>
      </c>
      <c r="E4356" s="2" t="s">
        <v>165</v>
      </c>
      <c r="F4356" s="2" t="s">
        <v>166</v>
      </c>
      <c r="G4356" s="2" t="s">
        <v>21</v>
      </c>
      <c r="H4356" s="2" t="s">
        <v>22</v>
      </c>
      <c r="I4356" s="2" t="s">
        <v>23</v>
      </c>
      <c r="J4356" s="2" t="s">
        <v>24</v>
      </c>
      <c r="N4356" s="2" t="s">
        <v>167</v>
      </c>
      <c r="O4356" s="2" t="s">
        <v>168</v>
      </c>
      <c r="P4356" s="2" t="s">
        <v>175</v>
      </c>
      <c r="Q4356" s="2" t="s">
        <v>175</v>
      </c>
      <c r="R4356" s="2" t="s">
        <v>640</v>
      </c>
      <c r="S4356" s="2" t="s">
        <v>641</v>
      </c>
    </row>
    <row r="4357" spans="1:19">
      <c r="A4357" s="1">
        <v>46082</v>
      </c>
      <c r="B4357" s="1">
        <v>46082</v>
      </c>
      <c r="C4357">
        <v>2026</v>
      </c>
      <c r="D4357">
        <v>3</v>
      </c>
      <c r="E4357" s="2" t="s">
        <v>171</v>
      </c>
      <c r="F4357" s="2" t="s">
        <v>172</v>
      </c>
      <c r="G4357" s="2" t="s">
        <v>21</v>
      </c>
      <c r="H4357" s="2" t="s">
        <v>22</v>
      </c>
      <c r="I4357" s="2" t="s">
        <v>66</v>
      </c>
      <c r="J4357" s="2" t="s">
        <v>24</v>
      </c>
      <c r="N4357" s="2" t="s">
        <v>173</v>
      </c>
      <c r="O4357" s="2" t="s">
        <v>174</v>
      </c>
      <c r="P4357" s="2" t="s">
        <v>175</v>
      </c>
      <c r="Q4357" s="2" t="s">
        <v>175</v>
      </c>
      <c r="R4357" s="2" t="s">
        <v>640</v>
      </c>
      <c r="S4357" s="2" t="s">
        <v>641</v>
      </c>
    </row>
    <row r="4358" spans="1:19">
      <c r="A4358" s="1">
        <v>46082</v>
      </c>
      <c r="B4358" s="1">
        <v>46082</v>
      </c>
      <c r="C4358">
        <v>2026</v>
      </c>
      <c r="D4358">
        <v>3</v>
      </c>
      <c r="E4358" s="2" t="s">
        <v>177</v>
      </c>
      <c r="F4358" s="2" t="s">
        <v>178</v>
      </c>
      <c r="G4358" s="2" t="s">
        <v>21</v>
      </c>
      <c r="H4358" s="2" t="s">
        <v>22</v>
      </c>
      <c r="I4358" s="2" t="s">
        <v>23</v>
      </c>
      <c r="J4358" s="2" t="s">
        <v>24</v>
      </c>
      <c r="K4358">
        <v>3656.79</v>
      </c>
      <c r="L4358">
        <v>740176.18</v>
      </c>
      <c r="M4358">
        <v>20241.150000000001</v>
      </c>
      <c r="N4358" s="2" t="s">
        <v>179</v>
      </c>
      <c r="O4358" s="2" t="s">
        <v>180</v>
      </c>
      <c r="P4358" s="2" t="s">
        <v>7475</v>
      </c>
      <c r="Q4358" s="2" t="s">
        <v>7476</v>
      </c>
      <c r="R4358" s="2" t="s">
        <v>29</v>
      </c>
      <c r="S4358" s="2" t="s">
        <v>30</v>
      </c>
    </row>
    <row r="4359" spans="1:19">
      <c r="A4359" s="1">
        <v>46082</v>
      </c>
      <c r="B4359" s="1">
        <v>46082</v>
      </c>
      <c r="C4359">
        <v>2026</v>
      </c>
      <c r="D4359">
        <v>3</v>
      </c>
      <c r="E4359" s="2" t="s">
        <v>183</v>
      </c>
      <c r="F4359" s="2" t="s">
        <v>184</v>
      </c>
      <c r="G4359" s="2" t="s">
        <v>185</v>
      </c>
      <c r="H4359" s="2" t="s">
        <v>22</v>
      </c>
      <c r="I4359" s="2" t="s">
        <v>186</v>
      </c>
      <c r="J4359" s="2" t="s">
        <v>24</v>
      </c>
      <c r="K4359">
        <v>2980.72</v>
      </c>
      <c r="L4359">
        <v>7982707.6299999999</v>
      </c>
      <c r="M4359">
        <v>267811.39</v>
      </c>
      <c r="N4359" s="2" t="s">
        <v>187</v>
      </c>
      <c r="O4359" s="2" t="s">
        <v>188</v>
      </c>
      <c r="P4359" s="2" t="s">
        <v>7477</v>
      </c>
      <c r="Q4359" s="2" t="s">
        <v>7478</v>
      </c>
      <c r="R4359" s="2" t="s">
        <v>29</v>
      </c>
      <c r="S4359" s="2" t="s">
        <v>30</v>
      </c>
    </row>
    <row r="4360" spans="1:19">
      <c r="A4360" s="1">
        <v>46082</v>
      </c>
      <c r="B4360" s="1">
        <v>46082</v>
      </c>
      <c r="C4360">
        <v>2026</v>
      </c>
      <c r="D4360">
        <v>3</v>
      </c>
      <c r="E4360" s="2" t="s">
        <v>191</v>
      </c>
      <c r="F4360" s="2" t="s">
        <v>192</v>
      </c>
      <c r="G4360" s="2" t="s">
        <v>185</v>
      </c>
      <c r="H4360" s="2" t="s">
        <v>22</v>
      </c>
      <c r="I4360" s="2" t="s">
        <v>186</v>
      </c>
      <c r="J4360" s="2" t="s">
        <v>24</v>
      </c>
      <c r="K4360">
        <v>888.88</v>
      </c>
      <c r="L4360">
        <v>8836592.3399999999</v>
      </c>
      <c r="M4360">
        <v>994126.58</v>
      </c>
      <c r="N4360" s="2" t="s">
        <v>193</v>
      </c>
      <c r="O4360" s="2" t="s">
        <v>194</v>
      </c>
      <c r="P4360" s="2" t="s">
        <v>2546</v>
      </c>
      <c r="Q4360" s="2" t="s">
        <v>7479</v>
      </c>
      <c r="R4360" s="2" t="s">
        <v>29</v>
      </c>
      <c r="S4360" s="2" t="s">
        <v>30</v>
      </c>
    </row>
    <row r="4361" spans="1:19">
      <c r="A4361" s="1">
        <v>46082</v>
      </c>
      <c r="B4361" s="1">
        <v>46082</v>
      </c>
      <c r="C4361">
        <v>2026</v>
      </c>
      <c r="D4361">
        <v>3</v>
      </c>
      <c r="E4361" s="2" t="s">
        <v>197</v>
      </c>
      <c r="F4361" s="2" t="s">
        <v>198</v>
      </c>
      <c r="G4361" s="2" t="s">
        <v>185</v>
      </c>
      <c r="H4361" s="2" t="s">
        <v>22</v>
      </c>
      <c r="I4361" s="2" t="s">
        <v>186</v>
      </c>
      <c r="J4361" s="2" t="s">
        <v>59</v>
      </c>
      <c r="K4361">
        <v>3869.61</v>
      </c>
      <c r="L4361">
        <v>16819299.969999999</v>
      </c>
      <c r="M4361">
        <v>434651.04</v>
      </c>
      <c r="N4361" s="2" t="s">
        <v>199</v>
      </c>
      <c r="O4361" s="2" t="s">
        <v>200</v>
      </c>
      <c r="P4361" s="2" t="s">
        <v>7480</v>
      </c>
      <c r="Q4361" s="2" t="s">
        <v>7481</v>
      </c>
      <c r="R4361" s="2" t="s">
        <v>29</v>
      </c>
      <c r="S4361" s="2" t="s">
        <v>30</v>
      </c>
    </row>
    <row r="4362" spans="1:19">
      <c r="A4362" s="1">
        <v>46082</v>
      </c>
      <c r="B4362" s="1">
        <v>46082</v>
      </c>
      <c r="C4362">
        <v>2026</v>
      </c>
      <c r="D4362">
        <v>3</v>
      </c>
      <c r="E4362" s="2" t="s">
        <v>203</v>
      </c>
      <c r="F4362" s="2" t="s">
        <v>204</v>
      </c>
      <c r="G4362" s="2" t="s">
        <v>39</v>
      </c>
      <c r="H4362" s="2" t="s">
        <v>22</v>
      </c>
      <c r="I4362" s="2" t="s">
        <v>40</v>
      </c>
      <c r="J4362" s="2" t="s">
        <v>24</v>
      </c>
      <c r="K4362">
        <v>1075.3699999999999</v>
      </c>
      <c r="L4362">
        <v>30528.57</v>
      </c>
      <c r="M4362">
        <v>2838.89</v>
      </c>
      <c r="N4362" s="2" t="s">
        <v>205</v>
      </c>
      <c r="O4362" s="2" t="s">
        <v>206</v>
      </c>
      <c r="P4362" s="2" t="s">
        <v>7482</v>
      </c>
      <c r="Q4362" s="2" t="s">
        <v>7483</v>
      </c>
      <c r="R4362" s="2" t="s">
        <v>29</v>
      </c>
      <c r="S4362" s="2" t="s">
        <v>30</v>
      </c>
    </row>
    <row r="4363" spans="1:19">
      <c r="A4363" s="1">
        <v>46082</v>
      </c>
      <c r="B4363" s="1">
        <v>46082</v>
      </c>
      <c r="C4363">
        <v>2026</v>
      </c>
      <c r="D4363">
        <v>3</v>
      </c>
      <c r="E4363" s="2" t="s">
        <v>209</v>
      </c>
      <c r="F4363" s="2" t="s">
        <v>210</v>
      </c>
      <c r="G4363" s="2" t="s">
        <v>39</v>
      </c>
      <c r="H4363" s="2" t="s">
        <v>22</v>
      </c>
      <c r="I4363" s="2" t="s">
        <v>40</v>
      </c>
      <c r="J4363" s="2" t="s">
        <v>59</v>
      </c>
      <c r="K4363">
        <v>1075.3699999999999</v>
      </c>
      <c r="L4363">
        <v>30528.57</v>
      </c>
      <c r="M4363">
        <v>2838.89</v>
      </c>
      <c r="N4363" s="2" t="s">
        <v>211</v>
      </c>
      <c r="O4363" s="2" t="s">
        <v>212</v>
      </c>
      <c r="P4363" s="2" t="s">
        <v>7482</v>
      </c>
      <c r="Q4363" s="2" t="s">
        <v>7483</v>
      </c>
      <c r="R4363" s="2" t="s">
        <v>29</v>
      </c>
      <c r="S4363" s="2" t="s">
        <v>30</v>
      </c>
    </row>
    <row r="4364" spans="1:19">
      <c r="A4364" s="1">
        <v>46082</v>
      </c>
      <c r="B4364" s="1">
        <v>46082</v>
      </c>
      <c r="C4364">
        <v>2026</v>
      </c>
      <c r="D4364">
        <v>3</v>
      </c>
      <c r="E4364" s="2" t="s">
        <v>213</v>
      </c>
      <c r="F4364" s="2" t="s">
        <v>214</v>
      </c>
      <c r="G4364" s="2" t="s">
        <v>185</v>
      </c>
      <c r="H4364" s="2" t="s">
        <v>22</v>
      </c>
      <c r="I4364" s="2" t="s">
        <v>215</v>
      </c>
      <c r="J4364" s="2" t="s">
        <v>24</v>
      </c>
      <c r="K4364">
        <v>198001.67</v>
      </c>
      <c r="L4364">
        <v>3622707.13</v>
      </c>
      <c r="M4364">
        <v>1829.63</v>
      </c>
      <c r="N4364" s="2" t="s">
        <v>216</v>
      </c>
      <c r="O4364" s="2" t="s">
        <v>217</v>
      </c>
      <c r="P4364" s="2" t="s">
        <v>7484</v>
      </c>
      <c r="Q4364" s="2" t="s">
        <v>7485</v>
      </c>
      <c r="R4364" s="2" t="s">
        <v>29</v>
      </c>
      <c r="S4364" s="2" t="s">
        <v>30</v>
      </c>
    </row>
    <row r="4365" spans="1:19">
      <c r="A4365" s="1">
        <v>46082</v>
      </c>
      <c r="B4365" s="1">
        <v>46082</v>
      </c>
      <c r="C4365">
        <v>2026</v>
      </c>
      <c r="D4365">
        <v>3</v>
      </c>
      <c r="E4365" s="2" t="s">
        <v>220</v>
      </c>
      <c r="F4365" s="2" t="s">
        <v>221</v>
      </c>
      <c r="G4365" s="2" t="s">
        <v>185</v>
      </c>
      <c r="H4365" s="2" t="s">
        <v>22</v>
      </c>
      <c r="I4365" s="2" t="s">
        <v>215</v>
      </c>
      <c r="J4365" s="2" t="s">
        <v>24</v>
      </c>
      <c r="K4365">
        <v>10802.29</v>
      </c>
      <c r="L4365">
        <v>764233.06</v>
      </c>
      <c r="M4365">
        <v>7074.73</v>
      </c>
      <c r="N4365" s="2" t="s">
        <v>222</v>
      </c>
      <c r="O4365" s="2" t="s">
        <v>223</v>
      </c>
      <c r="P4365" s="2" t="s">
        <v>7486</v>
      </c>
      <c r="Q4365" s="2" t="s">
        <v>7487</v>
      </c>
      <c r="R4365" s="2" t="s">
        <v>29</v>
      </c>
      <c r="S4365" s="2" t="s">
        <v>30</v>
      </c>
    </row>
    <row r="4366" spans="1:19">
      <c r="A4366" s="1">
        <v>46082</v>
      </c>
      <c r="B4366" s="1">
        <v>46082</v>
      </c>
      <c r="C4366">
        <v>2026</v>
      </c>
      <c r="D4366">
        <v>3</v>
      </c>
      <c r="E4366" s="2" t="s">
        <v>226</v>
      </c>
      <c r="F4366" s="2" t="s">
        <v>227</v>
      </c>
      <c r="G4366" s="2" t="s">
        <v>185</v>
      </c>
      <c r="H4366" s="2" t="s">
        <v>22</v>
      </c>
      <c r="I4366" s="2" t="s">
        <v>215</v>
      </c>
      <c r="J4366" s="2" t="s">
        <v>59</v>
      </c>
      <c r="K4366">
        <v>208803.96</v>
      </c>
      <c r="L4366">
        <v>4386940.2</v>
      </c>
      <c r="M4366">
        <v>2100.9899999999998</v>
      </c>
      <c r="N4366" s="2" t="s">
        <v>228</v>
      </c>
      <c r="O4366" s="2" t="s">
        <v>229</v>
      </c>
      <c r="P4366" s="2" t="s">
        <v>7488</v>
      </c>
      <c r="Q4366" s="2" t="s">
        <v>7489</v>
      </c>
      <c r="R4366" s="2" t="s">
        <v>29</v>
      </c>
      <c r="S4366" s="2" t="s">
        <v>30</v>
      </c>
    </row>
    <row r="4367" spans="1:19">
      <c r="A4367" s="1">
        <v>46082</v>
      </c>
      <c r="B4367" s="1">
        <v>46082</v>
      </c>
      <c r="C4367">
        <v>2026</v>
      </c>
      <c r="D4367">
        <v>3</v>
      </c>
      <c r="E4367" s="2" t="s">
        <v>232</v>
      </c>
      <c r="F4367" s="2" t="s">
        <v>233</v>
      </c>
      <c r="G4367" s="2" t="s">
        <v>21</v>
      </c>
      <c r="H4367" s="2" t="s">
        <v>22</v>
      </c>
      <c r="I4367" s="2" t="s">
        <v>23</v>
      </c>
      <c r="J4367" s="2" t="s">
        <v>24</v>
      </c>
      <c r="K4367">
        <v>1561.87</v>
      </c>
      <c r="L4367">
        <v>181678.12</v>
      </c>
      <c r="M4367">
        <v>11632.09</v>
      </c>
      <c r="N4367" s="2" t="s">
        <v>234</v>
      </c>
      <c r="O4367" s="2" t="s">
        <v>235</v>
      </c>
      <c r="P4367" s="2" t="s">
        <v>7490</v>
      </c>
      <c r="Q4367" s="2" t="s">
        <v>7491</v>
      </c>
      <c r="R4367" s="2" t="s">
        <v>29</v>
      </c>
      <c r="S4367" s="2" t="s">
        <v>30</v>
      </c>
    </row>
    <row r="4368" spans="1:19">
      <c r="A4368" s="1">
        <v>46082</v>
      </c>
      <c r="B4368" s="1">
        <v>46082</v>
      </c>
      <c r="C4368">
        <v>2026</v>
      </c>
      <c r="D4368">
        <v>3</v>
      </c>
      <c r="E4368" s="2" t="s">
        <v>238</v>
      </c>
      <c r="F4368" s="2" t="s">
        <v>239</v>
      </c>
      <c r="G4368" s="2" t="s">
        <v>21</v>
      </c>
      <c r="H4368" s="2" t="s">
        <v>22</v>
      </c>
      <c r="I4368" s="2" t="s">
        <v>66</v>
      </c>
      <c r="J4368" s="2" t="s">
        <v>24</v>
      </c>
      <c r="K4368">
        <v>1927.45</v>
      </c>
      <c r="L4368">
        <v>256743.8</v>
      </c>
      <c r="M4368">
        <v>13320.39</v>
      </c>
      <c r="N4368" s="2" t="s">
        <v>240</v>
      </c>
      <c r="O4368" s="2" t="s">
        <v>241</v>
      </c>
      <c r="P4368" s="2" t="s">
        <v>7492</v>
      </c>
      <c r="Q4368" s="2" t="s">
        <v>7493</v>
      </c>
      <c r="R4368" s="2" t="s">
        <v>29</v>
      </c>
      <c r="S4368" s="2" t="s">
        <v>30</v>
      </c>
    </row>
    <row r="4369" spans="1:19">
      <c r="A4369" s="1">
        <v>46082</v>
      </c>
      <c r="B4369" s="1">
        <v>46082</v>
      </c>
      <c r="C4369">
        <v>2026</v>
      </c>
      <c r="D4369">
        <v>3</v>
      </c>
      <c r="E4369" s="2" t="s">
        <v>244</v>
      </c>
      <c r="F4369" s="2" t="s">
        <v>245</v>
      </c>
      <c r="G4369" s="2" t="s">
        <v>21</v>
      </c>
      <c r="H4369" s="2" t="s">
        <v>22</v>
      </c>
      <c r="I4369" s="2" t="s">
        <v>23</v>
      </c>
      <c r="J4369" s="2" t="s">
        <v>24</v>
      </c>
      <c r="K4369">
        <v>9390.43</v>
      </c>
      <c r="L4369">
        <v>5661604.25</v>
      </c>
      <c r="M4369">
        <v>60291.21</v>
      </c>
      <c r="N4369" s="2" t="s">
        <v>246</v>
      </c>
      <c r="O4369" s="2" t="s">
        <v>247</v>
      </c>
      <c r="P4369" s="2" t="s">
        <v>7494</v>
      </c>
      <c r="Q4369" s="2" t="s">
        <v>7495</v>
      </c>
      <c r="R4369" s="2" t="s">
        <v>29</v>
      </c>
      <c r="S4369" s="2" t="s">
        <v>30</v>
      </c>
    </row>
    <row r="4370" spans="1:19">
      <c r="A4370" s="1">
        <v>46082</v>
      </c>
      <c r="B4370" s="1">
        <v>46082</v>
      </c>
      <c r="C4370">
        <v>2026</v>
      </c>
      <c r="D4370">
        <v>3</v>
      </c>
      <c r="E4370" s="2" t="s">
        <v>250</v>
      </c>
      <c r="F4370" s="2" t="s">
        <v>251</v>
      </c>
      <c r="G4370" s="2" t="s">
        <v>21</v>
      </c>
      <c r="H4370" s="2" t="s">
        <v>22</v>
      </c>
      <c r="I4370" s="2" t="s">
        <v>66</v>
      </c>
      <c r="J4370" s="2" t="s">
        <v>24</v>
      </c>
      <c r="K4370">
        <v>127.21</v>
      </c>
      <c r="L4370">
        <v>180.36</v>
      </c>
      <c r="M4370">
        <v>141.78</v>
      </c>
      <c r="N4370" s="2" t="s">
        <v>252</v>
      </c>
      <c r="O4370" s="2" t="s">
        <v>253</v>
      </c>
      <c r="P4370" s="2" t="s">
        <v>7496</v>
      </c>
      <c r="Q4370" s="2" t="s">
        <v>7497</v>
      </c>
      <c r="R4370" s="2" t="s">
        <v>29</v>
      </c>
      <c r="S4370" s="2" t="s">
        <v>30</v>
      </c>
    </row>
    <row r="4371" spans="1:19">
      <c r="A4371" s="1">
        <v>46082</v>
      </c>
      <c r="B4371" s="1">
        <v>46082</v>
      </c>
      <c r="C4371">
        <v>2026</v>
      </c>
      <c r="D4371">
        <v>3</v>
      </c>
      <c r="E4371" s="2" t="s">
        <v>256</v>
      </c>
      <c r="F4371" s="2" t="s">
        <v>257</v>
      </c>
      <c r="G4371" s="2" t="s">
        <v>21</v>
      </c>
      <c r="H4371" s="2" t="s">
        <v>22</v>
      </c>
      <c r="I4371" s="2" t="s">
        <v>258</v>
      </c>
      <c r="J4371" s="2" t="s">
        <v>24</v>
      </c>
      <c r="K4371">
        <v>491.89</v>
      </c>
      <c r="L4371">
        <v>691723</v>
      </c>
      <c r="M4371">
        <v>140625.54999999999</v>
      </c>
      <c r="N4371" s="2" t="s">
        <v>259</v>
      </c>
      <c r="O4371" s="2" t="s">
        <v>260</v>
      </c>
      <c r="P4371" s="2" t="s">
        <v>7498</v>
      </c>
      <c r="Q4371" s="2" t="s">
        <v>7499</v>
      </c>
      <c r="R4371" s="2" t="s">
        <v>29</v>
      </c>
      <c r="S4371" s="2" t="s">
        <v>30</v>
      </c>
    </row>
    <row r="4372" spans="1:19">
      <c r="A4372" s="1">
        <v>46082</v>
      </c>
      <c r="B4372" s="1">
        <v>46082</v>
      </c>
      <c r="C4372">
        <v>2026</v>
      </c>
      <c r="D4372">
        <v>3</v>
      </c>
      <c r="E4372" s="2" t="s">
        <v>263</v>
      </c>
      <c r="F4372" s="2" t="s">
        <v>264</v>
      </c>
      <c r="G4372" s="2" t="s">
        <v>21</v>
      </c>
      <c r="H4372" s="2" t="s">
        <v>22</v>
      </c>
      <c r="I4372" s="2" t="s">
        <v>258</v>
      </c>
      <c r="J4372" s="2" t="s">
        <v>24</v>
      </c>
      <c r="K4372">
        <v>0</v>
      </c>
      <c r="L4372">
        <v>0</v>
      </c>
      <c r="N4372" s="2" t="s">
        <v>265</v>
      </c>
      <c r="O4372" s="2" t="s">
        <v>266</v>
      </c>
      <c r="P4372" s="2" t="s">
        <v>639</v>
      </c>
      <c r="Q4372" s="2" t="s">
        <v>639</v>
      </c>
      <c r="R4372" s="2" t="s">
        <v>29</v>
      </c>
      <c r="S4372" s="2" t="s">
        <v>30</v>
      </c>
    </row>
    <row r="4373" spans="1:19">
      <c r="A4373" s="1">
        <v>46082</v>
      </c>
      <c r="B4373" s="1">
        <v>46082</v>
      </c>
      <c r="C4373">
        <v>2026</v>
      </c>
      <c r="D4373">
        <v>3</v>
      </c>
      <c r="E4373" s="2" t="s">
        <v>269</v>
      </c>
      <c r="F4373" s="2" t="s">
        <v>270</v>
      </c>
      <c r="G4373" s="2" t="s">
        <v>21</v>
      </c>
      <c r="H4373" s="2" t="s">
        <v>22</v>
      </c>
      <c r="I4373" s="2" t="s">
        <v>258</v>
      </c>
      <c r="J4373" s="2" t="s">
        <v>59</v>
      </c>
      <c r="K4373">
        <v>491.89</v>
      </c>
      <c r="L4373">
        <v>691723</v>
      </c>
      <c r="M4373">
        <v>140625.54999999999</v>
      </c>
      <c r="N4373" s="2" t="s">
        <v>271</v>
      </c>
      <c r="O4373" s="2" t="s">
        <v>272</v>
      </c>
      <c r="P4373" s="2" t="s">
        <v>7498</v>
      </c>
      <c r="Q4373" s="2" t="s">
        <v>7499</v>
      </c>
      <c r="R4373" s="2" t="s">
        <v>29</v>
      </c>
      <c r="S4373" s="2" t="s">
        <v>30</v>
      </c>
    </row>
    <row r="4374" spans="1:19">
      <c r="A4374" s="1">
        <v>46082</v>
      </c>
      <c r="B4374" s="1">
        <v>46082</v>
      </c>
      <c r="C4374">
        <v>2026</v>
      </c>
      <c r="D4374">
        <v>3</v>
      </c>
      <c r="E4374" s="2" t="s">
        <v>275</v>
      </c>
      <c r="F4374" s="2" t="s">
        <v>276</v>
      </c>
      <c r="G4374" s="2" t="s">
        <v>39</v>
      </c>
      <c r="H4374" s="2" t="s">
        <v>22</v>
      </c>
      <c r="I4374" s="2" t="s">
        <v>40</v>
      </c>
      <c r="J4374" s="2" t="s">
        <v>24</v>
      </c>
      <c r="K4374">
        <v>0.1</v>
      </c>
      <c r="L4374">
        <v>1.7</v>
      </c>
      <c r="M4374">
        <v>1700</v>
      </c>
      <c r="N4374" s="2" t="s">
        <v>277</v>
      </c>
      <c r="O4374" s="2" t="s">
        <v>278</v>
      </c>
      <c r="P4374" s="2" t="s">
        <v>425</v>
      </c>
      <c r="Q4374" s="2" t="s">
        <v>7500</v>
      </c>
      <c r="R4374" s="2" t="s">
        <v>29</v>
      </c>
      <c r="S4374" s="2" t="s">
        <v>30</v>
      </c>
    </row>
    <row r="4375" spans="1:19">
      <c r="A4375" s="1">
        <v>46082</v>
      </c>
      <c r="B4375" s="1">
        <v>46082</v>
      </c>
      <c r="C4375">
        <v>2026</v>
      </c>
      <c r="D4375">
        <v>3</v>
      </c>
      <c r="E4375" s="2" t="s">
        <v>281</v>
      </c>
      <c r="F4375" s="2" t="s">
        <v>282</v>
      </c>
      <c r="G4375" s="2" t="s">
        <v>39</v>
      </c>
      <c r="H4375" s="2" t="s">
        <v>22</v>
      </c>
      <c r="I4375" s="2" t="s">
        <v>40</v>
      </c>
      <c r="J4375" s="2" t="s">
        <v>24</v>
      </c>
      <c r="K4375">
        <v>0.04</v>
      </c>
      <c r="L4375">
        <v>0.48</v>
      </c>
      <c r="M4375">
        <v>1200</v>
      </c>
      <c r="N4375" s="2" t="s">
        <v>283</v>
      </c>
      <c r="O4375" s="2" t="s">
        <v>284</v>
      </c>
      <c r="P4375" s="2" t="s">
        <v>115</v>
      </c>
      <c r="Q4375" s="2" t="s">
        <v>1545</v>
      </c>
      <c r="R4375" s="2" t="s">
        <v>29</v>
      </c>
      <c r="S4375" s="2" t="s">
        <v>30</v>
      </c>
    </row>
    <row r="4376" spans="1:19">
      <c r="A4376" s="1">
        <v>46082</v>
      </c>
      <c r="B4376" s="1">
        <v>46082</v>
      </c>
      <c r="C4376">
        <v>2026</v>
      </c>
      <c r="D4376">
        <v>3</v>
      </c>
      <c r="E4376" s="2" t="s">
        <v>287</v>
      </c>
      <c r="F4376" s="2" t="s">
        <v>288</v>
      </c>
      <c r="G4376" s="2" t="s">
        <v>39</v>
      </c>
      <c r="H4376" s="2" t="s">
        <v>22</v>
      </c>
      <c r="I4376" s="2" t="s">
        <v>40</v>
      </c>
      <c r="J4376" s="2" t="s">
        <v>59</v>
      </c>
      <c r="K4376">
        <v>0.14000000000000001</v>
      </c>
      <c r="L4376">
        <v>2.19</v>
      </c>
      <c r="M4376">
        <v>1564.29</v>
      </c>
      <c r="N4376" s="2" t="s">
        <v>289</v>
      </c>
      <c r="O4376" s="2" t="s">
        <v>290</v>
      </c>
      <c r="P4376" s="2" t="s">
        <v>1187</v>
      </c>
      <c r="Q4376" s="2" t="s">
        <v>3049</v>
      </c>
      <c r="R4376" s="2" t="s">
        <v>29</v>
      </c>
      <c r="S4376" s="2" t="s">
        <v>30</v>
      </c>
    </row>
    <row r="4377" spans="1:19">
      <c r="A4377" s="1">
        <v>46082</v>
      </c>
      <c r="B4377" s="1">
        <v>46082</v>
      </c>
      <c r="C4377">
        <v>2026</v>
      </c>
      <c r="D4377">
        <v>3</v>
      </c>
      <c r="E4377" s="2" t="s">
        <v>293</v>
      </c>
      <c r="F4377" s="2" t="s">
        <v>294</v>
      </c>
      <c r="G4377" s="2" t="s">
        <v>21</v>
      </c>
      <c r="H4377" s="2" t="s">
        <v>22</v>
      </c>
      <c r="I4377" s="2" t="s">
        <v>295</v>
      </c>
      <c r="J4377" s="2" t="s">
        <v>24</v>
      </c>
      <c r="K4377">
        <v>994.59</v>
      </c>
      <c r="L4377">
        <v>4771.49</v>
      </c>
      <c r="M4377">
        <v>479.74</v>
      </c>
      <c r="N4377" s="2" t="s">
        <v>296</v>
      </c>
      <c r="O4377" s="2" t="s">
        <v>297</v>
      </c>
      <c r="P4377" s="2" t="s">
        <v>7501</v>
      </c>
      <c r="Q4377" s="2" t="s">
        <v>7502</v>
      </c>
      <c r="R4377" s="2" t="s">
        <v>29</v>
      </c>
      <c r="S4377" s="2" t="s">
        <v>30</v>
      </c>
    </row>
    <row r="4378" spans="1:19">
      <c r="A4378" s="1">
        <v>46082</v>
      </c>
      <c r="B4378" s="1">
        <v>46082</v>
      </c>
      <c r="C4378">
        <v>2026</v>
      </c>
      <c r="D4378">
        <v>3</v>
      </c>
      <c r="E4378" s="2" t="s">
        <v>300</v>
      </c>
      <c r="F4378" s="2" t="s">
        <v>301</v>
      </c>
      <c r="G4378" s="2" t="s">
        <v>21</v>
      </c>
      <c r="H4378" s="2" t="s">
        <v>22</v>
      </c>
      <c r="I4378" s="2" t="s">
        <v>295</v>
      </c>
      <c r="J4378" s="2" t="s">
        <v>24</v>
      </c>
      <c r="K4378">
        <v>795.76</v>
      </c>
      <c r="L4378">
        <v>1342.69</v>
      </c>
      <c r="M4378">
        <v>168.73</v>
      </c>
      <c r="N4378" s="2" t="s">
        <v>302</v>
      </c>
      <c r="O4378" s="2" t="s">
        <v>303</v>
      </c>
      <c r="P4378" s="2" t="s">
        <v>7503</v>
      </c>
      <c r="Q4378" s="2" t="s">
        <v>7504</v>
      </c>
      <c r="R4378" s="2" t="s">
        <v>29</v>
      </c>
      <c r="S4378" s="2" t="s">
        <v>30</v>
      </c>
    </row>
    <row r="4379" spans="1:19">
      <c r="A4379" s="1">
        <v>46082</v>
      </c>
      <c r="B4379" s="1">
        <v>46082</v>
      </c>
      <c r="C4379">
        <v>2026</v>
      </c>
      <c r="D4379">
        <v>3</v>
      </c>
      <c r="E4379" s="2" t="s">
        <v>306</v>
      </c>
      <c r="F4379" s="2" t="s">
        <v>307</v>
      </c>
      <c r="G4379" s="2" t="s">
        <v>21</v>
      </c>
      <c r="H4379" s="2" t="s">
        <v>22</v>
      </c>
      <c r="I4379" s="2" t="s">
        <v>295</v>
      </c>
      <c r="J4379" s="2" t="s">
        <v>101</v>
      </c>
      <c r="K4379">
        <v>1790.35</v>
      </c>
      <c r="L4379">
        <v>6114.18</v>
      </c>
      <c r="M4379">
        <v>341.51</v>
      </c>
      <c r="N4379" s="2" t="s">
        <v>308</v>
      </c>
      <c r="O4379" s="2" t="s">
        <v>309</v>
      </c>
      <c r="P4379" s="2" t="s">
        <v>7505</v>
      </c>
      <c r="Q4379" s="2" t="s">
        <v>7506</v>
      </c>
      <c r="R4379" s="2" t="s">
        <v>29</v>
      </c>
      <c r="S4379" s="2" t="s">
        <v>30</v>
      </c>
    </row>
    <row r="4380" spans="1:19">
      <c r="A4380" s="1">
        <v>46082</v>
      </c>
      <c r="B4380" s="1">
        <v>46082</v>
      </c>
      <c r="C4380">
        <v>2026</v>
      </c>
      <c r="D4380">
        <v>3</v>
      </c>
      <c r="E4380" s="2" t="s">
        <v>312</v>
      </c>
      <c r="F4380" s="2" t="s">
        <v>313</v>
      </c>
      <c r="G4380" s="2" t="s">
        <v>21</v>
      </c>
      <c r="H4380" s="2" t="s">
        <v>22</v>
      </c>
      <c r="I4380" s="2" t="s">
        <v>295</v>
      </c>
      <c r="J4380" s="2" t="s">
        <v>59</v>
      </c>
      <c r="K4380">
        <v>8749.6299999999992</v>
      </c>
      <c r="L4380">
        <v>28562.52</v>
      </c>
      <c r="M4380">
        <v>326.44</v>
      </c>
      <c r="N4380" s="2" t="s">
        <v>314</v>
      </c>
      <c r="O4380" s="2" t="s">
        <v>315</v>
      </c>
      <c r="P4380" s="2" t="s">
        <v>7507</v>
      </c>
      <c r="Q4380" s="2" t="s">
        <v>7508</v>
      </c>
      <c r="R4380" s="2" t="s">
        <v>29</v>
      </c>
      <c r="S4380" s="2" t="s">
        <v>30</v>
      </c>
    </row>
    <row r="4381" spans="1:19">
      <c r="A4381" s="1">
        <v>46082</v>
      </c>
      <c r="B4381" s="1">
        <v>46082</v>
      </c>
      <c r="C4381">
        <v>2026</v>
      </c>
      <c r="D4381">
        <v>3</v>
      </c>
      <c r="E4381" s="2" t="s">
        <v>318</v>
      </c>
      <c r="F4381" s="2" t="s">
        <v>319</v>
      </c>
      <c r="G4381" s="2" t="s">
        <v>21</v>
      </c>
      <c r="H4381" s="2" t="s">
        <v>22</v>
      </c>
      <c r="I4381" s="2" t="s">
        <v>295</v>
      </c>
      <c r="J4381" s="2" t="s">
        <v>24</v>
      </c>
      <c r="K4381">
        <v>6959.28</v>
      </c>
      <c r="L4381">
        <v>22448.34</v>
      </c>
      <c r="M4381">
        <v>322.57</v>
      </c>
      <c r="N4381" s="2" t="s">
        <v>320</v>
      </c>
      <c r="O4381" s="2" t="s">
        <v>321</v>
      </c>
      <c r="P4381" s="2" t="s">
        <v>7509</v>
      </c>
      <c r="Q4381" s="2" t="s">
        <v>7510</v>
      </c>
      <c r="R4381" s="2" t="s">
        <v>29</v>
      </c>
      <c r="S4381" s="2" t="s">
        <v>30</v>
      </c>
    </row>
    <row r="4382" spans="1:19">
      <c r="A4382" s="1">
        <v>46082</v>
      </c>
      <c r="B4382" s="1">
        <v>46082</v>
      </c>
      <c r="C4382">
        <v>2026</v>
      </c>
      <c r="D4382">
        <v>3</v>
      </c>
      <c r="E4382" s="2" t="s">
        <v>324</v>
      </c>
      <c r="F4382" s="2" t="s">
        <v>325</v>
      </c>
      <c r="G4382" s="2" t="s">
        <v>21</v>
      </c>
      <c r="H4382" s="2" t="s">
        <v>22</v>
      </c>
      <c r="I4382" s="2" t="s">
        <v>23</v>
      </c>
      <c r="J4382" s="2" t="s">
        <v>59</v>
      </c>
      <c r="K4382">
        <v>244356.27</v>
      </c>
      <c r="L4382">
        <v>9619672.7799999993</v>
      </c>
      <c r="M4382">
        <v>3936.74</v>
      </c>
      <c r="N4382" s="2" t="s">
        <v>326</v>
      </c>
      <c r="O4382" s="2" t="s">
        <v>327</v>
      </c>
      <c r="P4382" s="2" t="s">
        <v>7511</v>
      </c>
      <c r="Q4382" s="2" t="s">
        <v>7512</v>
      </c>
      <c r="R4382" s="2" t="s">
        <v>29</v>
      </c>
      <c r="S4382" s="2" t="s">
        <v>30</v>
      </c>
    </row>
    <row r="4383" spans="1:19">
      <c r="A4383" s="1">
        <v>46082</v>
      </c>
      <c r="B4383" s="1">
        <v>46082</v>
      </c>
      <c r="C4383">
        <v>2026</v>
      </c>
      <c r="D4383">
        <v>3</v>
      </c>
      <c r="E4383" s="2" t="s">
        <v>330</v>
      </c>
      <c r="F4383" s="2" t="s">
        <v>331</v>
      </c>
      <c r="G4383" s="2" t="s">
        <v>21</v>
      </c>
      <c r="H4383" s="2" t="s">
        <v>332</v>
      </c>
      <c r="I4383" s="2" t="s">
        <v>333</v>
      </c>
      <c r="J4383" s="2" t="s">
        <v>24</v>
      </c>
      <c r="K4383">
        <v>366.26</v>
      </c>
      <c r="L4383">
        <v>22131383.57</v>
      </c>
      <c r="M4383">
        <v>6042533.5999999996</v>
      </c>
      <c r="N4383" s="2" t="s">
        <v>334</v>
      </c>
      <c r="O4383" s="2" t="s">
        <v>335</v>
      </c>
      <c r="P4383" s="2" t="s">
        <v>7513</v>
      </c>
      <c r="Q4383" s="2" t="s">
        <v>7514</v>
      </c>
      <c r="R4383" s="2" t="s">
        <v>29</v>
      </c>
      <c r="S4383" s="2" t="s">
        <v>30</v>
      </c>
    </row>
    <row r="4384" spans="1:19">
      <c r="A4384" s="1">
        <v>46082</v>
      </c>
      <c r="B4384" s="1">
        <v>46082</v>
      </c>
      <c r="C4384">
        <v>2026</v>
      </c>
      <c r="D4384">
        <v>3</v>
      </c>
      <c r="E4384" s="2" t="s">
        <v>338</v>
      </c>
      <c r="F4384" s="2" t="s">
        <v>339</v>
      </c>
      <c r="G4384" s="2" t="s">
        <v>21</v>
      </c>
      <c r="H4384" s="2" t="s">
        <v>332</v>
      </c>
      <c r="I4384" s="2" t="s">
        <v>333</v>
      </c>
      <c r="J4384" s="2" t="s">
        <v>24</v>
      </c>
      <c r="K4384">
        <v>1.2</v>
      </c>
      <c r="L4384">
        <v>1627375.33</v>
      </c>
      <c r="M4384">
        <v>135614610.83000001</v>
      </c>
      <c r="N4384" s="2" t="s">
        <v>340</v>
      </c>
      <c r="O4384" s="2" t="s">
        <v>341</v>
      </c>
      <c r="P4384" s="2" t="s">
        <v>3533</v>
      </c>
      <c r="Q4384" s="2" t="s">
        <v>7515</v>
      </c>
      <c r="R4384" s="2" t="s">
        <v>29</v>
      </c>
      <c r="S4384" s="2" t="s">
        <v>30</v>
      </c>
    </row>
    <row r="4385" spans="1:19">
      <c r="A4385" s="1">
        <v>46082</v>
      </c>
      <c r="B4385" s="1">
        <v>46082</v>
      </c>
      <c r="C4385">
        <v>2026</v>
      </c>
      <c r="D4385">
        <v>3</v>
      </c>
      <c r="E4385" s="2" t="s">
        <v>344</v>
      </c>
      <c r="F4385" s="2" t="s">
        <v>345</v>
      </c>
      <c r="G4385" s="2" t="s">
        <v>21</v>
      </c>
      <c r="H4385" s="2" t="s">
        <v>332</v>
      </c>
      <c r="I4385" s="2" t="s">
        <v>333</v>
      </c>
      <c r="J4385" s="2" t="s">
        <v>59</v>
      </c>
      <c r="K4385">
        <v>367.45</v>
      </c>
      <c r="L4385">
        <v>23758758.899999999</v>
      </c>
      <c r="M4385">
        <v>6465848.1200000001</v>
      </c>
      <c r="N4385" s="2" t="s">
        <v>346</v>
      </c>
      <c r="O4385" s="2" t="s">
        <v>347</v>
      </c>
      <c r="P4385" s="2" t="s">
        <v>7516</v>
      </c>
      <c r="Q4385" s="2" t="s">
        <v>7517</v>
      </c>
      <c r="R4385" s="2" t="s">
        <v>29</v>
      </c>
      <c r="S4385" s="2" t="s">
        <v>30</v>
      </c>
    </row>
    <row r="4386" spans="1:19">
      <c r="A4386" s="1">
        <v>46082</v>
      </c>
      <c r="B4386" s="1">
        <v>46082</v>
      </c>
      <c r="C4386">
        <v>2026</v>
      </c>
      <c r="D4386">
        <v>3</v>
      </c>
      <c r="E4386" s="2" t="s">
        <v>350</v>
      </c>
      <c r="F4386" s="2" t="s">
        <v>351</v>
      </c>
      <c r="G4386" s="2" t="s">
        <v>21</v>
      </c>
      <c r="H4386" s="2" t="s">
        <v>22</v>
      </c>
      <c r="I4386" s="2" t="s">
        <v>352</v>
      </c>
      <c r="J4386" s="2" t="s">
        <v>353</v>
      </c>
      <c r="K4386">
        <v>262336.94</v>
      </c>
      <c r="L4386">
        <v>33922161.600000001</v>
      </c>
      <c r="M4386">
        <v>12930.76</v>
      </c>
      <c r="N4386" s="2" t="s">
        <v>354</v>
      </c>
      <c r="O4386" s="2" t="s">
        <v>355</v>
      </c>
      <c r="P4386" s="2" t="s">
        <v>7518</v>
      </c>
      <c r="Q4386" s="2" t="s">
        <v>7519</v>
      </c>
      <c r="R4386" s="2" t="s">
        <v>29</v>
      </c>
      <c r="S4386" s="2" t="s">
        <v>30</v>
      </c>
    </row>
    <row r="4387" spans="1:19">
      <c r="A4387" s="1">
        <v>46082</v>
      </c>
      <c r="B4387" s="1">
        <v>46082</v>
      </c>
      <c r="C4387">
        <v>2026</v>
      </c>
      <c r="D4387">
        <v>3</v>
      </c>
      <c r="E4387" s="2" t="s">
        <v>358</v>
      </c>
      <c r="F4387" s="2" t="s">
        <v>359</v>
      </c>
      <c r="G4387" s="2" t="s">
        <v>21</v>
      </c>
      <c r="H4387" s="2" t="s">
        <v>22</v>
      </c>
      <c r="I4387" s="2" t="s">
        <v>352</v>
      </c>
      <c r="J4387" s="2" t="s">
        <v>353</v>
      </c>
      <c r="K4387">
        <v>262828.83</v>
      </c>
      <c r="L4387">
        <v>34613884.600000001</v>
      </c>
      <c r="M4387">
        <v>13169.74</v>
      </c>
      <c r="N4387" s="2" t="s">
        <v>360</v>
      </c>
      <c r="O4387" s="2" t="s">
        <v>361</v>
      </c>
      <c r="P4387" s="2" t="s">
        <v>7520</v>
      </c>
      <c r="Q4387" s="2" t="s">
        <v>7521</v>
      </c>
      <c r="R4387" s="2" t="s">
        <v>29</v>
      </c>
      <c r="S4387" s="2" t="s">
        <v>30</v>
      </c>
    </row>
    <row r="4388" spans="1:19">
      <c r="A4388" s="1">
        <v>46082</v>
      </c>
      <c r="B4388" s="1">
        <v>46082</v>
      </c>
      <c r="C4388">
        <v>2026</v>
      </c>
      <c r="D4388">
        <v>3</v>
      </c>
      <c r="E4388" s="2" t="s">
        <v>364</v>
      </c>
      <c r="F4388" s="2" t="s">
        <v>365</v>
      </c>
      <c r="G4388" s="2" t="s">
        <v>21</v>
      </c>
      <c r="H4388" s="2" t="s">
        <v>22</v>
      </c>
      <c r="I4388" s="2" t="s">
        <v>352</v>
      </c>
      <c r="J4388" s="2" t="s">
        <v>353</v>
      </c>
      <c r="K4388">
        <v>262461.38</v>
      </c>
      <c r="L4388">
        <v>10855125.699999999</v>
      </c>
      <c r="M4388">
        <v>4135.8900000000003</v>
      </c>
      <c r="N4388" s="2" t="s">
        <v>366</v>
      </c>
      <c r="O4388" s="2" t="s">
        <v>367</v>
      </c>
      <c r="P4388" s="2" t="s">
        <v>7522</v>
      </c>
      <c r="Q4388" s="2" t="s">
        <v>7523</v>
      </c>
      <c r="R4388" s="2" t="s">
        <v>29</v>
      </c>
      <c r="S4388" s="2" t="s">
        <v>30</v>
      </c>
    </row>
    <row r="4389" spans="1:19">
      <c r="A4389" s="1">
        <v>46082</v>
      </c>
      <c r="B4389" s="1">
        <v>46082</v>
      </c>
      <c r="C4389">
        <v>2026</v>
      </c>
      <c r="D4389">
        <v>3</v>
      </c>
      <c r="E4389" s="2" t="s">
        <v>370</v>
      </c>
      <c r="F4389" s="2" t="s">
        <v>371</v>
      </c>
      <c r="G4389" s="2" t="s">
        <v>21</v>
      </c>
      <c r="H4389" s="2" t="s">
        <v>22</v>
      </c>
      <c r="I4389" s="2" t="s">
        <v>23</v>
      </c>
      <c r="J4389" s="2" t="s">
        <v>24</v>
      </c>
      <c r="K4389">
        <v>226411.08</v>
      </c>
      <c r="L4389">
        <v>2952542.03</v>
      </c>
      <c r="M4389">
        <v>1304.06</v>
      </c>
      <c r="N4389" s="2" t="s">
        <v>372</v>
      </c>
      <c r="O4389" s="2" t="s">
        <v>373</v>
      </c>
      <c r="P4389" s="2" t="s">
        <v>7524</v>
      </c>
      <c r="Q4389" s="2" t="s">
        <v>7525</v>
      </c>
      <c r="R4389" s="2" t="s">
        <v>29</v>
      </c>
      <c r="S4389" s="2" t="s">
        <v>30</v>
      </c>
    </row>
    <row r="4390" spans="1:19">
      <c r="A4390" s="1">
        <v>46082</v>
      </c>
      <c r="B4390" s="1">
        <v>46082</v>
      </c>
      <c r="C4390">
        <v>2026</v>
      </c>
      <c r="D4390">
        <v>3</v>
      </c>
      <c r="E4390" s="2" t="s">
        <v>376</v>
      </c>
      <c r="F4390" s="2" t="s">
        <v>377</v>
      </c>
      <c r="G4390" s="2" t="s">
        <v>21</v>
      </c>
      <c r="H4390" s="2" t="s">
        <v>22</v>
      </c>
      <c r="I4390" s="2" t="s">
        <v>23</v>
      </c>
      <c r="J4390" s="2" t="s">
        <v>378</v>
      </c>
      <c r="K4390">
        <v>1.23</v>
      </c>
      <c r="L4390">
        <v>12.89</v>
      </c>
      <c r="M4390">
        <v>1047.97</v>
      </c>
      <c r="N4390" s="2" t="s">
        <v>379</v>
      </c>
      <c r="O4390" s="2" t="s">
        <v>380</v>
      </c>
      <c r="P4390" s="2" t="s">
        <v>3281</v>
      </c>
      <c r="Q4390" s="2" t="s">
        <v>7526</v>
      </c>
      <c r="R4390" s="2" t="s">
        <v>29</v>
      </c>
      <c r="S4390" s="2" t="s">
        <v>30</v>
      </c>
    </row>
    <row r="4391" spans="1:19">
      <c r="A4391" s="1">
        <v>46113</v>
      </c>
      <c r="B4391" s="1">
        <v>46113</v>
      </c>
      <c r="C4391">
        <v>2026</v>
      </c>
      <c r="D4391">
        <v>4</v>
      </c>
      <c r="E4391" s="2" t="s">
        <v>19</v>
      </c>
      <c r="F4391" s="2" t="s">
        <v>20</v>
      </c>
      <c r="G4391" s="2" t="s">
        <v>21</v>
      </c>
      <c r="H4391" s="2" t="s">
        <v>22</v>
      </c>
      <c r="I4391" s="2" t="s">
        <v>23</v>
      </c>
      <c r="J4391" s="2" t="s">
        <v>24</v>
      </c>
      <c r="K4391">
        <v>0.27</v>
      </c>
      <c r="L4391">
        <v>16.53</v>
      </c>
      <c r="M4391">
        <v>6122.22</v>
      </c>
      <c r="N4391" s="2" t="s">
        <v>25</v>
      </c>
      <c r="O4391" s="2" t="s">
        <v>26</v>
      </c>
      <c r="P4391" s="2" t="s">
        <v>980</v>
      </c>
      <c r="Q4391" s="2" t="s">
        <v>7527</v>
      </c>
      <c r="R4391" s="2" t="s">
        <v>29</v>
      </c>
      <c r="S4391" s="2" t="s">
        <v>30</v>
      </c>
    </row>
    <row r="4392" spans="1:19">
      <c r="A4392" s="1">
        <v>46113</v>
      </c>
      <c r="B4392" s="1">
        <v>46113</v>
      </c>
      <c r="C4392">
        <v>2026</v>
      </c>
      <c r="D4392">
        <v>4</v>
      </c>
      <c r="E4392" s="2" t="s">
        <v>31</v>
      </c>
      <c r="F4392" s="2" t="s">
        <v>32</v>
      </c>
      <c r="G4392" s="2" t="s">
        <v>21</v>
      </c>
      <c r="H4392" s="2" t="s">
        <v>22</v>
      </c>
      <c r="I4392" s="2" t="s">
        <v>23</v>
      </c>
      <c r="J4392" s="2" t="s">
        <v>24</v>
      </c>
      <c r="K4392">
        <v>2372.04</v>
      </c>
      <c r="L4392">
        <v>44625.23</v>
      </c>
      <c r="M4392">
        <v>1881.3</v>
      </c>
      <c r="N4392" s="2" t="s">
        <v>33</v>
      </c>
      <c r="O4392" s="2" t="s">
        <v>34</v>
      </c>
      <c r="P4392" s="2" t="s">
        <v>7528</v>
      </c>
      <c r="Q4392" s="2" t="s">
        <v>7529</v>
      </c>
      <c r="R4392" s="2" t="s">
        <v>29</v>
      </c>
      <c r="S4392" s="2" t="s">
        <v>30</v>
      </c>
    </row>
    <row r="4393" spans="1:19">
      <c r="A4393" s="1">
        <v>46113</v>
      </c>
      <c r="B4393" s="1">
        <v>46113</v>
      </c>
      <c r="C4393">
        <v>2026</v>
      </c>
      <c r="D4393">
        <v>4</v>
      </c>
      <c r="E4393" s="2" t="s">
        <v>37</v>
      </c>
      <c r="F4393" s="2" t="s">
        <v>38</v>
      </c>
      <c r="G4393" s="2" t="s">
        <v>39</v>
      </c>
      <c r="H4393" s="2" t="s">
        <v>22</v>
      </c>
      <c r="I4393" s="2" t="s">
        <v>40</v>
      </c>
      <c r="J4393" s="2" t="s">
        <v>24</v>
      </c>
      <c r="K4393">
        <v>6.4</v>
      </c>
      <c r="L4393">
        <v>365.11</v>
      </c>
      <c r="M4393">
        <v>5704.84</v>
      </c>
      <c r="N4393" s="2" t="s">
        <v>41</v>
      </c>
      <c r="O4393" s="2" t="s">
        <v>42</v>
      </c>
      <c r="P4393" s="2" t="s">
        <v>5077</v>
      </c>
      <c r="Q4393" s="2" t="s">
        <v>7530</v>
      </c>
      <c r="R4393" s="2" t="s">
        <v>29</v>
      </c>
      <c r="S4393" s="2" t="s">
        <v>30</v>
      </c>
    </row>
    <row r="4394" spans="1:19">
      <c r="A4394" s="1">
        <v>46113</v>
      </c>
      <c r="B4394" s="1">
        <v>46113</v>
      </c>
      <c r="C4394">
        <v>2026</v>
      </c>
      <c r="D4394">
        <v>4</v>
      </c>
      <c r="E4394" s="2" t="s">
        <v>45</v>
      </c>
      <c r="F4394" s="2" t="s">
        <v>46</v>
      </c>
      <c r="G4394" s="2" t="s">
        <v>39</v>
      </c>
      <c r="H4394" s="2" t="s">
        <v>22</v>
      </c>
      <c r="I4394" s="2" t="s">
        <v>40</v>
      </c>
      <c r="J4394" s="2" t="s">
        <v>24</v>
      </c>
      <c r="K4394">
        <v>4103.2299999999996</v>
      </c>
      <c r="L4394">
        <v>229849.47</v>
      </c>
      <c r="M4394">
        <v>5601.67</v>
      </c>
      <c r="N4394" s="2" t="s">
        <v>47</v>
      </c>
      <c r="O4394" s="2" t="s">
        <v>48</v>
      </c>
      <c r="P4394" s="2" t="s">
        <v>7531</v>
      </c>
      <c r="Q4394" s="2" t="s">
        <v>7532</v>
      </c>
      <c r="R4394" s="2" t="s">
        <v>29</v>
      </c>
      <c r="S4394" s="2" t="s">
        <v>30</v>
      </c>
    </row>
    <row r="4395" spans="1:19">
      <c r="A4395" s="1">
        <v>46113</v>
      </c>
      <c r="B4395" s="1">
        <v>46113</v>
      </c>
      <c r="C4395">
        <v>2026</v>
      </c>
      <c r="D4395">
        <v>4</v>
      </c>
      <c r="E4395" s="2" t="s">
        <v>51</v>
      </c>
      <c r="F4395" s="2" t="s">
        <v>52</v>
      </c>
      <c r="G4395" s="2" t="s">
        <v>39</v>
      </c>
      <c r="H4395" s="2" t="s">
        <v>22</v>
      </c>
      <c r="I4395" s="2" t="s">
        <v>40</v>
      </c>
      <c r="J4395" s="2" t="s">
        <v>24</v>
      </c>
      <c r="K4395">
        <v>17.32</v>
      </c>
      <c r="L4395">
        <v>910.67</v>
      </c>
      <c r="M4395">
        <v>5257.91</v>
      </c>
      <c r="N4395" s="2" t="s">
        <v>53</v>
      </c>
      <c r="O4395" s="2" t="s">
        <v>54</v>
      </c>
      <c r="P4395" s="2" t="s">
        <v>7533</v>
      </c>
      <c r="Q4395" s="2" t="s">
        <v>7534</v>
      </c>
      <c r="R4395" s="2" t="s">
        <v>29</v>
      </c>
      <c r="S4395" s="2" t="s">
        <v>30</v>
      </c>
    </row>
    <row r="4396" spans="1:19">
      <c r="A4396" s="1">
        <v>46113</v>
      </c>
      <c r="B4396" s="1">
        <v>46113</v>
      </c>
      <c r="C4396">
        <v>2026</v>
      </c>
      <c r="D4396">
        <v>4</v>
      </c>
      <c r="E4396" s="2" t="s">
        <v>57</v>
      </c>
      <c r="F4396" s="2" t="s">
        <v>58</v>
      </c>
      <c r="G4396" s="2" t="s">
        <v>39</v>
      </c>
      <c r="H4396" s="2" t="s">
        <v>22</v>
      </c>
      <c r="I4396" s="2" t="s">
        <v>40</v>
      </c>
      <c r="J4396" s="2" t="s">
        <v>59</v>
      </c>
      <c r="K4396">
        <v>4126.95</v>
      </c>
      <c r="L4396">
        <v>231125.24</v>
      </c>
      <c r="M4396">
        <v>5600.39</v>
      </c>
      <c r="N4396" s="2" t="s">
        <v>60</v>
      </c>
      <c r="O4396" s="2" t="s">
        <v>61</v>
      </c>
      <c r="P4396" s="2" t="s">
        <v>7535</v>
      </c>
      <c r="Q4396" s="2" t="s">
        <v>7536</v>
      </c>
      <c r="R4396" s="2" t="s">
        <v>29</v>
      </c>
      <c r="S4396" s="2" t="s">
        <v>30</v>
      </c>
    </row>
    <row r="4397" spans="1:19">
      <c r="A4397" s="1">
        <v>46113</v>
      </c>
      <c r="B4397" s="1">
        <v>46113</v>
      </c>
      <c r="C4397">
        <v>2026</v>
      </c>
      <c r="D4397">
        <v>4</v>
      </c>
      <c r="E4397" s="2" t="s">
        <v>64</v>
      </c>
      <c r="F4397" s="2" t="s">
        <v>65</v>
      </c>
      <c r="G4397" s="2" t="s">
        <v>21</v>
      </c>
      <c r="H4397" s="2" t="s">
        <v>22</v>
      </c>
      <c r="I4397" s="2" t="s">
        <v>66</v>
      </c>
      <c r="J4397" s="2" t="s">
        <v>24</v>
      </c>
      <c r="K4397">
        <v>21.26</v>
      </c>
      <c r="L4397">
        <v>849.88</v>
      </c>
      <c r="M4397">
        <v>3997.55</v>
      </c>
      <c r="N4397" s="2" t="s">
        <v>67</v>
      </c>
      <c r="O4397" s="2" t="s">
        <v>68</v>
      </c>
      <c r="P4397" s="2" t="s">
        <v>3462</v>
      </c>
      <c r="Q4397" s="2" t="s">
        <v>7537</v>
      </c>
      <c r="R4397" s="2" t="s">
        <v>29</v>
      </c>
      <c r="S4397" s="2" t="s">
        <v>30</v>
      </c>
    </row>
    <row r="4398" spans="1:19">
      <c r="A4398" s="1">
        <v>46113</v>
      </c>
      <c r="B4398" s="1">
        <v>46113</v>
      </c>
      <c r="C4398">
        <v>2026</v>
      </c>
      <c r="D4398">
        <v>4</v>
      </c>
      <c r="E4398" s="2" t="s">
        <v>71</v>
      </c>
      <c r="F4398" s="2" t="s">
        <v>72</v>
      </c>
      <c r="G4398" s="2" t="s">
        <v>21</v>
      </c>
      <c r="H4398" s="2" t="s">
        <v>22</v>
      </c>
      <c r="I4398" s="2" t="s">
        <v>73</v>
      </c>
      <c r="J4398" s="2" t="s">
        <v>59</v>
      </c>
      <c r="K4398">
        <v>6570.42</v>
      </c>
      <c r="L4398">
        <v>234176.51</v>
      </c>
      <c r="M4398">
        <v>3564.1</v>
      </c>
      <c r="N4398" s="2" t="s">
        <v>74</v>
      </c>
      <c r="O4398" s="2" t="s">
        <v>75</v>
      </c>
      <c r="P4398" s="2" t="s">
        <v>7538</v>
      </c>
      <c r="Q4398" s="2" t="s">
        <v>7539</v>
      </c>
      <c r="R4398" s="2" t="s">
        <v>29</v>
      </c>
      <c r="S4398" s="2" t="s">
        <v>30</v>
      </c>
    </row>
    <row r="4399" spans="1:19">
      <c r="A4399" s="1">
        <v>46113</v>
      </c>
      <c r="B4399" s="1">
        <v>46113</v>
      </c>
      <c r="C4399">
        <v>2026</v>
      </c>
      <c r="D4399">
        <v>4</v>
      </c>
      <c r="E4399" s="2" t="s">
        <v>78</v>
      </c>
      <c r="F4399" s="2" t="s">
        <v>79</v>
      </c>
      <c r="G4399" s="2" t="s">
        <v>80</v>
      </c>
      <c r="H4399" s="2" t="s">
        <v>81</v>
      </c>
      <c r="I4399" s="2" t="s">
        <v>82</v>
      </c>
      <c r="J4399" s="2" t="s">
        <v>24</v>
      </c>
      <c r="K4399">
        <v>2.81</v>
      </c>
      <c r="L4399">
        <v>14216020.310000001</v>
      </c>
      <c r="M4399">
        <v>505908196.08999997</v>
      </c>
      <c r="N4399" s="2" t="s">
        <v>83</v>
      </c>
      <c r="O4399" s="2" t="s">
        <v>84</v>
      </c>
      <c r="P4399" s="2" t="s">
        <v>7540</v>
      </c>
      <c r="Q4399" s="2" t="s">
        <v>7541</v>
      </c>
      <c r="R4399" s="2" t="s">
        <v>29</v>
      </c>
      <c r="S4399" s="2" t="s">
        <v>30</v>
      </c>
    </row>
    <row r="4400" spans="1:19">
      <c r="A4400" s="1">
        <v>46113</v>
      </c>
      <c r="B4400" s="1">
        <v>46113</v>
      </c>
      <c r="C4400">
        <v>2026</v>
      </c>
      <c r="D4400">
        <v>4</v>
      </c>
      <c r="E4400" s="2" t="s">
        <v>87</v>
      </c>
      <c r="F4400" s="2" t="s">
        <v>88</v>
      </c>
      <c r="G4400" s="2" t="s">
        <v>80</v>
      </c>
      <c r="H4400" s="2" t="s">
        <v>81</v>
      </c>
      <c r="I4400" s="2" t="s">
        <v>82</v>
      </c>
      <c r="J4400" s="2" t="s">
        <v>24</v>
      </c>
      <c r="K4400">
        <v>0.99</v>
      </c>
      <c r="L4400">
        <v>1351981.97</v>
      </c>
      <c r="M4400">
        <v>136563835.34999999</v>
      </c>
      <c r="N4400" s="2" t="s">
        <v>89</v>
      </c>
      <c r="O4400" s="2" t="s">
        <v>90</v>
      </c>
      <c r="P4400" s="2" t="s">
        <v>3449</v>
      </c>
      <c r="Q4400" s="2" t="s">
        <v>7542</v>
      </c>
      <c r="R4400" s="2" t="s">
        <v>29</v>
      </c>
      <c r="S4400" s="2" t="s">
        <v>30</v>
      </c>
    </row>
    <row r="4401" spans="1:19">
      <c r="A4401" s="1">
        <v>46113</v>
      </c>
      <c r="B4401" s="1">
        <v>46113</v>
      </c>
      <c r="C4401">
        <v>2026</v>
      </c>
      <c r="D4401">
        <v>4</v>
      </c>
      <c r="E4401" s="2" t="s">
        <v>93</v>
      </c>
      <c r="F4401" s="2" t="s">
        <v>94</v>
      </c>
      <c r="G4401" s="2" t="s">
        <v>80</v>
      </c>
      <c r="H4401" s="2" t="s">
        <v>81</v>
      </c>
      <c r="I4401" s="2" t="s">
        <v>82</v>
      </c>
      <c r="J4401" s="2" t="s">
        <v>24</v>
      </c>
      <c r="K4401">
        <v>0.46</v>
      </c>
      <c r="L4401">
        <v>6706601.9100000001</v>
      </c>
      <c r="M4401">
        <v>1457956936.96</v>
      </c>
      <c r="N4401" s="2" t="s">
        <v>95</v>
      </c>
      <c r="O4401" s="2" t="s">
        <v>96</v>
      </c>
      <c r="P4401" s="2" t="s">
        <v>2711</v>
      </c>
      <c r="Q4401" s="2" t="s">
        <v>7543</v>
      </c>
      <c r="R4401" s="2" t="s">
        <v>29</v>
      </c>
      <c r="S4401" s="2" t="s">
        <v>30</v>
      </c>
    </row>
    <row r="4402" spans="1:19">
      <c r="A4402" s="1">
        <v>46113</v>
      </c>
      <c r="B4402" s="1">
        <v>46113</v>
      </c>
      <c r="C4402">
        <v>2026</v>
      </c>
      <c r="D4402">
        <v>4</v>
      </c>
      <c r="E4402" s="2" t="s">
        <v>99</v>
      </c>
      <c r="F4402" s="2" t="s">
        <v>100</v>
      </c>
      <c r="G4402" s="2" t="s">
        <v>80</v>
      </c>
      <c r="H4402" s="2" t="s">
        <v>81</v>
      </c>
      <c r="I4402" s="2" t="s">
        <v>82</v>
      </c>
      <c r="J4402" s="2" t="s">
        <v>101</v>
      </c>
      <c r="K4402">
        <v>1.67</v>
      </c>
      <c r="L4402">
        <v>16817587.879999999</v>
      </c>
      <c r="M4402">
        <v>1007041190.42</v>
      </c>
      <c r="N4402" s="2" t="s">
        <v>102</v>
      </c>
      <c r="O4402" s="2" t="s">
        <v>103</v>
      </c>
      <c r="P4402" s="2" t="s">
        <v>1615</v>
      </c>
      <c r="Q4402" s="2" t="s">
        <v>7544</v>
      </c>
      <c r="R4402" s="2" t="s">
        <v>29</v>
      </c>
      <c r="S4402" s="2" t="s">
        <v>30</v>
      </c>
    </row>
    <row r="4403" spans="1:19">
      <c r="A4403" s="1">
        <v>46113</v>
      </c>
      <c r="B4403" s="1">
        <v>46113</v>
      </c>
      <c r="C4403">
        <v>2026</v>
      </c>
      <c r="D4403">
        <v>4</v>
      </c>
      <c r="E4403" s="2" t="s">
        <v>106</v>
      </c>
      <c r="F4403" s="2" t="s">
        <v>107</v>
      </c>
      <c r="G4403" s="2" t="s">
        <v>80</v>
      </c>
      <c r="H4403" s="2" t="s">
        <v>81</v>
      </c>
      <c r="I4403" s="2" t="s">
        <v>82</v>
      </c>
      <c r="J4403" s="2" t="s">
        <v>24</v>
      </c>
      <c r="K4403">
        <v>0.22</v>
      </c>
      <c r="L4403">
        <v>8759004</v>
      </c>
      <c r="M4403">
        <v>3981365454.5500002</v>
      </c>
      <c r="N4403" s="2" t="s">
        <v>108</v>
      </c>
      <c r="O4403" s="2" t="s">
        <v>109</v>
      </c>
      <c r="P4403" s="2" t="s">
        <v>514</v>
      </c>
      <c r="Q4403" s="2" t="s">
        <v>7545</v>
      </c>
      <c r="R4403" s="2" t="s">
        <v>29</v>
      </c>
      <c r="S4403" s="2" t="s">
        <v>30</v>
      </c>
    </row>
    <row r="4404" spans="1:19">
      <c r="A4404" s="1">
        <v>46113</v>
      </c>
      <c r="B4404" s="1">
        <v>46113</v>
      </c>
      <c r="C4404">
        <v>2026</v>
      </c>
      <c r="D4404">
        <v>4</v>
      </c>
      <c r="E4404" s="2" t="s">
        <v>111</v>
      </c>
      <c r="F4404" s="2" t="s">
        <v>112</v>
      </c>
      <c r="G4404" s="2" t="s">
        <v>80</v>
      </c>
      <c r="H4404" s="2" t="s">
        <v>81</v>
      </c>
      <c r="I4404" s="2" t="s">
        <v>82</v>
      </c>
      <c r="J4404" s="2" t="s">
        <v>24</v>
      </c>
      <c r="K4404">
        <v>0.16</v>
      </c>
      <c r="L4404">
        <v>1256907.6000000001</v>
      </c>
      <c r="M4404">
        <v>785567250</v>
      </c>
      <c r="N4404" s="2" t="s">
        <v>113</v>
      </c>
      <c r="O4404" s="2" t="s">
        <v>114</v>
      </c>
      <c r="P4404" s="2" t="s">
        <v>620</v>
      </c>
      <c r="Q4404" s="2" t="s">
        <v>7546</v>
      </c>
      <c r="R4404" s="2" t="s">
        <v>29</v>
      </c>
      <c r="S4404" s="2" t="s">
        <v>30</v>
      </c>
    </row>
    <row r="4405" spans="1:19">
      <c r="A4405" s="1">
        <v>46113</v>
      </c>
      <c r="B4405" s="1">
        <v>46113</v>
      </c>
      <c r="C4405">
        <v>2026</v>
      </c>
      <c r="D4405">
        <v>4</v>
      </c>
      <c r="E4405" s="2" t="s">
        <v>117</v>
      </c>
      <c r="F4405" s="2" t="s">
        <v>118</v>
      </c>
      <c r="G4405" s="2" t="s">
        <v>80</v>
      </c>
      <c r="H4405" s="2" t="s">
        <v>81</v>
      </c>
      <c r="I4405" s="2" t="s">
        <v>82</v>
      </c>
      <c r="J4405" s="2" t="s">
        <v>59</v>
      </c>
      <c r="K4405">
        <v>4.6500000000000004</v>
      </c>
      <c r="L4405">
        <v>32290515.789999999</v>
      </c>
      <c r="M4405">
        <v>694419694.40999997</v>
      </c>
      <c r="N4405" s="2" t="s">
        <v>119</v>
      </c>
      <c r="O4405" s="2" t="s">
        <v>120</v>
      </c>
      <c r="P4405" s="2" t="s">
        <v>7547</v>
      </c>
      <c r="Q4405" s="2" t="s">
        <v>7548</v>
      </c>
      <c r="R4405" s="2" t="s">
        <v>29</v>
      </c>
      <c r="S4405" s="2" t="s">
        <v>30</v>
      </c>
    </row>
    <row r="4406" spans="1:19">
      <c r="A4406" s="1">
        <v>46113</v>
      </c>
      <c r="B4406" s="1">
        <v>46113</v>
      </c>
      <c r="C4406">
        <v>2026</v>
      </c>
      <c r="D4406">
        <v>4</v>
      </c>
      <c r="E4406" s="2" t="s">
        <v>123</v>
      </c>
      <c r="F4406" s="2" t="s">
        <v>124</v>
      </c>
      <c r="G4406" s="2" t="s">
        <v>21</v>
      </c>
      <c r="H4406" s="2" t="s">
        <v>22</v>
      </c>
      <c r="I4406" s="2" t="s">
        <v>73</v>
      </c>
      <c r="J4406" s="2" t="s">
        <v>24</v>
      </c>
      <c r="K4406">
        <v>2839.71</v>
      </c>
      <c r="L4406">
        <v>123439.08</v>
      </c>
      <c r="M4406">
        <v>4346.8900000000003</v>
      </c>
      <c r="N4406" s="2" t="s">
        <v>125</v>
      </c>
      <c r="O4406" s="2" t="s">
        <v>126</v>
      </c>
      <c r="P4406" s="2" t="s">
        <v>7549</v>
      </c>
      <c r="Q4406" s="2" t="s">
        <v>7550</v>
      </c>
      <c r="R4406" s="2" t="s">
        <v>29</v>
      </c>
      <c r="S4406" s="2" t="s">
        <v>30</v>
      </c>
    </row>
    <row r="4407" spans="1:19">
      <c r="A4407" s="1">
        <v>46113</v>
      </c>
      <c r="B4407" s="1">
        <v>46113</v>
      </c>
      <c r="C4407">
        <v>2026</v>
      </c>
      <c r="D4407">
        <v>4</v>
      </c>
      <c r="E4407" s="2" t="s">
        <v>129</v>
      </c>
      <c r="F4407" s="2" t="s">
        <v>130</v>
      </c>
      <c r="G4407" s="2" t="s">
        <v>21</v>
      </c>
      <c r="H4407" s="2" t="s">
        <v>22</v>
      </c>
      <c r="I4407" s="2" t="s">
        <v>73</v>
      </c>
      <c r="J4407" s="2" t="s">
        <v>24</v>
      </c>
      <c r="K4407">
        <v>2755.56</v>
      </c>
      <c r="L4407">
        <v>73834.69</v>
      </c>
      <c r="M4407">
        <v>2679.48</v>
      </c>
      <c r="N4407" s="2" t="s">
        <v>131</v>
      </c>
      <c r="O4407" s="2" t="s">
        <v>132</v>
      </c>
      <c r="P4407" s="2" t="s">
        <v>7551</v>
      </c>
      <c r="Q4407" s="2" t="s">
        <v>7552</v>
      </c>
      <c r="R4407" s="2" t="s">
        <v>29</v>
      </c>
      <c r="S4407" s="2" t="s">
        <v>30</v>
      </c>
    </row>
    <row r="4408" spans="1:19">
      <c r="A4408" s="1">
        <v>46113</v>
      </c>
      <c r="B4408" s="1">
        <v>46113</v>
      </c>
      <c r="C4408">
        <v>2026</v>
      </c>
      <c r="D4408">
        <v>4</v>
      </c>
      <c r="E4408" s="2" t="s">
        <v>135</v>
      </c>
      <c r="F4408" s="2" t="s">
        <v>136</v>
      </c>
      <c r="G4408" s="2" t="s">
        <v>21</v>
      </c>
      <c r="H4408" s="2" t="s">
        <v>22</v>
      </c>
      <c r="I4408" s="2" t="s">
        <v>73</v>
      </c>
      <c r="J4408" s="2" t="s">
        <v>101</v>
      </c>
      <c r="K4408">
        <v>5595.27</v>
      </c>
      <c r="L4408">
        <v>197273.76</v>
      </c>
      <c r="M4408">
        <v>3525.72</v>
      </c>
      <c r="N4408" s="2" t="s">
        <v>137</v>
      </c>
      <c r="O4408" s="2" t="s">
        <v>138</v>
      </c>
      <c r="P4408" s="2" t="s">
        <v>7553</v>
      </c>
      <c r="Q4408" s="2" t="s">
        <v>7554</v>
      </c>
      <c r="R4408" s="2" t="s">
        <v>29</v>
      </c>
      <c r="S4408" s="2" t="s">
        <v>30</v>
      </c>
    </row>
    <row r="4409" spans="1:19">
      <c r="A4409" s="1">
        <v>46113</v>
      </c>
      <c r="B4409" s="1">
        <v>46113</v>
      </c>
      <c r="C4409">
        <v>2026</v>
      </c>
      <c r="D4409">
        <v>4</v>
      </c>
      <c r="E4409" s="2" t="s">
        <v>141</v>
      </c>
      <c r="F4409" s="2" t="s">
        <v>142</v>
      </c>
      <c r="G4409" s="2" t="s">
        <v>21</v>
      </c>
      <c r="H4409" s="2" t="s">
        <v>22</v>
      </c>
      <c r="I4409" s="2" t="s">
        <v>73</v>
      </c>
      <c r="J4409" s="2" t="s">
        <v>24</v>
      </c>
      <c r="K4409">
        <v>257.08999999999997</v>
      </c>
      <c r="L4409">
        <v>12633.32</v>
      </c>
      <c r="M4409">
        <v>4913.97</v>
      </c>
      <c r="N4409" s="2" t="s">
        <v>143</v>
      </c>
      <c r="O4409" s="2" t="s">
        <v>144</v>
      </c>
      <c r="P4409" s="2" t="s">
        <v>7555</v>
      </c>
      <c r="Q4409" s="2" t="s">
        <v>7556</v>
      </c>
      <c r="R4409" s="2" t="s">
        <v>29</v>
      </c>
      <c r="S4409" s="2" t="s">
        <v>30</v>
      </c>
    </row>
    <row r="4410" spans="1:19">
      <c r="A4410" s="1">
        <v>46113</v>
      </c>
      <c r="B4410" s="1">
        <v>46113</v>
      </c>
      <c r="C4410">
        <v>2026</v>
      </c>
      <c r="D4410">
        <v>4</v>
      </c>
      <c r="E4410" s="2" t="s">
        <v>147</v>
      </c>
      <c r="F4410" s="2" t="s">
        <v>148</v>
      </c>
      <c r="G4410" s="2" t="s">
        <v>21</v>
      </c>
      <c r="H4410" s="2" t="s">
        <v>22</v>
      </c>
      <c r="I4410" s="2" t="s">
        <v>73</v>
      </c>
      <c r="J4410" s="2" t="s">
        <v>24</v>
      </c>
      <c r="K4410">
        <v>718.05</v>
      </c>
      <c r="L4410">
        <v>24269.43</v>
      </c>
      <c r="M4410">
        <v>3379.91</v>
      </c>
      <c r="N4410" s="2" t="s">
        <v>149</v>
      </c>
      <c r="O4410" s="2" t="s">
        <v>150</v>
      </c>
      <c r="P4410" s="2" t="s">
        <v>6830</v>
      </c>
      <c r="Q4410" s="2" t="s">
        <v>7557</v>
      </c>
      <c r="R4410" s="2" t="s">
        <v>29</v>
      </c>
      <c r="S4410" s="2" t="s">
        <v>30</v>
      </c>
    </row>
    <row r="4411" spans="1:19">
      <c r="A4411" s="1">
        <v>46113</v>
      </c>
      <c r="B4411" s="1">
        <v>46113</v>
      </c>
      <c r="C4411">
        <v>2026</v>
      </c>
      <c r="D4411">
        <v>4</v>
      </c>
      <c r="E4411" s="2" t="s">
        <v>153</v>
      </c>
      <c r="F4411" s="2" t="s">
        <v>154</v>
      </c>
      <c r="G4411" s="2" t="s">
        <v>21</v>
      </c>
      <c r="H4411" s="2" t="s">
        <v>22</v>
      </c>
      <c r="I4411" s="2" t="s">
        <v>73</v>
      </c>
      <c r="J4411" s="2" t="s">
        <v>101</v>
      </c>
      <c r="K4411">
        <v>975.14</v>
      </c>
      <c r="L4411">
        <v>36902.74</v>
      </c>
      <c r="M4411">
        <v>3784.35</v>
      </c>
      <c r="N4411" s="2" t="s">
        <v>155</v>
      </c>
      <c r="O4411" s="2" t="s">
        <v>156</v>
      </c>
      <c r="P4411" s="2" t="s">
        <v>7558</v>
      </c>
      <c r="Q4411" s="2" t="s">
        <v>7559</v>
      </c>
      <c r="R4411" s="2" t="s">
        <v>29</v>
      </c>
      <c r="S4411" s="2" t="s">
        <v>30</v>
      </c>
    </row>
    <row r="4412" spans="1:19">
      <c r="A4412" s="1">
        <v>46113</v>
      </c>
      <c r="B4412" s="1">
        <v>46113</v>
      </c>
      <c r="C4412">
        <v>2026</v>
      </c>
      <c r="D4412">
        <v>4</v>
      </c>
      <c r="E4412" s="2" t="s">
        <v>159</v>
      </c>
      <c r="F4412" s="2" t="s">
        <v>160</v>
      </c>
      <c r="G4412" s="2" t="s">
        <v>21</v>
      </c>
      <c r="H4412" s="2" t="s">
        <v>22</v>
      </c>
      <c r="I4412" s="2" t="s">
        <v>66</v>
      </c>
      <c r="J4412" s="2" t="s">
        <v>59</v>
      </c>
      <c r="K4412">
        <v>2031.08</v>
      </c>
      <c r="L4412">
        <v>241715.16</v>
      </c>
      <c r="M4412">
        <v>11900.82</v>
      </c>
      <c r="N4412" s="2" t="s">
        <v>161</v>
      </c>
      <c r="O4412" s="2" t="s">
        <v>162</v>
      </c>
      <c r="P4412" s="2" t="s">
        <v>7560</v>
      </c>
      <c r="Q4412" s="2" t="s">
        <v>7561</v>
      </c>
      <c r="R4412" s="2" t="s">
        <v>29</v>
      </c>
      <c r="S4412" s="2" t="s">
        <v>30</v>
      </c>
    </row>
    <row r="4413" spans="1:19">
      <c r="A4413" s="1">
        <v>46113</v>
      </c>
      <c r="B4413" s="1">
        <v>46113</v>
      </c>
      <c r="C4413">
        <v>2026</v>
      </c>
      <c r="D4413">
        <v>4</v>
      </c>
      <c r="E4413" s="2" t="s">
        <v>165</v>
      </c>
      <c r="F4413" s="2" t="s">
        <v>166</v>
      </c>
      <c r="G4413" s="2" t="s">
        <v>21</v>
      </c>
      <c r="H4413" s="2" t="s">
        <v>22</v>
      </c>
      <c r="I4413" s="2" t="s">
        <v>23</v>
      </c>
      <c r="J4413" s="2" t="s">
        <v>24</v>
      </c>
      <c r="N4413" s="2" t="s">
        <v>167</v>
      </c>
      <c r="O4413" s="2" t="s">
        <v>168</v>
      </c>
      <c r="P4413" s="2" t="s">
        <v>175</v>
      </c>
      <c r="Q4413" s="2" t="s">
        <v>175</v>
      </c>
      <c r="R4413" s="2" t="s">
        <v>640</v>
      </c>
      <c r="S4413" s="2" t="s">
        <v>641</v>
      </c>
    </row>
    <row r="4414" spans="1:19">
      <c r="A4414" s="1">
        <v>46113</v>
      </c>
      <c r="B4414" s="1">
        <v>46113</v>
      </c>
      <c r="C4414">
        <v>2026</v>
      </c>
      <c r="D4414">
        <v>4</v>
      </c>
      <c r="E4414" s="2" t="s">
        <v>171</v>
      </c>
      <c r="F4414" s="2" t="s">
        <v>172</v>
      </c>
      <c r="G4414" s="2" t="s">
        <v>21</v>
      </c>
      <c r="H4414" s="2" t="s">
        <v>22</v>
      </c>
      <c r="I4414" s="2" t="s">
        <v>66</v>
      </c>
      <c r="J4414" s="2" t="s">
        <v>24</v>
      </c>
      <c r="N4414" s="2" t="s">
        <v>173</v>
      </c>
      <c r="O4414" s="2" t="s">
        <v>174</v>
      </c>
      <c r="P4414" s="2" t="s">
        <v>175</v>
      </c>
      <c r="Q4414" s="2" t="s">
        <v>175</v>
      </c>
      <c r="R4414" s="2" t="s">
        <v>640</v>
      </c>
      <c r="S4414" s="2" t="s">
        <v>641</v>
      </c>
    </row>
    <row r="4415" spans="1:19">
      <c r="A4415" s="1">
        <v>46113</v>
      </c>
      <c r="B4415" s="1">
        <v>46113</v>
      </c>
      <c r="C4415">
        <v>2026</v>
      </c>
      <c r="D4415">
        <v>4</v>
      </c>
      <c r="E4415" s="2" t="s">
        <v>177</v>
      </c>
      <c r="F4415" s="2" t="s">
        <v>178</v>
      </c>
      <c r="G4415" s="2" t="s">
        <v>21</v>
      </c>
      <c r="H4415" s="2" t="s">
        <v>22</v>
      </c>
      <c r="I4415" s="2" t="s">
        <v>23</v>
      </c>
      <c r="J4415" s="2" t="s">
        <v>24</v>
      </c>
      <c r="K4415">
        <v>3624.87</v>
      </c>
      <c r="L4415">
        <v>700909.17</v>
      </c>
      <c r="M4415">
        <v>19336.12</v>
      </c>
      <c r="N4415" s="2" t="s">
        <v>179</v>
      </c>
      <c r="O4415" s="2" t="s">
        <v>180</v>
      </c>
      <c r="P4415" s="2" t="s">
        <v>7562</v>
      </c>
      <c r="Q4415" s="2" t="s">
        <v>7563</v>
      </c>
      <c r="R4415" s="2" t="s">
        <v>29</v>
      </c>
      <c r="S4415" s="2" t="s">
        <v>30</v>
      </c>
    </row>
    <row r="4416" spans="1:19">
      <c r="A4416" s="1">
        <v>46113</v>
      </c>
      <c r="B4416" s="1">
        <v>46113</v>
      </c>
      <c r="C4416">
        <v>2026</v>
      </c>
      <c r="D4416">
        <v>4</v>
      </c>
      <c r="E4416" s="2" t="s">
        <v>183</v>
      </c>
      <c r="F4416" s="2" t="s">
        <v>184</v>
      </c>
      <c r="G4416" s="2" t="s">
        <v>185</v>
      </c>
      <c r="H4416" s="2" t="s">
        <v>22</v>
      </c>
      <c r="I4416" s="2" t="s">
        <v>186</v>
      </c>
      <c r="J4416" s="2" t="s">
        <v>24</v>
      </c>
      <c r="K4416">
        <v>2650.67</v>
      </c>
      <c r="L4416">
        <v>6596809.8899999997</v>
      </c>
      <c r="M4416">
        <v>248873.3</v>
      </c>
      <c r="N4416" s="2" t="s">
        <v>187</v>
      </c>
      <c r="O4416" s="2" t="s">
        <v>188</v>
      </c>
      <c r="P4416" s="2" t="s">
        <v>7564</v>
      </c>
      <c r="Q4416" s="2" t="s">
        <v>7565</v>
      </c>
      <c r="R4416" s="2" t="s">
        <v>29</v>
      </c>
      <c r="S4416" s="2" t="s">
        <v>30</v>
      </c>
    </row>
    <row r="4417" spans="1:19">
      <c r="A4417" s="1">
        <v>46113</v>
      </c>
      <c r="B4417" s="1">
        <v>46113</v>
      </c>
      <c r="C4417">
        <v>2026</v>
      </c>
      <c r="D4417">
        <v>4</v>
      </c>
      <c r="E4417" s="2" t="s">
        <v>191</v>
      </c>
      <c r="F4417" s="2" t="s">
        <v>192</v>
      </c>
      <c r="G4417" s="2" t="s">
        <v>185</v>
      </c>
      <c r="H4417" s="2" t="s">
        <v>22</v>
      </c>
      <c r="I4417" s="2" t="s">
        <v>186</v>
      </c>
      <c r="J4417" s="2" t="s">
        <v>24</v>
      </c>
      <c r="K4417">
        <v>760.41</v>
      </c>
      <c r="L4417">
        <v>7034309.6900000004</v>
      </c>
      <c r="M4417">
        <v>925068.01</v>
      </c>
      <c r="N4417" s="2" t="s">
        <v>193</v>
      </c>
      <c r="O4417" s="2" t="s">
        <v>194</v>
      </c>
      <c r="P4417" s="2" t="s">
        <v>7566</v>
      </c>
      <c r="Q4417" s="2" t="s">
        <v>7567</v>
      </c>
      <c r="R4417" s="2" t="s">
        <v>29</v>
      </c>
      <c r="S4417" s="2" t="s">
        <v>30</v>
      </c>
    </row>
    <row r="4418" spans="1:19">
      <c r="A4418" s="1">
        <v>46113</v>
      </c>
      <c r="B4418" s="1">
        <v>46113</v>
      </c>
      <c r="C4418">
        <v>2026</v>
      </c>
      <c r="D4418">
        <v>4</v>
      </c>
      <c r="E4418" s="2" t="s">
        <v>197</v>
      </c>
      <c r="F4418" s="2" t="s">
        <v>198</v>
      </c>
      <c r="G4418" s="2" t="s">
        <v>185</v>
      </c>
      <c r="H4418" s="2" t="s">
        <v>22</v>
      </c>
      <c r="I4418" s="2" t="s">
        <v>186</v>
      </c>
      <c r="J4418" s="2" t="s">
        <v>59</v>
      </c>
      <c r="K4418">
        <v>3411.08</v>
      </c>
      <c r="L4418">
        <v>13631119.58</v>
      </c>
      <c r="M4418">
        <v>399613.01</v>
      </c>
      <c r="N4418" s="2" t="s">
        <v>199</v>
      </c>
      <c r="O4418" s="2" t="s">
        <v>200</v>
      </c>
      <c r="P4418" s="2" t="s">
        <v>7568</v>
      </c>
      <c r="Q4418" s="2" t="s">
        <v>7569</v>
      </c>
      <c r="R4418" s="2" t="s">
        <v>29</v>
      </c>
      <c r="S4418" s="2" t="s">
        <v>30</v>
      </c>
    </row>
    <row r="4419" spans="1:19">
      <c r="A4419" s="1">
        <v>46113</v>
      </c>
      <c r="B4419" s="1">
        <v>46113</v>
      </c>
      <c r="C4419">
        <v>2026</v>
      </c>
      <c r="D4419">
        <v>4</v>
      </c>
      <c r="E4419" s="2" t="s">
        <v>203</v>
      </c>
      <c r="F4419" s="2" t="s">
        <v>204</v>
      </c>
      <c r="G4419" s="2" t="s">
        <v>39</v>
      </c>
      <c r="H4419" s="2" t="s">
        <v>22</v>
      </c>
      <c r="I4419" s="2" t="s">
        <v>40</v>
      </c>
      <c r="J4419" s="2" t="s">
        <v>24</v>
      </c>
      <c r="K4419">
        <v>903.83</v>
      </c>
      <c r="L4419">
        <v>26213.97</v>
      </c>
      <c r="M4419">
        <v>2900.32</v>
      </c>
      <c r="N4419" s="2" t="s">
        <v>205</v>
      </c>
      <c r="O4419" s="2" t="s">
        <v>206</v>
      </c>
      <c r="P4419" s="2" t="s">
        <v>7570</v>
      </c>
      <c r="Q4419" s="2" t="s">
        <v>7571</v>
      </c>
      <c r="R4419" s="2" t="s">
        <v>29</v>
      </c>
      <c r="S4419" s="2" t="s">
        <v>30</v>
      </c>
    </row>
    <row r="4420" spans="1:19">
      <c r="A4420" s="1">
        <v>46113</v>
      </c>
      <c r="B4420" s="1">
        <v>46113</v>
      </c>
      <c r="C4420">
        <v>2026</v>
      </c>
      <c r="D4420">
        <v>4</v>
      </c>
      <c r="E4420" s="2" t="s">
        <v>209</v>
      </c>
      <c r="F4420" s="2" t="s">
        <v>210</v>
      </c>
      <c r="G4420" s="2" t="s">
        <v>39</v>
      </c>
      <c r="H4420" s="2" t="s">
        <v>22</v>
      </c>
      <c r="I4420" s="2" t="s">
        <v>40</v>
      </c>
      <c r="J4420" s="2" t="s">
        <v>59</v>
      </c>
      <c r="K4420">
        <v>903.83</v>
      </c>
      <c r="L4420">
        <v>26213.97</v>
      </c>
      <c r="M4420">
        <v>2900.32</v>
      </c>
      <c r="N4420" s="2" t="s">
        <v>211</v>
      </c>
      <c r="O4420" s="2" t="s">
        <v>212</v>
      </c>
      <c r="P4420" s="2" t="s">
        <v>7570</v>
      </c>
      <c r="Q4420" s="2" t="s">
        <v>7571</v>
      </c>
      <c r="R4420" s="2" t="s">
        <v>29</v>
      </c>
      <c r="S4420" s="2" t="s">
        <v>30</v>
      </c>
    </row>
    <row r="4421" spans="1:19">
      <c r="A4421" s="1">
        <v>46113</v>
      </c>
      <c r="B4421" s="1">
        <v>46113</v>
      </c>
      <c r="C4421">
        <v>2026</v>
      </c>
      <c r="D4421">
        <v>4</v>
      </c>
      <c r="E4421" s="2" t="s">
        <v>213</v>
      </c>
      <c r="F4421" s="2" t="s">
        <v>214</v>
      </c>
      <c r="G4421" s="2" t="s">
        <v>185</v>
      </c>
      <c r="H4421" s="2" t="s">
        <v>22</v>
      </c>
      <c r="I4421" s="2" t="s">
        <v>215</v>
      </c>
      <c r="J4421" s="2" t="s">
        <v>24</v>
      </c>
      <c r="K4421">
        <v>196287.56</v>
      </c>
      <c r="L4421">
        <v>3478372.69</v>
      </c>
      <c r="M4421">
        <v>1772.08</v>
      </c>
      <c r="N4421" s="2" t="s">
        <v>216</v>
      </c>
      <c r="O4421" s="2" t="s">
        <v>217</v>
      </c>
      <c r="P4421" s="2" t="s">
        <v>7572</v>
      </c>
      <c r="Q4421" s="2" t="s">
        <v>7573</v>
      </c>
      <c r="R4421" s="2" t="s">
        <v>29</v>
      </c>
      <c r="S4421" s="2" t="s">
        <v>30</v>
      </c>
    </row>
    <row r="4422" spans="1:19">
      <c r="A4422" s="1">
        <v>46113</v>
      </c>
      <c r="B4422" s="1">
        <v>46113</v>
      </c>
      <c r="C4422">
        <v>2026</v>
      </c>
      <c r="D4422">
        <v>4</v>
      </c>
      <c r="E4422" s="2" t="s">
        <v>220</v>
      </c>
      <c r="F4422" s="2" t="s">
        <v>221</v>
      </c>
      <c r="G4422" s="2" t="s">
        <v>185</v>
      </c>
      <c r="H4422" s="2" t="s">
        <v>22</v>
      </c>
      <c r="I4422" s="2" t="s">
        <v>215</v>
      </c>
      <c r="J4422" s="2" t="s">
        <v>24</v>
      </c>
      <c r="K4422">
        <v>10611.15</v>
      </c>
      <c r="L4422">
        <v>711134.17</v>
      </c>
      <c r="M4422">
        <v>6701.76</v>
      </c>
      <c r="N4422" s="2" t="s">
        <v>222</v>
      </c>
      <c r="O4422" s="2" t="s">
        <v>223</v>
      </c>
      <c r="P4422" s="2" t="s">
        <v>7574</v>
      </c>
      <c r="Q4422" s="2" t="s">
        <v>7575</v>
      </c>
      <c r="R4422" s="2" t="s">
        <v>29</v>
      </c>
      <c r="S4422" s="2" t="s">
        <v>30</v>
      </c>
    </row>
    <row r="4423" spans="1:19">
      <c r="A4423" s="1">
        <v>46113</v>
      </c>
      <c r="B4423" s="1">
        <v>46113</v>
      </c>
      <c r="C4423">
        <v>2026</v>
      </c>
      <c r="D4423">
        <v>4</v>
      </c>
      <c r="E4423" s="2" t="s">
        <v>226</v>
      </c>
      <c r="F4423" s="2" t="s">
        <v>227</v>
      </c>
      <c r="G4423" s="2" t="s">
        <v>185</v>
      </c>
      <c r="H4423" s="2" t="s">
        <v>22</v>
      </c>
      <c r="I4423" s="2" t="s">
        <v>215</v>
      </c>
      <c r="J4423" s="2" t="s">
        <v>59</v>
      </c>
      <c r="K4423">
        <v>206898.7</v>
      </c>
      <c r="L4423">
        <v>4189506.86</v>
      </c>
      <c r="M4423">
        <v>2024.91</v>
      </c>
      <c r="N4423" s="2" t="s">
        <v>228</v>
      </c>
      <c r="O4423" s="2" t="s">
        <v>229</v>
      </c>
      <c r="P4423" s="2" t="s">
        <v>7576</v>
      </c>
      <c r="Q4423" s="2" t="s">
        <v>7577</v>
      </c>
      <c r="R4423" s="2" t="s">
        <v>29</v>
      </c>
      <c r="S4423" s="2" t="s">
        <v>30</v>
      </c>
    </row>
    <row r="4424" spans="1:19">
      <c r="A4424" s="1">
        <v>46113</v>
      </c>
      <c r="B4424" s="1">
        <v>46113</v>
      </c>
      <c r="C4424">
        <v>2026</v>
      </c>
      <c r="D4424">
        <v>4</v>
      </c>
      <c r="E4424" s="2" t="s">
        <v>232</v>
      </c>
      <c r="F4424" s="2" t="s">
        <v>233</v>
      </c>
      <c r="G4424" s="2" t="s">
        <v>21</v>
      </c>
      <c r="H4424" s="2" t="s">
        <v>22</v>
      </c>
      <c r="I4424" s="2" t="s">
        <v>23</v>
      </c>
      <c r="J4424" s="2" t="s">
        <v>24</v>
      </c>
      <c r="K4424">
        <v>1031.28</v>
      </c>
      <c r="L4424">
        <v>167522.85999999999</v>
      </c>
      <c r="M4424">
        <v>16244.17</v>
      </c>
      <c r="N4424" s="2" t="s">
        <v>234</v>
      </c>
      <c r="O4424" s="2" t="s">
        <v>235</v>
      </c>
      <c r="P4424" s="2" t="s">
        <v>7578</v>
      </c>
      <c r="Q4424" s="2" t="s">
        <v>7579</v>
      </c>
      <c r="R4424" s="2" t="s">
        <v>29</v>
      </c>
      <c r="S4424" s="2" t="s">
        <v>30</v>
      </c>
    </row>
    <row r="4425" spans="1:19">
      <c r="A4425" s="1">
        <v>46113</v>
      </c>
      <c r="B4425" s="1">
        <v>46113</v>
      </c>
      <c r="C4425">
        <v>2026</v>
      </c>
      <c r="D4425">
        <v>4</v>
      </c>
      <c r="E4425" s="2" t="s">
        <v>238</v>
      </c>
      <c r="F4425" s="2" t="s">
        <v>239</v>
      </c>
      <c r="G4425" s="2" t="s">
        <v>21</v>
      </c>
      <c r="H4425" s="2" t="s">
        <v>22</v>
      </c>
      <c r="I4425" s="2" t="s">
        <v>66</v>
      </c>
      <c r="J4425" s="2" t="s">
        <v>24</v>
      </c>
      <c r="K4425">
        <v>1883.26</v>
      </c>
      <c r="L4425">
        <v>240687</v>
      </c>
      <c r="M4425">
        <v>12780.34</v>
      </c>
      <c r="N4425" s="2" t="s">
        <v>240</v>
      </c>
      <c r="O4425" s="2" t="s">
        <v>241</v>
      </c>
      <c r="P4425" s="2" t="s">
        <v>7580</v>
      </c>
      <c r="Q4425" s="2" t="s">
        <v>7581</v>
      </c>
      <c r="R4425" s="2" t="s">
        <v>29</v>
      </c>
      <c r="S4425" s="2" t="s">
        <v>30</v>
      </c>
    </row>
    <row r="4426" spans="1:19">
      <c r="A4426" s="1">
        <v>46113</v>
      </c>
      <c r="B4426" s="1">
        <v>46113</v>
      </c>
      <c r="C4426">
        <v>2026</v>
      </c>
      <c r="D4426">
        <v>4</v>
      </c>
      <c r="E4426" s="2" t="s">
        <v>244</v>
      </c>
      <c r="F4426" s="2" t="s">
        <v>245</v>
      </c>
      <c r="G4426" s="2" t="s">
        <v>21</v>
      </c>
      <c r="H4426" s="2" t="s">
        <v>22</v>
      </c>
      <c r="I4426" s="2" t="s">
        <v>23</v>
      </c>
      <c r="J4426" s="2" t="s">
        <v>24</v>
      </c>
      <c r="K4426">
        <v>8330.4699999999993</v>
      </c>
      <c r="L4426">
        <v>4424471.09</v>
      </c>
      <c r="M4426">
        <v>53111.9</v>
      </c>
      <c r="N4426" s="2" t="s">
        <v>246</v>
      </c>
      <c r="O4426" s="2" t="s">
        <v>247</v>
      </c>
      <c r="P4426" s="2" t="s">
        <v>7582</v>
      </c>
      <c r="Q4426" s="2" t="s">
        <v>7583</v>
      </c>
      <c r="R4426" s="2" t="s">
        <v>29</v>
      </c>
      <c r="S4426" s="2" t="s">
        <v>30</v>
      </c>
    </row>
    <row r="4427" spans="1:19">
      <c r="A4427" s="1">
        <v>46113</v>
      </c>
      <c r="B4427" s="1">
        <v>46113</v>
      </c>
      <c r="C4427">
        <v>2026</v>
      </c>
      <c r="D4427">
        <v>4</v>
      </c>
      <c r="E4427" s="2" t="s">
        <v>250</v>
      </c>
      <c r="F4427" s="2" t="s">
        <v>251</v>
      </c>
      <c r="G4427" s="2" t="s">
        <v>21</v>
      </c>
      <c r="H4427" s="2" t="s">
        <v>22</v>
      </c>
      <c r="I4427" s="2" t="s">
        <v>66</v>
      </c>
      <c r="J4427" s="2" t="s">
        <v>24</v>
      </c>
      <c r="K4427">
        <v>126.56</v>
      </c>
      <c r="L4427">
        <v>178.28</v>
      </c>
      <c r="M4427">
        <v>140.87</v>
      </c>
      <c r="N4427" s="2" t="s">
        <v>252</v>
      </c>
      <c r="O4427" s="2" t="s">
        <v>253</v>
      </c>
      <c r="P4427" s="2" t="s">
        <v>7584</v>
      </c>
      <c r="Q4427" s="2" t="s">
        <v>7585</v>
      </c>
      <c r="R4427" s="2" t="s">
        <v>29</v>
      </c>
      <c r="S4427" s="2" t="s">
        <v>30</v>
      </c>
    </row>
    <row r="4428" spans="1:19">
      <c r="A4428" s="1">
        <v>46113</v>
      </c>
      <c r="B4428" s="1">
        <v>46113</v>
      </c>
      <c r="C4428">
        <v>2026</v>
      </c>
      <c r="D4428">
        <v>4</v>
      </c>
      <c r="E4428" s="2" t="s">
        <v>256</v>
      </c>
      <c r="F4428" s="2" t="s">
        <v>257</v>
      </c>
      <c r="G4428" s="2" t="s">
        <v>21</v>
      </c>
      <c r="H4428" s="2" t="s">
        <v>22</v>
      </c>
      <c r="I4428" s="2" t="s">
        <v>258</v>
      </c>
      <c r="J4428" s="2" t="s">
        <v>24</v>
      </c>
      <c r="K4428">
        <v>454.32</v>
      </c>
      <c r="L4428">
        <v>693189.64</v>
      </c>
      <c r="M4428">
        <v>152577.4</v>
      </c>
      <c r="N4428" s="2" t="s">
        <v>259</v>
      </c>
      <c r="O4428" s="2" t="s">
        <v>260</v>
      </c>
      <c r="P4428" s="2" t="s">
        <v>7586</v>
      </c>
      <c r="Q4428" s="2" t="s">
        <v>7587</v>
      </c>
      <c r="R4428" s="2" t="s">
        <v>29</v>
      </c>
      <c r="S4428" s="2" t="s">
        <v>30</v>
      </c>
    </row>
    <row r="4429" spans="1:19">
      <c r="A4429" s="1">
        <v>46113</v>
      </c>
      <c r="B4429" s="1">
        <v>46113</v>
      </c>
      <c r="C4429">
        <v>2026</v>
      </c>
      <c r="D4429">
        <v>4</v>
      </c>
      <c r="E4429" s="2" t="s">
        <v>263</v>
      </c>
      <c r="F4429" s="2" t="s">
        <v>264</v>
      </c>
      <c r="G4429" s="2" t="s">
        <v>21</v>
      </c>
      <c r="H4429" s="2" t="s">
        <v>22</v>
      </c>
      <c r="I4429" s="2" t="s">
        <v>258</v>
      </c>
      <c r="J4429" s="2" t="s">
        <v>24</v>
      </c>
      <c r="K4429">
        <v>0</v>
      </c>
      <c r="L4429">
        <v>0</v>
      </c>
      <c r="N4429" s="2" t="s">
        <v>265</v>
      </c>
      <c r="O4429" s="2" t="s">
        <v>266</v>
      </c>
      <c r="P4429" s="2" t="s">
        <v>639</v>
      </c>
      <c r="Q4429" s="2" t="s">
        <v>639</v>
      </c>
      <c r="R4429" s="2" t="s">
        <v>29</v>
      </c>
      <c r="S4429" s="2" t="s">
        <v>30</v>
      </c>
    </row>
    <row r="4430" spans="1:19">
      <c r="A4430" s="1">
        <v>46113</v>
      </c>
      <c r="B4430" s="1">
        <v>46113</v>
      </c>
      <c r="C4430">
        <v>2026</v>
      </c>
      <c r="D4430">
        <v>4</v>
      </c>
      <c r="E4430" s="2" t="s">
        <v>269</v>
      </c>
      <c r="F4430" s="2" t="s">
        <v>270</v>
      </c>
      <c r="G4430" s="2" t="s">
        <v>21</v>
      </c>
      <c r="H4430" s="2" t="s">
        <v>22</v>
      </c>
      <c r="I4430" s="2" t="s">
        <v>258</v>
      </c>
      <c r="J4430" s="2" t="s">
        <v>59</v>
      </c>
      <c r="K4430">
        <v>454.32</v>
      </c>
      <c r="L4430">
        <v>693189.64</v>
      </c>
      <c r="M4430">
        <v>152577.4</v>
      </c>
      <c r="N4430" s="2" t="s">
        <v>271</v>
      </c>
      <c r="O4430" s="2" t="s">
        <v>272</v>
      </c>
      <c r="P4430" s="2" t="s">
        <v>7586</v>
      </c>
      <c r="Q4430" s="2" t="s">
        <v>7587</v>
      </c>
      <c r="R4430" s="2" t="s">
        <v>29</v>
      </c>
      <c r="S4430" s="2" t="s">
        <v>30</v>
      </c>
    </row>
    <row r="4431" spans="1:19">
      <c r="A4431" s="1">
        <v>46113</v>
      </c>
      <c r="B4431" s="1">
        <v>46113</v>
      </c>
      <c r="C4431">
        <v>2026</v>
      </c>
      <c r="D4431">
        <v>4</v>
      </c>
      <c r="E4431" s="2" t="s">
        <v>275</v>
      </c>
      <c r="F4431" s="2" t="s">
        <v>276</v>
      </c>
      <c r="G4431" s="2" t="s">
        <v>39</v>
      </c>
      <c r="H4431" s="2" t="s">
        <v>22</v>
      </c>
      <c r="I4431" s="2" t="s">
        <v>40</v>
      </c>
      <c r="J4431" s="2" t="s">
        <v>24</v>
      </c>
      <c r="K4431">
        <v>0.08</v>
      </c>
      <c r="L4431">
        <v>1.51</v>
      </c>
      <c r="M4431">
        <v>1887.5</v>
      </c>
      <c r="N4431" s="2" t="s">
        <v>277</v>
      </c>
      <c r="O4431" s="2" t="s">
        <v>278</v>
      </c>
      <c r="P4431" s="2" t="s">
        <v>1393</v>
      </c>
      <c r="Q4431" s="2" t="s">
        <v>3659</v>
      </c>
      <c r="R4431" s="2" t="s">
        <v>29</v>
      </c>
      <c r="S4431" s="2" t="s">
        <v>30</v>
      </c>
    </row>
    <row r="4432" spans="1:19">
      <c r="A4432" s="1">
        <v>46113</v>
      </c>
      <c r="B4432" s="1">
        <v>46113</v>
      </c>
      <c r="C4432">
        <v>2026</v>
      </c>
      <c r="D4432">
        <v>4</v>
      </c>
      <c r="E4432" s="2" t="s">
        <v>281</v>
      </c>
      <c r="F4432" s="2" t="s">
        <v>282</v>
      </c>
      <c r="G4432" s="2" t="s">
        <v>39</v>
      </c>
      <c r="H4432" s="2" t="s">
        <v>22</v>
      </c>
      <c r="I4432" s="2" t="s">
        <v>40</v>
      </c>
      <c r="J4432" s="2" t="s">
        <v>24</v>
      </c>
      <c r="K4432">
        <v>0.03</v>
      </c>
      <c r="L4432">
        <v>0.41</v>
      </c>
      <c r="M4432">
        <v>1366.67</v>
      </c>
      <c r="N4432" s="2" t="s">
        <v>283</v>
      </c>
      <c r="O4432" s="2" t="s">
        <v>284</v>
      </c>
      <c r="P4432" s="2" t="s">
        <v>1247</v>
      </c>
      <c r="Q4432" s="2" t="s">
        <v>2036</v>
      </c>
      <c r="R4432" s="2" t="s">
        <v>29</v>
      </c>
      <c r="S4432" s="2" t="s">
        <v>30</v>
      </c>
    </row>
    <row r="4433" spans="1:19">
      <c r="A4433" s="1">
        <v>46113</v>
      </c>
      <c r="B4433" s="1">
        <v>46113</v>
      </c>
      <c r="C4433">
        <v>2026</v>
      </c>
      <c r="D4433">
        <v>4</v>
      </c>
      <c r="E4433" s="2" t="s">
        <v>287</v>
      </c>
      <c r="F4433" s="2" t="s">
        <v>288</v>
      </c>
      <c r="G4433" s="2" t="s">
        <v>39</v>
      </c>
      <c r="H4433" s="2" t="s">
        <v>22</v>
      </c>
      <c r="I4433" s="2" t="s">
        <v>40</v>
      </c>
      <c r="J4433" s="2" t="s">
        <v>59</v>
      </c>
      <c r="K4433">
        <v>0.11</v>
      </c>
      <c r="L4433">
        <v>1.92</v>
      </c>
      <c r="M4433">
        <v>1745.45</v>
      </c>
      <c r="N4433" s="2" t="s">
        <v>289</v>
      </c>
      <c r="O4433" s="2" t="s">
        <v>290</v>
      </c>
      <c r="P4433" s="2" t="s">
        <v>1291</v>
      </c>
      <c r="Q4433" s="2" t="s">
        <v>4011</v>
      </c>
      <c r="R4433" s="2" t="s">
        <v>29</v>
      </c>
      <c r="S4433" s="2" t="s">
        <v>30</v>
      </c>
    </row>
    <row r="4434" spans="1:19">
      <c r="A4434" s="1">
        <v>46113</v>
      </c>
      <c r="B4434" s="1">
        <v>46113</v>
      </c>
      <c r="C4434">
        <v>2026</v>
      </c>
      <c r="D4434">
        <v>4</v>
      </c>
      <c r="E4434" s="2" t="s">
        <v>293</v>
      </c>
      <c r="F4434" s="2" t="s">
        <v>294</v>
      </c>
      <c r="G4434" s="2" t="s">
        <v>21</v>
      </c>
      <c r="H4434" s="2" t="s">
        <v>22</v>
      </c>
      <c r="I4434" s="2" t="s">
        <v>295</v>
      </c>
      <c r="J4434" s="2" t="s">
        <v>24</v>
      </c>
      <c r="K4434">
        <v>995.17</v>
      </c>
      <c r="L4434">
        <v>4679.96</v>
      </c>
      <c r="M4434">
        <v>470.27</v>
      </c>
      <c r="N4434" s="2" t="s">
        <v>296</v>
      </c>
      <c r="O4434" s="2" t="s">
        <v>297</v>
      </c>
      <c r="P4434" s="2" t="s">
        <v>7588</v>
      </c>
      <c r="Q4434" s="2" t="s">
        <v>7589</v>
      </c>
      <c r="R4434" s="2" t="s">
        <v>29</v>
      </c>
      <c r="S4434" s="2" t="s">
        <v>30</v>
      </c>
    </row>
    <row r="4435" spans="1:19">
      <c r="A4435" s="1">
        <v>46113</v>
      </c>
      <c r="B4435" s="1">
        <v>46113</v>
      </c>
      <c r="C4435">
        <v>2026</v>
      </c>
      <c r="D4435">
        <v>4</v>
      </c>
      <c r="E4435" s="2" t="s">
        <v>300</v>
      </c>
      <c r="F4435" s="2" t="s">
        <v>301</v>
      </c>
      <c r="G4435" s="2" t="s">
        <v>21</v>
      </c>
      <c r="H4435" s="2" t="s">
        <v>22</v>
      </c>
      <c r="I4435" s="2" t="s">
        <v>295</v>
      </c>
      <c r="J4435" s="2" t="s">
        <v>24</v>
      </c>
      <c r="K4435">
        <v>809.55</v>
      </c>
      <c r="L4435">
        <v>1244.07</v>
      </c>
      <c r="M4435">
        <v>153.66999999999999</v>
      </c>
      <c r="N4435" s="2" t="s">
        <v>302</v>
      </c>
      <c r="O4435" s="2" t="s">
        <v>303</v>
      </c>
      <c r="P4435" s="2" t="s">
        <v>7590</v>
      </c>
      <c r="Q4435" s="2" t="s">
        <v>7591</v>
      </c>
      <c r="R4435" s="2" t="s">
        <v>29</v>
      </c>
      <c r="S4435" s="2" t="s">
        <v>30</v>
      </c>
    </row>
    <row r="4436" spans="1:19">
      <c r="A4436" s="1">
        <v>46113</v>
      </c>
      <c r="B4436" s="1">
        <v>46113</v>
      </c>
      <c r="C4436">
        <v>2026</v>
      </c>
      <c r="D4436">
        <v>4</v>
      </c>
      <c r="E4436" s="2" t="s">
        <v>306</v>
      </c>
      <c r="F4436" s="2" t="s">
        <v>307</v>
      </c>
      <c r="G4436" s="2" t="s">
        <v>21</v>
      </c>
      <c r="H4436" s="2" t="s">
        <v>22</v>
      </c>
      <c r="I4436" s="2" t="s">
        <v>295</v>
      </c>
      <c r="J4436" s="2" t="s">
        <v>101</v>
      </c>
      <c r="K4436">
        <v>1804.72</v>
      </c>
      <c r="L4436">
        <v>5924.03</v>
      </c>
      <c r="M4436">
        <v>328.25</v>
      </c>
      <c r="N4436" s="2" t="s">
        <v>308</v>
      </c>
      <c r="O4436" s="2" t="s">
        <v>309</v>
      </c>
      <c r="P4436" s="2" t="s">
        <v>7592</v>
      </c>
      <c r="Q4436" s="2" t="s">
        <v>7593</v>
      </c>
      <c r="R4436" s="2" t="s">
        <v>29</v>
      </c>
      <c r="S4436" s="2" t="s">
        <v>30</v>
      </c>
    </row>
    <row r="4437" spans="1:19">
      <c r="A4437" s="1">
        <v>46113</v>
      </c>
      <c r="B4437" s="1">
        <v>46113</v>
      </c>
      <c r="C4437">
        <v>2026</v>
      </c>
      <c r="D4437">
        <v>4</v>
      </c>
      <c r="E4437" s="2" t="s">
        <v>312</v>
      </c>
      <c r="F4437" s="2" t="s">
        <v>313</v>
      </c>
      <c r="G4437" s="2" t="s">
        <v>21</v>
      </c>
      <c r="H4437" s="2" t="s">
        <v>22</v>
      </c>
      <c r="I4437" s="2" t="s">
        <v>295</v>
      </c>
      <c r="J4437" s="2" t="s">
        <v>59</v>
      </c>
      <c r="K4437">
        <v>8573.06</v>
      </c>
      <c r="L4437">
        <v>28124.58</v>
      </c>
      <c r="M4437">
        <v>328.06</v>
      </c>
      <c r="N4437" s="2" t="s">
        <v>314</v>
      </c>
      <c r="O4437" s="2" t="s">
        <v>315</v>
      </c>
      <c r="P4437" s="2" t="s">
        <v>7594</v>
      </c>
      <c r="Q4437" s="2" t="s">
        <v>7595</v>
      </c>
      <c r="R4437" s="2" t="s">
        <v>29</v>
      </c>
      <c r="S4437" s="2" t="s">
        <v>30</v>
      </c>
    </row>
    <row r="4438" spans="1:19">
      <c r="A4438" s="1">
        <v>46113</v>
      </c>
      <c r="B4438" s="1">
        <v>46113</v>
      </c>
      <c r="C4438">
        <v>2026</v>
      </c>
      <c r="D4438">
        <v>4</v>
      </c>
      <c r="E4438" s="2" t="s">
        <v>318</v>
      </c>
      <c r="F4438" s="2" t="s">
        <v>319</v>
      </c>
      <c r="G4438" s="2" t="s">
        <v>21</v>
      </c>
      <c r="H4438" s="2" t="s">
        <v>22</v>
      </c>
      <c r="I4438" s="2" t="s">
        <v>295</v>
      </c>
      <c r="J4438" s="2" t="s">
        <v>24</v>
      </c>
      <c r="K4438">
        <v>6768.34</v>
      </c>
      <c r="L4438">
        <v>22200.55</v>
      </c>
      <c r="M4438">
        <v>328.01</v>
      </c>
      <c r="N4438" s="2" t="s">
        <v>320</v>
      </c>
      <c r="O4438" s="2" t="s">
        <v>321</v>
      </c>
      <c r="P4438" s="2" t="s">
        <v>7596</v>
      </c>
      <c r="Q4438" s="2" t="s">
        <v>7597</v>
      </c>
      <c r="R4438" s="2" t="s">
        <v>29</v>
      </c>
      <c r="S4438" s="2" t="s">
        <v>30</v>
      </c>
    </row>
    <row r="4439" spans="1:19">
      <c r="A4439" s="1">
        <v>46113</v>
      </c>
      <c r="B4439" s="1">
        <v>46113</v>
      </c>
      <c r="C4439">
        <v>2026</v>
      </c>
      <c r="D4439">
        <v>4</v>
      </c>
      <c r="E4439" s="2" t="s">
        <v>324</v>
      </c>
      <c r="F4439" s="2" t="s">
        <v>325</v>
      </c>
      <c r="G4439" s="2" t="s">
        <v>21</v>
      </c>
      <c r="H4439" s="2" t="s">
        <v>22</v>
      </c>
      <c r="I4439" s="2" t="s">
        <v>23</v>
      </c>
      <c r="J4439" s="2" t="s">
        <v>59</v>
      </c>
      <c r="K4439">
        <v>238826.91</v>
      </c>
      <c r="L4439">
        <v>8240532.9299999997</v>
      </c>
      <c r="M4439">
        <v>3450.42</v>
      </c>
      <c r="N4439" s="2" t="s">
        <v>326</v>
      </c>
      <c r="O4439" s="2" t="s">
        <v>327</v>
      </c>
      <c r="P4439" s="2" t="s">
        <v>7598</v>
      </c>
      <c r="Q4439" s="2" t="s">
        <v>7599</v>
      </c>
      <c r="R4439" s="2" t="s">
        <v>29</v>
      </c>
      <c r="S4439" s="2" t="s">
        <v>30</v>
      </c>
    </row>
    <row r="4440" spans="1:19">
      <c r="A4440" s="1">
        <v>46113</v>
      </c>
      <c r="B4440" s="1">
        <v>46113</v>
      </c>
      <c r="C4440">
        <v>2026</v>
      </c>
      <c r="D4440">
        <v>4</v>
      </c>
      <c r="E4440" s="2" t="s">
        <v>330</v>
      </c>
      <c r="F4440" s="2" t="s">
        <v>331</v>
      </c>
      <c r="G4440" s="2" t="s">
        <v>21</v>
      </c>
      <c r="H4440" s="2" t="s">
        <v>332</v>
      </c>
      <c r="I4440" s="2" t="s">
        <v>333</v>
      </c>
      <c r="J4440" s="2" t="s">
        <v>24</v>
      </c>
      <c r="K4440">
        <v>314.47000000000003</v>
      </c>
      <c r="L4440">
        <v>17613013.84</v>
      </c>
      <c r="M4440">
        <v>5600856.6299999999</v>
      </c>
      <c r="N4440" s="2" t="s">
        <v>334</v>
      </c>
      <c r="O4440" s="2" t="s">
        <v>335</v>
      </c>
      <c r="P4440" s="2" t="s">
        <v>7600</v>
      </c>
      <c r="Q4440" s="2" t="s">
        <v>7601</v>
      </c>
      <c r="R4440" s="2" t="s">
        <v>29</v>
      </c>
      <c r="S4440" s="2" t="s">
        <v>30</v>
      </c>
    </row>
    <row r="4441" spans="1:19">
      <c r="A4441" s="1">
        <v>46113</v>
      </c>
      <c r="B4441" s="1">
        <v>46113</v>
      </c>
      <c r="C4441">
        <v>2026</v>
      </c>
      <c r="D4441">
        <v>4</v>
      </c>
      <c r="E4441" s="2" t="s">
        <v>338</v>
      </c>
      <c r="F4441" s="2" t="s">
        <v>339</v>
      </c>
      <c r="G4441" s="2" t="s">
        <v>21</v>
      </c>
      <c r="H4441" s="2" t="s">
        <v>332</v>
      </c>
      <c r="I4441" s="2" t="s">
        <v>333</v>
      </c>
      <c r="J4441" s="2" t="s">
        <v>24</v>
      </c>
      <c r="K4441">
        <v>1.0900000000000001</v>
      </c>
      <c r="L4441">
        <v>1635575.71</v>
      </c>
      <c r="M4441">
        <v>150052817.43000001</v>
      </c>
      <c r="N4441" s="2" t="s">
        <v>340</v>
      </c>
      <c r="O4441" s="2" t="s">
        <v>341</v>
      </c>
      <c r="P4441" s="2" t="s">
        <v>512</v>
      </c>
      <c r="Q4441" s="2" t="s">
        <v>7602</v>
      </c>
      <c r="R4441" s="2" t="s">
        <v>29</v>
      </c>
      <c r="S4441" s="2" t="s">
        <v>30</v>
      </c>
    </row>
    <row r="4442" spans="1:19">
      <c r="A4442" s="1">
        <v>46113</v>
      </c>
      <c r="B4442" s="1">
        <v>46113</v>
      </c>
      <c r="C4442">
        <v>2026</v>
      </c>
      <c r="D4442">
        <v>4</v>
      </c>
      <c r="E4442" s="2" t="s">
        <v>344</v>
      </c>
      <c r="F4442" s="2" t="s">
        <v>345</v>
      </c>
      <c r="G4442" s="2" t="s">
        <v>21</v>
      </c>
      <c r="H4442" s="2" t="s">
        <v>332</v>
      </c>
      <c r="I4442" s="2" t="s">
        <v>333</v>
      </c>
      <c r="J4442" s="2" t="s">
        <v>59</v>
      </c>
      <c r="K4442">
        <v>315.56</v>
      </c>
      <c r="L4442">
        <v>19248589.559999999</v>
      </c>
      <c r="M4442">
        <v>6099819.2300000004</v>
      </c>
      <c r="N4442" s="2" t="s">
        <v>346</v>
      </c>
      <c r="O4442" s="2" t="s">
        <v>347</v>
      </c>
      <c r="P4442" s="2" t="s">
        <v>7603</v>
      </c>
      <c r="Q4442" s="2" t="s">
        <v>7604</v>
      </c>
      <c r="R4442" s="2" t="s">
        <v>29</v>
      </c>
      <c r="S4442" s="2" t="s">
        <v>30</v>
      </c>
    </row>
    <row r="4443" spans="1:19">
      <c r="A4443" s="1">
        <v>46113</v>
      </c>
      <c r="B4443" s="1">
        <v>46113</v>
      </c>
      <c r="C4443">
        <v>2026</v>
      </c>
      <c r="D4443">
        <v>4</v>
      </c>
      <c r="E4443" s="2" t="s">
        <v>350</v>
      </c>
      <c r="F4443" s="2" t="s">
        <v>351</v>
      </c>
      <c r="G4443" s="2" t="s">
        <v>21</v>
      </c>
      <c r="H4443" s="2" t="s">
        <v>22</v>
      </c>
      <c r="I4443" s="2" t="s">
        <v>352</v>
      </c>
      <c r="J4443" s="2" t="s">
        <v>353</v>
      </c>
      <c r="K4443">
        <v>256317.02</v>
      </c>
      <c r="L4443">
        <v>27993138.73</v>
      </c>
      <c r="M4443">
        <v>10921.3</v>
      </c>
      <c r="N4443" s="2" t="s">
        <v>354</v>
      </c>
      <c r="O4443" s="2" t="s">
        <v>355</v>
      </c>
      <c r="P4443" s="2" t="s">
        <v>7605</v>
      </c>
      <c r="Q4443" s="2" t="s">
        <v>7606</v>
      </c>
      <c r="R4443" s="2" t="s">
        <v>29</v>
      </c>
      <c r="S4443" s="2" t="s">
        <v>30</v>
      </c>
    </row>
    <row r="4444" spans="1:19">
      <c r="A4444" s="1">
        <v>46113</v>
      </c>
      <c r="B4444" s="1">
        <v>46113</v>
      </c>
      <c r="C4444">
        <v>2026</v>
      </c>
      <c r="D4444">
        <v>4</v>
      </c>
      <c r="E4444" s="2" t="s">
        <v>358</v>
      </c>
      <c r="F4444" s="2" t="s">
        <v>359</v>
      </c>
      <c r="G4444" s="2" t="s">
        <v>21</v>
      </c>
      <c r="H4444" s="2" t="s">
        <v>22</v>
      </c>
      <c r="I4444" s="2" t="s">
        <v>352</v>
      </c>
      <c r="J4444" s="2" t="s">
        <v>353</v>
      </c>
      <c r="K4444">
        <v>256771.34</v>
      </c>
      <c r="L4444">
        <v>28686328.370000001</v>
      </c>
      <c r="M4444">
        <v>11171.94</v>
      </c>
      <c r="N4444" s="2" t="s">
        <v>360</v>
      </c>
      <c r="O4444" s="2" t="s">
        <v>361</v>
      </c>
      <c r="P4444" s="2" t="s">
        <v>7607</v>
      </c>
      <c r="Q4444" s="2" t="s">
        <v>7608</v>
      </c>
      <c r="R4444" s="2" t="s">
        <v>29</v>
      </c>
      <c r="S4444" s="2" t="s">
        <v>30</v>
      </c>
    </row>
    <row r="4445" spans="1:19">
      <c r="A4445" s="1">
        <v>46113</v>
      </c>
      <c r="B4445" s="1">
        <v>46113</v>
      </c>
      <c r="C4445">
        <v>2026</v>
      </c>
      <c r="D4445">
        <v>4</v>
      </c>
      <c r="E4445" s="2" t="s">
        <v>364</v>
      </c>
      <c r="F4445" s="2" t="s">
        <v>365</v>
      </c>
      <c r="G4445" s="2" t="s">
        <v>21</v>
      </c>
      <c r="H4445" s="2" t="s">
        <v>22</v>
      </c>
      <c r="I4445" s="2" t="s">
        <v>352</v>
      </c>
      <c r="J4445" s="2" t="s">
        <v>353</v>
      </c>
      <c r="K4445">
        <v>256455.78</v>
      </c>
      <c r="L4445">
        <v>9437738.8200000003</v>
      </c>
      <c r="M4445">
        <v>3680.06</v>
      </c>
      <c r="N4445" s="2" t="s">
        <v>366</v>
      </c>
      <c r="O4445" s="2" t="s">
        <v>367</v>
      </c>
      <c r="P4445" s="2" t="s">
        <v>7609</v>
      </c>
      <c r="Q4445" s="2" t="s">
        <v>7610</v>
      </c>
      <c r="R4445" s="2" t="s">
        <v>29</v>
      </c>
      <c r="S4445" s="2" t="s">
        <v>30</v>
      </c>
    </row>
    <row r="4446" spans="1:19">
      <c r="A4446" s="1">
        <v>46113</v>
      </c>
      <c r="B4446" s="1">
        <v>46113</v>
      </c>
      <c r="C4446">
        <v>2026</v>
      </c>
      <c r="D4446">
        <v>4</v>
      </c>
      <c r="E4446" s="2" t="s">
        <v>370</v>
      </c>
      <c r="F4446" s="2" t="s">
        <v>371</v>
      </c>
      <c r="G4446" s="2" t="s">
        <v>21</v>
      </c>
      <c r="H4446" s="2" t="s">
        <v>22</v>
      </c>
      <c r="I4446" s="2" t="s">
        <v>23</v>
      </c>
      <c r="J4446" s="2" t="s">
        <v>24</v>
      </c>
      <c r="K4446">
        <v>223467.97</v>
      </c>
      <c r="L4446">
        <v>2902988.05</v>
      </c>
      <c r="M4446">
        <v>1299.06</v>
      </c>
      <c r="N4446" s="2" t="s">
        <v>372</v>
      </c>
      <c r="O4446" s="2" t="s">
        <v>373</v>
      </c>
      <c r="P4446" s="2" t="s">
        <v>7611</v>
      </c>
      <c r="Q4446" s="2" t="s">
        <v>7612</v>
      </c>
      <c r="R4446" s="2" t="s">
        <v>29</v>
      </c>
      <c r="S4446" s="2" t="s">
        <v>30</v>
      </c>
    </row>
    <row r="4447" spans="1:19">
      <c r="A4447" s="1">
        <v>46113</v>
      </c>
      <c r="B4447" s="1">
        <v>46113</v>
      </c>
      <c r="C4447">
        <v>2026</v>
      </c>
      <c r="D4447">
        <v>4</v>
      </c>
      <c r="E4447" s="2" t="s">
        <v>376</v>
      </c>
      <c r="F4447" s="2" t="s">
        <v>377</v>
      </c>
      <c r="G4447" s="2" t="s">
        <v>21</v>
      </c>
      <c r="H4447" s="2" t="s">
        <v>22</v>
      </c>
      <c r="I4447" s="2" t="s">
        <v>23</v>
      </c>
      <c r="J4447" s="2" t="s">
        <v>378</v>
      </c>
      <c r="K4447">
        <v>1.1499999999999999</v>
      </c>
      <c r="L4447">
        <v>11.9</v>
      </c>
      <c r="M4447">
        <v>1034.78</v>
      </c>
      <c r="N4447" s="2" t="s">
        <v>379</v>
      </c>
      <c r="O4447" s="2" t="s">
        <v>380</v>
      </c>
      <c r="P4447" s="2" t="s">
        <v>3814</v>
      </c>
      <c r="Q4447" s="2" t="s">
        <v>7613</v>
      </c>
      <c r="R4447" s="2" t="s">
        <v>29</v>
      </c>
      <c r="S4447" s="2" t="s">
        <v>30</v>
      </c>
    </row>
    <row r="4448" spans="1:19">
      <c r="A4448" s="1">
        <v>46143</v>
      </c>
      <c r="B4448" s="1">
        <v>46143</v>
      </c>
      <c r="C4448">
        <v>2026</v>
      </c>
      <c r="D4448">
        <v>5</v>
      </c>
      <c r="E4448" s="2" t="s">
        <v>19</v>
      </c>
      <c r="F4448" s="2" t="s">
        <v>20</v>
      </c>
      <c r="G4448" s="2" t="s">
        <v>21</v>
      </c>
      <c r="H4448" s="2" t="s">
        <v>22</v>
      </c>
      <c r="I4448" s="2" t="s">
        <v>23</v>
      </c>
      <c r="J4448" s="2" t="s">
        <v>24</v>
      </c>
      <c r="K4448">
        <v>0.24</v>
      </c>
      <c r="L4448">
        <v>14.27</v>
      </c>
      <c r="M4448">
        <v>5945.83</v>
      </c>
      <c r="N4448" s="2" t="s">
        <v>25</v>
      </c>
      <c r="O4448" s="2" t="s">
        <v>26</v>
      </c>
      <c r="P4448" s="2" t="s">
        <v>1650</v>
      </c>
      <c r="Q4448" s="2" t="s">
        <v>1429</v>
      </c>
      <c r="R4448" s="2" t="s">
        <v>29</v>
      </c>
      <c r="S4448" s="2" t="s">
        <v>30</v>
      </c>
    </row>
    <row r="4449" spans="1:19">
      <c r="A4449" s="1">
        <v>46143</v>
      </c>
      <c r="B4449" s="1">
        <v>46143</v>
      </c>
      <c r="C4449">
        <v>2026</v>
      </c>
      <c r="D4449">
        <v>5</v>
      </c>
      <c r="E4449" s="2" t="s">
        <v>31</v>
      </c>
      <c r="F4449" s="2" t="s">
        <v>32</v>
      </c>
      <c r="G4449" s="2" t="s">
        <v>21</v>
      </c>
      <c r="H4449" s="2" t="s">
        <v>22</v>
      </c>
      <c r="I4449" s="2" t="s">
        <v>23</v>
      </c>
      <c r="J4449" s="2" t="s">
        <v>24</v>
      </c>
      <c r="K4449">
        <v>2048.4</v>
      </c>
      <c r="L4449">
        <v>62137.27</v>
      </c>
      <c r="M4449">
        <v>3033.45</v>
      </c>
      <c r="N4449" s="2" t="s">
        <v>33</v>
      </c>
      <c r="O4449" s="2" t="s">
        <v>34</v>
      </c>
      <c r="P4449" s="2" t="s">
        <v>7614</v>
      </c>
      <c r="Q4449" s="2" t="s">
        <v>7615</v>
      </c>
      <c r="R4449" s="2" t="s">
        <v>29</v>
      </c>
      <c r="S4449" s="2" t="s">
        <v>30</v>
      </c>
    </row>
    <row r="4450" spans="1:19">
      <c r="A4450" s="1">
        <v>46143</v>
      </c>
      <c r="B4450" s="1">
        <v>46143</v>
      </c>
      <c r="C4450">
        <v>2026</v>
      </c>
      <c r="D4450">
        <v>5</v>
      </c>
      <c r="E4450" s="2" t="s">
        <v>37</v>
      </c>
      <c r="F4450" s="2" t="s">
        <v>38</v>
      </c>
      <c r="G4450" s="2" t="s">
        <v>39</v>
      </c>
      <c r="H4450" s="2" t="s">
        <v>22</v>
      </c>
      <c r="I4450" s="2" t="s">
        <v>40</v>
      </c>
      <c r="J4450" s="2" t="s">
        <v>24</v>
      </c>
      <c r="K4450">
        <v>6.42</v>
      </c>
      <c r="L4450">
        <v>366.42</v>
      </c>
      <c r="M4450">
        <v>5707.48</v>
      </c>
      <c r="N4450" s="2" t="s">
        <v>41</v>
      </c>
      <c r="O4450" s="2" t="s">
        <v>42</v>
      </c>
      <c r="P4450" s="2" t="s">
        <v>5078</v>
      </c>
      <c r="Q4450" s="2" t="s">
        <v>7616</v>
      </c>
      <c r="R4450" s="2" t="s">
        <v>29</v>
      </c>
      <c r="S4450" s="2" t="s">
        <v>30</v>
      </c>
    </row>
    <row r="4451" spans="1:19">
      <c r="A4451" s="1">
        <v>46143</v>
      </c>
      <c r="B4451" s="1">
        <v>46143</v>
      </c>
      <c r="C4451">
        <v>2026</v>
      </c>
      <c r="D4451">
        <v>5</v>
      </c>
      <c r="E4451" s="2" t="s">
        <v>45</v>
      </c>
      <c r="F4451" s="2" t="s">
        <v>46</v>
      </c>
      <c r="G4451" s="2" t="s">
        <v>39</v>
      </c>
      <c r="H4451" s="2" t="s">
        <v>22</v>
      </c>
      <c r="I4451" s="2" t="s">
        <v>40</v>
      </c>
      <c r="J4451" s="2" t="s">
        <v>24</v>
      </c>
      <c r="K4451">
        <v>4152.55</v>
      </c>
      <c r="L4451">
        <v>230088.48</v>
      </c>
      <c r="M4451">
        <v>5540.9</v>
      </c>
      <c r="N4451" s="2" t="s">
        <v>47</v>
      </c>
      <c r="O4451" s="2" t="s">
        <v>48</v>
      </c>
      <c r="P4451" s="2" t="s">
        <v>7617</v>
      </c>
      <c r="Q4451" s="2" t="s">
        <v>7618</v>
      </c>
      <c r="R4451" s="2" t="s">
        <v>29</v>
      </c>
      <c r="S4451" s="2" t="s">
        <v>30</v>
      </c>
    </row>
    <row r="4452" spans="1:19">
      <c r="A4452" s="1">
        <v>46143</v>
      </c>
      <c r="B4452" s="1">
        <v>46143</v>
      </c>
      <c r="C4452">
        <v>2026</v>
      </c>
      <c r="D4452">
        <v>5</v>
      </c>
      <c r="E4452" s="2" t="s">
        <v>51</v>
      </c>
      <c r="F4452" s="2" t="s">
        <v>52</v>
      </c>
      <c r="G4452" s="2" t="s">
        <v>39</v>
      </c>
      <c r="H4452" s="2" t="s">
        <v>22</v>
      </c>
      <c r="I4452" s="2" t="s">
        <v>40</v>
      </c>
      <c r="J4452" s="2" t="s">
        <v>24</v>
      </c>
      <c r="K4452">
        <v>17.43</v>
      </c>
      <c r="L4452">
        <v>885.32</v>
      </c>
      <c r="M4452">
        <v>5079.29</v>
      </c>
      <c r="N4452" s="2" t="s">
        <v>53</v>
      </c>
      <c r="O4452" s="2" t="s">
        <v>54</v>
      </c>
      <c r="P4452" s="2" t="s">
        <v>7619</v>
      </c>
      <c r="Q4452" s="2" t="s">
        <v>7620</v>
      </c>
      <c r="R4452" s="2" t="s">
        <v>29</v>
      </c>
      <c r="S4452" s="2" t="s">
        <v>30</v>
      </c>
    </row>
    <row r="4453" spans="1:19">
      <c r="A4453" s="1">
        <v>46143</v>
      </c>
      <c r="B4453" s="1">
        <v>46143</v>
      </c>
      <c r="C4453">
        <v>2026</v>
      </c>
      <c r="D4453">
        <v>5</v>
      </c>
      <c r="E4453" s="2" t="s">
        <v>57</v>
      </c>
      <c r="F4453" s="2" t="s">
        <v>58</v>
      </c>
      <c r="G4453" s="2" t="s">
        <v>39</v>
      </c>
      <c r="H4453" s="2" t="s">
        <v>22</v>
      </c>
      <c r="I4453" s="2" t="s">
        <v>40</v>
      </c>
      <c r="J4453" s="2" t="s">
        <v>59</v>
      </c>
      <c r="K4453">
        <v>4176.3900000000003</v>
      </c>
      <c r="L4453">
        <v>231340.23</v>
      </c>
      <c r="M4453">
        <v>5539.24</v>
      </c>
      <c r="N4453" s="2" t="s">
        <v>60</v>
      </c>
      <c r="O4453" s="2" t="s">
        <v>61</v>
      </c>
      <c r="P4453" s="2" t="s">
        <v>7621</v>
      </c>
      <c r="Q4453" s="2" t="s">
        <v>7622</v>
      </c>
      <c r="R4453" s="2" t="s">
        <v>29</v>
      </c>
      <c r="S4453" s="2" t="s">
        <v>30</v>
      </c>
    </row>
    <row r="4454" spans="1:19">
      <c r="A4454" s="1">
        <v>46143</v>
      </c>
      <c r="B4454" s="1">
        <v>46143</v>
      </c>
      <c r="C4454">
        <v>2026</v>
      </c>
      <c r="D4454">
        <v>5</v>
      </c>
      <c r="E4454" s="2" t="s">
        <v>64</v>
      </c>
      <c r="F4454" s="2" t="s">
        <v>65</v>
      </c>
      <c r="G4454" s="2" t="s">
        <v>21</v>
      </c>
      <c r="H4454" s="2" t="s">
        <v>22</v>
      </c>
      <c r="I4454" s="2" t="s">
        <v>66</v>
      </c>
      <c r="J4454" s="2" t="s">
        <v>24</v>
      </c>
      <c r="K4454">
        <v>27.29</v>
      </c>
      <c r="L4454">
        <v>967.79</v>
      </c>
      <c r="M4454">
        <v>3546.32</v>
      </c>
      <c r="N4454" s="2" t="s">
        <v>67</v>
      </c>
      <c r="O4454" s="2" t="s">
        <v>68</v>
      </c>
      <c r="P4454" s="2" t="s">
        <v>7623</v>
      </c>
      <c r="Q4454" s="2" t="s">
        <v>7624</v>
      </c>
      <c r="R4454" s="2" t="s">
        <v>29</v>
      </c>
      <c r="S4454" s="2" t="s">
        <v>30</v>
      </c>
    </row>
    <row r="4455" spans="1:19">
      <c r="A4455" s="1">
        <v>46143</v>
      </c>
      <c r="B4455" s="1">
        <v>46143</v>
      </c>
      <c r="C4455">
        <v>2026</v>
      </c>
      <c r="D4455">
        <v>5</v>
      </c>
      <c r="E4455" s="2" t="s">
        <v>71</v>
      </c>
      <c r="F4455" s="2" t="s">
        <v>72</v>
      </c>
      <c r="G4455" s="2" t="s">
        <v>21</v>
      </c>
      <c r="H4455" s="2" t="s">
        <v>22</v>
      </c>
      <c r="I4455" s="2" t="s">
        <v>73</v>
      </c>
      <c r="J4455" s="2" t="s">
        <v>59</v>
      </c>
      <c r="K4455">
        <v>6953.63</v>
      </c>
      <c r="L4455">
        <v>238162.51</v>
      </c>
      <c r="M4455">
        <v>3425.01</v>
      </c>
      <c r="N4455" s="2" t="s">
        <v>74</v>
      </c>
      <c r="O4455" s="2" t="s">
        <v>75</v>
      </c>
      <c r="P4455" s="2" t="s">
        <v>7625</v>
      </c>
      <c r="Q4455" s="2" t="s">
        <v>7626</v>
      </c>
      <c r="R4455" s="2" t="s">
        <v>29</v>
      </c>
      <c r="S4455" s="2" t="s">
        <v>30</v>
      </c>
    </row>
    <row r="4456" spans="1:19">
      <c r="A4456" s="1">
        <v>46143</v>
      </c>
      <c r="B4456" s="1">
        <v>46143</v>
      </c>
      <c r="C4456">
        <v>2026</v>
      </c>
      <c r="D4456">
        <v>5</v>
      </c>
      <c r="E4456" s="2" t="s">
        <v>78</v>
      </c>
      <c r="F4456" s="2" t="s">
        <v>79</v>
      </c>
      <c r="G4456" s="2" t="s">
        <v>80</v>
      </c>
      <c r="H4456" s="2" t="s">
        <v>81</v>
      </c>
      <c r="I4456" s="2" t="s">
        <v>82</v>
      </c>
      <c r="J4456" s="2" t="s">
        <v>24</v>
      </c>
      <c r="K4456">
        <v>2.96</v>
      </c>
      <c r="L4456">
        <v>12462095.76</v>
      </c>
      <c r="M4456">
        <v>421016748.64999998</v>
      </c>
      <c r="N4456" s="2" t="s">
        <v>83</v>
      </c>
      <c r="O4456" s="2" t="s">
        <v>84</v>
      </c>
      <c r="P4456" s="2" t="s">
        <v>7627</v>
      </c>
      <c r="Q4456" s="2" t="s">
        <v>7628</v>
      </c>
      <c r="R4456" s="2" t="s">
        <v>29</v>
      </c>
      <c r="S4456" s="2" t="s">
        <v>30</v>
      </c>
    </row>
    <row r="4457" spans="1:19">
      <c r="A4457" s="1">
        <v>46143</v>
      </c>
      <c r="B4457" s="1">
        <v>46143</v>
      </c>
      <c r="C4457">
        <v>2026</v>
      </c>
      <c r="D4457">
        <v>5</v>
      </c>
      <c r="E4457" s="2" t="s">
        <v>87</v>
      </c>
      <c r="F4457" s="2" t="s">
        <v>88</v>
      </c>
      <c r="G4457" s="2" t="s">
        <v>80</v>
      </c>
      <c r="H4457" s="2" t="s">
        <v>81</v>
      </c>
      <c r="I4457" s="2" t="s">
        <v>82</v>
      </c>
      <c r="J4457" s="2" t="s">
        <v>24</v>
      </c>
      <c r="K4457">
        <v>1.03</v>
      </c>
      <c r="L4457">
        <v>1254908.05</v>
      </c>
      <c r="M4457">
        <v>121835733.01000001</v>
      </c>
      <c r="N4457" s="2" t="s">
        <v>89</v>
      </c>
      <c r="O4457" s="2" t="s">
        <v>90</v>
      </c>
      <c r="P4457" s="2" t="s">
        <v>1628</v>
      </c>
      <c r="Q4457" s="2" t="s">
        <v>7629</v>
      </c>
      <c r="R4457" s="2" t="s">
        <v>29</v>
      </c>
      <c r="S4457" s="2" t="s">
        <v>30</v>
      </c>
    </row>
    <row r="4458" spans="1:19">
      <c r="A4458" s="1">
        <v>46143</v>
      </c>
      <c r="B4458" s="1">
        <v>46143</v>
      </c>
      <c r="C4458">
        <v>2026</v>
      </c>
      <c r="D4458">
        <v>5</v>
      </c>
      <c r="E4458" s="2" t="s">
        <v>93</v>
      </c>
      <c r="F4458" s="2" t="s">
        <v>94</v>
      </c>
      <c r="G4458" s="2" t="s">
        <v>80</v>
      </c>
      <c r="H4458" s="2" t="s">
        <v>81</v>
      </c>
      <c r="I4458" s="2" t="s">
        <v>82</v>
      </c>
      <c r="J4458" s="2" t="s">
        <v>24</v>
      </c>
      <c r="K4458">
        <v>0.43</v>
      </c>
      <c r="L4458">
        <v>6790220.2199999997</v>
      </c>
      <c r="M4458">
        <v>1579120981.4000001</v>
      </c>
      <c r="N4458" s="2" t="s">
        <v>95</v>
      </c>
      <c r="O4458" s="2" t="s">
        <v>96</v>
      </c>
      <c r="P4458" s="2" t="s">
        <v>5121</v>
      </c>
      <c r="Q4458" s="2" t="s">
        <v>7630</v>
      </c>
      <c r="R4458" s="2" t="s">
        <v>29</v>
      </c>
      <c r="S4458" s="2" t="s">
        <v>30</v>
      </c>
    </row>
    <row r="4459" spans="1:19">
      <c r="A4459" s="1">
        <v>46143</v>
      </c>
      <c r="B4459" s="1">
        <v>46143</v>
      </c>
      <c r="C4459">
        <v>2026</v>
      </c>
      <c r="D4459">
        <v>5</v>
      </c>
      <c r="E4459" s="2" t="s">
        <v>99</v>
      </c>
      <c r="F4459" s="2" t="s">
        <v>100</v>
      </c>
      <c r="G4459" s="2" t="s">
        <v>80</v>
      </c>
      <c r="H4459" s="2" t="s">
        <v>81</v>
      </c>
      <c r="I4459" s="2" t="s">
        <v>82</v>
      </c>
      <c r="J4459" s="2" t="s">
        <v>101</v>
      </c>
      <c r="K4459">
        <v>1.71</v>
      </c>
      <c r="L4459">
        <v>18071699.670000002</v>
      </c>
      <c r="M4459">
        <v>1056824542.11</v>
      </c>
      <c r="N4459" s="2" t="s">
        <v>102</v>
      </c>
      <c r="O4459" s="2" t="s">
        <v>103</v>
      </c>
      <c r="P4459" s="2" t="s">
        <v>938</v>
      </c>
      <c r="Q4459" s="2" t="s">
        <v>7631</v>
      </c>
      <c r="R4459" s="2" t="s">
        <v>29</v>
      </c>
      <c r="S4459" s="2" t="s">
        <v>30</v>
      </c>
    </row>
    <row r="4460" spans="1:19">
      <c r="A4460" s="1">
        <v>46143</v>
      </c>
      <c r="B4460" s="1">
        <v>46143</v>
      </c>
      <c r="C4460">
        <v>2026</v>
      </c>
      <c r="D4460">
        <v>5</v>
      </c>
      <c r="E4460" s="2" t="s">
        <v>106</v>
      </c>
      <c r="F4460" s="2" t="s">
        <v>107</v>
      </c>
      <c r="G4460" s="2" t="s">
        <v>80</v>
      </c>
      <c r="H4460" s="2" t="s">
        <v>81</v>
      </c>
      <c r="I4460" s="2" t="s">
        <v>82</v>
      </c>
      <c r="J4460" s="2" t="s">
        <v>24</v>
      </c>
      <c r="K4460">
        <v>0.25</v>
      </c>
      <c r="L4460">
        <v>10026571.4</v>
      </c>
      <c r="M4460">
        <v>4010628560</v>
      </c>
      <c r="N4460" s="2" t="s">
        <v>108</v>
      </c>
      <c r="O4460" s="2" t="s">
        <v>109</v>
      </c>
      <c r="P4460" s="2" t="s">
        <v>876</v>
      </c>
      <c r="Q4460" s="2" t="s">
        <v>7632</v>
      </c>
      <c r="R4460" s="2" t="s">
        <v>29</v>
      </c>
      <c r="S4460" s="2" t="s">
        <v>30</v>
      </c>
    </row>
    <row r="4461" spans="1:19">
      <c r="A4461" s="1">
        <v>46143</v>
      </c>
      <c r="B4461" s="1">
        <v>46143</v>
      </c>
      <c r="C4461">
        <v>2026</v>
      </c>
      <c r="D4461">
        <v>5</v>
      </c>
      <c r="E4461" s="2" t="s">
        <v>111</v>
      </c>
      <c r="F4461" s="2" t="s">
        <v>112</v>
      </c>
      <c r="G4461" s="2" t="s">
        <v>80</v>
      </c>
      <c r="H4461" s="2" t="s">
        <v>81</v>
      </c>
      <c r="I4461" s="2" t="s">
        <v>82</v>
      </c>
      <c r="J4461" s="2" t="s">
        <v>24</v>
      </c>
      <c r="K4461">
        <v>0.21</v>
      </c>
      <c r="L4461">
        <v>1591590.65</v>
      </c>
      <c r="M4461">
        <v>757900309.51999998</v>
      </c>
      <c r="N4461" s="2" t="s">
        <v>113</v>
      </c>
      <c r="O4461" s="2" t="s">
        <v>114</v>
      </c>
      <c r="P4461" s="2" t="s">
        <v>403</v>
      </c>
      <c r="Q4461" s="2" t="s">
        <v>7633</v>
      </c>
      <c r="R4461" s="2" t="s">
        <v>29</v>
      </c>
      <c r="S4461" s="2" t="s">
        <v>30</v>
      </c>
    </row>
    <row r="4462" spans="1:19">
      <c r="A4462" s="1">
        <v>46143</v>
      </c>
      <c r="B4462" s="1">
        <v>46143</v>
      </c>
      <c r="C4462">
        <v>2026</v>
      </c>
      <c r="D4462">
        <v>5</v>
      </c>
      <c r="E4462" s="2" t="s">
        <v>117</v>
      </c>
      <c r="F4462" s="2" t="s">
        <v>118</v>
      </c>
      <c r="G4462" s="2" t="s">
        <v>80</v>
      </c>
      <c r="H4462" s="2" t="s">
        <v>81</v>
      </c>
      <c r="I4462" s="2" t="s">
        <v>82</v>
      </c>
      <c r="J4462" s="2" t="s">
        <v>59</v>
      </c>
      <c r="K4462">
        <v>4.87</v>
      </c>
      <c r="L4462">
        <v>32125386.079999998</v>
      </c>
      <c r="M4462">
        <v>659658851.75</v>
      </c>
      <c r="N4462" s="2" t="s">
        <v>119</v>
      </c>
      <c r="O4462" s="2" t="s">
        <v>120</v>
      </c>
      <c r="P4462" s="2" t="s">
        <v>1495</v>
      </c>
      <c r="Q4462" s="2" t="s">
        <v>7634</v>
      </c>
      <c r="R4462" s="2" t="s">
        <v>29</v>
      </c>
      <c r="S4462" s="2" t="s">
        <v>30</v>
      </c>
    </row>
    <row r="4463" spans="1:19">
      <c r="A4463" s="1">
        <v>46143</v>
      </c>
      <c r="B4463" s="1">
        <v>46143</v>
      </c>
      <c r="C4463">
        <v>2026</v>
      </c>
      <c r="D4463">
        <v>5</v>
      </c>
      <c r="E4463" s="2" t="s">
        <v>123</v>
      </c>
      <c r="F4463" s="2" t="s">
        <v>124</v>
      </c>
      <c r="G4463" s="2" t="s">
        <v>21</v>
      </c>
      <c r="H4463" s="2" t="s">
        <v>22</v>
      </c>
      <c r="I4463" s="2" t="s">
        <v>73</v>
      </c>
      <c r="J4463" s="2" t="s">
        <v>24</v>
      </c>
      <c r="K4463">
        <v>3051.38</v>
      </c>
      <c r="L4463">
        <v>126646.94</v>
      </c>
      <c r="M4463">
        <v>4150.4799999999996</v>
      </c>
      <c r="N4463" s="2" t="s">
        <v>125</v>
      </c>
      <c r="O4463" s="2" t="s">
        <v>126</v>
      </c>
      <c r="P4463" s="2" t="s">
        <v>7635</v>
      </c>
      <c r="Q4463" s="2" t="s">
        <v>7636</v>
      </c>
      <c r="R4463" s="2" t="s">
        <v>29</v>
      </c>
      <c r="S4463" s="2" t="s">
        <v>30</v>
      </c>
    </row>
    <row r="4464" spans="1:19">
      <c r="A4464" s="1">
        <v>46143</v>
      </c>
      <c r="B4464" s="1">
        <v>46143</v>
      </c>
      <c r="C4464">
        <v>2026</v>
      </c>
      <c r="D4464">
        <v>5</v>
      </c>
      <c r="E4464" s="2" t="s">
        <v>129</v>
      </c>
      <c r="F4464" s="2" t="s">
        <v>130</v>
      </c>
      <c r="G4464" s="2" t="s">
        <v>21</v>
      </c>
      <c r="H4464" s="2" t="s">
        <v>22</v>
      </c>
      <c r="I4464" s="2" t="s">
        <v>73</v>
      </c>
      <c r="J4464" s="2" t="s">
        <v>24</v>
      </c>
      <c r="K4464">
        <v>2903.64</v>
      </c>
      <c r="L4464">
        <v>76095.13</v>
      </c>
      <c r="M4464">
        <v>2620.6799999999998</v>
      </c>
      <c r="N4464" s="2" t="s">
        <v>131</v>
      </c>
      <c r="O4464" s="2" t="s">
        <v>132</v>
      </c>
      <c r="P4464" s="2" t="s">
        <v>7637</v>
      </c>
      <c r="Q4464" s="2" t="s">
        <v>7638</v>
      </c>
      <c r="R4464" s="2" t="s">
        <v>29</v>
      </c>
      <c r="S4464" s="2" t="s">
        <v>30</v>
      </c>
    </row>
    <row r="4465" spans="1:19">
      <c r="A4465" s="1">
        <v>46143</v>
      </c>
      <c r="B4465" s="1">
        <v>46143</v>
      </c>
      <c r="C4465">
        <v>2026</v>
      </c>
      <c r="D4465">
        <v>5</v>
      </c>
      <c r="E4465" s="2" t="s">
        <v>135</v>
      </c>
      <c r="F4465" s="2" t="s">
        <v>136</v>
      </c>
      <c r="G4465" s="2" t="s">
        <v>21</v>
      </c>
      <c r="H4465" s="2" t="s">
        <v>22</v>
      </c>
      <c r="I4465" s="2" t="s">
        <v>73</v>
      </c>
      <c r="J4465" s="2" t="s">
        <v>101</v>
      </c>
      <c r="K4465">
        <v>5955.02</v>
      </c>
      <c r="L4465">
        <v>202742.07</v>
      </c>
      <c r="M4465">
        <v>3404.56</v>
      </c>
      <c r="N4465" s="2" t="s">
        <v>137</v>
      </c>
      <c r="O4465" s="2" t="s">
        <v>138</v>
      </c>
      <c r="P4465" s="2" t="s">
        <v>7639</v>
      </c>
      <c r="Q4465" s="2" t="s">
        <v>7640</v>
      </c>
      <c r="R4465" s="2" t="s">
        <v>29</v>
      </c>
      <c r="S4465" s="2" t="s">
        <v>30</v>
      </c>
    </row>
    <row r="4466" spans="1:19">
      <c r="A4466" s="1">
        <v>46143</v>
      </c>
      <c r="B4466" s="1">
        <v>46143</v>
      </c>
      <c r="C4466">
        <v>2026</v>
      </c>
      <c r="D4466">
        <v>5</v>
      </c>
      <c r="E4466" s="2" t="s">
        <v>141</v>
      </c>
      <c r="F4466" s="2" t="s">
        <v>142</v>
      </c>
      <c r="G4466" s="2" t="s">
        <v>21</v>
      </c>
      <c r="H4466" s="2" t="s">
        <v>22</v>
      </c>
      <c r="I4466" s="2" t="s">
        <v>73</v>
      </c>
      <c r="J4466" s="2" t="s">
        <v>24</v>
      </c>
      <c r="K4466">
        <v>260.83</v>
      </c>
      <c r="L4466">
        <v>13233.35</v>
      </c>
      <c r="M4466">
        <v>5073.55</v>
      </c>
      <c r="N4466" s="2" t="s">
        <v>143</v>
      </c>
      <c r="O4466" s="2" t="s">
        <v>144</v>
      </c>
      <c r="P4466" s="2" t="s">
        <v>7641</v>
      </c>
      <c r="Q4466" s="2" t="s">
        <v>7642</v>
      </c>
      <c r="R4466" s="2" t="s">
        <v>29</v>
      </c>
      <c r="S4466" s="2" t="s">
        <v>30</v>
      </c>
    </row>
    <row r="4467" spans="1:19">
      <c r="A4467" s="1">
        <v>46143</v>
      </c>
      <c r="B4467" s="1">
        <v>46143</v>
      </c>
      <c r="C4467">
        <v>2026</v>
      </c>
      <c r="D4467">
        <v>5</v>
      </c>
      <c r="E4467" s="2" t="s">
        <v>147</v>
      </c>
      <c r="F4467" s="2" t="s">
        <v>148</v>
      </c>
      <c r="G4467" s="2" t="s">
        <v>21</v>
      </c>
      <c r="H4467" s="2" t="s">
        <v>22</v>
      </c>
      <c r="I4467" s="2" t="s">
        <v>73</v>
      </c>
      <c r="J4467" s="2" t="s">
        <v>24</v>
      </c>
      <c r="K4467">
        <v>737.79</v>
      </c>
      <c r="L4467">
        <v>22187.09</v>
      </c>
      <c r="M4467">
        <v>3007.24</v>
      </c>
      <c r="N4467" s="2" t="s">
        <v>149</v>
      </c>
      <c r="O4467" s="2" t="s">
        <v>150</v>
      </c>
      <c r="P4467" s="2" t="s">
        <v>7643</v>
      </c>
      <c r="Q4467" s="2" t="s">
        <v>7644</v>
      </c>
      <c r="R4467" s="2" t="s">
        <v>29</v>
      </c>
      <c r="S4467" s="2" t="s">
        <v>30</v>
      </c>
    </row>
    <row r="4468" spans="1:19">
      <c r="A4468" s="1">
        <v>46143</v>
      </c>
      <c r="B4468" s="1">
        <v>46143</v>
      </c>
      <c r="C4468">
        <v>2026</v>
      </c>
      <c r="D4468">
        <v>5</v>
      </c>
      <c r="E4468" s="2" t="s">
        <v>153</v>
      </c>
      <c r="F4468" s="2" t="s">
        <v>154</v>
      </c>
      <c r="G4468" s="2" t="s">
        <v>21</v>
      </c>
      <c r="H4468" s="2" t="s">
        <v>22</v>
      </c>
      <c r="I4468" s="2" t="s">
        <v>73</v>
      </c>
      <c r="J4468" s="2" t="s">
        <v>101</v>
      </c>
      <c r="K4468">
        <v>998.62</v>
      </c>
      <c r="L4468">
        <v>35420.44</v>
      </c>
      <c r="M4468">
        <v>3546.94</v>
      </c>
      <c r="N4468" s="2" t="s">
        <v>155</v>
      </c>
      <c r="O4468" s="2" t="s">
        <v>156</v>
      </c>
      <c r="P4468" s="2" t="s">
        <v>7645</v>
      </c>
      <c r="Q4468" s="2" t="s">
        <v>7646</v>
      </c>
      <c r="R4468" s="2" t="s">
        <v>29</v>
      </c>
      <c r="S4468" s="2" t="s">
        <v>30</v>
      </c>
    </row>
    <row r="4469" spans="1:19">
      <c r="A4469" s="1">
        <v>46143</v>
      </c>
      <c r="B4469" s="1">
        <v>46143</v>
      </c>
      <c r="C4469">
        <v>2026</v>
      </c>
      <c r="D4469">
        <v>5</v>
      </c>
      <c r="E4469" s="2" t="s">
        <v>159</v>
      </c>
      <c r="F4469" s="2" t="s">
        <v>160</v>
      </c>
      <c r="G4469" s="2" t="s">
        <v>21</v>
      </c>
      <c r="H4469" s="2" t="s">
        <v>22</v>
      </c>
      <c r="I4469" s="2" t="s">
        <v>66</v>
      </c>
      <c r="J4469" s="2" t="s">
        <v>59</v>
      </c>
      <c r="K4469">
        <v>2087.7399999999998</v>
      </c>
      <c r="L4469">
        <v>247007.13</v>
      </c>
      <c r="M4469">
        <v>11831.32</v>
      </c>
      <c r="N4469" s="2" t="s">
        <v>161</v>
      </c>
      <c r="O4469" s="2" t="s">
        <v>162</v>
      </c>
      <c r="P4469" s="2" t="s">
        <v>7647</v>
      </c>
      <c r="Q4469" s="2" t="s">
        <v>7648</v>
      </c>
      <c r="R4469" s="2" t="s">
        <v>29</v>
      </c>
      <c r="S4469" s="2" t="s">
        <v>30</v>
      </c>
    </row>
    <row r="4470" spans="1:19">
      <c r="A4470" s="1">
        <v>46143</v>
      </c>
      <c r="B4470" s="1">
        <v>46143</v>
      </c>
      <c r="C4470">
        <v>2026</v>
      </c>
      <c r="D4470">
        <v>5</v>
      </c>
      <c r="E4470" s="2" t="s">
        <v>165</v>
      </c>
      <c r="F4470" s="2" t="s">
        <v>166</v>
      </c>
      <c r="G4470" s="2" t="s">
        <v>21</v>
      </c>
      <c r="H4470" s="2" t="s">
        <v>22</v>
      </c>
      <c r="I4470" s="2" t="s">
        <v>23</v>
      </c>
      <c r="J4470" s="2" t="s">
        <v>24</v>
      </c>
      <c r="K4470">
        <v>0</v>
      </c>
      <c r="L4470">
        <v>0</v>
      </c>
      <c r="N4470" s="2" t="s">
        <v>167</v>
      </c>
      <c r="O4470" s="2" t="s">
        <v>168</v>
      </c>
      <c r="P4470" s="2" t="s">
        <v>639</v>
      </c>
      <c r="Q4470" s="2" t="s">
        <v>639</v>
      </c>
      <c r="R4470" s="2" t="s">
        <v>29</v>
      </c>
      <c r="S4470" s="2" t="s">
        <v>30</v>
      </c>
    </row>
    <row r="4471" spans="1:19">
      <c r="A4471" s="1">
        <v>46143</v>
      </c>
      <c r="B4471" s="1">
        <v>46143</v>
      </c>
      <c r="C4471">
        <v>2026</v>
      </c>
      <c r="D4471">
        <v>5</v>
      </c>
      <c r="E4471" s="2" t="s">
        <v>171</v>
      </c>
      <c r="F4471" s="2" t="s">
        <v>172</v>
      </c>
      <c r="G4471" s="2" t="s">
        <v>21</v>
      </c>
      <c r="H4471" s="2" t="s">
        <v>22</v>
      </c>
      <c r="I4471" s="2" t="s">
        <v>66</v>
      </c>
      <c r="J4471" s="2" t="s">
        <v>24</v>
      </c>
      <c r="K4471">
        <v>0</v>
      </c>
      <c r="L4471">
        <v>0</v>
      </c>
      <c r="N4471" s="2" t="s">
        <v>173</v>
      </c>
      <c r="O4471" s="2" t="s">
        <v>174</v>
      </c>
      <c r="P4471" s="2" t="s">
        <v>639</v>
      </c>
      <c r="Q4471" s="2" t="s">
        <v>639</v>
      </c>
      <c r="R4471" s="2" t="s">
        <v>29</v>
      </c>
      <c r="S4471" s="2" t="s">
        <v>30</v>
      </c>
    </row>
    <row r="4472" spans="1:19">
      <c r="A4472" s="1">
        <v>46143</v>
      </c>
      <c r="B4472" s="1">
        <v>46143</v>
      </c>
      <c r="C4472">
        <v>2026</v>
      </c>
      <c r="D4472">
        <v>5</v>
      </c>
      <c r="E4472" s="2" t="s">
        <v>177</v>
      </c>
      <c r="F4472" s="2" t="s">
        <v>178</v>
      </c>
      <c r="G4472" s="2" t="s">
        <v>21</v>
      </c>
      <c r="H4472" s="2" t="s">
        <v>22</v>
      </c>
      <c r="I4472" s="2" t="s">
        <v>23</v>
      </c>
      <c r="J4472" s="2" t="s">
        <v>24</v>
      </c>
      <c r="K4472">
        <v>3580.97</v>
      </c>
      <c r="L4472">
        <v>695701.33</v>
      </c>
      <c r="M4472">
        <v>19427.73</v>
      </c>
      <c r="N4472" s="2" t="s">
        <v>179</v>
      </c>
      <c r="O4472" s="2" t="s">
        <v>180</v>
      </c>
      <c r="P4472" s="2" t="s">
        <v>7649</v>
      </c>
      <c r="Q4472" s="2" t="s">
        <v>7650</v>
      </c>
      <c r="R4472" s="2" t="s">
        <v>29</v>
      </c>
      <c r="S4472" s="2" t="s">
        <v>30</v>
      </c>
    </row>
    <row r="4473" spans="1:19">
      <c r="A4473" s="1">
        <v>46143</v>
      </c>
      <c r="B4473" s="1">
        <v>46143</v>
      </c>
      <c r="C4473">
        <v>2026</v>
      </c>
      <c r="D4473">
        <v>5</v>
      </c>
      <c r="E4473" s="2" t="s">
        <v>183</v>
      </c>
      <c r="F4473" s="2" t="s">
        <v>184</v>
      </c>
      <c r="G4473" s="2" t="s">
        <v>185</v>
      </c>
      <c r="H4473" s="2" t="s">
        <v>22</v>
      </c>
      <c r="I4473" s="2" t="s">
        <v>186</v>
      </c>
      <c r="J4473" s="2" t="s">
        <v>24</v>
      </c>
      <c r="K4473">
        <v>2466.02</v>
      </c>
      <c r="L4473">
        <v>6055576.0899999999</v>
      </c>
      <c r="M4473">
        <v>245560.7</v>
      </c>
      <c r="N4473" s="2" t="s">
        <v>187</v>
      </c>
      <c r="O4473" s="2" t="s">
        <v>188</v>
      </c>
      <c r="P4473" s="2" t="s">
        <v>7651</v>
      </c>
      <c r="Q4473" s="2" t="s">
        <v>7652</v>
      </c>
      <c r="R4473" s="2" t="s">
        <v>29</v>
      </c>
      <c r="S4473" s="2" t="s">
        <v>30</v>
      </c>
    </row>
    <row r="4474" spans="1:19">
      <c r="A4474" s="1">
        <v>46143</v>
      </c>
      <c r="B4474" s="1">
        <v>46143</v>
      </c>
      <c r="C4474">
        <v>2026</v>
      </c>
      <c r="D4474">
        <v>5</v>
      </c>
      <c r="E4474" s="2" t="s">
        <v>191</v>
      </c>
      <c r="F4474" s="2" t="s">
        <v>192</v>
      </c>
      <c r="G4474" s="2" t="s">
        <v>185</v>
      </c>
      <c r="H4474" s="2" t="s">
        <v>22</v>
      </c>
      <c r="I4474" s="2" t="s">
        <v>186</v>
      </c>
      <c r="J4474" s="2" t="s">
        <v>24</v>
      </c>
      <c r="K4474">
        <v>629.91999999999996</v>
      </c>
      <c r="L4474">
        <v>5181064.01</v>
      </c>
      <c r="M4474">
        <v>822495.56</v>
      </c>
      <c r="N4474" s="2" t="s">
        <v>193</v>
      </c>
      <c r="O4474" s="2" t="s">
        <v>194</v>
      </c>
      <c r="P4474" s="2" t="s">
        <v>7653</v>
      </c>
      <c r="Q4474" s="2" t="s">
        <v>7654</v>
      </c>
      <c r="R4474" s="2" t="s">
        <v>29</v>
      </c>
      <c r="S4474" s="2" t="s">
        <v>30</v>
      </c>
    </row>
    <row r="4475" spans="1:19">
      <c r="A4475" s="1">
        <v>46143</v>
      </c>
      <c r="B4475" s="1">
        <v>46143</v>
      </c>
      <c r="C4475">
        <v>2026</v>
      </c>
      <c r="D4475">
        <v>5</v>
      </c>
      <c r="E4475" s="2" t="s">
        <v>197</v>
      </c>
      <c r="F4475" s="2" t="s">
        <v>198</v>
      </c>
      <c r="G4475" s="2" t="s">
        <v>185</v>
      </c>
      <c r="H4475" s="2" t="s">
        <v>22</v>
      </c>
      <c r="I4475" s="2" t="s">
        <v>186</v>
      </c>
      <c r="J4475" s="2" t="s">
        <v>59</v>
      </c>
      <c r="K4475">
        <v>3095.94</v>
      </c>
      <c r="L4475">
        <v>11236640.1</v>
      </c>
      <c r="M4475">
        <v>362947.61</v>
      </c>
      <c r="N4475" s="2" t="s">
        <v>199</v>
      </c>
      <c r="O4475" s="2" t="s">
        <v>200</v>
      </c>
      <c r="P4475" s="2" t="s">
        <v>7655</v>
      </c>
      <c r="Q4475" s="2" t="s">
        <v>7656</v>
      </c>
      <c r="R4475" s="2" t="s">
        <v>29</v>
      </c>
      <c r="S4475" s="2" t="s">
        <v>30</v>
      </c>
    </row>
    <row r="4476" spans="1:19">
      <c r="A4476" s="1">
        <v>46143</v>
      </c>
      <c r="B4476" s="1">
        <v>46143</v>
      </c>
      <c r="C4476">
        <v>2026</v>
      </c>
      <c r="D4476">
        <v>5</v>
      </c>
      <c r="E4476" s="2" t="s">
        <v>203</v>
      </c>
      <c r="F4476" s="2" t="s">
        <v>204</v>
      </c>
      <c r="G4476" s="2" t="s">
        <v>39</v>
      </c>
      <c r="H4476" s="2" t="s">
        <v>22</v>
      </c>
      <c r="I4476" s="2" t="s">
        <v>40</v>
      </c>
      <c r="J4476" s="2" t="s">
        <v>24</v>
      </c>
      <c r="K4476">
        <v>844.66</v>
      </c>
      <c r="L4476">
        <v>23729.32</v>
      </c>
      <c r="M4476">
        <v>2809.33</v>
      </c>
      <c r="N4476" s="2" t="s">
        <v>205</v>
      </c>
      <c r="O4476" s="2" t="s">
        <v>206</v>
      </c>
      <c r="P4476" s="2" t="s">
        <v>7657</v>
      </c>
      <c r="Q4476" s="2" t="s">
        <v>7658</v>
      </c>
      <c r="R4476" s="2" t="s">
        <v>29</v>
      </c>
      <c r="S4476" s="2" t="s">
        <v>30</v>
      </c>
    </row>
    <row r="4477" spans="1:19">
      <c r="A4477" s="1">
        <v>46143</v>
      </c>
      <c r="B4477" s="1">
        <v>46143</v>
      </c>
      <c r="C4477">
        <v>2026</v>
      </c>
      <c r="D4477">
        <v>5</v>
      </c>
      <c r="E4477" s="2" t="s">
        <v>209</v>
      </c>
      <c r="F4477" s="2" t="s">
        <v>210</v>
      </c>
      <c r="G4477" s="2" t="s">
        <v>39</v>
      </c>
      <c r="H4477" s="2" t="s">
        <v>22</v>
      </c>
      <c r="I4477" s="2" t="s">
        <v>40</v>
      </c>
      <c r="J4477" s="2" t="s">
        <v>59</v>
      </c>
      <c r="K4477">
        <v>844.66</v>
      </c>
      <c r="L4477">
        <v>23729.32</v>
      </c>
      <c r="M4477">
        <v>2809.33</v>
      </c>
      <c r="N4477" s="2" t="s">
        <v>211</v>
      </c>
      <c r="O4477" s="2" t="s">
        <v>212</v>
      </c>
      <c r="P4477" s="2" t="s">
        <v>7657</v>
      </c>
      <c r="Q4477" s="2" t="s">
        <v>7658</v>
      </c>
      <c r="R4477" s="2" t="s">
        <v>29</v>
      </c>
      <c r="S4477" s="2" t="s">
        <v>30</v>
      </c>
    </row>
    <row r="4478" spans="1:19">
      <c r="A4478" s="1">
        <v>46143</v>
      </c>
      <c r="B4478" s="1">
        <v>46143</v>
      </c>
      <c r="C4478">
        <v>2026</v>
      </c>
      <c r="D4478">
        <v>5</v>
      </c>
      <c r="E4478" s="2" t="s">
        <v>213</v>
      </c>
      <c r="F4478" s="2" t="s">
        <v>214</v>
      </c>
      <c r="G4478" s="2" t="s">
        <v>185</v>
      </c>
      <c r="H4478" s="2" t="s">
        <v>22</v>
      </c>
      <c r="I4478" s="2" t="s">
        <v>215</v>
      </c>
      <c r="J4478" s="2" t="s">
        <v>24</v>
      </c>
      <c r="K4478">
        <v>188215.03</v>
      </c>
      <c r="L4478">
        <v>3246782.21</v>
      </c>
      <c r="M4478">
        <v>1725.04</v>
      </c>
      <c r="N4478" s="2" t="s">
        <v>216</v>
      </c>
      <c r="O4478" s="2" t="s">
        <v>217</v>
      </c>
      <c r="P4478" s="2" t="s">
        <v>7659</v>
      </c>
      <c r="Q4478" s="2" t="s">
        <v>7660</v>
      </c>
      <c r="R4478" s="2" t="s">
        <v>29</v>
      </c>
      <c r="S4478" s="2" t="s">
        <v>30</v>
      </c>
    </row>
    <row r="4479" spans="1:19">
      <c r="A4479" s="1">
        <v>46143</v>
      </c>
      <c r="B4479" s="1">
        <v>46143</v>
      </c>
      <c r="C4479">
        <v>2026</v>
      </c>
      <c r="D4479">
        <v>5</v>
      </c>
      <c r="E4479" s="2" t="s">
        <v>220</v>
      </c>
      <c r="F4479" s="2" t="s">
        <v>221</v>
      </c>
      <c r="G4479" s="2" t="s">
        <v>185</v>
      </c>
      <c r="H4479" s="2" t="s">
        <v>22</v>
      </c>
      <c r="I4479" s="2" t="s">
        <v>215</v>
      </c>
      <c r="J4479" s="2" t="s">
        <v>24</v>
      </c>
      <c r="K4479">
        <v>10985.43</v>
      </c>
      <c r="L4479">
        <v>704119.78</v>
      </c>
      <c r="M4479">
        <v>6409.58</v>
      </c>
      <c r="N4479" s="2" t="s">
        <v>222</v>
      </c>
      <c r="O4479" s="2" t="s">
        <v>223</v>
      </c>
      <c r="P4479" s="2" t="s">
        <v>7661</v>
      </c>
      <c r="Q4479" s="2" t="s">
        <v>7662</v>
      </c>
      <c r="R4479" s="2" t="s">
        <v>29</v>
      </c>
      <c r="S4479" s="2" t="s">
        <v>30</v>
      </c>
    </row>
    <row r="4480" spans="1:19">
      <c r="A4480" s="1">
        <v>46143</v>
      </c>
      <c r="B4480" s="1">
        <v>46143</v>
      </c>
      <c r="C4480">
        <v>2026</v>
      </c>
      <c r="D4480">
        <v>5</v>
      </c>
      <c r="E4480" s="2" t="s">
        <v>226</v>
      </c>
      <c r="F4480" s="2" t="s">
        <v>227</v>
      </c>
      <c r="G4480" s="2" t="s">
        <v>185</v>
      </c>
      <c r="H4480" s="2" t="s">
        <v>22</v>
      </c>
      <c r="I4480" s="2" t="s">
        <v>215</v>
      </c>
      <c r="J4480" s="2" t="s">
        <v>59</v>
      </c>
      <c r="K4480">
        <v>199200.46</v>
      </c>
      <c r="L4480">
        <v>3950901.99</v>
      </c>
      <c r="M4480">
        <v>1983.38</v>
      </c>
      <c r="N4480" s="2" t="s">
        <v>228</v>
      </c>
      <c r="O4480" s="2" t="s">
        <v>229</v>
      </c>
      <c r="P4480" s="2" t="s">
        <v>7663</v>
      </c>
      <c r="Q4480" s="2" t="s">
        <v>7664</v>
      </c>
      <c r="R4480" s="2" t="s">
        <v>29</v>
      </c>
      <c r="S4480" s="2" t="s">
        <v>30</v>
      </c>
    </row>
    <row r="4481" spans="1:19">
      <c r="A4481" s="1">
        <v>46143</v>
      </c>
      <c r="B4481" s="1">
        <v>46143</v>
      </c>
      <c r="C4481">
        <v>2026</v>
      </c>
      <c r="D4481">
        <v>5</v>
      </c>
      <c r="E4481" s="2" t="s">
        <v>232</v>
      </c>
      <c r="F4481" s="2" t="s">
        <v>233</v>
      </c>
      <c r="G4481" s="2" t="s">
        <v>21</v>
      </c>
      <c r="H4481" s="2" t="s">
        <v>22</v>
      </c>
      <c r="I4481" s="2" t="s">
        <v>23</v>
      </c>
      <c r="J4481" s="2" t="s">
        <v>24</v>
      </c>
      <c r="K4481">
        <v>740.5</v>
      </c>
      <c r="L4481">
        <v>154627.84</v>
      </c>
      <c r="M4481">
        <v>20881.54</v>
      </c>
      <c r="N4481" s="2" t="s">
        <v>234</v>
      </c>
      <c r="O4481" s="2" t="s">
        <v>235</v>
      </c>
      <c r="P4481" s="2" t="s">
        <v>7665</v>
      </c>
      <c r="Q4481" s="2" t="s">
        <v>7666</v>
      </c>
      <c r="R4481" s="2" t="s">
        <v>29</v>
      </c>
      <c r="S4481" s="2" t="s">
        <v>30</v>
      </c>
    </row>
    <row r="4482" spans="1:19">
      <c r="A4482" s="1">
        <v>46143</v>
      </c>
      <c r="B4482" s="1">
        <v>46143</v>
      </c>
      <c r="C4482">
        <v>2026</v>
      </c>
      <c r="D4482">
        <v>5</v>
      </c>
      <c r="E4482" s="2" t="s">
        <v>238</v>
      </c>
      <c r="F4482" s="2" t="s">
        <v>239</v>
      </c>
      <c r="G4482" s="2" t="s">
        <v>21</v>
      </c>
      <c r="H4482" s="2" t="s">
        <v>22</v>
      </c>
      <c r="I4482" s="2" t="s">
        <v>66</v>
      </c>
      <c r="J4482" s="2" t="s">
        <v>24</v>
      </c>
      <c r="K4482">
        <v>1897.25</v>
      </c>
      <c r="L4482">
        <v>245849.1</v>
      </c>
      <c r="M4482">
        <v>12958.18</v>
      </c>
      <c r="N4482" s="2" t="s">
        <v>240</v>
      </c>
      <c r="O4482" s="2" t="s">
        <v>241</v>
      </c>
      <c r="P4482" s="2" t="s">
        <v>7667</v>
      </c>
      <c r="Q4482" s="2" t="s">
        <v>7668</v>
      </c>
      <c r="R4482" s="2" t="s">
        <v>29</v>
      </c>
      <c r="S4482" s="2" t="s">
        <v>30</v>
      </c>
    </row>
    <row r="4483" spans="1:19">
      <c r="A4483" s="1">
        <v>46143</v>
      </c>
      <c r="B4483" s="1">
        <v>46143</v>
      </c>
      <c r="C4483">
        <v>2026</v>
      </c>
      <c r="D4483">
        <v>5</v>
      </c>
      <c r="E4483" s="2" t="s">
        <v>244</v>
      </c>
      <c r="F4483" s="2" t="s">
        <v>245</v>
      </c>
      <c r="G4483" s="2" t="s">
        <v>21</v>
      </c>
      <c r="H4483" s="2" t="s">
        <v>22</v>
      </c>
      <c r="I4483" s="2" t="s">
        <v>23</v>
      </c>
      <c r="J4483" s="2" t="s">
        <v>24</v>
      </c>
      <c r="K4483">
        <v>8496.2900000000009</v>
      </c>
      <c r="L4483">
        <v>4232611.3600000003</v>
      </c>
      <c r="M4483">
        <v>49817.17</v>
      </c>
      <c r="N4483" s="2" t="s">
        <v>246</v>
      </c>
      <c r="O4483" s="2" t="s">
        <v>247</v>
      </c>
      <c r="P4483" s="2" t="s">
        <v>7669</v>
      </c>
      <c r="Q4483" s="2" t="s">
        <v>7670</v>
      </c>
      <c r="R4483" s="2" t="s">
        <v>29</v>
      </c>
      <c r="S4483" s="2" t="s">
        <v>30</v>
      </c>
    </row>
    <row r="4484" spans="1:19">
      <c r="A4484" s="1">
        <v>46143</v>
      </c>
      <c r="B4484" s="1">
        <v>46143</v>
      </c>
      <c r="C4484">
        <v>2026</v>
      </c>
      <c r="D4484">
        <v>5</v>
      </c>
      <c r="E4484" s="2" t="s">
        <v>250</v>
      </c>
      <c r="F4484" s="2" t="s">
        <v>251</v>
      </c>
      <c r="G4484" s="2" t="s">
        <v>21</v>
      </c>
      <c r="H4484" s="2" t="s">
        <v>22</v>
      </c>
      <c r="I4484" s="2" t="s">
        <v>66</v>
      </c>
      <c r="J4484" s="2" t="s">
        <v>24</v>
      </c>
      <c r="K4484">
        <v>163.19999999999999</v>
      </c>
      <c r="L4484">
        <v>190.24</v>
      </c>
      <c r="M4484">
        <v>116.57</v>
      </c>
      <c r="N4484" s="2" t="s">
        <v>252</v>
      </c>
      <c r="O4484" s="2" t="s">
        <v>253</v>
      </c>
      <c r="P4484" s="2" t="s">
        <v>7671</v>
      </c>
      <c r="Q4484" s="2" t="s">
        <v>7672</v>
      </c>
      <c r="R4484" s="2" t="s">
        <v>29</v>
      </c>
      <c r="S4484" s="2" t="s">
        <v>30</v>
      </c>
    </row>
    <row r="4485" spans="1:19">
      <c r="A4485" s="1">
        <v>46143</v>
      </c>
      <c r="B4485" s="1">
        <v>46143</v>
      </c>
      <c r="C4485">
        <v>2026</v>
      </c>
      <c r="D4485">
        <v>5</v>
      </c>
      <c r="E4485" s="2" t="s">
        <v>256</v>
      </c>
      <c r="F4485" s="2" t="s">
        <v>257</v>
      </c>
      <c r="G4485" s="2" t="s">
        <v>21</v>
      </c>
      <c r="H4485" s="2" t="s">
        <v>22</v>
      </c>
      <c r="I4485" s="2" t="s">
        <v>258</v>
      </c>
      <c r="J4485" s="2" t="s">
        <v>24</v>
      </c>
      <c r="K4485">
        <v>419.39</v>
      </c>
      <c r="L4485">
        <v>596835.27</v>
      </c>
      <c r="M4485">
        <v>142310.32</v>
      </c>
      <c r="N4485" s="2" t="s">
        <v>259</v>
      </c>
      <c r="O4485" s="2" t="s">
        <v>260</v>
      </c>
      <c r="P4485" s="2" t="s">
        <v>7673</v>
      </c>
      <c r="Q4485" s="2" t="s">
        <v>7674</v>
      </c>
      <c r="R4485" s="2" t="s">
        <v>29</v>
      </c>
      <c r="S4485" s="2" t="s">
        <v>30</v>
      </c>
    </row>
    <row r="4486" spans="1:19">
      <c r="A4486" s="1">
        <v>46143</v>
      </c>
      <c r="B4486" s="1">
        <v>46143</v>
      </c>
      <c r="C4486">
        <v>2026</v>
      </c>
      <c r="D4486">
        <v>5</v>
      </c>
      <c r="E4486" s="2" t="s">
        <v>263</v>
      </c>
      <c r="F4486" s="2" t="s">
        <v>264</v>
      </c>
      <c r="G4486" s="2" t="s">
        <v>21</v>
      </c>
      <c r="H4486" s="2" t="s">
        <v>22</v>
      </c>
      <c r="I4486" s="2" t="s">
        <v>258</v>
      </c>
      <c r="J4486" s="2" t="s">
        <v>24</v>
      </c>
      <c r="K4486">
        <v>0</v>
      </c>
      <c r="L4486">
        <v>0</v>
      </c>
      <c r="N4486" s="2" t="s">
        <v>265</v>
      </c>
      <c r="O4486" s="2" t="s">
        <v>266</v>
      </c>
      <c r="P4486" s="2" t="s">
        <v>639</v>
      </c>
      <c r="Q4486" s="2" t="s">
        <v>639</v>
      </c>
      <c r="R4486" s="2" t="s">
        <v>29</v>
      </c>
      <c r="S4486" s="2" t="s">
        <v>30</v>
      </c>
    </row>
    <row r="4487" spans="1:19">
      <c r="A4487" s="1">
        <v>46143</v>
      </c>
      <c r="B4487" s="1">
        <v>46143</v>
      </c>
      <c r="C4487">
        <v>2026</v>
      </c>
      <c r="D4487">
        <v>5</v>
      </c>
      <c r="E4487" s="2" t="s">
        <v>269</v>
      </c>
      <c r="F4487" s="2" t="s">
        <v>270</v>
      </c>
      <c r="G4487" s="2" t="s">
        <v>21</v>
      </c>
      <c r="H4487" s="2" t="s">
        <v>22</v>
      </c>
      <c r="I4487" s="2" t="s">
        <v>258</v>
      </c>
      <c r="J4487" s="2" t="s">
        <v>59</v>
      </c>
      <c r="K4487">
        <v>419.39</v>
      </c>
      <c r="L4487">
        <v>596835.27</v>
      </c>
      <c r="M4487">
        <v>142310.32</v>
      </c>
      <c r="N4487" s="2" t="s">
        <v>271</v>
      </c>
      <c r="O4487" s="2" t="s">
        <v>272</v>
      </c>
      <c r="P4487" s="2" t="s">
        <v>7673</v>
      </c>
      <c r="Q4487" s="2" t="s">
        <v>7674</v>
      </c>
      <c r="R4487" s="2" t="s">
        <v>29</v>
      </c>
      <c r="S4487" s="2" t="s">
        <v>30</v>
      </c>
    </row>
    <row r="4488" spans="1:19">
      <c r="A4488" s="1">
        <v>46143</v>
      </c>
      <c r="B4488" s="1">
        <v>46143</v>
      </c>
      <c r="C4488">
        <v>2026</v>
      </c>
      <c r="D4488">
        <v>5</v>
      </c>
      <c r="E4488" s="2" t="s">
        <v>275</v>
      </c>
      <c r="F4488" s="2" t="s">
        <v>276</v>
      </c>
      <c r="G4488" s="2" t="s">
        <v>39</v>
      </c>
      <c r="H4488" s="2" t="s">
        <v>22</v>
      </c>
      <c r="I4488" s="2" t="s">
        <v>40</v>
      </c>
      <c r="J4488" s="2" t="s">
        <v>24</v>
      </c>
      <c r="K4488">
        <v>0.08</v>
      </c>
      <c r="L4488">
        <v>1.48</v>
      </c>
      <c r="M4488">
        <v>1850</v>
      </c>
      <c r="N4488" s="2" t="s">
        <v>277</v>
      </c>
      <c r="O4488" s="2" t="s">
        <v>278</v>
      </c>
      <c r="P4488" s="2" t="s">
        <v>1393</v>
      </c>
      <c r="Q4488" s="2" t="s">
        <v>2420</v>
      </c>
      <c r="R4488" s="2" t="s">
        <v>29</v>
      </c>
      <c r="S4488" s="2" t="s">
        <v>30</v>
      </c>
    </row>
    <row r="4489" spans="1:19">
      <c r="A4489" s="1">
        <v>46143</v>
      </c>
      <c r="B4489" s="1">
        <v>46143</v>
      </c>
      <c r="C4489">
        <v>2026</v>
      </c>
      <c r="D4489">
        <v>5</v>
      </c>
      <c r="E4489" s="2" t="s">
        <v>281</v>
      </c>
      <c r="F4489" s="2" t="s">
        <v>282</v>
      </c>
      <c r="G4489" s="2" t="s">
        <v>39</v>
      </c>
      <c r="H4489" s="2" t="s">
        <v>22</v>
      </c>
      <c r="I4489" s="2" t="s">
        <v>40</v>
      </c>
      <c r="J4489" s="2" t="s">
        <v>24</v>
      </c>
      <c r="K4489">
        <v>0.03</v>
      </c>
      <c r="L4489">
        <v>0.4</v>
      </c>
      <c r="M4489">
        <v>1333.33</v>
      </c>
      <c r="N4489" s="2" t="s">
        <v>283</v>
      </c>
      <c r="O4489" s="2" t="s">
        <v>284</v>
      </c>
      <c r="P4489" s="2" t="s">
        <v>1247</v>
      </c>
      <c r="Q4489" s="2" t="s">
        <v>2906</v>
      </c>
      <c r="R4489" s="2" t="s">
        <v>29</v>
      </c>
      <c r="S4489" s="2" t="s">
        <v>30</v>
      </c>
    </row>
    <row r="4490" spans="1:19">
      <c r="A4490" s="1">
        <v>46143</v>
      </c>
      <c r="B4490" s="1">
        <v>46143</v>
      </c>
      <c r="C4490">
        <v>2026</v>
      </c>
      <c r="D4490">
        <v>5</v>
      </c>
      <c r="E4490" s="2" t="s">
        <v>287</v>
      </c>
      <c r="F4490" s="2" t="s">
        <v>288</v>
      </c>
      <c r="G4490" s="2" t="s">
        <v>39</v>
      </c>
      <c r="H4490" s="2" t="s">
        <v>22</v>
      </c>
      <c r="I4490" s="2" t="s">
        <v>40</v>
      </c>
      <c r="J4490" s="2" t="s">
        <v>59</v>
      </c>
      <c r="K4490">
        <v>0.11</v>
      </c>
      <c r="L4490">
        <v>1.88</v>
      </c>
      <c r="M4490">
        <v>1709.09</v>
      </c>
      <c r="N4490" s="2" t="s">
        <v>289</v>
      </c>
      <c r="O4490" s="2" t="s">
        <v>290</v>
      </c>
      <c r="P4490" s="2" t="s">
        <v>1291</v>
      </c>
      <c r="Q4490" s="2" t="s">
        <v>507</v>
      </c>
      <c r="R4490" s="2" t="s">
        <v>29</v>
      </c>
      <c r="S4490" s="2" t="s">
        <v>30</v>
      </c>
    </row>
    <row r="4491" spans="1:19">
      <c r="A4491" s="1">
        <v>46143</v>
      </c>
      <c r="B4491" s="1">
        <v>46143</v>
      </c>
      <c r="C4491">
        <v>2026</v>
      </c>
      <c r="D4491">
        <v>5</v>
      </c>
      <c r="E4491" s="2" t="s">
        <v>293</v>
      </c>
      <c r="F4491" s="2" t="s">
        <v>294</v>
      </c>
      <c r="G4491" s="2" t="s">
        <v>21</v>
      </c>
      <c r="H4491" s="2" t="s">
        <v>22</v>
      </c>
      <c r="I4491" s="2" t="s">
        <v>295</v>
      </c>
      <c r="J4491" s="2" t="s">
        <v>24</v>
      </c>
      <c r="K4491">
        <v>1107.8800000000001</v>
      </c>
      <c r="L4491">
        <v>5357.69</v>
      </c>
      <c r="M4491">
        <v>483.6</v>
      </c>
      <c r="N4491" s="2" t="s">
        <v>296</v>
      </c>
      <c r="O4491" s="2" t="s">
        <v>297</v>
      </c>
      <c r="P4491" s="2" t="s">
        <v>7675</v>
      </c>
      <c r="Q4491" s="2" t="s">
        <v>7676</v>
      </c>
      <c r="R4491" s="2" t="s">
        <v>29</v>
      </c>
      <c r="S4491" s="2" t="s">
        <v>30</v>
      </c>
    </row>
    <row r="4492" spans="1:19">
      <c r="A4492" s="1">
        <v>46143</v>
      </c>
      <c r="B4492" s="1">
        <v>46143</v>
      </c>
      <c r="C4492">
        <v>2026</v>
      </c>
      <c r="D4492">
        <v>5</v>
      </c>
      <c r="E4492" s="2" t="s">
        <v>300</v>
      </c>
      <c r="F4492" s="2" t="s">
        <v>301</v>
      </c>
      <c r="G4492" s="2" t="s">
        <v>21</v>
      </c>
      <c r="H4492" s="2" t="s">
        <v>22</v>
      </c>
      <c r="I4492" s="2" t="s">
        <v>295</v>
      </c>
      <c r="J4492" s="2" t="s">
        <v>24</v>
      </c>
      <c r="K4492">
        <v>781.94</v>
      </c>
      <c r="L4492">
        <v>1407.96</v>
      </c>
      <c r="M4492">
        <v>180.06</v>
      </c>
      <c r="N4492" s="2" t="s">
        <v>302</v>
      </c>
      <c r="O4492" s="2" t="s">
        <v>303</v>
      </c>
      <c r="P4492" s="2" t="s">
        <v>7677</v>
      </c>
      <c r="Q4492" s="2" t="s">
        <v>7678</v>
      </c>
      <c r="R4492" s="2" t="s">
        <v>29</v>
      </c>
      <c r="S4492" s="2" t="s">
        <v>30</v>
      </c>
    </row>
    <row r="4493" spans="1:19">
      <c r="A4493" s="1">
        <v>46143</v>
      </c>
      <c r="B4493" s="1">
        <v>46143</v>
      </c>
      <c r="C4493">
        <v>2026</v>
      </c>
      <c r="D4493">
        <v>5</v>
      </c>
      <c r="E4493" s="2" t="s">
        <v>306</v>
      </c>
      <c r="F4493" s="2" t="s">
        <v>307</v>
      </c>
      <c r="G4493" s="2" t="s">
        <v>21</v>
      </c>
      <c r="H4493" s="2" t="s">
        <v>22</v>
      </c>
      <c r="I4493" s="2" t="s">
        <v>295</v>
      </c>
      <c r="J4493" s="2" t="s">
        <v>101</v>
      </c>
      <c r="K4493">
        <v>1889.82</v>
      </c>
      <c r="L4493">
        <v>6765.65</v>
      </c>
      <c r="M4493">
        <v>358</v>
      </c>
      <c r="N4493" s="2" t="s">
        <v>308</v>
      </c>
      <c r="O4493" s="2" t="s">
        <v>309</v>
      </c>
      <c r="P4493" s="2" t="s">
        <v>7679</v>
      </c>
      <c r="Q4493" s="2" t="s">
        <v>7680</v>
      </c>
      <c r="R4493" s="2" t="s">
        <v>29</v>
      </c>
      <c r="S4493" s="2" t="s">
        <v>30</v>
      </c>
    </row>
    <row r="4494" spans="1:19">
      <c r="A4494" s="1">
        <v>46143</v>
      </c>
      <c r="B4494" s="1">
        <v>46143</v>
      </c>
      <c r="C4494">
        <v>2026</v>
      </c>
      <c r="D4494">
        <v>5</v>
      </c>
      <c r="E4494" s="2" t="s">
        <v>312</v>
      </c>
      <c r="F4494" s="2" t="s">
        <v>313</v>
      </c>
      <c r="G4494" s="2" t="s">
        <v>21</v>
      </c>
      <c r="H4494" s="2" t="s">
        <v>22</v>
      </c>
      <c r="I4494" s="2" t="s">
        <v>295</v>
      </c>
      <c r="J4494" s="2" t="s">
        <v>59</v>
      </c>
      <c r="K4494">
        <v>9022.57</v>
      </c>
      <c r="L4494">
        <v>29442.73</v>
      </c>
      <c r="M4494">
        <v>326.32</v>
      </c>
      <c r="N4494" s="2" t="s">
        <v>314</v>
      </c>
      <c r="O4494" s="2" t="s">
        <v>315</v>
      </c>
      <c r="P4494" s="2" t="s">
        <v>7681</v>
      </c>
      <c r="Q4494" s="2" t="s">
        <v>7682</v>
      </c>
      <c r="R4494" s="2" t="s">
        <v>29</v>
      </c>
      <c r="S4494" s="2" t="s">
        <v>30</v>
      </c>
    </row>
    <row r="4495" spans="1:19">
      <c r="A4495" s="1">
        <v>46143</v>
      </c>
      <c r="B4495" s="1">
        <v>46143</v>
      </c>
      <c r="C4495">
        <v>2026</v>
      </c>
      <c r="D4495">
        <v>5</v>
      </c>
      <c r="E4495" s="2" t="s">
        <v>318</v>
      </c>
      <c r="F4495" s="2" t="s">
        <v>319</v>
      </c>
      <c r="G4495" s="2" t="s">
        <v>21</v>
      </c>
      <c r="H4495" s="2" t="s">
        <v>22</v>
      </c>
      <c r="I4495" s="2" t="s">
        <v>295</v>
      </c>
      <c r="J4495" s="2" t="s">
        <v>24</v>
      </c>
      <c r="K4495">
        <v>7132.74</v>
      </c>
      <c r="L4495">
        <v>22677.08</v>
      </c>
      <c r="M4495">
        <v>317.93</v>
      </c>
      <c r="N4495" s="2" t="s">
        <v>320</v>
      </c>
      <c r="O4495" s="2" t="s">
        <v>321</v>
      </c>
      <c r="P4495" s="2" t="s">
        <v>7683</v>
      </c>
      <c r="Q4495" s="2" t="s">
        <v>7684</v>
      </c>
      <c r="R4495" s="2" t="s">
        <v>29</v>
      </c>
      <c r="S4495" s="2" t="s">
        <v>30</v>
      </c>
    </row>
    <row r="4496" spans="1:19">
      <c r="A4496" s="1">
        <v>46143</v>
      </c>
      <c r="B4496" s="1">
        <v>46143</v>
      </c>
      <c r="C4496">
        <v>2026</v>
      </c>
      <c r="D4496">
        <v>5</v>
      </c>
      <c r="E4496" s="2" t="s">
        <v>324</v>
      </c>
      <c r="F4496" s="2" t="s">
        <v>325</v>
      </c>
      <c r="G4496" s="2" t="s">
        <v>21</v>
      </c>
      <c r="H4496" s="2" t="s">
        <v>22</v>
      </c>
      <c r="I4496" s="2" t="s">
        <v>23</v>
      </c>
      <c r="J4496" s="2" t="s">
        <v>59</v>
      </c>
      <c r="K4496">
        <v>246885.68</v>
      </c>
      <c r="L4496">
        <v>8135516.25</v>
      </c>
      <c r="M4496">
        <v>3295.26</v>
      </c>
      <c r="N4496" s="2" t="s">
        <v>326</v>
      </c>
      <c r="O4496" s="2" t="s">
        <v>327</v>
      </c>
      <c r="P4496" s="2" t="s">
        <v>7685</v>
      </c>
      <c r="Q4496" s="2" t="s">
        <v>7686</v>
      </c>
      <c r="R4496" s="2" t="s">
        <v>29</v>
      </c>
      <c r="S4496" s="2" t="s">
        <v>30</v>
      </c>
    </row>
    <row r="4497" spans="1:19">
      <c r="A4497" s="1">
        <v>46143</v>
      </c>
      <c r="B4497" s="1">
        <v>46143</v>
      </c>
      <c r="C4497">
        <v>2026</v>
      </c>
      <c r="D4497">
        <v>5</v>
      </c>
      <c r="E4497" s="2" t="s">
        <v>330</v>
      </c>
      <c r="F4497" s="2" t="s">
        <v>331</v>
      </c>
      <c r="G4497" s="2" t="s">
        <v>21</v>
      </c>
      <c r="H4497" s="2" t="s">
        <v>332</v>
      </c>
      <c r="I4497" s="2" t="s">
        <v>333</v>
      </c>
      <c r="J4497" s="2" t="s">
        <v>24</v>
      </c>
      <c r="K4497">
        <v>314.27</v>
      </c>
      <c r="L4497">
        <v>17246273.800000001</v>
      </c>
      <c r="M4497">
        <v>5487725.1399999997</v>
      </c>
      <c r="N4497" s="2" t="s">
        <v>334</v>
      </c>
      <c r="O4497" s="2" t="s">
        <v>335</v>
      </c>
      <c r="P4497" s="2" t="s">
        <v>7687</v>
      </c>
      <c r="Q4497" s="2" t="s">
        <v>7688</v>
      </c>
      <c r="R4497" s="2" t="s">
        <v>29</v>
      </c>
      <c r="S4497" s="2" t="s">
        <v>30</v>
      </c>
    </row>
    <row r="4498" spans="1:19">
      <c r="A4498" s="1">
        <v>46143</v>
      </c>
      <c r="B4498" s="1">
        <v>46143</v>
      </c>
      <c r="C4498">
        <v>2026</v>
      </c>
      <c r="D4498">
        <v>5</v>
      </c>
      <c r="E4498" s="2" t="s">
        <v>338</v>
      </c>
      <c r="F4498" s="2" t="s">
        <v>339</v>
      </c>
      <c r="G4498" s="2" t="s">
        <v>21</v>
      </c>
      <c r="H4498" s="2" t="s">
        <v>332</v>
      </c>
      <c r="I4498" s="2" t="s">
        <v>333</v>
      </c>
      <c r="J4498" s="2" t="s">
        <v>24</v>
      </c>
      <c r="K4498">
        <v>1.1100000000000001</v>
      </c>
      <c r="L4498">
        <v>1372402.44</v>
      </c>
      <c r="M4498">
        <v>123639859.45999999</v>
      </c>
      <c r="N4498" s="2" t="s">
        <v>340</v>
      </c>
      <c r="O4498" s="2" t="s">
        <v>341</v>
      </c>
      <c r="P4498" s="2" t="s">
        <v>2691</v>
      </c>
      <c r="Q4498" s="2" t="s">
        <v>7689</v>
      </c>
      <c r="R4498" s="2" t="s">
        <v>29</v>
      </c>
      <c r="S4498" s="2" t="s">
        <v>30</v>
      </c>
    </row>
    <row r="4499" spans="1:19">
      <c r="A4499" s="1">
        <v>46143</v>
      </c>
      <c r="B4499" s="1">
        <v>46143</v>
      </c>
      <c r="C4499">
        <v>2026</v>
      </c>
      <c r="D4499">
        <v>5</v>
      </c>
      <c r="E4499" s="2" t="s">
        <v>344</v>
      </c>
      <c r="F4499" s="2" t="s">
        <v>345</v>
      </c>
      <c r="G4499" s="2" t="s">
        <v>21</v>
      </c>
      <c r="H4499" s="2" t="s">
        <v>332</v>
      </c>
      <c r="I4499" s="2" t="s">
        <v>333</v>
      </c>
      <c r="J4499" s="2" t="s">
        <v>59</v>
      </c>
      <c r="K4499">
        <v>315.38</v>
      </c>
      <c r="L4499">
        <v>18618676.239999998</v>
      </c>
      <c r="M4499">
        <v>5903569.0999999996</v>
      </c>
      <c r="N4499" s="2" t="s">
        <v>346</v>
      </c>
      <c r="O4499" s="2" t="s">
        <v>347</v>
      </c>
      <c r="P4499" s="2" t="s">
        <v>7690</v>
      </c>
      <c r="Q4499" s="2" t="s">
        <v>7691</v>
      </c>
      <c r="R4499" s="2" t="s">
        <v>29</v>
      </c>
      <c r="S4499" s="2" t="s">
        <v>30</v>
      </c>
    </row>
    <row r="4500" spans="1:19">
      <c r="A4500" s="1">
        <v>46143</v>
      </c>
      <c r="B4500" s="1">
        <v>46143</v>
      </c>
      <c r="C4500">
        <v>2026</v>
      </c>
      <c r="D4500">
        <v>5</v>
      </c>
      <c r="E4500" s="2" t="s">
        <v>350</v>
      </c>
      <c r="F4500" s="2" t="s">
        <v>351</v>
      </c>
      <c r="G4500" s="2" t="s">
        <v>21</v>
      </c>
      <c r="H4500" s="2" t="s">
        <v>22</v>
      </c>
      <c r="I4500" s="2" t="s">
        <v>352</v>
      </c>
      <c r="J4500" s="2" t="s">
        <v>353</v>
      </c>
      <c r="K4500">
        <v>265265</v>
      </c>
      <c r="L4500">
        <v>27268804.859999999</v>
      </c>
      <c r="M4500">
        <v>10279.84</v>
      </c>
      <c r="N4500" s="2" t="s">
        <v>354</v>
      </c>
      <c r="O4500" s="2" t="s">
        <v>355</v>
      </c>
      <c r="P4500" s="2" t="s">
        <v>7692</v>
      </c>
      <c r="Q4500" s="2" t="s">
        <v>7693</v>
      </c>
      <c r="R4500" s="2" t="s">
        <v>29</v>
      </c>
      <c r="S4500" s="2" t="s">
        <v>30</v>
      </c>
    </row>
    <row r="4501" spans="1:19">
      <c r="A4501" s="1">
        <v>46143</v>
      </c>
      <c r="B4501" s="1">
        <v>46143</v>
      </c>
      <c r="C4501">
        <v>2026</v>
      </c>
      <c r="D4501">
        <v>5</v>
      </c>
      <c r="E4501" s="2" t="s">
        <v>358</v>
      </c>
      <c r="F4501" s="2" t="s">
        <v>359</v>
      </c>
      <c r="G4501" s="2" t="s">
        <v>21</v>
      </c>
      <c r="H4501" s="2" t="s">
        <v>22</v>
      </c>
      <c r="I4501" s="2" t="s">
        <v>352</v>
      </c>
      <c r="J4501" s="2" t="s">
        <v>353</v>
      </c>
      <c r="K4501">
        <v>265684.39</v>
      </c>
      <c r="L4501">
        <v>27865640.129999999</v>
      </c>
      <c r="M4501">
        <v>10488.25</v>
      </c>
      <c r="N4501" s="2" t="s">
        <v>360</v>
      </c>
      <c r="O4501" s="2" t="s">
        <v>361</v>
      </c>
      <c r="P4501" s="2" t="s">
        <v>7694</v>
      </c>
      <c r="Q4501" s="2" t="s">
        <v>7695</v>
      </c>
      <c r="R4501" s="2" t="s">
        <v>29</v>
      </c>
      <c r="S4501" s="2" t="s">
        <v>30</v>
      </c>
    </row>
    <row r="4502" spans="1:19">
      <c r="A4502" s="1">
        <v>46143</v>
      </c>
      <c r="B4502" s="1">
        <v>46143</v>
      </c>
      <c r="C4502">
        <v>2026</v>
      </c>
      <c r="D4502">
        <v>5</v>
      </c>
      <c r="E4502" s="2" t="s">
        <v>364</v>
      </c>
      <c r="F4502" s="2" t="s">
        <v>365</v>
      </c>
      <c r="G4502" s="2" t="s">
        <v>21</v>
      </c>
      <c r="H4502" s="2" t="s">
        <v>22</v>
      </c>
      <c r="I4502" s="2" t="s">
        <v>352</v>
      </c>
      <c r="J4502" s="2" t="s">
        <v>353</v>
      </c>
      <c r="K4502">
        <v>265369.01</v>
      </c>
      <c r="L4502">
        <v>9246963.8900000006</v>
      </c>
      <c r="M4502">
        <v>3484.57</v>
      </c>
      <c r="N4502" s="2" t="s">
        <v>366</v>
      </c>
      <c r="O4502" s="2" t="s">
        <v>367</v>
      </c>
      <c r="P4502" s="2" t="s">
        <v>7696</v>
      </c>
      <c r="Q4502" s="2" t="s">
        <v>7697</v>
      </c>
      <c r="R4502" s="2" t="s">
        <v>29</v>
      </c>
      <c r="S4502" s="2" t="s">
        <v>30</v>
      </c>
    </row>
    <row r="4503" spans="1:19">
      <c r="A4503" s="1">
        <v>46143</v>
      </c>
      <c r="B4503" s="1">
        <v>46143</v>
      </c>
      <c r="C4503">
        <v>2026</v>
      </c>
      <c r="D4503">
        <v>5</v>
      </c>
      <c r="E4503" s="2" t="s">
        <v>370</v>
      </c>
      <c r="F4503" s="2" t="s">
        <v>371</v>
      </c>
      <c r="G4503" s="2" t="s">
        <v>21</v>
      </c>
      <c r="H4503" s="2" t="s">
        <v>22</v>
      </c>
      <c r="I4503" s="2" t="s">
        <v>23</v>
      </c>
      <c r="J4503" s="2" t="s">
        <v>24</v>
      </c>
      <c r="K4503">
        <v>232019.28</v>
      </c>
      <c r="L4503">
        <v>2990424.18</v>
      </c>
      <c r="M4503">
        <v>1288.8699999999999</v>
      </c>
      <c r="N4503" s="2" t="s">
        <v>372</v>
      </c>
      <c r="O4503" s="2" t="s">
        <v>373</v>
      </c>
      <c r="P4503" s="2" t="s">
        <v>7698</v>
      </c>
      <c r="Q4503" s="2" t="s">
        <v>7699</v>
      </c>
      <c r="R4503" s="2" t="s">
        <v>29</v>
      </c>
      <c r="S4503" s="2" t="s">
        <v>30</v>
      </c>
    </row>
    <row r="4504" spans="1:19">
      <c r="A4504" s="1">
        <v>46143</v>
      </c>
      <c r="B4504" s="1">
        <v>46143</v>
      </c>
      <c r="C4504">
        <v>2026</v>
      </c>
      <c r="D4504">
        <v>5</v>
      </c>
      <c r="E4504" s="2" t="s">
        <v>376</v>
      </c>
      <c r="F4504" s="2" t="s">
        <v>377</v>
      </c>
      <c r="G4504" s="2" t="s">
        <v>21</v>
      </c>
      <c r="H4504" s="2" t="s">
        <v>22</v>
      </c>
      <c r="I4504" s="2" t="s">
        <v>23</v>
      </c>
      <c r="J4504" s="2" t="s">
        <v>378</v>
      </c>
      <c r="K4504">
        <v>1.28</v>
      </c>
      <c r="L4504">
        <v>12.78</v>
      </c>
      <c r="M4504">
        <v>998.44</v>
      </c>
      <c r="N4504" s="2" t="s">
        <v>379</v>
      </c>
      <c r="O4504" s="2" t="s">
        <v>380</v>
      </c>
      <c r="P4504" s="2" t="s">
        <v>1134</v>
      </c>
      <c r="Q4504" s="2" t="s">
        <v>7700</v>
      </c>
      <c r="R4504" s="2" t="s">
        <v>29</v>
      </c>
      <c r="S4504" s="2" t="s">
        <v>30</v>
      </c>
    </row>
    <row r="4505" spans="1:19">
      <c r="A4505" s="1">
        <v>46174</v>
      </c>
      <c r="B4505" s="1">
        <v>46174</v>
      </c>
      <c r="C4505">
        <v>2026</v>
      </c>
      <c r="D4505">
        <v>6</v>
      </c>
      <c r="E4505" s="2" t="s">
        <v>19</v>
      </c>
      <c r="F4505" s="2" t="s">
        <v>20</v>
      </c>
      <c r="G4505" s="2" t="s">
        <v>21</v>
      </c>
      <c r="H4505" s="2" t="s">
        <v>22</v>
      </c>
      <c r="I4505" s="2" t="s">
        <v>23</v>
      </c>
      <c r="J4505" s="2" t="s">
        <v>24</v>
      </c>
      <c r="K4505">
        <v>0.23</v>
      </c>
      <c r="L4505">
        <v>13.04</v>
      </c>
      <c r="M4505">
        <v>5669.57</v>
      </c>
      <c r="N4505" s="2" t="s">
        <v>25</v>
      </c>
      <c r="O4505" s="2" t="s">
        <v>26</v>
      </c>
      <c r="P4505" s="2" t="s">
        <v>725</v>
      </c>
      <c r="Q4505" s="2" t="s">
        <v>7701</v>
      </c>
      <c r="R4505" s="2" t="s">
        <v>29</v>
      </c>
      <c r="S4505" s="2" t="s">
        <v>30</v>
      </c>
    </row>
    <row r="4506" spans="1:19">
      <c r="A4506" s="1">
        <v>46174</v>
      </c>
      <c r="B4506" s="1">
        <v>46174</v>
      </c>
      <c r="C4506">
        <v>2026</v>
      </c>
      <c r="D4506">
        <v>6</v>
      </c>
      <c r="E4506" s="2" t="s">
        <v>31</v>
      </c>
      <c r="F4506" s="2" t="s">
        <v>32</v>
      </c>
      <c r="G4506" s="2" t="s">
        <v>21</v>
      </c>
      <c r="H4506" s="2" t="s">
        <v>22</v>
      </c>
      <c r="I4506" s="2" t="s">
        <v>23</v>
      </c>
      <c r="J4506" s="2" t="s">
        <v>24</v>
      </c>
      <c r="K4506">
        <v>3151.62</v>
      </c>
      <c r="L4506">
        <v>62653.15</v>
      </c>
      <c r="M4506">
        <v>1987.97</v>
      </c>
      <c r="N4506" s="2" t="s">
        <v>33</v>
      </c>
      <c r="O4506" s="2" t="s">
        <v>34</v>
      </c>
      <c r="P4506" s="2" t="s">
        <v>7702</v>
      </c>
      <c r="Q4506" s="2" t="s">
        <v>7703</v>
      </c>
      <c r="R4506" s="2" t="s">
        <v>29</v>
      </c>
      <c r="S4506" s="2" t="s">
        <v>30</v>
      </c>
    </row>
    <row r="4507" spans="1:19">
      <c r="A4507" s="1">
        <v>46174</v>
      </c>
      <c r="B4507" s="1">
        <v>46174</v>
      </c>
      <c r="C4507">
        <v>2026</v>
      </c>
      <c r="D4507">
        <v>6</v>
      </c>
      <c r="E4507" s="2" t="s">
        <v>37</v>
      </c>
      <c r="F4507" s="2" t="s">
        <v>38</v>
      </c>
      <c r="G4507" s="2" t="s">
        <v>39</v>
      </c>
      <c r="H4507" s="2" t="s">
        <v>22</v>
      </c>
      <c r="I4507" s="2" t="s">
        <v>40</v>
      </c>
      <c r="J4507" s="2" t="s">
        <v>24</v>
      </c>
      <c r="K4507">
        <v>6.3</v>
      </c>
      <c r="L4507">
        <v>356.52</v>
      </c>
      <c r="M4507">
        <v>5659.05</v>
      </c>
      <c r="N4507" s="2" t="s">
        <v>41</v>
      </c>
      <c r="O4507" s="2" t="s">
        <v>42</v>
      </c>
      <c r="P4507" s="2" t="s">
        <v>7704</v>
      </c>
      <c r="Q4507" s="2" t="s">
        <v>7705</v>
      </c>
      <c r="R4507" s="2" t="s">
        <v>29</v>
      </c>
      <c r="S4507" s="2" t="s">
        <v>30</v>
      </c>
    </row>
    <row r="4508" spans="1:19">
      <c r="A4508" s="1">
        <v>46174</v>
      </c>
      <c r="B4508" s="1">
        <v>46174</v>
      </c>
      <c r="C4508">
        <v>2026</v>
      </c>
      <c r="D4508">
        <v>6</v>
      </c>
      <c r="E4508" s="2" t="s">
        <v>45</v>
      </c>
      <c r="F4508" s="2" t="s">
        <v>46</v>
      </c>
      <c r="G4508" s="2" t="s">
        <v>39</v>
      </c>
      <c r="H4508" s="2" t="s">
        <v>22</v>
      </c>
      <c r="I4508" s="2" t="s">
        <v>40</v>
      </c>
      <c r="J4508" s="2" t="s">
        <v>24</v>
      </c>
      <c r="K4508">
        <v>3984.29</v>
      </c>
      <c r="L4508">
        <v>216358.54</v>
      </c>
      <c r="M4508">
        <v>5430.29</v>
      </c>
      <c r="N4508" s="2" t="s">
        <v>47</v>
      </c>
      <c r="O4508" s="2" t="s">
        <v>48</v>
      </c>
      <c r="P4508" s="2" t="s">
        <v>7706</v>
      </c>
      <c r="Q4508" s="2" t="s">
        <v>7707</v>
      </c>
      <c r="R4508" s="2" t="s">
        <v>29</v>
      </c>
      <c r="S4508" s="2" t="s">
        <v>30</v>
      </c>
    </row>
    <row r="4509" spans="1:19">
      <c r="A4509" s="1">
        <v>46174</v>
      </c>
      <c r="B4509" s="1">
        <v>46174</v>
      </c>
      <c r="C4509">
        <v>2026</v>
      </c>
      <c r="D4509">
        <v>6</v>
      </c>
      <c r="E4509" s="2" t="s">
        <v>51</v>
      </c>
      <c r="F4509" s="2" t="s">
        <v>52</v>
      </c>
      <c r="G4509" s="2" t="s">
        <v>39</v>
      </c>
      <c r="H4509" s="2" t="s">
        <v>22</v>
      </c>
      <c r="I4509" s="2" t="s">
        <v>40</v>
      </c>
      <c r="J4509" s="2" t="s">
        <v>24</v>
      </c>
      <c r="K4509">
        <v>17.190000000000001</v>
      </c>
      <c r="L4509">
        <v>879.74</v>
      </c>
      <c r="M4509">
        <v>5117.74</v>
      </c>
      <c r="N4509" s="2" t="s">
        <v>53</v>
      </c>
      <c r="O4509" s="2" t="s">
        <v>54</v>
      </c>
      <c r="P4509" s="2" t="s">
        <v>7708</v>
      </c>
      <c r="Q4509" s="2" t="s">
        <v>7709</v>
      </c>
      <c r="R4509" s="2" t="s">
        <v>29</v>
      </c>
      <c r="S4509" s="2" t="s">
        <v>30</v>
      </c>
    </row>
    <row r="4510" spans="1:19">
      <c r="A4510" s="1">
        <v>46174</v>
      </c>
      <c r="B4510" s="1">
        <v>46174</v>
      </c>
      <c r="C4510">
        <v>2026</v>
      </c>
      <c r="D4510">
        <v>6</v>
      </c>
      <c r="E4510" s="2" t="s">
        <v>57</v>
      </c>
      <c r="F4510" s="2" t="s">
        <v>58</v>
      </c>
      <c r="G4510" s="2" t="s">
        <v>39</v>
      </c>
      <c r="H4510" s="2" t="s">
        <v>22</v>
      </c>
      <c r="I4510" s="2" t="s">
        <v>40</v>
      </c>
      <c r="J4510" s="2" t="s">
        <v>59</v>
      </c>
      <c r="K4510">
        <v>4007.78</v>
      </c>
      <c r="L4510">
        <v>217594.8</v>
      </c>
      <c r="M4510">
        <v>5429.31</v>
      </c>
      <c r="N4510" s="2" t="s">
        <v>60</v>
      </c>
      <c r="O4510" s="2" t="s">
        <v>61</v>
      </c>
      <c r="P4510" s="2" t="s">
        <v>7710</v>
      </c>
      <c r="Q4510" s="2" t="s">
        <v>7711</v>
      </c>
      <c r="R4510" s="2" t="s">
        <v>29</v>
      </c>
      <c r="S4510" s="2" t="s">
        <v>30</v>
      </c>
    </row>
    <row r="4511" spans="1:19">
      <c r="A4511" s="1">
        <v>46174</v>
      </c>
      <c r="B4511" s="1">
        <v>46174</v>
      </c>
      <c r="C4511">
        <v>2026</v>
      </c>
      <c r="D4511">
        <v>6</v>
      </c>
      <c r="E4511" s="2" t="s">
        <v>64</v>
      </c>
      <c r="F4511" s="2" t="s">
        <v>65</v>
      </c>
      <c r="G4511" s="2" t="s">
        <v>21</v>
      </c>
      <c r="H4511" s="2" t="s">
        <v>22</v>
      </c>
      <c r="I4511" s="2" t="s">
        <v>66</v>
      </c>
      <c r="J4511" s="2" t="s">
        <v>24</v>
      </c>
      <c r="K4511">
        <v>32.299999999999997</v>
      </c>
      <c r="L4511">
        <v>1079.23</v>
      </c>
      <c r="M4511">
        <v>3341.27</v>
      </c>
      <c r="N4511" s="2" t="s">
        <v>67</v>
      </c>
      <c r="O4511" s="2" t="s">
        <v>68</v>
      </c>
      <c r="P4511" s="2" t="s">
        <v>7712</v>
      </c>
      <c r="Q4511" s="2" t="s">
        <v>7713</v>
      </c>
      <c r="R4511" s="2" t="s">
        <v>29</v>
      </c>
      <c r="S4511" s="2" t="s">
        <v>30</v>
      </c>
    </row>
    <row r="4512" spans="1:19">
      <c r="A4512" s="1">
        <v>46174</v>
      </c>
      <c r="B4512" s="1">
        <v>46174</v>
      </c>
      <c r="C4512">
        <v>2026</v>
      </c>
      <c r="D4512">
        <v>6</v>
      </c>
      <c r="E4512" s="2" t="s">
        <v>71</v>
      </c>
      <c r="F4512" s="2" t="s">
        <v>72</v>
      </c>
      <c r="G4512" s="2" t="s">
        <v>21</v>
      </c>
      <c r="H4512" s="2" t="s">
        <v>22</v>
      </c>
      <c r="I4512" s="2" t="s">
        <v>73</v>
      </c>
      <c r="J4512" s="2" t="s">
        <v>59</v>
      </c>
      <c r="K4512">
        <v>6783.52</v>
      </c>
      <c r="L4512">
        <v>236660.24</v>
      </c>
      <c r="M4512">
        <v>3488.75</v>
      </c>
      <c r="N4512" s="2" t="s">
        <v>74</v>
      </c>
      <c r="O4512" s="2" t="s">
        <v>75</v>
      </c>
      <c r="P4512" s="2" t="s">
        <v>7714</v>
      </c>
      <c r="Q4512" s="2" t="s">
        <v>7715</v>
      </c>
      <c r="R4512" s="2" t="s">
        <v>29</v>
      </c>
      <c r="S4512" s="2" t="s">
        <v>30</v>
      </c>
    </row>
    <row r="4513" spans="1:19">
      <c r="A4513" s="1">
        <v>46174</v>
      </c>
      <c r="B4513" s="1">
        <v>46174</v>
      </c>
      <c r="C4513">
        <v>2026</v>
      </c>
      <c r="D4513">
        <v>6</v>
      </c>
      <c r="E4513" s="2" t="s">
        <v>78</v>
      </c>
      <c r="F4513" s="2" t="s">
        <v>79</v>
      </c>
      <c r="G4513" s="2" t="s">
        <v>80</v>
      </c>
      <c r="H4513" s="2" t="s">
        <v>81</v>
      </c>
      <c r="I4513" s="2" t="s">
        <v>82</v>
      </c>
      <c r="J4513" s="2" t="s">
        <v>24</v>
      </c>
      <c r="K4513">
        <v>3.39</v>
      </c>
      <c r="L4513">
        <v>14283593.17</v>
      </c>
      <c r="M4513">
        <v>421344931.26999998</v>
      </c>
      <c r="N4513" s="2" t="s">
        <v>83</v>
      </c>
      <c r="O4513" s="2" t="s">
        <v>84</v>
      </c>
      <c r="P4513" s="2" t="s">
        <v>3474</v>
      </c>
      <c r="Q4513" s="2" t="s">
        <v>7716</v>
      </c>
      <c r="R4513" s="2" t="s">
        <v>29</v>
      </c>
      <c r="S4513" s="2" t="s">
        <v>30</v>
      </c>
    </row>
    <row r="4514" spans="1:19">
      <c r="A4514" s="1">
        <v>46174</v>
      </c>
      <c r="B4514" s="1">
        <v>46174</v>
      </c>
      <c r="C4514">
        <v>2026</v>
      </c>
      <c r="D4514">
        <v>6</v>
      </c>
      <c r="E4514" s="2" t="s">
        <v>87</v>
      </c>
      <c r="F4514" s="2" t="s">
        <v>88</v>
      </c>
      <c r="G4514" s="2" t="s">
        <v>80</v>
      </c>
      <c r="H4514" s="2" t="s">
        <v>81</v>
      </c>
      <c r="I4514" s="2" t="s">
        <v>82</v>
      </c>
      <c r="J4514" s="2" t="s">
        <v>24</v>
      </c>
      <c r="K4514">
        <v>1.31</v>
      </c>
      <c r="L4514">
        <v>1726963.65</v>
      </c>
      <c r="M4514">
        <v>131829286.26000001</v>
      </c>
      <c r="N4514" s="2" t="s">
        <v>89</v>
      </c>
      <c r="O4514" s="2" t="s">
        <v>90</v>
      </c>
      <c r="P4514" s="2" t="s">
        <v>5925</v>
      </c>
      <c r="Q4514" s="2" t="s">
        <v>7717</v>
      </c>
      <c r="R4514" s="2" t="s">
        <v>29</v>
      </c>
      <c r="S4514" s="2" t="s">
        <v>30</v>
      </c>
    </row>
    <row r="4515" spans="1:19">
      <c r="A4515" s="1">
        <v>46174</v>
      </c>
      <c r="B4515" s="1">
        <v>46174</v>
      </c>
      <c r="C4515">
        <v>2026</v>
      </c>
      <c r="D4515">
        <v>6</v>
      </c>
      <c r="E4515" s="2" t="s">
        <v>93</v>
      </c>
      <c r="F4515" s="2" t="s">
        <v>94</v>
      </c>
      <c r="G4515" s="2" t="s">
        <v>80</v>
      </c>
      <c r="H4515" s="2" t="s">
        <v>81</v>
      </c>
      <c r="I4515" s="2" t="s">
        <v>82</v>
      </c>
      <c r="J4515" s="2" t="s">
        <v>24</v>
      </c>
      <c r="K4515">
        <v>0.46</v>
      </c>
      <c r="L4515">
        <v>7575558.3899999997</v>
      </c>
      <c r="M4515">
        <v>1646860519.5699999</v>
      </c>
      <c r="N4515" s="2" t="s">
        <v>95</v>
      </c>
      <c r="O4515" s="2" t="s">
        <v>96</v>
      </c>
      <c r="P4515" s="2" t="s">
        <v>2711</v>
      </c>
      <c r="Q4515" s="2" t="s">
        <v>7718</v>
      </c>
      <c r="R4515" s="2" t="s">
        <v>29</v>
      </c>
      <c r="S4515" s="2" t="s">
        <v>30</v>
      </c>
    </row>
    <row r="4516" spans="1:19">
      <c r="A4516" s="1">
        <v>46174</v>
      </c>
      <c r="B4516" s="1">
        <v>46174</v>
      </c>
      <c r="C4516">
        <v>2026</v>
      </c>
      <c r="D4516">
        <v>6</v>
      </c>
      <c r="E4516" s="2" t="s">
        <v>99</v>
      </c>
      <c r="F4516" s="2" t="s">
        <v>100</v>
      </c>
      <c r="G4516" s="2" t="s">
        <v>80</v>
      </c>
      <c r="H4516" s="2" t="s">
        <v>81</v>
      </c>
      <c r="I4516" s="2" t="s">
        <v>82</v>
      </c>
      <c r="J4516" s="2" t="s">
        <v>101</v>
      </c>
      <c r="K4516">
        <v>2.0299999999999998</v>
      </c>
      <c r="L4516">
        <v>19743615.739999998</v>
      </c>
      <c r="M4516">
        <v>972591908.37</v>
      </c>
      <c r="N4516" s="2" t="s">
        <v>102</v>
      </c>
      <c r="O4516" s="2" t="s">
        <v>103</v>
      </c>
      <c r="P4516" s="2" t="s">
        <v>7719</v>
      </c>
      <c r="Q4516" s="2" t="s">
        <v>7720</v>
      </c>
      <c r="R4516" s="2" t="s">
        <v>29</v>
      </c>
      <c r="S4516" s="2" t="s">
        <v>30</v>
      </c>
    </row>
    <row r="4517" spans="1:19">
      <c r="A4517" s="1">
        <v>46174</v>
      </c>
      <c r="B4517" s="1">
        <v>46174</v>
      </c>
      <c r="C4517">
        <v>2026</v>
      </c>
      <c r="D4517">
        <v>6</v>
      </c>
      <c r="E4517" s="2" t="s">
        <v>106</v>
      </c>
      <c r="F4517" s="2" t="s">
        <v>107</v>
      </c>
      <c r="G4517" s="2" t="s">
        <v>80</v>
      </c>
      <c r="H4517" s="2" t="s">
        <v>81</v>
      </c>
      <c r="I4517" s="2" t="s">
        <v>82</v>
      </c>
      <c r="J4517" s="2" t="s">
        <v>24</v>
      </c>
      <c r="K4517">
        <v>0.26</v>
      </c>
      <c r="L4517">
        <v>10441093.699999999</v>
      </c>
      <c r="M4517">
        <v>4015805269.23</v>
      </c>
      <c r="N4517" s="2" t="s">
        <v>108</v>
      </c>
      <c r="O4517" s="2" t="s">
        <v>109</v>
      </c>
      <c r="P4517" s="2" t="s">
        <v>1941</v>
      </c>
      <c r="Q4517" s="2" t="s">
        <v>7721</v>
      </c>
      <c r="R4517" s="2" t="s">
        <v>29</v>
      </c>
      <c r="S4517" s="2" t="s">
        <v>30</v>
      </c>
    </row>
    <row r="4518" spans="1:19">
      <c r="A4518" s="1">
        <v>46174</v>
      </c>
      <c r="B4518" s="1">
        <v>46174</v>
      </c>
      <c r="C4518">
        <v>2026</v>
      </c>
      <c r="D4518">
        <v>6</v>
      </c>
      <c r="E4518" s="2" t="s">
        <v>111</v>
      </c>
      <c r="F4518" s="2" t="s">
        <v>112</v>
      </c>
      <c r="G4518" s="2" t="s">
        <v>80</v>
      </c>
      <c r="H4518" s="2" t="s">
        <v>81</v>
      </c>
      <c r="I4518" s="2" t="s">
        <v>82</v>
      </c>
      <c r="J4518" s="2" t="s">
        <v>24</v>
      </c>
      <c r="K4518">
        <v>0.18</v>
      </c>
      <c r="L4518">
        <v>1268011.1100000001</v>
      </c>
      <c r="M4518">
        <v>704450616.66999996</v>
      </c>
      <c r="N4518" s="2" t="s">
        <v>113</v>
      </c>
      <c r="O4518" s="2" t="s">
        <v>114</v>
      </c>
      <c r="P4518" s="2" t="s">
        <v>935</v>
      </c>
      <c r="Q4518" s="2" t="s">
        <v>7722</v>
      </c>
      <c r="R4518" s="2" t="s">
        <v>29</v>
      </c>
      <c r="S4518" s="2" t="s">
        <v>30</v>
      </c>
    </row>
    <row r="4519" spans="1:19">
      <c r="A4519" s="1">
        <v>46174</v>
      </c>
      <c r="B4519" s="1">
        <v>46174</v>
      </c>
      <c r="C4519">
        <v>2026</v>
      </c>
      <c r="D4519">
        <v>6</v>
      </c>
      <c r="E4519" s="2" t="s">
        <v>117</v>
      </c>
      <c r="F4519" s="2" t="s">
        <v>118</v>
      </c>
      <c r="G4519" s="2" t="s">
        <v>80</v>
      </c>
      <c r="H4519" s="2" t="s">
        <v>81</v>
      </c>
      <c r="I4519" s="2" t="s">
        <v>82</v>
      </c>
      <c r="J4519" s="2" t="s">
        <v>59</v>
      </c>
      <c r="K4519">
        <v>5.6</v>
      </c>
      <c r="L4519">
        <v>35295220.020000003</v>
      </c>
      <c r="M4519">
        <v>630271786.07000005</v>
      </c>
      <c r="N4519" s="2" t="s">
        <v>119</v>
      </c>
      <c r="O4519" s="2" t="s">
        <v>120</v>
      </c>
      <c r="P4519" s="2" t="s">
        <v>7723</v>
      </c>
      <c r="Q4519" s="2" t="s">
        <v>7724</v>
      </c>
      <c r="R4519" s="2" t="s">
        <v>29</v>
      </c>
      <c r="S4519" s="2" t="s">
        <v>30</v>
      </c>
    </row>
    <row r="4520" spans="1:19">
      <c r="A4520" s="1">
        <v>46174</v>
      </c>
      <c r="B4520" s="1">
        <v>46174</v>
      </c>
      <c r="C4520">
        <v>2026</v>
      </c>
      <c r="D4520">
        <v>6</v>
      </c>
      <c r="E4520" s="2" t="s">
        <v>123</v>
      </c>
      <c r="F4520" s="2" t="s">
        <v>124</v>
      </c>
      <c r="G4520" s="2" t="s">
        <v>21</v>
      </c>
      <c r="H4520" s="2" t="s">
        <v>22</v>
      </c>
      <c r="I4520" s="2" t="s">
        <v>73</v>
      </c>
      <c r="J4520" s="2" t="s">
        <v>24</v>
      </c>
      <c r="K4520">
        <v>2956.95</v>
      </c>
      <c r="L4520">
        <v>127099.61</v>
      </c>
      <c r="M4520">
        <v>4298.33</v>
      </c>
      <c r="N4520" s="2" t="s">
        <v>125</v>
      </c>
      <c r="O4520" s="2" t="s">
        <v>126</v>
      </c>
      <c r="P4520" s="2" t="s">
        <v>7725</v>
      </c>
      <c r="Q4520" s="2" t="s">
        <v>7726</v>
      </c>
      <c r="R4520" s="2" t="s">
        <v>29</v>
      </c>
      <c r="S4520" s="2" t="s">
        <v>30</v>
      </c>
    </row>
    <row r="4521" spans="1:19">
      <c r="A4521" s="1">
        <v>46174</v>
      </c>
      <c r="B4521" s="1">
        <v>46174</v>
      </c>
      <c r="C4521">
        <v>2026</v>
      </c>
      <c r="D4521">
        <v>6</v>
      </c>
      <c r="E4521" s="2" t="s">
        <v>129</v>
      </c>
      <c r="F4521" s="2" t="s">
        <v>130</v>
      </c>
      <c r="G4521" s="2" t="s">
        <v>21</v>
      </c>
      <c r="H4521" s="2" t="s">
        <v>22</v>
      </c>
      <c r="I4521" s="2" t="s">
        <v>73</v>
      </c>
      <c r="J4521" s="2" t="s">
        <v>24</v>
      </c>
      <c r="K4521">
        <v>2855.64</v>
      </c>
      <c r="L4521">
        <v>74262.070000000007</v>
      </c>
      <c r="M4521">
        <v>2600.54</v>
      </c>
      <c r="N4521" s="2" t="s">
        <v>131</v>
      </c>
      <c r="O4521" s="2" t="s">
        <v>132</v>
      </c>
      <c r="P4521" s="2" t="s">
        <v>7727</v>
      </c>
      <c r="Q4521" s="2" t="s">
        <v>7728</v>
      </c>
      <c r="R4521" s="2" t="s">
        <v>29</v>
      </c>
      <c r="S4521" s="2" t="s">
        <v>30</v>
      </c>
    </row>
    <row r="4522" spans="1:19">
      <c r="A4522" s="1">
        <v>46174</v>
      </c>
      <c r="B4522" s="1">
        <v>46174</v>
      </c>
      <c r="C4522">
        <v>2026</v>
      </c>
      <c r="D4522">
        <v>6</v>
      </c>
      <c r="E4522" s="2" t="s">
        <v>135</v>
      </c>
      <c r="F4522" s="2" t="s">
        <v>136</v>
      </c>
      <c r="G4522" s="2" t="s">
        <v>21</v>
      </c>
      <c r="H4522" s="2" t="s">
        <v>22</v>
      </c>
      <c r="I4522" s="2" t="s">
        <v>73</v>
      </c>
      <c r="J4522" s="2" t="s">
        <v>101</v>
      </c>
      <c r="K4522">
        <v>5812.59</v>
      </c>
      <c r="L4522">
        <v>201361.67</v>
      </c>
      <c r="M4522">
        <v>3464.23</v>
      </c>
      <c r="N4522" s="2" t="s">
        <v>137</v>
      </c>
      <c r="O4522" s="2" t="s">
        <v>138</v>
      </c>
      <c r="P4522" s="2" t="s">
        <v>7729</v>
      </c>
      <c r="Q4522" s="2" t="s">
        <v>7730</v>
      </c>
      <c r="R4522" s="2" t="s">
        <v>29</v>
      </c>
      <c r="S4522" s="2" t="s">
        <v>30</v>
      </c>
    </row>
    <row r="4523" spans="1:19">
      <c r="A4523" s="1">
        <v>46174</v>
      </c>
      <c r="B4523" s="1">
        <v>46174</v>
      </c>
      <c r="C4523">
        <v>2026</v>
      </c>
      <c r="D4523">
        <v>6</v>
      </c>
      <c r="E4523" s="2" t="s">
        <v>141</v>
      </c>
      <c r="F4523" s="2" t="s">
        <v>142</v>
      </c>
      <c r="G4523" s="2" t="s">
        <v>21</v>
      </c>
      <c r="H4523" s="2" t="s">
        <v>22</v>
      </c>
      <c r="I4523" s="2" t="s">
        <v>73</v>
      </c>
      <c r="J4523" s="2" t="s">
        <v>24</v>
      </c>
      <c r="K4523">
        <v>258.37</v>
      </c>
      <c r="L4523">
        <v>13606.71</v>
      </c>
      <c r="M4523">
        <v>5266.37</v>
      </c>
      <c r="N4523" s="2" t="s">
        <v>143</v>
      </c>
      <c r="O4523" s="2" t="s">
        <v>144</v>
      </c>
      <c r="P4523" s="2" t="s">
        <v>2024</v>
      </c>
      <c r="Q4523" s="2" t="s">
        <v>7731</v>
      </c>
      <c r="R4523" s="2" t="s">
        <v>29</v>
      </c>
      <c r="S4523" s="2" t="s">
        <v>30</v>
      </c>
    </row>
    <row r="4524" spans="1:19">
      <c r="A4524" s="1">
        <v>46174</v>
      </c>
      <c r="B4524" s="1">
        <v>46174</v>
      </c>
      <c r="C4524">
        <v>2026</v>
      </c>
      <c r="D4524">
        <v>6</v>
      </c>
      <c r="E4524" s="2" t="s">
        <v>147</v>
      </c>
      <c r="F4524" s="2" t="s">
        <v>148</v>
      </c>
      <c r="G4524" s="2" t="s">
        <v>21</v>
      </c>
      <c r="H4524" s="2" t="s">
        <v>22</v>
      </c>
      <c r="I4524" s="2" t="s">
        <v>73</v>
      </c>
      <c r="J4524" s="2" t="s">
        <v>24</v>
      </c>
      <c r="K4524">
        <v>712.56</v>
      </c>
      <c r="L4524">
        <v>21691.86</v>
      </c>
      <c r="M4524">
        <v>3044.22</v>
      </c>
      <c r="N4524" s="2" t="s">
        <v>149</v>
      </c>
      <c r="O4524" s="2" t="s">
        <v>150</v>
      </c>
      <c r="P4524" s="2" t="s">
        <v>7732</v>
      </c>
      <c r="Q4524" s="2" t="s">
        <v>7733</v>
      </c>
      <c r="R4524" s="2" t="s">
        <v>29</v>
      </c>
      <c r="S4524" s="2" t="s">
        <v>30</v>
      </c>
    </row>
    <row r="4525" spans="1:19">
      <c r="A4525" s="1">
        <v>46174</v>
      </c>
      <c r="B4525" s="1">
        <v>46174</v>
      </c>
      <c r="C4525">
        <v>2026</v>
      </c>
      <c r="D4525">
        <v>6</v>
      </c>
      <c r="E4525" s="2" t="s">
        <v>153</v>
      </c>
      <c r="F4525" s="2" t="s">
        <v>154</v>
      </c>
      <c r="G4525" s="2" t="s">
        <v>21</v>
      </c>
      <c r="H4525" s="2" t="s">
        <v>22</v>
      </c>
      <c r="I4525" s="2" t="s">
        <v>73</v>
      </c>
      <c r="J4525" s="2" t="s">
        <v>101</v>
      </c>
      <c r="K4525">
        <v>970.93</v>
      </c>
      <c r="L4525">
        <v>35298.57</v>
      </c>
      <c r="M4525">
        <v>3635.54</v>
      </c>
      <c r="N4525" s="2" t="s">
        <v>155</v>
      </c>
      <c r="O4525" s="2" t="s">
        <v>156</v>
      </c>
      <c r="P4525" s="2" t="s">
        <v>7734</v>
      </c>
      <c r="Q4525" s="2" t="s">
        <v>7735</v>
      </c>
      <c r="R4525" s="2" t="s">
        <v>29</v>
      </c>
      <c r="S4525" s="2" t="s">
        <v>30</v>
      </c>
    </row>
    <row r="4526" spans="1:19">
      <c r="A4526" s="1">
        <v>46174</v>
      </c>
      <c r="B4526" s="1">
        <v>46174</v>
      </c>
      <c r="C4526">
        <v>2026</v>
      </c>
      <c r="D4526">
        <v>6</v>
      </c>
      <c r="E4526" s="2" t="s">
        <v>159</v>
      </c>
      <c r="F4526" s="2" t="s">
        <v>160</v>
      </c>
      <c r="G4526" s="2" t="s">
        <v>21</v>
      </c>
      <c r="H4526" s="2" t="s">
        <v>22</v>
      </c>
      <c r="I4526" s="2" t="s">
        <v>66</v>
      </c>
      <c r="J4526" s="2" t="s">
        <v>59</v>
      </c>
      <c r="K4526">
        <v>2094.13</v>
      </c>
      <c r="L4526">
        <v>260336.97</v>
      </c>
      <c r="M4526">
        <v>12431.75</v>
      </c>
      <c r="N4526" s="2" t="s">
        <v>161</v>
      </c>
      <c r="O4526" s="2" t="s">
        <v>162</v>
      </c>
      <c r="P4526" s="2" t="s">
        <v>7736</v>
      </c>
      <c r="Q4526" s="2" t="s">
        <v>7737</v>
      </c>
      <c r="R4526" s="2" t="s">
        <v>29</v>
      </c>
      <c r="S4526" s="2" t="s">
        <v>30</v>
      </c>
    </row>
    <row r="4527" spans="1:19">
      <c r="A4527" s="1">
        <v>46174</v>
      </c>
      <c r="B4527" s="1">
        <v>46174</v>
      </c>
      <c r="C4527">
        <v>2026</v>
      </c>
      <c r="D4527">
        <v>6</v>
      </c>
      <c r="E4527" s="2" t="s">
        <v>165</v>
      </c>
      <c r="F4527" s="2" t="s">
        <v>166</v>
      </c>
      <c r="G4527" s="2" t="s">
        <v>21</v>
      </c>
      <c r="H4527" s="2" t="s">
        <v>22</v>
      </c>
      <c r="I4527" s="2" t="s">
        <v>23</v>
      </c>
      <c r="J4527" s="2" t="s">
        <v>24</v>
      </c>
      <c r="K4527">
        <v>0</v>
      </c>
      <c r="L4527">
        <v>0</v>
      </c>
      <c r="N4527" s="2" t="s">
        <v>167</v>
      </c>
      <c r="O4527" s="2" t="s">
        <v>168</v>
      </c>
      <c r="P4527" s="2" t="s">
        <v>639</v>
      </c>
      <c r="Q4527" s="2" t="s">
        <v>639</v>
      </c>
      <c r="R4527" s="2" t="s">
        <v>29</v>
      </c>
      <c r="S4527" s="2" t="s">
        <v>30</v>
      </c>
    </row>
    <row r="4528" spans="1:19">
      <c r="A4528" s="1">
        <v>46174</v>
      </c>
      <c r="B4528" s="1">
        <v>46174</v>
      </c>
      <c r="C4528">
        <v>2026</v>
      </c>
      <c r="D4528">
        <v>6</v>
      </c>
      <c r="E4528" s="2" t="s">
        <v>171</v>
      </c>
      <c r="F4528" s="2" t="s">
        <v>172</v>
      </c>
      <c r="G4528" s="2" t="s">
        <v>21</v>
      </c>
      <c r="H4528" s="2" t="s">
        <v>22</v>
      </c>
      <c r="I4528" s="2" t="s">
        <v>66</v>
      </c>
      <c r="J4528" s="2" t="s">
        <v>24</v>
      </c>
      <c r="K4528">
        <v>0</v>
      </c>
      <c r="L4528">
        <v>0</v>
      </c>
      <c r="N4528" s="2" t="s">
        <v>173</v>
      </c>
      <c r="O4528" s="2" t="s">
        <v>174</v>
      </c>
      <c r="P4528" s="2" t="s">
        <v>639</v>
      </c>
      <c r="Q4528" s="2" t="s">
        <v>639</v>
      </c>
      <c r="R4528" s="2" t="s">
        <v>29</v>
      </c>
      <c r="S4528" s="2" t="s">
        <v>30</v>
      </c>
    </row>
    <row r="4529" spans="1:19">
      <c r="A4529" s="1">
        <v>46174</v>
      </c>
      <c r="B4529" s="1">
        <v>46174</v>
      </c>
      <c r="C4529">
        <v>2026</v>
      </c>
      <c r="D4529">
        <v>6</v>
      </c>
      <c r="E4529" s="2" t="s">
        <v>177</v>
      </c>
      <c r="F4529" s="2" t="s">
        <v>178</v>
      </c>
      <c r="G4529" s="2" t="s">
        <v>21</v>
      </c>
      <c r="H4529" s="2" t="s">
        <v>22</v>
      </c>
      <c r="I4529" s="2" t="s">
        <v>23</v>
      </c>
      <c r="J4529" s="2" t="s">
        <v>24</v>
      </c>
      <c r="K4529">
        <v>3539.18</v>
      </c>
      <c r="L4529">
        <v>676543.02</v>
      </c>
      <c r="M4529">
        <v>19115.810000000001</v>
      </c>
      <c r="N4529" s="2" t="s">
        <v>179</v>
      </c>
      <c r="O4529" s="2" t="s">
        <v>180</v>
      </c>
      <c r="P4529" s="2" t="s">
        <v>7738</v>
      </c>
      <c r="Q4529" s="2" t="s">
        <v>7739</v>
      </c>
      <c r="R4529" s="2" t="s">
        <v>29</v>
      </c>
      <c r="S4529" s="2" t="s">
        <v>30</v>
      </c>
    </row>
    <row r="4530" spans="1:19">
      <c r="A4530" s="1">
        <v>46174</v>
      </c>
      <c r="B4530" s="1">
        <v>46174</v>
      </c>
      <c r="C4530">
        <v>2026</v>
      </c>
      <c r="D4530">
        <v>6</v>
      </c>
      <c r="E4530" s="2" t="s">
        <v>183</v>
      </c>
      <c r="F4530" s="2" t="s">
        <v>184</v>
      </c>
      <c r="G4530" s="2" t="s">
        <v>185</v>
      </c>
      <c r="H4530" s="2" t="s">
        <v>22</v>
      </c>
      <c r="I4530" s="2" t="s">
        <v>186</v>
      </c>
      <c r="J4530" s="2" t="s">
        <v>24</v>
      </c>
      <c r="K4530">
        <v>2530.91</v>
      </c>
      <c r="L4530">
        <v>7130417.7599999998</v>
      </c>
      <c r="M4530">
        <v>281733.36</v>
      </c>
      <c r="N4530" s="2" t="s">
        <v>187</v>
      </c>
      <c r="O4530" s="2" t="s">
        <v>188</v>
      </c>
      <c r="P4530" s="2" t="s">
        <v>7740</v>
      </c>
      <c r="Q4530" s="2" t="s">
        <v>7741</v>
      </c>
      <c r="R4530" s="2" t="s">
        <v>29</v>
      </c>
      <c r="S4530" s="2" t="s">
        <v>30</v>
      </c>
    </row>
    <row r="4531" spans="1:19">
      <c r="A4531" s="1">
        <v>46174</v>
      </c>
      <c r="B4531" s="1">
        <v>46174</v>
      </c>
      <c r="C4531">
        <v>2026</v>
      </c>
      <c r="D4531">
        <v>6</v>
      </c>
      <c r="E4531" s="2" t="s">
        <v>191</v>
      </c>
      <c r="F4531" s="2" t="s">
        <v>192</v>
      </c>
      <c r="G4531" s="2" t="s">
        <v>185</v>
      </c>
      <c r="H4531" s="2" t="s">
        <v>22</v>
      </c>
      <c r="I4531" s="2" t="s">
        <v>186</v>
      </c>
      <c r="J4531" s="2" t="s">
        <v>24</v>
      </c>
      <c r="K4531">
        <v>651.67999999999995</v>
      </c>
      <c r="L4531">
        <v>6035122.9800000004</v>
      </c>
      <c r="M4531">
        <v>926086.88</v>
      </c>
      <c r="N4531" s="2" t="s">
        <v>193</v>
      </c>
      <c r="O4531" s="2" t="s">
        <v>194</v>
      </c>
      <c r="P4531" s="2" t="s">
        <v>7742</v>
      </c>
      <c r="Q4531" s="2" t="s">
        <v>7743</v>
      </c>
      <c r="R4531" s="2" t="s">
        <v>29</v>
      </c>
      <c r="S4531" s="2" t="s">
        <v>30</v>
      </c>
    </row>
    <row r="4532" spans="1:19">
      <c r="A4532" s="1">
        <v>46174</v>
      </c>
      <c r="B4532" s="1">
        <v>46174</v>
      </c>
      <c r="C4532">
        <v>2026</v>
      </c>
      <c r="D4532">
        <v>6</v>
      </c>
      <c r="E4532" s="2" t="s">
        <v>197</v>
      </c>
      <c r="F4532" s="2" t="s">
        <v>198</v>
      </c>
      <c r="G4532" s="2" t="s">
        <v>185</v>
      </c>
      <c r="H4532" s="2" t="s">
        <v>22</v>
      </c>
      <c r="I4532" s="2" t="s">
        <v>186</v>
      </c>
      <c r="J4532" s="2" t="s">
        <v>59</v>
      </c>
      <c r="K4532">
        <v>3182.59</v>
      </c>
      <c r="L4532">
        <v>13165540.74</v>
      </c>
      <c r="M4532">
        <v>413673.79</v>
      </c>
      <c r="N4532" s="2" t="s">
        <v>199</v>
      </c>
      <c r="O4532" s="2" t="s">
        <v>200</v>
      </c>
      <c r="P4532" s="2" t="s">
        <v>7744</v>
      </c>
      <c r="Q4532" s="2" t="s">
        <v>7745</v>
      </c>
      <c r="R4532" s="2" t="s">
        <v>29</v>
      </c>
      <c r="S4532" s="2" t="s">
        <v>30</v>
      </c>
    </row>
    <row r="4533" spans="1:19">
      <c r="A4533" s="1">
        <v>46174</v>
      </c>
      <c r="B4533" s="1">
        <v>46174</v>
      </c>
      <c r="C4533">
        <v>2026</v>
      </c>
      <c r="D4533">
        <v>6</v>
      </c>
      <c r="E4533" s="2" t="s">
        <v>203</v>
      </c>
      <c r="F4533" s="2" t="s">
        <v>204</v>
      </c>
      <c r="G4533" s="2" t="s">
        <v>39</v>
      </c>
      <c r="H4533" s="2" t="s">
        <v>22</v>
      </c>
      <c r="I4533" s="2" t="s">
        <v>40</v>
      </c>
      <c r="J4533" s="2" t="s">
        <v>24</v>
      </c>
      <c r="K4533">
        <v>928.19</v>
      </c>
      <c r="L4533">
        <v>24411.360000000001</v>
      </c>
      <c r="M4533">
        <v>2630</v>
      </c>
      <c r="N4533" s="2" t="s">
        <v>205</v>
      </c>
      <c r="O4533" s="2" t="s">
        <v>206</v>
      </c>
      <c r="P4533" s="2" t="s">
        <v>7746</v>
      </c>
      <c r="Q4533" s="2" t="s">
        <v>7747</v>
      </c>
      <c r="R4533" s="2" t="s">
        <v>29</v>
      </c>
      <c r="S4533" s="2" t="s">
        <v>30</v>
      </c>
    </row>
    <row r="4534" spans="1:19">
      <c r="A4534" s="1">
        <v>46174</v>
      </c>
      <c r="B4534" s="1">
        <v>46174</v>
      </c>
      <c r="C4534">
        <v>2026</v>
      </c>
      <c r="D4534">
        <v>6</v>
      </c>
      <c r="E4534" s="2" t="s">
        <v>209</v>
      </c>
      <c r="F4534" s="2" t="s">
        <v>210</v>
      </c>
      <c r="G4534" s="2" t="s">
        <v>39</v>
      </c>
      <c r="H4534" s="2" t="s">
        <v>22</v>
      </c>
      <c r="I4534" s="2" t="s">
        <v>40</v>
      </c>
      <c r="J4534" s="2" t="s">
        <v>59</v>
      </c>
      <c r="K4534">
        <v>928.19</v>
      </c>
      <c r="L4534">
        <v>24411.360000000001</v>
      </c>
      <c r="M4534">
        <v>2630</v>
      </c>
      <c r="N4534" s="2" t="s">
        <v>211</v>
      </c>
      <c r="O4534" s="2" t="s">
        <v>212</v>
      </c>
      <c r="P4534" s="2" t="s">
        <v>7746</v>
      </c>
      <c r="Q4534" s="2" t="s">
        <v>7747</v>
      </c>
      <c r="R4534" s="2" t="s">
        <v>29</v>
      </c>
      <c r="S4534" s="2" t="s">
        <v>30</v>
      </c>
    </row>
    <row r="4535" spans="1:19">
      <c r="A4535" s="1">
        <v>46174</v>
      </c>
      <c r="B4535" s="1">
        <v>46174</v>
      </c>
      <c r="C4535">
        <v>2026</v>
      </c>
      <c r="D4535">
        <v>6</v>
      </c>
      <c r="E4535" s="2" t="s">
        <v>213</v>
      </c>
      <c r="F4535" s="2" t="s">
        <v>214</v>
      </c>
      <c r="G4535" s="2" t="s">
        <v>185</v>
      </c>
      <c r="H4535" s="2" t="s">
        <v>22</v>
      </c>
      <c r="I4535" s="2" t="s">
        <v>215</v>
      </c>
      <c r="J4535" s="2" t="s">
        <v>24</v>
      </c>
      <c r="K4535">
        <v>184510.38</v>
      </c>
      <c r="L4535">
        <v>3190653.81</v>
      </c>
      <c r="M4535">
        <v>1729.25</v>
      </c>
      <c r="N4535" s="2" t="s">
        <v>216</v>
      </c>
      <c r="O4535" s="2" t="s">
        <v>217</v>
      </c>
      <c r="P4535" s="2" t="s">
        <v>7748</v>
      </c>
      <c r="Q4535" s="2" t="s">
        <v>7749</v>
      </c>
      <c r="R4535" s="2" t="s">
        <v>29</v>
      </c>
      <c r="S4535" s="2" t="s">
        <v>30</v>
      </c>
    </row>
    <row r="4536" spans="1:19">
      <c r="A4536" s="1">
        <v>46174</v>
      </c>
      <c r="B4536" s="1">
        <v>46174</v>
      </c>
      <c r="C4536">
        <v>2026</v>
      </c>
      <c r="D4536">
        <v>6</v>
      </c>
      <c r="E4536" s="2" t="s">
        <v>220</v>
      </c>
      <c r="F4536" s="2" t="s">
        <v>221</v>
      </c>
      <c r="G4536" s="2" t="s">
        <v>185</v>
      </c>
      <c r="H4536" s="2" t="s">
        <v>22</v>
      </c>
      <c r="I4536" s="2" t="s">
        <v>215</v>
      </c>
      <c r="J4536" s="2" t="s">
        <v>24</v>
      </c>
      <c r="K4536">
        <v>10719.64</v>
      </c>
      <c r="L4536">
        <v>723072.91</v>
      </c>
      <c r="M4536">
        <v>6745.31</v>
      </c>
      <c r="N4536" s="2" t="s">
        <v>222</v>
      </c>
      <c r="O4536" s="2" t="s">
        <v>223</v>
      </c>
      <c r="P4536" s="2" t="s">
        <v>7750</v>
      </c>
      <c r="Q4536" s="2" t="s">
        <v>7751</v>
      </c>
      <c r="R4536" s="2" t="s">
        <v>29</v>
      </c>
      <c r="S4536" s="2" t="s">
        <v>30</v>
      </c>
    </row>
    <row r="4537" spans="1:19">
      <c r="A4537" s="1">
        <v>46174</v>
      </c>
      <c r="B4537" s="1">
        <v>46174</v>
      </c>
      <c r="C4537">
        <v>2026</v>
      </c>
      <c r="D4537">
        <v>6</v>
      </c>
      <c r="E4537" s="2" t="s">
        <v>226</v>
      </c>
      <c r="F4537" s="2" t="s">
        <v>227</v>
      </c>
      <c r="G4537" s="2" t="s">
        <v>185</v>
      </c>
      <c r="H4537" s="2" t="s">
        <v>22</v>
      </c>
      <c r="I4537" s="2" t="s">
        <v>215</v>
      </c>
      <c r="J4537" s="2" t="s">
        <v>59</v>
      </c>
      <c r="K4537">
        <v>195230.02</v>
      </c>
      <c r="L4537">
        <v>3913726.71</v>
      </c>
      <c r="M4537">
        <v>2004.67</v>
      </c>
      <c r="N4537" s="2" t="s">
        <v>228</v>
      </c>
      <c r="O4537" s="2" t="s">
        <v>229</v>
      </c>
      <c r="P4537" s="2" t="s">
        <v>7752</v>
      </c>
      <c r="Q4537" s="2" t="s">
        <v>7753</v>
      </c>
      <c r="R4537" s="2" t="s">
        <v>29</v>
      </c>
      <c r="S4537" s="2" t="s">
        <v>30</v>
      </c>
    </row>
    <row r="4538" spans="1:19">
      <c r="A4538" s="1">
        <v>46174</v>
      </c>
      <c r="B4538" s="1">
        <v>46174</v>
      </c>
      <c r="C4538">
        <v>2026</v>
      </c>
      <c r="D4538">
        <v>6</v>
      </c>
      <c r="E4538" s="2" t="s">
        <v>232</v>
      </c>
      <c r="F4538" s="2" t="s">
        <v>233</v>
      </c>
      <c r="G4538" s="2" t="s">
        <v>21</v>
      </c>
      <c r="H4538" s="2" t="s">
        <v>22</v>
      </c>
      <c r="I4538" s="2" t="s">
        <v>23</v>
      </c>
      <c r="J4538" s="2" t="s">
        <v>24</v>
      </c>
      <c r="K4538">
        <v>1192.32</v>
      </c>
      <c r="L4538">
        <v>170435.59</v>
      </c>
      <c r="M4538">
        <v>14294.45</v>
      </c>
      <c r="N4538" s="2" t="s">
        <v>234</v>
      </c>
      <c r="O4538" s="2" t="s">
        <v>235</v>
      </c>
      <c r="P4538" s="2" t="s">
        <v>7754</v>
      </c>
      <c r="Q4538" s="2" t="s">
        <v>7755</v>
      </c>
      <c r="R4538" s="2" t="s">
        <v>29</v>
      </c>
      <c r="S4538" s="2" t="s">
        <v>30</v>
      </c>
    </row>
    <row r="4539" spans="1:19">
      <c r="A4539" s="1">
        <v>46174</v>
      </c>
      <c r="B4539" s="1">
        <v>46174</v>
      </c>
      <c r="C4539">
        <v>2026</v>
      </c>
      <c r="D4539">
        <v>6</v>
      </c>
      <c r="E4539" s="2" t="s">
        <v>238</v>
      </c>
      <c r="F4539" s="2" t="s">
        <v>239</v>
      </c>
      <c r="G4539" s="2" t="s">
        <v>21</v>
      </c>
      <c r="H4539" s="2" t="s">
        <v>22</v>
      </c>
      <c r="I4539" s="2" t="s">
        <v>66</v>
      </c>
      <c r="J4539" s="2" t="s">
        <v>24</v>
      </c>
      <c r="K4539">
        <v>1912.95</v>
      </c>
      <c r="L4539">
        <v>259076.12</v>
      </c>
      <c r="M4539">
        <v>13543.28</v>
      </c>
      <c r="N4539" s="2" t="s">
        <v>240</v>
      </c>
      <c r="O4539" s="2" t="s">
        <v>241</v>
      </c>
      <c r="P4539" s="2" t="s">
        <v>7756</v>
      </c>
      <c r="Q4539" s="2" t="s">
        <v>7757</v>
      </c>
      <c r="R4539" s="2" t="s">
        <v>29</v>
      </c>
      <c r="S4539" s="2" t="s">
        <v>30</v>
      </c>
    </row>
    <row r="4540" spans="1:19">
      <c r="A4540" s="1">
        <v>46174</v>
      </c>
      <c r="B4540" s="1">
        <v>46174</v>
      </c>
      <c r="C4540">
        <v>2026</v>
      </c>
      <c r="D4540">
        <v>6</v>
      </c>
      <c r="E4540" s="2" t="s">
        <v>244</v>
      </c>
      <c r="F4540" s="2" t="s">
        <v>245</v>
      </c>
      <c r="G4540" s="2" t="s">
        <v>21</v>
      </c>
      <c r="H4540" s="2" t="s">
        <v>22</v>
      </c>
      <c r="I4540" s="2" t="s">
        <v>23</v>
      </c>
      <c r="J4540" s="2" t="s">
        <v>24</v>
      </c>
      <c r="K4540">
        <v>8582.2999999999993</v>
      </c>
      <c r="L4540">
        <v>4453676.99</v>
      </c>
      <c r="M4540">
        <v>51893.75</v>
      </c>
      <c r="N4540" s="2" t="s">
        <v>246</v>
      </c>
      <c r="O4540" s="2" t="s">
        <v>247</v>
      </c>
      <c r="P4540" s="2" t="s">
        <v>7758</v>
      </c>
      <c r="Q4540" s="2" t="s">
        <v>7759</v>
      </c>
      <c r="R4540" s="2" t="s">
        <v>29</v>
      </c>
      <c r="S4540" s="2" t="s">
        <v>30</v>
      </c>
    </row>
    <row r="4541" spans="1:19">
      <c r="A4541" s="1">
        <v>46174</v>
      </c>
      <c r="B4541" s="1">
        <v>46174</v>
      </c>
      <c r="C4541">
        <v>2026</v>
      </c>
      <c r="D4541">
        <v>6</v>
      </c>
      <c r="E4541" s="2" t="s">
        <v>250</v>
      </c>
      <c r="F4541" s="2" t="s">
        <v>251</v>
      </c>
      <c r="G4541" s="2" t="s">
        <v>21</v>
      </c>
      <c r="H4541" s="2" t="s">
        <v>22</v>
      </c>
      <c r="I4541" s="2" t="s">
        <v>66</v>
      </c>
      <c r="J4541" s="2" t="s">
        <v>24</v>
      </c>
      <c r="K4541">
        <v>148.88</v>
      </c>
      <c r="L4541">
        <v>181.62</v>
      </c>
      <c r="M4541">
        <v>121.99</v>
      </c>
      <c r="N4541" s="2" t="s">
        <v>252</v>
      </c>
      <c r="O4541" s="2" t="s">
        <v>253</v>
      </c>
      <c r="P4541" s="2" t="s">
        <v>7760</v>
      </c>
      <c r="Q4541" s="2" t="s">
        <v>7761</v>
      </c>
      <c r="R4541" s="2" t="s">
        <v>29</v>
      </c>
      <c r="S4541" s="2" t="s">
        <v>30</v>
      </c>
    </row>
    <row r="4542" spans="1:19">
      <c r="A4542" s="1">
        <v>46174</v>
      </c>
      <c r="B4542" s="1">
        <v>46174</v>
      </c>
      <c r="C4542">
        <v>2026</v>
      </c>
      <c r="D4542">
        <v>6</v>
      </c>
      <c r="E4542" s="2" t="s">
        <v>256</v>
      </c>
      <c r="F4542" s="2" t="s">
        <v>257</v>
      </c>
      <c r="G4542" s="2" t="s">
        <v>21</v>
      </c>
      <c r="H4542" s="2" t="s">
        <v>22</v>
      </c>
      <c r="I4542" s="2" t="s">
        <v>258</v>
      </c>
      <c r="J4542" s="2" t="s">
        <v>24</v>
      </c>
      <c r="K4542">
        <v>425.55</v>
      </c>
      <c r="L4542">
        <v>607843.41</v>
      </c>
      <c r="M4542">
        <v>142837.13</v>
      </c>
      <c r="N4542" s="2" t="s">
        <v>259</v>
      </c>
      <c r="O4542" s="2" t="s">
        <v>260</v>
      </c>
      <c r="P4542" s="2" t="s">
        <v>7762</v>
      </c>
      <c r="Q4542" s="2" t="s">
        <v>7763</v>
      </c>
      <c r="R4542" s="2" t="s">
        <v>29</v>
      </c>
      <c r="S4542" s="2" t="s">
        <v>30</v>
      </c>
    </row>
    <row r="4543" spans="1:19">
      <c r="A4543" s="1">
        <v>46174</v>
      </c>
      <c r="B4543" s="1">
        <v>46174</v>
      </c>
      <c r="C4543">
        <v>2026</v>
      </c>
      <c r="D4543">
        <v>6</v>
      </c>
      <c r="E4543" s="2" t="s">
        <v>263</v>
      </c>
      <c r="F4543" s="2" t="s">
        <v>264</v>
      </c>
      <c r="G4543" s="2" t="s">
        <v>21</v>
      </c>
      <c r="H4543" s="2" t="s">
        <v>22</v>
      </c>
      <c r="I4543" s="2" t="s">
        <v>258</v>
      </c>
      <c r="J4543" s="2" t="s">
        <v>24</v>
      </c>
      <c r="K4543">
        <v>0</v>
      </c>
      <c r="L4543">
        <v>0</v>
      </c>
      <c r="N4543" s="2" t="s">
        <v>265</v>
      </c>
      <c r="O4543" s="2" t="s">
        <v>266</v>
      </c>
      <c r="P4543" s="2" t="s">
        <v>639</v>
      </c>
      <c r="Q4543" s="2" t="s">
        <v>639</v>
      </c>
      <c r="R4543" s="2" t="s">
        <v>29</v>
      </c>
      <c r="S4543" s="2" t="s">
        <v>30</v>
      </c>
    </row>
    <row r="4544" spans="1:19">
      <c r="A4544" s="1">
        <v>46174</v>
      </c>
      <c r="B4544" s="1">
        <v>46174</v>
      </c>
      <c r="C4544">
        <v>2026</v>
      </c>
      <c r="D4544">
        <v>6</v>
      </c>
      <c r="E4544" s="2" t="s">
        <v>269</v>
      </c>
      <c r="F4544" s="2" t="s">
        <v>270</v>
      </c>
      <c r="G4544" s="2" t="s">
        <v>21</v>
      </c>
      <c r="H4544" s="2" t="s">
        <v>22</v>
      </c>
      <c r="I4544" s="2" t="s">
        <v>258</v>
      </c>
      <c r="J4544" s="2" t="s">
        <v>59</v>
      </c>
      <c r="K4544">
        <v>425.55</v>
      </c>
      <c r="L4544">
        <v>607843.41</v>
      </c>
      <c r="M4544">
        <v>142837.13</v>
      </c>
      <c r="N4544" s="2" t="s">
        <v>271</v>
      </c>
      <c r="O4544" s="2" t="s">
        <v>272</v>
      </c>
      <c r="P4544" s="2" t="s">
        <v>7762</v>
      </c>
      <c r="Q4544" s="2" t="s">
        <v>7763</v>
      </c>
      <c r="R4544" s="2" t="s">
        <v>29</v>
      </c>
      <c r="S4544" s="2" t="s">
        <v>30</v>
      </c>
    </row>
    <row r="4545" spans="1:19">
      <c r="A4545" s="1">
        <v>46174</v>
      </c>
      <c r="B4545" s="1">
        <v>46174</v>
      </c>
      <c r="C4545">
        <v>2026</v>
      </c>
      <c r="D4545">
        <v>6</v>
      </c>
      <c r="E4545" s="2" t="s">
        <v>275</v>
      </c>
      <c r="F4545" s="2" t="s">
        <v>276</v>
      </c>
      <c r="G4545" s="2" t="s">
        <v>39</v>
      </c>
      <c r="H4545" s="2" t="s">
        <v>22</v>
      </c>
      <c r="I4545" s="2" t="s">
        <v>40</v>
      </c>
      <c r="J4545" s="2" t="s">
        <v>24</v>
      </c>
      <c r="K4545">
        <v>7.0000000000000007E-2</v>
      </c>
      <c r="L4545">
        <v>1.23</v>
      </c>
      <c r="M4545">
        <v>1757.14</v>
      </c>
      <c r="N4545" s="2" t="s">
        <v>277</v>
      </c>
      <c r="O4545" s="2" t="s">
        <v>278</v>
      </c>
      <c r="P4545" s="2" t="s">
        <v>2234</v>
      </c>
      <c r="Q4545" s="2" t="s">
        <v>3281</v>
      </c>
      <c r="R4545" s="2" t="s">
        <v>29</v>
      </c>
      <c r="S4545" s="2" t="s">
        <v>30</v>
      </c>
    </row>
    <row r="4546" spans="1:19">
      <c r="A4546" s="1">
        <v>46174</v>
      </c>
      <c r="B4546" s="1">
        <v>46174</v>
      </c>
      <c r="C4546">
        <v>2026</v>
      </c>
      <c r="D4546">
        <v>6</v>
      </c>
      <c r="E4546" s="2" t="s">
        <v>281</v>
      </c>
      <c r="F4546" s="2" t="s">
        <v>282</v>
      </c>
      <c r="G4546" s="2" t="s">
        <v>39</v>
      </c>
      <c r="H4546" s="2" t="s">
        <v>22</v>
      </c>
      <c r="I4546" s="2" t="s">
        <v>40</v>
      </c>
      <c r="J4546" s="2" t="s">
        <v>24</v>
      </c>
      <c r="K4546">
        <v>0.03</v>
      </c>
      <c r="L4546">
        <v>0.41</v>
      </c>
      <c r="M4546">
        <v>1366.67</v>
      </c>
      <c r="N4546" s="2" t="s">
        <v>283</v>
      </c>
      <c r="O4546" s="2" t="s">
        <v>284</v>
      </c>
      <c r="P4546" s="2" t="s">
        <v>1247</v>
      </c>
      <c r="Q4546" s="2" t="s">
        <v>2036</v>
      </c>
      <c r="R4546" s="2" t="s">
        <v>29</v>
      </c>
      <c r="S4546" s="2" t="s">
        <v>30</v>
      </c>
    </row>
    <row r="4547" spans="1:19">
      <c r="A4547" s="1">
        <v>46174</v>
      </c>
      <c r="B4547" s="1">
        <v>46174</v>
      </c>
      <c r="C4547">
        <v>2026</v>
      </c>
      <c r="D4547">
        <v>6</v>
      </c>
      <c r="E4547" s="2" t="s">
        <v>287</v>
      </c>
      <c r="F4547" s="2" t="s">
        <v>288</v>
      </c>
      <c r="G4547" s="2" t="s">
        <v>39</v>
      </c>
      <c r="H4547" s="2" t="s">
        <v>22</v>
      </c>
      <c r="I4547" s="2" t="s">
        <v>40</v>
      </c>
      <c r="J4547" s="2" t="s">
        <v>59</v>
      </c>
      <c r="K4547">
        <v>0.1</v>
      </c>
      <c r="L4547">
        <v>1.64</v>
      </c>
      <c r="M4547">
        <v>1640</v>
      </c>
      <c r="N4547" s="2" t="s">
        <v>289</v>
      </c>
      <c r="O4547" s="2" t="s">
        <v>290</v>
      </c>
      <c r="P4547" s="2" t="s">
        <v>425</v>
      </c>
      <c r="Q4547" s="2" t="s">
        <v>1543</v>
      </c>
      <c r="R4547" s="2" t="s">
        <v>29</v>
      </c>
      <c r="S4547" s="2" t="s">
        <v>30</v>
      </c>
    </row>
    <row r="4548" spans="1:19">
      <c r="A4548" s="1">
        <v>46174</v>
      </c>
      <c r="B4548" s="1">
        <v>46174</v>
      </c>
      <c r="C4548">
        <v>2026</v>
      </c>
      <c r="D4548">
        <v>6</v>
      </c>
      <c r="E4548" s="2" t="s">
        <v>293</v>
      </c>
      <c r="F4548" s="2" t="s">
        <v>294</v>
      </c>
      <c r="G4548" s="2" t="s">
        <v>21</v>
      </c>
      <c r="H4548" s="2" t="s">
        <v>22</v>
      </c>
      <c r="I4548" s="2" t="s">
        <v>295</v>
      </c>
      <c r="J4548" s="2" t="s">
        <v>24</v>
      </c>
      <c r="K4548">
        <v>1109.21</v>
      </c>
      <c r="L4548">
        <v>5182.03</v>
      </c>
      <c r="M4548">
        <v>467.18</v>
      </c>
      <c r="N4548" s="2" t="s">
        <v>296</v>
      </c>
      <c r="O4548" s="2" t="s">
        <v>297</v>
      </c>
      <c r="P4548" s="2" t="s">
        <v>7764</v>
      </c>
      <c r="Q4548" s="2" t="s">
        <v>7765</v>
      </c>
      <c r="R4548" s="2" t="s">
        <v>29</v>
      </c>
      <c r="S4548" s="2" t="s">
        <v>30</v>
      </c>
    </row>
    <row r="4549" spans="1:19">
      <c r="A4549" s="1">
        <v>46174</v>
      </c>
      <c r="B4549" s="1">
        <v>46174</v>
      </c>
      <c r="C4549">
        <v>2026</v>
      </c>
      <c r="D4549">
        <v>6</v>
      </c>
      <c r="E4549" s="2" t="s">
        <v>300</v>
      </c>
      <c r="F4549" s="2" t="s">
        <v>301</v>
      </c>
      <c r="G4549" s="2" t="s">
        <v>21</v>
      </c>
      <c r="H4549" s="2" t="s">
        <v>22</v>
      </c>
      <c r="I4549" s="2" t="s">
        <v>295</v>
      </c>
      <c r="J4549" s="2" t="s">
        <v>24</v>
      </c>
      <c r="K4549">
        <v>794.48</v>
      </c>
      <c r="L4549">
        <v>1342.78</v>
      </c>
      <c r="M4549">
        <v>169.01</v>
      </c>
      <c r="N4549" s="2" t="s">
        <v>302</v>
      </c>
      <c r="O4549" s="2" t="s">
        <v>303</v>
      </c>
      <c r="P4549" s="2" t="s">
        <v>7766</v>
      </c>
      <c r="Q4549" s="2" t="s">
        <v>7767</v>
      </c>
      <c r="R4549" s="2" t="s">
        <v>29</v>
      </c>
      <c r="S4549" s="2" t="s">
        <v>30</v>
      </c>
    </row>
    <row r="4550" spans="1:19">
      <c r="A4550" s="1">
        <v>46174</v>
      </c>
      <c r="B4550" s="1">
        <v>46174</v>
      </c>
      <c r="C4550">
        <v>2026</v>
      </c>
      <c r="D4550">
        <v>6</v>
      </c>
      <c r="E4550" s="2" t="s">
        <v>306</v>
      </c>
      <c r="F4550" s="2" t="s">
        <v>307</v>
      </c>
      <c r="G4550" s="2" t="s">
        <v>21</v>
      </c>
      <c r="H4550" s="2" t="s">
        <v>22</v>
      </c>
      <c r="I4550" s="2" t="s">
        <v>295</v>
      </c>
      <c r="J4550" s="2" t="s">
        <v>101</v>
      </c>
      <c r="K4550">
        <v>1903.69</v>
      </c>
      <c r="L4550">
        <v>6524.81</v>
      </c>
      <c r="M4550">
        <v>342.75</v>
      </c>
      <c r="N4550" s="2" t="s">
        <v>308</v>
      </c>
      <c r="O4550" s="2" t="s">
        <v>309</v>
      </c>
      <c r="P4550" s="2" t="s">
        <v>7768</v>
      </c>
      <c r="Q4550" s="2" t="s">
        <v>7769</v>
      </c>
      <c r="R4550" s="2" t="s">
        <v>29</v>
      </c>
      <c r="S4550" s="2" t="s">
        <v>30</v>
      </c>
    </row>
    <row r="4551" spans="1:19">
      <c r="A4551" s="1">
        <v>46174</v>
      </c>
      <c r="B4551" s="1">
        <v>46174</v>
      </c>
      <c r="C4551">
        <v>2026</v>
      </c>
      <c r="D4551">
        <v>6</v>
      </c>
      <c r="E4551" s="2" t="s">
        <v>312</v>
      </c>
      <c r="F4551" s="2" t="s">
        <v>313</v>
      </c>
      <c r="G4551" s="2" t="s">
        <v>21</v>
      </c>
      <c r="H4551" s="2" t="s">
        <v>22</v>
      </c>
      <c r="I4551" s="2" t="s">
        <v>295</v>
      </c>
      <c r="J4551" s="2" t="s">
        <v>59</v>
      </c>
      <c r="K4551">
        <v>8887.7900000000009</v>
      </c>
      <c r="L4551">
        <v>27494.85</v>
      </c>
      <c r="M4551">
        <v>309.36</v>
      </c>
      <c r="N4551" s="2" t="s">
        <v>314</v>
      </c>
      <c r="O4551" s="2" t="s">
        <v>315</v>
      </c>
      <c r="P4551" s="2" t="s">
        <v>7770</v>
      </c>
      <c r="Q4551" s="2" t="s">
        <v>7771</v>
      </c>
      <c r="R4551" s="2" t="s">
        <v>29</v>
      </c>
      <c r="S4551" s="2" t="s">
        <v>30</v>
      </c>
    </row>
    <row r="4552" spans="1:19">
      <c r="A4552" s="1">
        <v>46174</v>
      </c>
      <c r="B4552" s="1">
        <v>46174</v>
      </c>
      <c r="C4552">
        <v>2026</v>
      </c>
      <c r="D4552">
        <v>6</v>
      </c>
      <c r="E4552" s="2" t="s">
        <v>318</v>
      </c>
      <c r="F4552" s="2" t="s">
        <v>319</v>
      </c>
      <c r="G4552" s="2" t="s">
        <v>21</v>
      </c>
      <c r="H4552" s="2" t="s">
        <v>22</v>
      </c>
      <c r="I4552" s="2" t="s">
        <v>295</v>
      </c>
      <c r="J4552" s="2" t="s">
        <v>24</v>
      </c>
      <c r="K4552">
        <v>6984.1</v>
      </c>
      <c r="L4552">
        <v>20970.04</v>
      </c>
      <c r="M4552">
        <v>300.25</v>
      </c>
      <c r="N4552" s="2" t="s">
        <v>320</v>
      </c>
      <c r="O4552" s="2" t="s">
        <v>321</v>
      </c>
      <c r="P4552" s="2" t="s">
        <v>7772</v>
      </c>
      <c r="Q4552" s="2" t="s">
        <v>7773</v>
      </c>
      <c r="R4552" s="2" t="s">
        <v>29</v>
      </c>
      <c r="S4552" s="2" t="s">
        <v>30</v>
      </c>
    </row>
    <row r="4553" spans="1:19">
      <c r="A4553" s="1">
        <v>46174</v>
      </c>
      <c r="B4553" s="1">
        <v>46174</v>
      </c>
      <c r="C4553">
        <v>2026</v>
      </c>
      <c r="D4553">
        <v>6</v>
      </c>
      <c r="E4553" s="2" t="s">
        <v>324</v>
      </c>
      <c r="F4553" s="2" t="s">
        <v>325</v>
      </c>
      <c r="G4553" s="2" t="s">
        <v>21</v>
      </c>
      <c r="H4553" s="2" t="s">
        <v>22</v>
      </c>
      <c r="I4553" s="2" t="s">
        <v>23</v>
      </c>
      <c r="J4553" s="2" t="s">
        <v>59</v>
      </c>
      <c r="K4553">
        <v>243626.31</v>
      </c>
      <c r="L4553">
        <v>8255460.4500000002</v>
      </c>
      <c r="M4553">
        <v>3388.58</v>
      </c>
      <c r="N4553" s="2" t="s">
        <v>326</v>
      </c>
      <c r="O4553" s="2" t="s">
        <v>327</v>
      </c>
      <c r="P4553" s="2" t="s">
        <v>7774</v>
      </c>
      <c r="Q4553" s="2" t="s">
        <v>7775</v>
      </c>
      <c r="R4553" s="2" t="s">
        <v>29</v>
      </c>
      <c r="S4553" s="2" t="s">
        <v>30</v>
      </c>
    </row>
    <row r="4554" spans="1:19">
      <c r="A4554" s="1">
        <v>46174</v>
      </c>
      <c r="B4554" s="1">
        <v>46174</v>
      </c>
      <c r="C4554">
        <v>2026</v>
      </c>
      <c r="D4554">
        <v>6</v>
      </c>
      <c r="E4554" s="2" t="s">
        <v>330</v>
      </c>
      <c r="F4554" s="2" t="s">
        <v>331</v>
      </c>
      <c r="G4554" s="2" t="s">
        <v>21</v>
      </c>
      <c r="H4554" s="2" t="s">
        <v>332</v>
      </c>
      <c r="I4554" s="2" t="s">
        <v>333</v>
      </c>
      <c r="J4554" s="2" t="s">
        <v>24</v>
      </c>
      <c r="K4554">
        <v>318.14</v>
      </c>
      <c r="L4554">
        <v>21210782.77</v>
      </c>
      <c r="M4554">
        <v>6667122.2599999998</v>
      </c>
      <c r="N4554" s="2" t="s">
        <v>334</v>
      </c>
      <c r="O4554" s="2" t="s">
        <v>335</v>
      </c>
      <c r="P4554" s="2" t="s">
        <v>7776</v>
      </c>
      <c r="Q4554" s="2" t="s">
        <v>7777</v>
      </c>
      <c r="R4554" s="2" t="s">
        <v>29</v>
      </c>
      <c r="S4554" s="2" t="s">
        <v>30</v>
      </c>
    </row>
    <row r="4555" spans="1:19">
      <c r="A4555" s="1">
        <v>46174</v>
      </c>
      <c r="B4555" s="1">
        <v>46174</v>
      </c>
      <c r="C4555">
        <v>2026</v>
      </c>
      <c r="D4555">
        <v>6</v>
      </c>
      <c r="E4555" s="2" t="s">
        <v>338</v>
      </c>
      <c r="F4555" s="2" t="s">
        <v>339</v>
      </c>
      <c r="G4555" s="2" t="s">
        <v>21</v>
      </c>
      <c r="H4555" s="2" t="s">
        <v>332</v>
      </c>
      <c r="I4555" s="2" t="s">
        <v>333</v>
      </c>
      <c r="J4555" s="2" t="s">
        <v>24</v>
      </c>
      <c r="K4555">
        <v>1.1499999999999999</v>
      </c>
      <c r="L4555">
        <v>1773356.93</v>
      </c>
      <c r="M4555">
        <v>154204950.43000001</v>
      </c>
      <c r="N4555" s="2" t="s">
        <v>340</v>
      </c>
      <c r="O4555" s="2" t="s">
        <v>341</v>
      </c>
      <c r="P4555" s="2" t="s">
        <v>3814</v>
      </c>
      <c r="Q4555" s="2" t="s">
        <v>7778</v>
      </c>
      <c r="R4555" s="2" t="s">
        <v>29</v>
      </c>
      <c r="S4555" s="2" t="s">
        <v>30</v>
      </c>
    </row>
    <row r="4556" spans="1:19">
      <c r="A4556" s="1">
        <v>46174</v>
      </c>
      <c r="B4556" s="1">
        <v>46174</v>
      </c>
      <c r="C4556">
        <v>2026</v>
      </c>
      <c r="D4556">
        <v>6</v>
      </c>
      <c r="E4556" s="2" t="s">
        <v>344</v>
      </c>
      <c r="F4556" s="2" t="s">
        <v>345</v>
      </c>
      <c r="G4556" s="2" t="s">
        <v>21</v>
      </c>
      <c r="H4556" s="2" t="s">
        <v>332</v>
      </c>
      <c r="I4556" s="2" t="s">
        <v>333</v>
      </c>
      <c r="J4556" s="2" t="s">
        <v>59</v>
      </c>
      <c r="K4556">
        <v>319.29000000000002</v>
      </c>
      <c r="L4556">
        <v>22984139.710000001</v>
      </c>
      <c r="M4556">
        <v>7198515.3700000001</v>
      </c>
      <c r="N4556" s="2" t="s">
        <v>346</v>
      </c>
      <c r="O4556" s="2" t="s">
        <v>347</v>
      </c>
      <c r="P4556" s="2" t="s">
        <v>7779</v>
      </c>
      <c r="Q4556" s="2" t="s">
        <v>7780</v>
      </c>
      <c r="R4556" s="2" t="s">
        <v>29</v>
      </c>
      <c r="S4556" s="2" t="s">
        <v>30</v>
      </c>
    </row>
    <row r="4557" spans="1:19">
      <c r="A4557" s="1">
        <v>46174</v>
      </c>
      <c r="B4557" s="1">
        <v>46174</v>
      </c>
      <c r="C4557">
        <v>2026</v>
      </c>
      <c r="D4557">
        <v>6</v>
      </c>
      <c r="E4557" s="2" t="s">
        <v>350</v>
      </c>
      <c r="F4557" s="2" t="s">
        <v>351</v>
      </c>
      <c r="G4557" s="2" t="s">
        <v>21</v>
      </c>
      <c r="H4557" s="2" t="s">
        <v>22</v>
      </c>
      <c r="I4557" s="2" t="s">
        <v>352</v>
      </c>
      <c r="J4557" s="2" t="s">
        <v>353</v>
      </c>
      <c r="K4557">
        <v>261711.04</v>
      </c>
      <c r="L4557">
        <v>31764092.219999999</v>
      </c>
      <c r="M4557">
        <v>12137.09</v>
      </c>
      <c r="N4557" s="2" t="s">
        <v>354</v>
      </c>
      <c r="O4557" s="2" t="s">
        <v>355</v>
      </c>
      <c r="P4557" s="2" t="s">
        <v>7781</v>
      </c>
      <c r="Q4557" s="2" t="s">
        <v>7782</v>
      </c>
      <c r="R4557" s="2" t="s">
        <v>29</v>
      </c>
      <c r="S4557" s="2" t="s">
        <v>30</v>
      </c>
    </row>
    <row r="4558" spans="1:19">
      <c r="A4558" s="1">
        <v>46174</v>
      </c>
      <c r="B4558" s="1">
        <v>46174</v>
      </c>
      <c r="C4558">
        <v>2026</v>
      </c>
      <c r="D4558">
        <v>6</v>
      </c>
      <c r="E4558" s="2" t="s">
        <v>358</v>
      </c>
      <c r="F4558" s="2" t="s">
        <v>359</v>
      </c>
      <c r="G4558" s="2" t="s">
        <v>21</v>
      </c>
      <c r="H4558" s="2" t="s">
        <v>22</v>
      </c>
      <c r="I4558" s="2" t="s">
        <v>352</v>
      </c>
      <c r="J4558" s="2" t="s">
        <v>353</v>
      </c>
      <c r="K4558">
        <v>262136.59</v>
      </c>
      <c r="L4558">
        <v>32371935.629999999</v>
      </c>
      <c r="M4558">
        <v>12349.26</v>
      </c>
      <c r="N4558" s="2" t="s">
        <v>360</v>
      </c>
      <c r="O4558" s="2" t="s">
        <v>361</v>
      </c>
      <c r="P4558" s="2" t="s">
        <v>7783</v>
      </c>
      <c r="Q4558" s="2" t="s">
        <v>7784</v>
      </c>
      <c r="R4558" s="2" t="s">
        <v>29</v>
      </c>
      <c r="S4558" s="2" t="s">
        <v>30</v>
      </c>
    </row>
    <row r="4559" spans="1:19">
      <c r="A4559" s="1">
        <v>46174</v>
      </c>
      <c r="B4559" s="1">
        <v>46174</v>
      </c>
      <c r="C4559">
        <v>2026</v>
      </c>
      <c r="D4559">
        <v>6</v>
      </c>
      <c r="E4559" s="2" t="s">
        <v>364</v>
      </c>
      <c r="F4559" s="2" t="s">
        <v>365</v>
      </c>
      <c r="G4559" s="2" t="s">
        <v>21</v>
      </c>
      <c r="H4559" s="2" t="s">
        <v>22</v>
      </c>
      <c r="I4559" s="2" t="s">
        <v>352</v>
      </c>
      <c r="J4559" s="2" t="s">
        <v>353</v>
      </c>
      <c r="K4559">
        <v>261817.3</v>
      </c>
      <c r="L4559">
        <v>9387795.9299999997</v>
      </c>
      <c r="M4559">
        <v>3585.63</v>
      </c>
      <c r="N4559" s="2" t="s">
        <v>366</v>
      </c>
      <c r="O4559" s="2" t="s">
        <v>367</v>
      </c>
      <c r="P4559" s="2" t="s">
        <v>7785</v>
      </c>
      <c r="Q4559" s="2" t="s">
        <v>7786</v>
      </c>
      <c r="R4559" s="2" t="s">
        <v>29</v>
      </c>
      <c r="S4559" s="2" t="s">
        <v>30</v>
      </c>
    </row>
    <row r="4560" spans="1:19">
      <c r="A4560" s="1">
        <v>46174</v>
      </c>
      <c r="B4560" s="1">
        <v>46174</v>
      </c>
      <c r="C4560">
        <v>2026</v>
      </c>
      <c r="D4560">
        <v>6</v>
      </c>
      <c r="E4560" s="2" t="s">
        <v>370</v>
      </c>
      <c r="F4560" s="2" t="s">
        <v>371</v>
      </c>
      <c r="G4560" s="2" t="s">
        <v>21</v>
      </c>
      <c r="H4560" s="2" t="s">
        <v>22</v>
      </c>
      <c r="I4560" s="2" t="s">
        <v>23</v>
      </c>
      <c r="J4560" s="2" t="s">
        <v>24</v>
      </c>
      <c r="K4560">
        <v>227160.66</v>
      </c>
      <c r="L4560">
        <v>2892138.66</v>
      </c>
      <c r="M4560">
        <v>1273.17</v>
      </c>
      <c r="N4560" s="2" t="s">
        <v>372</v>
      </c>
      <c r="O4560" s="2" t="s">
        <v>373</v>
      </c>
      <c r="P4560" s="2" t="s">
        <v>7787</v>
      </c>
      <c r="Q4560" s="2" t="s">
        <v>7788</v>
      </c>
      <c r="R4560" s="2" t="s">
        <v>29</v>
      </c>
      <c r="S4560" s="2" t="s">
        <v>30</v>
      </c>
    </row>
    <row r="4561" spans="1:19">
      <c r="A4561" s="1">
        <v>46174</v>
      </c>
      <c r="B4561" s="1">
        <v>46174</v>
      </c>
      <c r="C4561">
        <v>2026</v>
      </c>
      <c r="D4561">
        <v>6</v>
      </c>
      <c r="E4561" s="2" t="s">
        <v>376</v>
      </c>
      <c r="F4561" s="2" t="s">
        <v>377</v>
      </c>
      <c r="G4561" s="2" t="s">
        <v>21</v>
      </c>
      <c r="H4561" s="2" t="s">
        <v>22</v>
      </c>
      <c r="I4561" s="2" t="s">
        <v>23</v>
      </c>
      <c r="J4561" s="2" t="s">
        <v>378</v>
      </c>
      <c r="K4561">
        <v>1.28</v>
      </c>
      <c r="L4561">
        <v>12.74</v>
      </c>
      <c r="M4561">
        <v>995.31</v>
      </c>
      <c r="N4561" s="2" t="s">
        <v>379</v>
      </c>
      <c r="O4561" s="2" t="s">
        <v>380</v>
      </c>
      <c r="P4561" s="2" t="s">
        <v>1134</v>
      </c>
      <c r="Q4561" s="2" t="s">
        <v>7789</v>
      </c>
      <c r="R4561" s="2" t="s">
        <v>29</v>
      </c>
      <c r="S4561" s="2" t="s">
        <v>30</v>
      </c>
    </row>
    <row r="4562" spans="1:19">
      <c r="A4562" s="1">
        <v>46204</v>
      </c>
      <c r="B4562" s="1">
        <v>46204</v>
      </c>
      <c r="C4562">
        <v>2026</v>
      </c>
      <c r="D4562">
        <v>7</v>
      </c>
      <c r="E4562" s="2" t="s">
        <v>19</v>
      </c>
      <c r="F4562" s="2" t="s">
        <v>20</v>
      </c>
      <c r="G4562" s="2" t="s">
        <v>21</v>
      </c>
      <c r="H4562" s="2" t="s">
        <v>22</v>
      </c>
      <c r="I4562" s="2" t="s">
        <v>23</v>
      </c>
      <c r="J4562" s="2" t="s">
        <v>24</v>
      </c>
      <c r="K4562">
        <v>0.22</v>
      </c>
      <c r="L4562">
        <v>11.99</v>
      </c>
      <c r="M4562">
        <v>5450</v>
      </c>
      <c r="N4562" s="2" t="s">
        <v>25</v>
      </c>
      <c r="O4562" s="2" t="s">
        <v>26</v>
      </c>
      <c r="P4562" s="2" t="s">
        <v>514</v>
      </c>
      <c r="Q4562" s="2" t="s">
        <v>7790</v>
      </c>
      <c r="R4562" s="2" t="s">
        <v>29</v>
      </c>
      <c r="S4562" s="2" t="s">
        <v>30</v>
      </c>
    </row>
    <row r="4563" spans="1:19">
      <c r="A4563" s="1">
        <v>46204</v>
      </c>
      <c r="B4563" s="1">
        <v>46204</v>
      </c>
      <c r="C4563">
        <v>2026</v>
      </c>
      <c r="D4563">
        <v>7</v>
      </c>
      <c r="E4563" s="2" t="s">
        <v>31</v>
      </c>
      <c r="F4563" s="2" t="s">
        <v>32</v>
      </c>
      <c r="G4563" s="2" t="s">
        <v>21</v>
      </c>
      <c r="H4563" s="2" t="s">
        <v>22</v>
      </c>
      <c r="I4563" s="2" t="s">
        <v>23</v>
      </c>
      <c r="J4563" s="2" t="s">
        <v>24</v>
      </c>
      <c r="K4563">
        <v>2667.4</v>
      </c>
      <c r="L4563">
        <v>54236.36</v>
      </c>
      <c r="M4563">
        <v>2033.3</v>
      </c>
      <c r="N4563" s="2" t="s">
        <v>33</v>
      </c>
      <c r="O4563" s="2" t="s">
        <v>34</v>
      </c>
      <c r="P4563" s="2" t="s">
        <v>7791</v>
      </c>
      <c r="Q4563" s="2" t="s">
        <v>7792</v>
      </c>
      <c r="R4563" s="2" t="s">
        <v>29</v>
      </c>
      <c r="S4563" s="2" t="s">
        <v>30</v>
      </c>
    </row>
    <row r="4564" spans="1:19">
      <c r="A4564" s="1">
        <v>46204</v>
      </c>
      <c r="B4564" s="1">
        <v>46204</v>
      </c>
      <c r="C4564">
        <v>2026</v>
      </c>
      <c r="D4564">
        <v>7</v>
      </c>
      <c r="E4564" s="2" t="s">
        <v>37</v>
      </c>
      <c r="F4564" s="2" t="s">
        <v>38</v>
      </c>
      <c r="G4564" s="2" t="s">
        <v>39</v>
      </c>
      <c r="H4564" s="2" t="s">
        <v>22</v>
      </c>
      <c r="I4564" s="2" t="s">
        <v>40</v>
      </c>
      <c r="J4564" s="2" t="s">
        <v>24</v>
      </c>
      <c r="K4564">
        <v>6.53</v>
      </c>
      <c r="L4564">
        <v>372.18</v>
      </c>
      <c r="M4564">
        <v>5699.54</v>
      </c>
      <c r="N4564" s="2" t="s">
        <v>41</v>
      </c>
      <c r="O4564" s="2" t="s">
        <v>42</v>
      </c>
      <c r="P4564" s="2" t="s">
        <v>7793</v>
      </c>
      <c r="Q4564" s="2" t="s">
        <v>7794</v>
      </c>
      <c r="R4564" s="2" t="s">
        <v>29</v>
      </c>
      <c r="S4564" s="2" t="s">
        <v>30</v>
      </c>
    </row>
    <row r="4565" spans="1:19">
      <c r="A4565" s="1">
        <v>46204</v>
      </c>
      <c r="B4565" s="1">
        <v>46204</v>
      </c>
      <c r="C4565">
        <v>2026</v>
      </c>
      <c r="D4565">
        <v>7</v>
      </c>
      <c r="E4565" s="2" t="s">
        <v>45</v>
      </c>
      <c r="F4565" s="2" t="s">
        <v>46</v>
      </c>
      <c r="G4565" s="2" t="s">
        <v>39</v>
      </c>
      <c r="H4565" s="2" t="s">
        <v>22</v>
      </c>
      <c r="I4565" s="2" t="s">
        <v>40</v>
      </c>
      <c r="J4565" s="2" t="s">
        <v>24</v>
      </c>
      <c r="K4565">
        <v>4052.01</v>
      </c>
      <c r="L4565">
        <v>219308.29</v>
      </c>
      <c r="M4565">
        <v>5412.33</v>
      </c>
      <c r="N4565" s="2" t="s">
        <v>47</v>
      </c>
      <c r="O4565" s="2" t="s">
        <v>48</v>
      </c>
      <c r="P4565" s="2" t="s">
        <v>7795</v>
      </c>
      <c r="Q4565" s="2" t="s">
        <v>7796</v>
      </c>
      <c r="R4565" s="2" t="s">
        <v>29</v>
      </c>
      <c r="S4565" s="2" t="s">
        <v>30</v>
      </c>
    </row>
    <row r="4566" spans="1:19">
      <c r="A4566" s="1">
        <v>46204</v>
      </c>
      <c r="B4566" s="1">
        <v>46204</v>
      </c>
      <c r="C4566">
        <v>2026</v>
      </c>
      <c r="D4566">
        <v>7</v>
      </c>
      <c r="E4566" s="2" t="s">
        <v>51</v>
      </c>
      <c r="F4566" s="2" t="s">
        <v>52</v>
      </c>
      <c r="G4566" s="2" t="s">
        <v>39</v>
      </c>
      <c r="H4566" s="2" t="s">
        <v>22</v>
      </c>
      <c r="I4566" s="2" t="s">
        <v>40</v>
      </c>
      <c r="J4566" s="2" t="s">
        <v>24</v>
      </c>
      <c r="K4566">
        <v>17.7</v>
      </c>
      <c r="L4566">
        <v>911.8</v>
      </c>
      <c r="M4566">
        <v>5151.41</v>
      </c>
      <c r="N4566" s="2" t="s">
        <v>53</v>
      </c>
      <c r="O4566" s="2" t="s">
        <v>54</v>
      </c>
      <c r="P4566" s="2" t="s">
        <v>7797</v>
      </c>
      <c r="Q4566" s="2" t="s">
        <v>7798</v>
      </c>
      <c r="R4566" s="2" t="s">
        <v>29</v>
      </c>
      <c r="S4566" s="2" t="s">
        <v>30</v>
      </c>
    </row>
    <row r="4567" spans="1:19">
      <c r="A4567" s="1">
        <v>46204</v>
      </c>
      <c r="B4567" s="1">
        <v>46204</v>
      </c>
      <c r="C4567">
        <v>2026</v>
      </c>
      <c r="D4567">
        <v>7</v>
      </c>
      <c r="E4567" s="2" t="s">
        <v>57</v>
      </c>
      <c r="F4567" s="2" t="s">
        <v>58</v>
      </c>
      <c r="G4567" s="2" t="s">
        <v>39</v>
      </c>
      <c r="H4567" s="2" t="s">
        <v>22</v>
      </c>
      <c r="I4567" s="2" t="s">
        <v>40</v>
      </c>
      <c r="J4567" s="2" t="s">
        <v>59</v>
      </c>
      <c r="K4567">
        <v>4076.24</v>
      </c>
      <c r="L4567">
        <v>220592.28</v>
      </c>
      <c r="M4567">
        <v>5411.66</v>
      </c>
      <c r="N4567" s="2" t="s">
        <v>60</v>
      </c>
      <c r="O4567" s="2" t="s">
        <v>61</v>
      </c>
      <c r="P4567" s="2" t="s">
        <v>7799</v>
      </c>
      <c r="Q4567" s="2" t="s">
        <v>7800</v>
      </c>
      <c r="R4567" s="2" t="s">
        <v>29</v>
      </c>
      <c r="S4567" s="2" t="s">
        <v>30</v>
      </c>
    </row>
    <row r="4568" spans="1:19">
      <c r="A4568" s="1">
        <v>46204</v>
      </c>
      <c r="B4568" s="1">
        <v>46204</v>
      </c>
      <c r="C4568">
        <v>2026</v>
      </c>
      <c r="D4568">
        <v>7</v>
      </c>
      <c r="E4568" s="2" t="s">
        <v>64</v>
      </c>
      <c r="F4568" s="2" t="s">
        <v>65</v>
      </c>
      <c r="G4568" s="2" t="s">
        <v>21</v>
      </c>
      <c r="H4568" s="2" t="s">
        <v>22</v>
      </c>
      <c r="I4568" s="2" t="s">
        <v>66</v>
      </c>
      <c r="J4568" s="2" t="s">
        <v>24</v>
      </c>
      <c r="K4568">
        <v>24.42</v>
      </c>
      <c r="L4568">
        <v>778.05</v>
      </c>
      <c r="M4568">
        <v>3186.12</v>
      </c>
      <c r="N4568" s="2" t="s">
        <v>67</v>
      </c>
      <c r="O4568" s="2" t="s">
        <v>68</v>
      </c>
      <c r="P4568" s="2" t="s">
        <v>7801</v>
      </c>
      <c r="Q4568" s="2" t="s">
        <v>7802</v>
      </c>
      <c r="R4568" s="2" t="s">
        <v>29</v>
      </c>
      <c r="S4568" s="2" t="s">
        <v>30</v>
      </c>
    </row>
    <row r="4569" spans="1:19">
      <c r="A4569" s="1">
        <v>46204</v>
      </c>
      <c r="B4569" s="1">
        <v>46204</v>
      </c>
      <c r="C4569">
        <v>2026</v>
      </c>
      <c r="D4569">
        <v>7</v>
      </c>
      <c r="E4569" s="2" t="s">
        <v>71</v>
      </c>
      <c r="F4569" s="2" t="s">
        <v>72</v>
      </c>
      <c r="G4569" s="2" t="s">
        <v>21</v>
      </c>
      <c r="H4569" s="2" t="s">
        <v>22</v>
      </c>
      <c r="I4569" s="2" t="s">
        <v>73</v>
      </c>
      <c r="J4569" s="2" t="s">
        <v>59</v>
      </c>
      <c r="K4569">
        <v>7068.23</v>
      </c>
      <c r="L4569">
        <v>246118.16</v>
      </c>
      <c r="M4569">
        <v>3482.03</v>
      </c>
      <c r="N4569" s="2" t="s">
        <v>74</v>
      </c>
      <c r="O4569" s="2" t="s">
        <v>75</v>
      </c>
      <c r="P4569" s="2" t="s">
        <v>7803</v>
      </c>
      <c r="Q4569" s="2" t="s">
        <v>7804</v>
      </c>
      <c r="R4569" s="2" t="s">
        <v>29</v>
      </c>
      <c r="S4569" s="2" t="s">
        <v>30</v>
      </c>
    </row>
    <row r="4570" spans="1:19">
      <c r="A4570" s="1">
        <v>46204</v>
      </c>
      <c r="B4570" s="1">
        <v>46204</v>
      </c>
      <c r="C4570">
        <v>2026</v>
      </c>
      <c r="D4570">
        <v>7</v>
      </c>
      <c r="E4570" s="2" t="s">
        <v>78</v>
      </c>
      <c r="F4570" s="2" t="s">
        <v>79</v>
      </c>
      <c r="G4570" s="2" t="s">
        <v>80</v>
      </c>
      <c r="H4570" s="2" t="s">
        <v>81</v>
      </c>
      <c r="I4570" s="2" t="s">
        <v>82</v>
      </c>
      <c r="J4570" s="2" t="s">
        <v>24</v>
      </c>
      <c r="K4570">
        <v>3.35</v>
      </c>
      <c r="L4570">
        <v>14024461.460000001</v>
      </c>
      <c r="M4570">
        <v>418640640.60000002</v>
      </c>
      <c r="N4570" s="2" t="s">
        <v>83</v>
      </c>
      <c r="O4570" s="2" t="s">
        <v>84</v>
      </c>
      <c r="P4570" s="2" t="s">
        <v>7805</v>
      </c>
      <c r="Q4570" s="2" t="s">
        <v>7806</v>
      </c>
      <c r="R4570" s="2" t="s">
        <v>29</v>
      </c>
      <c r="S4570" s="2" t="s">
        <v>30</v>
      </c>
    </row>
    <row r="4571" spans="1:19">
      <c r="A4571" s="1">
        <v>46204</v>
      </c>
      <c r="B4571" s="1">
        <v>46204</v>
      </c>
      <c r="C4571">
        <v>2026</v>
      </c>
      <c r="D4571">
        <v>7</v>
      </c>
      <c r="E4571" s="2" t="s">
        <v>87</v>
      </c>
      <c r="F4571" s="2" t="s">
        <v>88</v>
      </c>
      <c r="G4571" s="2" t="s">
        <v>80</v>
      </c>
      <c r="H4571" s="2" t="s">
        <v>81</v>
      </c>
      <c r="I4571" s="2" t="s">
        <v>82</v>
      </c>
      <c r="J4571" s="2" t="s">
        <v>24</v>
      </c>
      <c r="K4571">
        <v>1.44</v>
      </c>
      <c r="L4571">
        <v>1759883.98</v>
      </c>
      <c r="M4571">
        <v>122214165.28</v>
      </c>
      <c r="N4571" s="2" t="s">
        <v>89</v>
      </c>
      <c r="O4571" s="2" t="s">
        <v>90</v>
      </c>
      <c r="P4571" s="2" t="s">
        <v>1838</v>
      </c>
      <c r="Q4571" s="2" t="s">
        <v>7807</v>
      </c>
      <c r="R4571" s="2" t="s">
        <v>29</v>
      </c>
      <c r="S4571" s="2" t="s">
        <v>30</v>
      </c>
    </row>
    <row r="4572" spans="1:19">
      <c r="A4572" s="1">
        <v>46204</v>
      </c>
      <c r="B4572" s="1">
        <v>46204</v>
      </c>
      <c r="C4572">
        <v>2026</v>
      </c>
      <c r="D4572">
        <v>7</v>
      </c>
      <c r="E4572" s="2" t="s">
        <v>93</v>
      </c>
      <c r="F4572" s="2" t="s">
        <v>94</v>
      </c>
      <c r="G4572" s="2" t="s">
        <v>80</v>
      </c>
      <c r="H4572" s="2" t="s">
        <v>81</v>
      </c>
      <c r="I4572" s="2" t="s">
        <v>82</v>
      </c>
      <c r="J4572" s="2" t="s">
        <v>24</v>
      </c>
      <c r="K4572">
        <v>0.5</v>
      </c>
      <c r="L4572">
        <v>8251952.8799999999</v>
      </c>
      <c r="M4572">
        <v>1650390576</v>
      </c>
      <c r="N4572" s="2" t="s">
        <v>95</v>
      </c>
      <c r="O4572" s="2" t="s">
        <v>96</v>
      </c>
      <c r="P4572" s="2" t="s">
        <v>2323</v>
      </c>
      <c r="Q4572" s="2" t="s">
        <v>7808</v>
      </c>
      <c r="R4572" s="2" t="s">
        <v>29</v>
      </c>
      <c r="S4572" s="2" t="s">
        <v>30</v>
      </c>
    </row>
    <row r="4573" spans="1:19">
      <c r="A4573" s="1">
        <v>46204</v>
      </c>
      <c r="B4573" s="1">
        <v>46204</v>
      </c>
      <c r="C4573">
        <v>2026</v>
      </c>
      <c r="D4573">
        <v>7</v>
      </c>
      <c r="E4573" s="2" t="s">
        <v>99</v>
      </c>
      <c r="F4573" s="2" t="s">
        <v>100</v>
      </c>
      <c r="G4573" s="2" t="s">
        <v>80</v>
      </c>
      <c r="H4573" s="2" t="s">
        <v>81</v>
      </c>
      <c r="I4573" s="2" t="s">
        <v>82</v>
      </c>
      <c r="J4573" s="2" t="s">
        <v>101</v>
      </c>
      <c r="K4573">
        <v>2.23</v>
      </c>
      <c r="L4573">
        <v>20968267.260000002</v>
      </c>
      <c r="M4573">
        <v>940281043.04999995</v>
      </c>
      <c r="N4573" s="2" t="s">
        <v>102</v>
      </c>
      <c r="O4573" s="2" t="s">
        <v>103</v>
      </c>
      <c r="P4573" s="2" t="s">
        <v>1041</v>
      </c>
      <c r="Q4573" s="2" t="s">
        <v>7809</v>
      </c>
      <c r="R4573" s="2" t="s">
        <v>29</v>
      </c>
      <c r="S4573" s="2" t="s">
        <v>30</v>
      </c>
    </row>
    <row r="4574" spans="1:19">
      <c r="A4574" s="1">
        <v>46204</v>
      </c>
      <c r="B4574" s="1">
        <v>46204</v>
      </c>
      <c r="C4574">
        <v>2026</v>
      </c>
      <c r="D4574">
        <v>7</v>
      </c>
      <c r="E4574" s="2" t="s">
        <v>106</v>
      </c>
      <c r="F4574" s="2" t="s">
        <v>107</v>
      </c>
      <c r="G4574" s="2" t="s">
        <v>80</v>
      </c>
      <c r="H4574" s="2" t="s">
        <v>81</v>
      </c>
      <c r="I4574" s="2" t="s">
        <v>82</v>
      </c>
      <c r="J4574" s="2" t="s">
        <v>24</v>
      </c>
      <c r="K4574">
        <v>0.28000000000000003</v>
      </c>
      <c r="L4574">
        <v>10956430.4</v>
      </c>
      <c r="M4574">
        <v>3913010857.1399999</v>
      </c>
      <c r="N4574" s="2" t="s">
        <v>108</v>
      </c>
      <c r="O4574" s="2" t="s">
        <v>109</v>
      </c>
      <c r="P4574" s="2" t="s">
        <v>2910</v>
      </c>
      <c r="Q4574" s="2" t="s">
        <v>7810</v>
      </c>
      <c r="R4574" s="2" t="s">
        <v>29</v>
      </c>
      <c r="S4574" s="2" t="s">
        <v>30</v>
      </c>
    </row>
    <row r="4575" spans="1:19">
      <c r="A4575" s="1">
        <v>46204</v>
      </c>
      <c r="B4575" s="1">
        <v>46204</v>
      </c>
      <c r="C4575">
        <v>2026</v>
      </c>
      <c r="D4575">
        <v>7</v>
      </c>
      <c r="E4575" s="2" t="s">
        <v>111</v>
      </c>
      <c r="F4575" s="2" t="s">
        <v>112</v>
      </c>
      <c r="G4575" s="2" t="s">
        <v>80</v>
      </c>
      <c r="H4575" s="2" t="s">
        <v>81</v>
      </c>
      <c r="I4575" s="2" t="s">
        <v>82</v>
      </c>
      <c r="J4575" s="2" t="s">
        <v>24</v>
      </c>
      <c r="K4575">
        <v>0.26</v>
      </c>
      <c r="L4575">
        <v>1272748.23</v>
      </c>
      <c r="M4575">
        <v>489518550</v>
      </c>
      <c r="N4575" s="2" t="s">
        <v>113</v>
      </c>
      <c r="O4575" s="2" t="s">
        <v>114</v>
      </c>
      <c r="P4575" s="2" t="s">
        <v>1941</v>
      </c>
      <c r="Q4575" s="2" t="s">
        <v>7811</v>
      </c>
      <c r="R4575" s="2" t="s">
        <v>29</v>
      </c>
      <c r="S4575" s="2" t="s">
        <v>30</v>
      </c>
    </row>
    <row r="4576" spans="1:19">
      <c r="A4576" s="1">
        <v>46204</v>
      </c>
      <c r="B4576" s="1">
        <v>46204</v>
      </c>
      <c r="C4576">
        <v>2026</v>
      </c>
      <c r="D4576">
        <v>7</v>
      </c>
      <c r="E4576" s="2" t="s">
        <v>117</v>
      </c>
      <c r="F4576" s="2" t="s">
        <v>118</v>
      </c>
      <c r="G4576" s="2" t="s">
        <v>80</v>
      </c>
      <c r="H4576" s="2" t="s">
        <v>81</v>
      </c>
      <c r="I4576" s="2" t="s">
        <v>82</v>
      </c>
      <c r="J4576" s="2" t="s">
        <v>59</v>
      </c>
      <c r="K4576">
        <v>5.84</v>
      </c>
      <c r="L4576">
        <v>36265476.950000003</v>
      </c>
      <c r="M4576">
        <v>620984194.35000002</v>
      </c>
      <c r="N4576" s="2" t="s">
        <v>119</v>
      </c>
      <c r="O4576" s="2" t="s">
        <v>120</v>
      </c>
      <c r="P4576" s="2" t="s">
        <v>7812</v>
      </c>
      <c r="Q4576" s="2" t="s">
        <v>7813</v>
      </c>
      <c r="R4576" s="2" t="s">
        <v>29</v>
      </c>
      <c r="S4576" s="2" t="s">
        <v>30</v>
      </c>
    </row>
    <row r="4577" spans="1:19">
      <c r="A4577" s="1">
        <v>46204</v>
      </c>
      <c r="B4577" s="1">
        <v>46204</v>
      </c>
      <c r="C4577">
        <v>2026</v>
      </c>
      <c r="D4577">
        <v>7</v>
      </c>
      <c r="E4577" s="2" t="s">
        <v>123</v>
      </c>
      <c r="F4577" s="2" t="s">
        <v>124</v>
      </c>
      <c r="G4577" s="2" t="s">
        <v>21</v>
      </c>
      <c r="H4577" s="2" t="s">
        <v>22</v>
      </c>
      <c r="I4577" s="2" t="s">
        <v>73</v>
      </c>
      <c r="J4577" s="2" t="s">
        <v>24</v>
      </c>
      <c r="K4577">
        <v>3115.33</v>
      </c>
      <c r="L4577">
        <v>132445.32999999999</v>
      </c>
      <c r="M4577">
        <v>4251.41</v>
      </c>
      <c r="N4577" s="2" t="s">
        <v>125</v>
      </c>
      <c r="O4577" s="2" t="s">
        <v>126</v>
      </c>
      <c r="P4577" s="2" t="s">
        <v>7814</v>
      </c>
      <c r="Q4577" s="2" t="s">
        <v>7815</v>
      </c>
      <c r="R4577" s="2" t="s">
        <v>29</v>
      </c>
      <c r="S4577" s="2" t="s">
        <v>30</v>
      </c>
    </row>
    <row r="4578" spans="1:19">
      <c r="A4578" s="1">
        <v>46204</v>
      </c>
      <c r="B4578" s="1">
        <v>46204</v>
      </c>
      <c r="C4578">
        <v>2026</v>
      </c>
      <c r="D4578">
        <v>7</v>
      </c>
      <c r="E4578" s="2" t="s">
        <v>129</v>
      </c>
      <c r="F4578" s="2" t="s">
        <v>130</v>
      </c>
      <c r="G4578" s="2" t="s">
        <v>21</v>
      </c>
      <c r="H4578" s="2" t="s">
        <v>22</v>
      </c>
      <c r="I4578" s="2" t="s">
        <v>73</v>
      </c>
      <c r="J4578" s="2" t="s">
        <v>24</v>
      </c>
      <c r="K4578">
        <v>2937.34</v>
      </c>
      <c r="L4578">
        <v>75740.37</v>
      </c>
      <c r="M4578">
        <v>2578.54</v>
      </c>
      <c r="N4578" s="2" t="s">
        <v>131</v>
      </c>
      <c r="O4578" s="2" t="s">
        <v>132</v>
      </c>
      <c r="P4578" s="2" t="s">
        <v>7816</v>
      </c>
      <c r="Q4578" s="2" t="s">
        <v>7817</v>
      </c>
      <c r="R4578" s="2" t="s">
        <v>29</v>
      </c>
      <c r="S4578" s="2" t="s">
        <v>30</v>
      </c>
    </row>
    <row r="4579" spans="1:19">
      <c r="A4579" s="1">
        <v>46204</v>
      </c>
      <c r="B4579" s="1">
        <v>46204</v>
      </c>
      <c r="C4579">
        <v>2026</v>
      </c>
      <c r="D4579">
        <v>7</v>
      </c>
      <c r="E4579" s="2" t="s">
        <v>135</v>
      </c>
      <c r="F4579" s="2" t="s">
        <v>136</v>
      </c>
      <c r="G4579" s="2" t="s">
        <v>21</v>
      </c>
      <c r="H4579" s="2" t="s">
        <v>22</v>
      </c>
      <c r="I4579" s="2" t="s">
        <v>73</v>
      </c>
      <c r="J4579" s="2" t="s">
        <v>101</v>
      </c>
      <c r="K4579">
        <v>6052.67</v>
      </c>
      <c r="L4579">
        <v>208185.7</v>
      </c>
      <c r="M4579">
        <v>3439.57</v>
      </c>
      <c r="N4579" s="2" t="s">
        <v>137</v>
      </c>
      <c r="O4579" s="2" t="s">
        <v>138</v>
      </c>
      <c r="P4579" s="2" t="s">
        <v>7818</v>
      </c>
      <c r="Q4579" s="2" t="s">
        <v>7819</v>
      </c>
      <c r="R4579" s="2" t="s">
        <v>29</v>
      </c>
      <c r="S4579" s="2" t="s">
        <v>30</v>
      </c>
    </row>
    <row r="4580" spans="1:19">
      <c r="A4580" s="1">
        <v>46204</v>
      </c>
      <c r="B4580" s="1">
        <v>46204</v>
      </c>
      <c r="C4580">
        <v>2026</v>
      </c>
      <c r="D4580">
        <v>7</v>
      </c>
      <c r="E4580" s="2" t="s">
        <v>141</v>
      </c>
      <c r="F4580" s="2" t="s">
        <v>142</v>
      </c>
      <c r="G4580" s="2" t="s">
        <v>21</v>
      </c>
      <c r="H4580" s="2" t="s">
        <v>22</v>
      </c>
      <c r="I4580" s="2" t="s">
        <v>73</v>
      </c>
      <c r="J4580" s="2" t="s">
        <v>24</v>
      </c>
      <c r="K4580">
        <v>274.35000000000002</v>
      </c>
      <c r="L4580">
        <v>15756.65</v>
      </c>
      <c r="M4580">
        <v>5743.27</v>
      </c>
      <c r="N4580" s="2" t="s">
        <v>143</v>
      </c>
      <c r="O4580" s="2" t="s">
        <v>144</v>
      </c>
      <c r="P4580" s="2" t="s">
        <v>7820</v>
      </c>
      <c r="Q4580" s="2" t="s">
        <v>7821</v>
      </c>
      <c r="R4580" s="2" t="s">
        <v>29</v>
      </c>
      <c r="S4580" s="2" t="s">
        <v>30</v>
      </c>
    </row>
    <row r="4581" spans="1:19">
      <c r="A4581" s="1">
        <v>46204</v>
      </c>
      <c r="B4581" s="1">
        <v>46204</v>
      </c>
      <c r="C4581">
        <v>2026</v>
      </c>
      <c r="D4581">
        <v>7</v>
      </c>
      <c r="E4581" s="2" t="s">
        <v>147</v>
      </c>
      <c r="F4581" s="2" t="s">
        <v>148</v>
      </c>
      <c r="G4581" s="2" t="s">
        <v>21</v>
      </c>
      <c r="H4581" s="2" t="s">
        <v>22</v>
      </c>
      <c r="I4581" s="2" t="s">
        <v>73</v>
      </c>
      <c r="J4581" s="2" t="s">
        <v>24</v>
      </c>
      <c r="K4581">
        <v>741.21</v>
      </c>
      <c r="L4581">
        <v>22175.81</v>
      </c>
      <c r="M4581">
        <v>2991.84</v>
      </c>
      <c r="N4581" s="2" t="s">
        <v>149</v>
      </c>
      <c r="O4581" s="2" t="s">
        <v>150</v>
      </c>
      <c r="P4581" s="2" t="s">
        <v>7822</v>
      </c>
      <c r="Q4581" s="2" t="s">
        <v>7823</v>
      </c>
      <c r="R4581" s="2" t="s">
        <v>29</v>
      </c>
      <c r="S4581" s="2" t="s">
        <v>30</v>
      </c>
    </row>
    <row r="4582" spans="1:19">
      <c r="A4582" s="1">
        <v>46204</v>
      </c>
      <c r="B4582" s="1">
        <v>46204</v>
      </c>
      <c r="C4582">
        <v>2026</v>
      </c>
      <c r="D4582">
        <v>7</v>
      </c>
      <c r="E4582" s="2" t="s">
        <v>153</v>
      </c>
      <c r="F4582" s="2" t="s">
        <v>154</v>
      </c>
      <c r="G4582" s="2" t="s">
        <v>21</v>
      </c>
      <c r="H4582" s="2" t="s">
        <v>22</v>
      </c>
      <c r="I4582" s="2" t="s">
        <v>73</v>
      </c>
      <c r="J4582" s="2" t="s">
        <v>101</v>
      </c>
      <c r="K4582">
        <v>1015.56</v>
      </c>
      <c r="L4582">
        <v>37932.46</v>
      </c>
      <c r="M4582">
        <v>3735.13</v>
      </c>
      <c r="N4582" s="2" t="s">
        <v>155</v>
      </c>
      <c r="O4582" s="2" t="s">
        <v>156</v>
      </c>
      <c r="P4582" s="2" t="s">
        <v>7824</v>
      </c>
      <c r="Q4582" s="2" t="s">
        <v>7825</v>
      </c>
      <c r="R4582" s="2" t="s">
        <v>29</v>
      </c>
      <c r="S4582" s="2" t="s">
        <v>30</v>
      </c>
    </row>
    <row r="4583" spans="1:19">
      <c r="A4583" s="1">
        <v>46204</v>
      </c>
      <c r="B4583" s="1">
        <v>46204</v>
      </c>
      <c r="C4583">
        <v>2026</v>
      </c>
      <c r="D4583">
        <v>7</v>
      </c>
      <c r="E4583" s="2" t="s">
        <v>159</v>
      </c>
      <c r="F4583" s="2" t="s">
        <v>160</v>
      </c>
      <c r="G4583" s="2" t="s">
        <v>21</v>
      </c>
      <c r="H4583" s="2" t="s">
        <v>22</v>
      </c>
      <c r="I4583" s="2" t="s">
        <v>66</v>
      </c>
      <c r="J4583" s="2" t="s">
        <v>59</v>
      </c>
      <c r="K4583">
        <v>2100.5300000000002</v>
      </c>
      <c r="L4583">
        <v>262335.7</v>
      </c>
      <c r="M4583">
        <v>12489.02</v>
      </c>
      <c r="N4583" s="2" t="s">
        <v>161</v>
      </c>
      <c r="O4583" s="2" t="s">
        <v>162</v>
      </c>
      <c r="P4583" s="2" t="s">
        <v>7826</v>
      </c>
      <c r="Q4583" s="2" t="s">
        <v>7827</v>
      </c>
      <c r="R4583" s="2" t="s">
        <v>29</v>
      </c>
      <c r="S4583" s="2" t="s">
        <v>30</v>
      </c>
    </row>
    <row r="4584" spans="1:19">
      <c r="A4584" s="1">
        <v>46204</v>
      </c>
      <c r="B4584" s="1">
        <v>46204</v>
      </c>
      <c r="C4584">
        <v>2026</v>
      </c>
      <c r="D4584">
        <v>7</v>
      </c>
      <c r="E4584" s="2" t="s">
        <v>165</v>
      </c>
      <c r="F4584" s="2" t="s">
        <v>166</v>
      </c>
      <c r="G4584" s="2" t="s">
        <v>21</v>
      </c>
      <c r="H4584" s="2" t="s">
        <v>22</v>
      </c>
      <c r="I4584" s="2" t="s">
        <v>23</v>
      </c>
      <c r="J4584" s="2" t="s">
        <v>24</v>
      </c>
      <c r="N4584" s="2" t="s">
        <v>167</v>
      </c>
      <c r="O4584" s="2" t="s">
        <v>168</v>
      </c>
      <c r="P4584" s="2" t="s">
        <v>175</v>
      </c>
      <c r="Q4584" s="2" t="s">
        <v>175</v>
      </c>
      <c r="R4584" s="2" t="s">
        <v>640</v>
      </c>
      <c r="S4584" s="2" t="s">
        <v>641</v>
      </c>
    </row>
    <row r="4585" spans="1:19">
      <c r="A4585" s="1">
        <v>46204</v>
      </c>
      <c r="B4585" s="1">
        <v>46204</v>
      </c>
      <c r="C4585">
        <v>2026</v>
      </c>
      <c r="D4585">
        <v>7</v>
      </c>
      <c r="E4585" s="2" t="s">
        <v>171</v>
      </c>
      <c r="F4585" s="2" t="s">
        <v>172</v>
      </c>
      <c r="G4585" s="2" t="s">
        <v>21</v>
      </c>
      <c r="H4585" s="2" t="s">
        <v>22</v>
      </c>
      <c r="I4585" s="2" t="s">
        <v>66</v>
      </c>
      <c r="J4585" s="2" t="s">
        <v>24</v>
      </c>
      <c r="N4585" s="2" t="s">
        <v>173</v>
      </c>
      <c r="O4585" s="2" t="s">
        <v>174</v>
      </c>
      <c r="P4585" s="2" t="s">
        <v>175</v>
      </c>
      <c r="Q4585" s="2" t="s">
        <v>175</v>
      </c>
      <c r="R4585" s="2" t="s">
        <v>640</v>
      </c>
      <c r="S4585" s="2" t="s">
        <v>641</v>
      </c>
    </row>
    <row r="4586" spans="1:19">
      <c r="A4586" s="1">
        <v>46204</v>
      </c>
      <c r="B4586" s="1">
        <v>46204</v>
      </c>
      <c r="C4586">
        <v>2026</v>
      </c>
      <c r="D4586">
        <v>7</v>
      </c>
      <c r="E4586" s="2" t="s">
        <v>177</v>
      </c>
      <c r="F4586" s="2" t="s">
        <v>178</v>
      </c>
      <c r="G4586" s="2" t="s">
        <v>21</v>
      </c>
      <c r="H4586" s="2" t="s">
        <v>22</v>
      </c>
      <c r="I4586" s="2" t="s">
        <v>23</v>
      </c>
      <c r="J4586" s="2" t="s">
        <v>24</v>
      </c>
      <c r="K4586">
        <v>3643.39</v>
      </c>
      <c r="L4586">
        <v>711704.37</v>
      </c>
      <c r="M4586">
        <v>19534.13</v>
      </c>
      <c r="N4586" s="2" t="s">
        <v>179</v>
      </c>
      <c r="O4586" s="2" t="s">
        <v>180</v>
      </c>
      <c r="P4586" s="2" t="s">
        <v>7828</v>
      </c>
      <c r="Q4586" s="2" t="s">
        <v>7829</v>
      </c>
      <c r="R4586" s="2" t="s">
        <v>29</v>
      </c>
      <c r="S4586" s="2" t="s">
        <v>30</v>
      </c>
    </row>
    <row r="4587" spans="1:19">
      <c r="A4587" s="1">
        <v>46204</v>
      </c>
      <c r="B4587" s="1">
        <v>46204</v>
      </c>
      <c r="C4587">
        <v>2026</v>
      </c>
      <c r="D4587">
        <v>7</v>
      </c>
      <c r="E4587" s="2" t="s">
        <v>183</v>
      </c>
      <c r="F4587" s="2" t="s">
        <v>184</v>
      </c>
      <c r="G4587" s="2" t="s">
        <v>185</v>
      </c>
      <c r="H4587" s="2" t="s">
        <v>22</v>
      </c>
      <c r="I4587" s="2" t="s">
        <v>186</v>
      </c>
      <c r="J4587" s="2" t="s">
        <v>24</v>
      </c>
      <c r="K4587">
        <v>2776.13</v>
      </c>
      <c r="L4587">
        <v>7137625.9299999997</v>
      </c>
      <c r="M4587">
        <v>257107.05</v>
      </c>
      <c r="N4587" s="2" t="s">
        <v>187</v>
      </c>
      <c r="O4587" s="2" t="s">
        <v>188</v>
      </c>
      <c r="P4587" s="2" t="s">
        <v>7830</v>
      </c>
      <c r="Q4587" s="2" t="s">
        <v>7831</v>
      </c>
      <c r="R4587" s="2" t="s">
        <v>29</v>
      </c>
      <c r="S4587" s="2" t="s">
        <v>30</v>
      </c>
    </row>
    <row r="4588" spans="1:19">
      <c r="A4588" s="1">
        <v>46204</v>
      </c>
      <c r="B4588" s="1">
        <v>46204</v>
      </c>
      <c r="C4588">
        <v>2026</v>
      </c>
      <c r="D4588">
        <v>7</v>
      </c>
      <c r="E4588" s="2" t="s">
        <v>191</v>
      </c>
      <c r="F4588" s="2" t="s">
        <v>192</v>
      </c>
      <c r="G4588" s="2" t="s">
        <v>185</v>
      </c>
      <c r="H4588" s="2" t="s">
        <v>22</v>
      </c>
      <c r="I4588" s="2" t="s">
        <v>186</v>
      </c>
      <c r="J4588" s="2" t="s">
        <v>24</v>
      </c>
      <c r="K4588">
        <v>703.39</v>
      </c>
      <c r="L4588">
        <v>5969791.1799999997</v>
      </c>
      <c r="M4588">
        <v>848717.1</v>
      </c>
      <c r="N4588" s="2" t="s">
        <v>193</v>
      </c>
      <c r="O4588" s="2" t="s">
        <v>194</v>
      </c>
      <c r="P4588" s="2" t="s">
        <v>7832</v>
      </c>
      <c r="Q4588" s="2" t="s">
        <v>7833</v>
      </c>
      <c r="R4588" s="2" t="s">
        <v>29</v>
      </c>
      <c r="S4588" s="2" t="s">
        <v>30</v>
      </c>
    </row>
    <row r="4589" spans="1:19">
      <c r="A4589" s="1">
        <v>46204</v>
      </c>
      <c r="B4589" s="1">
        <v>46204</v>
      </c>
      <c r="C4589">
        <v>2026</v>
      </c>
      <c r="D4589">
        <v>7</v>
      </c>
      <c r="E4589" s="2" t="s">
        <v>197</v>
      </c>
      <c r="F4589" s="2" t="s">
        <v>198</v>
      </c>
      <c r="G4589" s="2" t="s">
        <v>185</v>
      </c>
      <c r="H4589" s="2" t="s">
        <v>22</v>
      </c>
      <c r="I4589" s="2" t="s">
        <v>186</v>
      </c>
      <c r="J4589" s="2" t="s">
        <v>59</v>
      </c>
      <c r="K4589">
        <v>3479.52</v>
      </c>
      <c r="L4589">
        <v>13107417.1</v>
      </c>
      <c r="M4589">
        <v>376701.88</v>
      </c>
      <c r="N4589" s="2" t="s">
        <v>199</v>
      </c>
      <c r="O4589" s="2" t="s">
        <v>200</v>
      </c>
      <c r="P4589" s="2" t="s">
        <v>7834</v>
      </c>
      <c r="Q4589" s="2" t="s">
        <v>7835</v>
      </c>
      <c r="R4589" s="2" t="s">
        <v>29</v>
      </c>
      <c r="S4589" s="2" t="s">
        <v>30</v>
      </c>
    </row>
    <row r="4590" spans="1:19">
      <c r="A4590" s="1">
        <v>46204</v>
      </c>
      <c r="B4590" s="1">
        <v>46204</v>
      </c>
      <c r="C4590">
        <v>2026</v>
      </c>
      <c r="D4590">
        <v>7</v>
      </c>
      <c r="E4590" s="2" t="s">
        <v>203</v>
      </c>
      <c r="F4590" s="2" t="s">
        <v>204</v>
      </c>
      <c r="G4590" s="2" t="s">
        <v>39</v>
      </c>
      <c r="H4590" s="2" t="s">
        <v>22</v>
      </c>
      <c r="I4590" s="2" t="s">
        <v>40</v>
      </c>
      <c r="J4590" s="2" t="s">
        <v>24</v>
      </c>
      <c r="K4590">
        <v>965.01</v>
      </c>
      <c r="L4590">
        <v>26169.83</v>
      </c>
      <c r="M4590">
        <v>2711.87</v>
      </c>
      <c r="N4590" s="2" t="s">
        <v>205</v>
      </c>
      <c r="O4590" s="2" t="s">
        <v>206</v>
      </c>
      <c r="P4590" s="2" t="s">
        <v>7836</v>
      </c>
      <c r="Q4590" s="2" t="s">
        <v>7837</v>
      </c>
      <c r="R4590" s="2" t="s">
        <v>29</v>
      </c>
      <c r="S4590" s="2" t="s">
        <v>30</v>
      </c>
    </row>
    <row r="4591" spans="1:19">
      <c r="A4591" s="1">
        <v>46204</v>
      </c>
      <c r="B4591" s="1">
        <v>46204</v>
      </c>
      <c r="C4591">
        <v>2026</v>
      </c>
      <c r="D4591">
        <v>7</v>
      </c>
      <c r="E4591" s="2" t="s">
        <v>209</v>
      </c>
      <c r="F4591" s="2" t="s">
        <v>210</v>
      </c>
      <c r="G4591" s="2" t="s">
        <v>39</v>
      </c>
      <c r="H4591" s="2" t="s">
        <v>22</v>
      </c>
      <c r="I4591" s="2" t="s">
        <v>40</v>
      </c>
      <c r="J4591" s="2" t="s">
        <v>59</v>
      </c>
      <c r="K4591">
        <v>965.01</v>
      </c>
      <c r="L4591">
        <v>26169.83</v>
      </c>
      <c r="M4591">
        <v>2711.87</v>
      </c>
      <c r="N4591" s="2" t="s">
        <v>211</v>
      </c>
      <c r="O4591" s="2" t="s">
        <v>212</v>
      </c>
      <c r="P4591" s="2" t="s">
        <v>7836</v>
      </c>
      <c r="Q4591" s="2" t="s">
        <v>7837</v>
      </c>
      <c r="R4591" s="2" t="s">
        <v>29</v>
      </c>
      <c r="S4591" s="2" t="s">
        <v>30</v>
      </c>
    </row>
    <row r="4592" spans="1:19">
      <c r="A4592" s="1">
        <v>46204</v>
      </c>
      <c r="B4592" s="1">
        <v>46204</v>
      </c>
      <c r="C4592">
        <v>2026</v>
      </c>
      <c r="D4592">
        <v>7</v>
      </c>
      <c r="E4592" s="2" t="s">
        <v>213</v>
      </c>
      <c r="F4592" s="2" t="s">
        <v>214</v>
      </c>
      <c r="G4592" s="2" t="s">
        <v>185</v>
      </c>
      <c r="H4592" s="2" t="s">
        <v>22</v>
      </c>
      <c r="I4592" s="2" t="s">
        <v>215</v>
      </c>
      <c r="J4592" s="2" t="s">
        <v>24</v>
      </c>
      <c r="K4592">
        <v>192974.77</v>
      </c>
      <c r="L4592">
        <v>3316469.15</v>
      </c>
      <c r="M4592">
        <v>1718.6</v>
      </c>
      <c r="N4592" s="2" t="s">
        <v>216</v>
      </c>
      <c r="O4592" s="2" t="s">
        <v>217</v>
      </c>
      <c r="P4592" s="2" t="s">
        <v>7838</v>
      </c>
      <c r="Q4592" s="2" t="s">
        <v>7839</v>
      </c>
      <c r="R4592" s="2" t="s">
        <v>29</v>
      </c>
      <c r="S4592" s="2" t="s">
        <v>30</v>
      </c>
    </row>
    <row r="4593" spans="1:19">
      <c r="A4593" s="1">
        <v>46204</v>
      </c>
      <c r="B4593" s="1">
        <v>46204</v>
      </c>
      <c r="C4593">
        <v>2026</v>
      </c>
      <c r="D4593">
        <v>7</v>
      </c>
      <c r="E4593" s="2" t="s">
        <v>220</v>
      </c>
      <c r="F4593" s="2" t="s">
        <v>221</v>
      </c>
      <c r="G4593" s="2" t="s">
        <v>185</v>
      </c>
      <c r="H4593" s="2" t="s">
        <v>22</v>
      </c>
      <c r="I4593" s="2" t="s">
        <v>215</v>
      </c>
      <c r="J4593" s="2" t="s">
        <v>24</v>
      </c>
      <c r="K4593">
        <v>11190.58</v>
      </c>
      <c r="L4593">
        <v>752049.45</v>
      </c>
      <c r="M4593">
        <v>6720.38</v>
      </c>
      <c r="N4593" s="2" t="s">
        <v>222</v>
      </c>
      <c r="O4593" s="2" t="s">
        <v>223</v>
      </c>
      <c r="P4593" s="2" t="s">
        <v>7840</v>
      </c>
      <c r="Q4593" s="2" t="s">
        <v>7841</v>
      </c>
      <c r="R4593" s="2" t="s">
        <v>29</v>
      </c>
      <c r="S4593" s="2" t="s">
        <v>30</v>
      </c>
    </row>
    <row r="4594" spans="1:19">
      <c r="A4594" s="1">
        <v>46204</v>
      </c>
      <c r="B4594" s="1">
        <v>46204</v>
      </c>
      <c r="C4594">
        <v>2026</v>
      </c>
      <c r="D4594">
        <v>7</v>
      </c>
      <c r="E4594" s="2" t="s">
        <v>226</v>
      </c>
      <c r="F4594" s="2" t="s">
        <v>227</v>
      </c>
      <c r="G4594" s="2" t="s">
        <v>185</v>
      </c>
      <c r="H4594" s="2" t="s">
        <v>22</v>
      </c>
      <c r="I4594" s="2" t="s">
        <v>215</v>
      </c>
      <c r="J4594" s="2" t="s">
        <v>59</v>
      </c>
      <c r="K4594">
        <v>204165.35</v>
      </c>
      <c r="L4594">
        <v>4068518.6</v>
      </c>
      <c r="M4594">
        <v>1992.76</v>
      </c>
      <c r="N4594" s="2" t="s">
        <v>228</v>
      </c>
      <c r="O4594" s="2" t="s">
        <v>229</v>
      </c>
      <c r="P4594" s="2" t="s">
        <v>7842</v>
      </c>
      <c r="Q4594" s="2" t="s">
        <v>7843</v>
      </c>
      <c r="R4594" s="2" t="s">
        <v>29</v>
      </c>
      <c r="S4594" s="2" t="s">
        <v>30</v>
      </c>
    </row>
    <row r="4595" spans="1:19">
      <c r="A4595" s="1">
        <v>46204</v>
      </c>
      <c r="B4595" s="1">
        <v>46204</v>
      </c>
      <c r="C4595">
        <v>2026</v>
      </c>
      <c r="D4595">
        <v>7</v>
      </c>
      <c r="E4595" s="2" t="s">
        <v>232</v>
      </c>
      <c r="F4595" s="2" t="s">
        <v>233</v>
      </c>
      <c r="G4595" s="2" t="s">
        <v>21</v>
      </c>
      <c r="H4595" s="2" t="s">
        <v>22</v>
      </c>
      <c r="I4595" s="2" t="s">
        <v>23</v>
      </c>
      <c r="J4595" s="2" t="s">
        <v>24</v>
      </c>
      <c r="K4595">
        <v>1196.7</v>
      </c>
      <c r="L4595">
        <v>177250.76</v>
      </c>
      <c r="M4595">
        <v>14811.63</v>
      </c>
      <c r="N4595" s="2" t="s">
        <v>234</v>
      </c>
      <c r="O4595" s="2" t="s">
        <v>235</v>
      </c>
      <c r="P4595" s="2" t="s">
        <v>7844</v>
      </c>
      <c r="Q4595" s="2" t="s">
        <v>7845</v>
      </c>
      <c r="R4595" s="2" t="s">
        <v>29</v>
      </c>
      <c r="S4595" s="2" t="s">
        <v>30</v>
      </c>
    </row>
    <row r="4596" spans="1:19">
      <c r="A4596" s="1">
        <v>46204</v>
      </c>
      <c r="B4596" s="1">
        <v>46204</v>
      </c>
      <c r="C4596">
        <v>2026</v>
      </c>
      <c r="D4596">
        <v>7</v>
      </c>
      <c r="E4596" s="2" t="s">
        <v>238</v>
      </c>
      <c r="F4596" s="2" t="s">
        <v>239</v>
      </c>
      <c r="G4596" s="2" t="s">
        <v>21</v>
      </c>
      <c r="H4596" s="2" t="s">
        <v>22</v>
      </c>
      <c r="I4596" s="2" t="s">
        <v>66</v>
      </c>
      <c r="J4596" s="2" t="s">
        <v>24</v>
      </c>
      <c r="K4596">
        <v>1933.17</v>
      </c>
      <c r="L4596">
        <v>261380.8</v>
      </c>
      <c r="M4596">
        <v>13520.84</v>
      </c>
      <c r="N4596" s="2" t="s">
        <v>240</v>
      </c>
      <c r="O4596" s="2" t="s">
        <v>241</v>
      </c>
      <c r="P4596" s="2" t="s">
        <v>7846</v>
      </c>
      <c r="Q4596" s="2" t="s">
        <v>7847</v>
      </c>
      <c r="R4596" s="2" t="s">
        <v>29</v>
      </c>
      <c r="S4596" s="2" t="s">
        <v>30</v>
      </c>
    </row>
    <row r="4597" spans="1:19">
      <c r="A4597" s="1">
        <v>46204</v>
      </c>
      <c r="B4597" s="1">
        <v>46204</v>
      </c>
      <c r="C4597">
        <v>2026</v>
      </c>
      <c r="D4597">
        <v>7</v>
      </c>
      <c r="E4597" s="2" t="s">
        <v>244</v>
      </c>
      <c r="F4597" s="2" t="s">
        <v>245</v>
      </c>
      <c r="G4597" s="2" t="s">
        <v>21</v>
      </c>
      <c r="H4597" s="2" t="s">
        <v>22</v>
      </c>
      <c r="I4597" s="2" t="s">
        <v>23</v>
      </c>
      <c r="J4597" s="2" t="s">
        <v>24</v>
      </c>
      <c r="K4597">
        <v>8970.0499999999993</v>
      </c>
      <c r="L4597">
        <v>4661075.5</v>
      </c>
      <c r="M4597">
        <v>51962.65</v>
      </c>
      <c r="N4597" s="2" t="s">
        <v>246</v>
      </c>
      <c r="O4597" s="2" t="s">
        <v>247</v>
      </c>
      <c r="P4597" s="2" t="s">
        <v>7848</v>
      </c>
      <c r="Q4597" s="2" t="s">
        <v>7849</v>
      </c>
      <c r="R4597" s="2" t="s">
        <v>29</v>
      </c>
      <c r="S4597" s="2" t="s">
        <v>30</v>
      </c>
    </row>
    <row r="4598" spans="1:19">
      <c r="A4598" s="1">
        <v>46204</v>
      </c>
      <c r="B4598" s="1">
        <v>46204</v>
      </c>
      <c r="C4598">
        <v>2026</v>
      </c>
      <c r="D4598">
        <v>7</v>
      </c>
      <c r="E4598" s="2" t="s">
        <v>250</v>
      </c>
      <c r="F4598" s="2" t="s">
        <v>251</v>
      </c>
      <c r="G4598" s="2" t="s">
        <v>21</v>
      </c>
      <c r="H4598" s="2" t="s">
        <v>22</v>
      </c>
      <c r="I4598" s="2" t="s">
        <v>66</v>
      </c>
      <c r="J4598" s="2" t="s">
        <v>24</v>
      </c>
      <c r="K4598">
        <v>142.94</v>
      </c>
      <c r="L4598">
        <v>176.85</v>
      </c>
      <c r="M4598">
        <v>123.72</v>
      </c>
      <c r="N4598" s="2" t="s">
        <v>252</v>
      </c>
      <c r="O4598" s="2" t="s">
        <v>253</v>
      </c>
      <c r="P4598" s="2" t="s">
        <v>7850</v>
      </c>
      <c r="Q4598" s="2" t="s">
        <v>7851</v>
      </c>
      <c r="R4598" s="2" t="s">
        <v>29</v>
      </c>
      <c r="S4598" s="2" t="s">
        <v>30</v>
      </c>
    </row>
    <row r="4599" spans="1:19">
      <c r="A4599" s="1">
        <v>46204</v>
      </c>
      <c r="B4599" s="1">
        <v>46204</v>
      </c>
      <c r="C4599">
        <v>2026</v>
      </c>
      <c r="D4599">
        <v>7</v>
      </c>
      <c r="E4599" s="2" t="s">
        <v>256</v>
      </c>
      <c r="F4599" s="2" t="s">
        <v>257</v>
      </c>
      <c r="G4599" s="2" t="s">
        <v>21</v>
      </c>
      <c r="H4599" s="2" t="s">
        <v>22</v>
      </c>
      <c r="I4599" s="2" t="s">
        <v>258</v>
      </c>
      <c r="J4599" s="2" t="s">
        <v>24</v>
      </c>
      <c r="K4599">
        <v>446.78</v>
      </c>
      <c r="L4599">
        <v>643872.6</v>
      </c>
      <c r="M4599">
        <v>144114.01999999999</v>
      </c>
      <c r="N4599" s="2" t="s">
        <v>259</v>
      </c>
      <c r="O4599" s="2" t="s">
        <v>260</v>
      </c>
      <c r="P4599" s="2" t="s">
        <v>7852</v>
      </c>
      <c r="Q4599" s="2" t="s">
        <v>7853</v>
      </c>
      <c r="R4599" s="2" t="s">
        <v>29</v>
      </c>
      <c r="S4599" s="2" t="s">
        <v>30</v>
      </c>
    </row>
    <row r="4600" spans="1:19">
      <c r="A4600" s="1">
        <v>46204</v>
      </c>
      <c r="B4600" s="1">
        <v>46204</v>
      </c>
      <c r="C4600">
        <v>2026</v>
      </c>
      <c r="D4600">
        <v>7</v>
      </c>
      <c r="E4600" s="2" t="s">
        <v>263</v>
      </c>
      <c r="F4600" s="2" t="s">
        <v>264</v>
      </c>
      <c r="G4600" s="2" t="s">
        <v>21</v>
      </c>
      <c r="H4600" s="2" t="s">
        <v>22</v>
      </c>
      <c r="I4600" s="2" t="s">
        <v>258</v>
      </c>
      <c r="J4600" s="2" t="s">
        <v>24</v>
      </c>
      <c r="K4600">
        <v>0</v>
      </c>
      <c r="L4600">
        <v>0</v>
      </c>
      <c r="N4600" s="2" t="s">
        <v>265</v>
      </c>
      <c r="O4600" s="2" t="s">
        <v>266</v>
      </c>
      <c r="P4600" s="2" t="s">
        <v>639</v>
      </c>
      <c r="Q4600" s="2" t="s">
        <v>639</v>
      </c>
      <c r="R4600" s="2" t="s">
        <v>29</v>
      </c>
      <c r="S4600" s="2" t="s">
        <v>30</v>
      </c>
    </row>
    <row r="4601" spans="1:19">
      <c r="A4601" s="1">
        <v>46204</v>
      </c>
      <c r="B4601" s="1">
        <v>46204</v>
      </c>
      <c r="C4601">
        <v>2026</v>
      </c>
      <c r="D4601">
        <v>7</v>
      </c>
      <c r="E4601" s="2" t="s">
        <v>269</v>
      </c>
      <c r="F4601" s="2" t="s">
        <v>270</v>
      </c>
      <c r="G4601" s="2" t="s">
        <v>21</v>
      </c>
      <c r="H4601" s="2" t="s">
        <v>22</v>
      </c>
      <c r="I4601" s="2" t="s">
        <v>258</v>
      </c>
      <c r="J4601" s="2" t="s">
        <v>59</v>
      </c>
      <c r="K4601">
        <v>446.78</v>
      </c>
      <c r="L4601">
        <v>643872.6</v>
      </c>
      <c r="M4601">
        <v>144114.01999999999</v>
      </c>
      <c r="N4601" s="2" t="s">
        <v>271</v>
      </c>
      <c r="O4601" s="2" t="s">
        <v>272</v>
      </c>
      <c r="P4601" s="2" t="s">
        <v>7852</v>
      </c>
      <c r="Q4601" s="2" t="s">
        <v>7853</v>
      </c>
      <c r="R4601" s="2" t="s">
        <v>29</v>
      </c>
      <c r="S4601" s="2" t="s">
        <v>30</v>
      </c>
    </row>
    <row r="4602" spans="1:19">
      <c r="A4602" s="1">
        <v>46204</v>
      </c>
      <c r="B4602" s="1">
        <v>46204</v>
      </c>
      <c r="C4602">
        <v>2026</v>
      </c>
      <c r="D4602">
        <v>7</v>
      </c>
      <c r="E4602" s="2" t="s">
        <v>275</v>
      </c>
      <c r="F4602" s="2" t="s">
        <v>276</v>
      </c>
      <c r="G4602" s="2" t="s">
        <v>39</v>
      </c>
      <c r="H4602" s="2" t="s">
        <v>22</v>
      </c>
      <c r="I4602" s="2" t="s">
        <v>40</v>
      </c>
      <c r="J4602" s="2" t="s">
        <v>24</v>
      </c>
      <c r="K4602">
        <v>0.06</v>
      </c>
      <c r="L4602">
        <v>1.1599999999999999</v>
      </c>
      <c r="M4602">
        <v>1933.33</v>
      </c>
      <c r="N4602" s="2" t="s">
        <v>277</v>
      </c>
      <c r="O4602" s="2" t="s">
        <v>278</v>
      </c>
      <c r="P4602" s="2" t="s">
        <v>1945</v>
      </c>
      <c r="Q4602" s="2" t="s">
        <v>1921</v>
      </c>
      <c r="R4602" s="2" t="s">
        <v>29</v>
      </c>
      <c r="S4602" s="2" t="s">
        <v>30</v>
      </c>
    </row>
    <row r="4603" spans="1:19">
      <c r="A4603" s="1">
        <v>46204</v>
      </c>
      <c r="B4603" s="1">
        <v>46204</v>
      </c>
      <c r="C4603">
        <v>2026</v>
      </c>
      <c r="D4603">
        <v>7</v>
      </c>
      <c r="E4603" s="2" t="s">
        <v>281</v>
      </c>
      <c r="F4603" s="2" t="s">
        <v>282</v>
      </c>
      <c r="G4603" s="2" t="s">
        <v>39</v>
      </c>
      <c r="H4603" s="2" t="s">
        <v>22</v>
      </c>
      <c r="I4603" s="2" t="s">
        <v>40</v>
      </c>
      <c r="J4603" s="2" t="s">
        <v>24</v>
      </c>
      <c r="K4603">
        <v>0.04</v>
      </c>
      <c r="L4603">
        <v>0.48</v>
      </c>
      <c r="M4603">
        <v>1200</v>
      </c>
      <c r="N4603" s="2" t="s">
        <v>283</v>
      </c>
      <c r="O4603" s="2" t="s">
        <v>284</v>
      </c>
      <c r="P4603" s="2" t="s">
        <v>115</v>
      </c>
      <c r="Q4603" s="2" t="s">
        <v>1545</v>
      </c>
      <c r="R4603" s="2" t="s">
        <v>29</v>
      </c>
      <c r="S4603" s="2" t="s">
        <v>30</v>
      </c>
    </row>
    <row r="4604" spans="1:19">
      <c r="A4604" s="1">
        <v>46204</v>
      </c>
      <c r="B4604" s="1">
        <v>46204</v>
      </c>
      <c r="C4604">
        <v>2026</v>
      </c>
      <c r="D4604">
        <v>7</v>
      </c>
      <c r="E4604" s="2" t="s">
        <v>287</v>
      </c>
      <c r="F4604" s="2" t="s">
        <v>288</v>
      </c>
      <c r="G4604" s="2" t="s">
        <v>39</v>
      </c>
      <c r="H4604" s="2" t="s">
        <v>22</v>
      </c>
      <c r="I4604" s="2" t="s">
        <v>40</v>
      </c>
      <c r="J4604" s="2" t="s">
        <v>59</v>
      </c>
      <c r="K4604">
        <v>0.1</v>
      </c>
      <c r="L4604">
        <v>1.64</v>
      </c>
      <c r="M4604">
        <v>1640</v>
      </c>
      <c r="N4604" s="2" t="s">
        <v>289</v>
      </c>
      <c r="O4604" s="2" t="s">
        <v>290</v>
      </c>
      <c r="P4604" s="2" t="s">
        <v>425</v>
      </c>
      <c r="Q4604" s="2" t="s">
        <v>1543</v>
      </c>
      <c r="R4604" s="2" t="s">
        <v>29</v>
      </c>
      <c r="S4604" s="2" t="s">
        <v>30</v>
      </c>
    </row>
    <row r="4605" spans="1:19">
      <c r="A4605" s="1">
        <v>46204</v>
      </c>
      <c r="B4605" s="1">
        <v>46204</v>
      </c>
      <c r="C4605">
        <v>2026</v>
      </c>
      <c r="D4605">
        <v>7</v>
      </c>
      <c r="E4605" s="2" t="s">
        <v>293</v>
      </c>
      <c r="F4605" s="2" t="s">
        <v>294</v>
      </c>
      <c r="G4605" s="2" t="s">
        <v>21</v>
      </c>
      <c r="H4605" s="2" t="s">
        <v>22</v>
      </c>
      <c r="I4605" s="2" t="s">
        <v>295</v>
      </c>
      <c r="J4605" s="2" t="s">
        <v>24</v>
      </c>
      <c r="K4605">
        <v>1266.1400000000001</v>
      </c>
      <c r="L4605">
        <v>5471.53</v>
      </c>
      <c r="M4605">
        <v>432.14</v>
      </c>
      <c r="N4605" s="2" t="s">
        <v>296</v>
      </c>
      <c r="O4605" s="2" t="s">
        <v>297</v>
      </c>
      <c r="P4605" s="2" t="s">
        <v>7854</v>
      </c>
      <c r="Q4605" s="2" t="s">
        <v>7855</v>
      </c>
      <c r="R4605" s="2" t="s">
        <v>29</v>
      </c>
      <c r="S4605" s="2" t="s">
        <v>30</v>
      </c>
    </row>
    <row r="4606" spans="1:19">
      <c r="A4606" s="1">
        <v>46204</v>
      </c>
      <c r="B4606" s="1">
        <v>46204</v>
      </c>
      <c r="C4606">
        <v>2026</v>
      </c>
      <c r="D4606">
        <v>7</v>
      </c>
      <c r="E4606" s="2" t="s">
        <v>300</v>
      </c>
      <c r="F4606" s="2" t="s">
        <v>301</v>
      </c>
      <c r="G4606" s="2" t="s">
        <v>21</v>
      </c>
      <c r="H4606" s="2" t="s">
        <v>22</v>
      </c>
      <c r="I4606" s="2" t="s">
        <v>295</v>
      </c>
      <c r="J4606" s="2" t="s">
        <v>24</v>
      </c>
      <c r="K4606">
        <v>839.65</v>
      </c>
      <c r="L4606">
        <v>1246.5</v>
      </c>
      <c r="M4606">
        <v>148.44999999999999</v>
      </c>
      <c r="N4606" s="2" t="s">
        <v>302</v>
      </c>
      <c r="O4606" s="2" t="s">
        <v>303</v>
      </c>
      <c r="P4606" s="2" t="s">
        <v>7856</v>
      </c>
      <c r="Q4606" s="2" t="s">
        <v>7857</v>
      </c>
      <c r="R4606" s="2" t="s">
        <v>29</v>
      </c>
      <c r="S4606" s="2" t="s">
        <v>30</v>
      </c>
    </row>
    <row r="4607" spans="1:19">
      <c r="A4607" s="1">
        <v>46204</v>
      </c>
      <c r="B4607" s="1">
        <v>46204</v>
      </c>
      <c r="C4607">
        <v>2026</v>
      </c>
      <c r="D4607">
        <v>7</v>
      </c>
      <c r="E4607" s="2" t="s">
        <v>306</v>
      </c>
      <c r="F4607" s="2" t="s">
        <v>307</v>
      </c>
      <c r="G4607" s="2" t="s">
        <v>21</v>
      </c>
      <c r="H4607" s="2" t="s">
        <v>22</v>
      </c>
      <c r="I4607" s="2" t="s">
        <v>295</v>
      </c>
      <c r="J4607" s="2" t="s">
        <v>101</v>
      </c>
      <c r="K4607">
        <v>2105.7800000000002</v>
      </c>
      <c r="L4607">
        <v>6718.03</v>
      </c>
      <c r="M4607">
        <v>319.02999999999997</v>
      </c>
      <c r="N4607" s="2" t="s">
        <v>308</v>
      </c>
      <c r="O4607" s="2" t="s">
        <v>309</v>
      </c>
      <c r="P4607" s="2" t="s">
        <v>7858</v>
      </c>
      <c r="Q4607" s="2" t="s">
        <v>7859</v>
      </c>
      <c r="R4607" s="2" t="s">
        <v>29</v>
      </c>
      <c r="S4607" s="2" t="s">
        <v>30</v>
      </c>
    </row>
    <row r="4608" spans="1:19">
      <c r="A4608" s="1">
        <v>46204</v>
      </c>
      <c r="B4608" s="1">
        <v>46204</v>
      </c>
      <c r="C4608">
        <v>2026</v>
      </c>
      <c r="D4608">
        <v>7</v>
      </c>
      <c r="E4608" s="2" t="s">
        <v>312</v>
      </c>
      <c r="F4608" s="2" t="s">
        <v>313</v>
      </c>
      <c r="G4608" s="2" t="s">
        <v>21</v>
      </c>
      <c r="H4608" s="2" t="s">
        <v>22</v>
      </c>
      <c r="I4608" s="2" t="s">
        <v>295</v>
      </c>
      <c r="J4608" s="2" t="s">
        <v>59</v>
      </c>
      <c r="K4608">
        <v>9253.65</v>
      </c>
      <c r="L4608">
        <v>28606.76</v>
      </c>
      <c r="M4608">
        <v>309.14</v>
      </c>
      <c r="N4608" s="2" t="s">
        <v>314</v>
      </c>
      <c r="O4608" s="2" t="s">
        <v>315</v>
      </c>
      <c r="P4608" s="2" t="s">
        <v>7860</v>
      </c>
      <c r="Q4608" s="2" t="s">
        <v>7861</v>
      </c>
      <c r="R4608" s="2" t="s">
        <v>29</v>
      </c>
      <c r="S4608" s="2" t="s">
        <v>30</v>
      </c>
    </row>
    <row r="4609" spans="1:19">
      <c r="A4609" s="1">
        <v>46204</v>
      </c>
      <c r="B4609" s="1">
        <v>46204</v>
      </c>
      <c r="C4609">
        <v>2026</v>
      </c>
      <c r="D4609">
        <v>7</v>
      </c>
      <c r="E4609" s="2" t="s">
        <v>318</v>
      </c>
      <c r="F4609" s="2" t="s">
        <v>319</v>
      </c>
      <c r="G4609" s="2" t="s">
        <v>21</v>
      </c>
      <c r="H4609" s="2" t="s">
        <v>22</v>
      </c>
      <c r="I4609" s="2" t="s">
        <v>295</v>
      </c>
      <c r="J4609" s="2" t="s">
        <v>24</v>
      </c>
      <c r="K4609">
        <v>7147.86</v>
      </c>
      <c r="L4609">
        <v>21888.73</v>
      </c>
      <c r="M4609">
        <v>306.23</v>
      </c>
      <c r="N4609" s="2" t="s">
        <v>320</v>
      </c>
      <c r="O4609" s="2" t="s">
        <v>321</v>
      </c>
      <c r="P4609" s="2" t="s">
        <v>7862</v>
      </c>
      <c r="Q4609" s="2" t="s">
        <v>7863</v>
      </c>
      <c r="R4609" s="2" t="s">
        <v>29</v>
      </c>
      <c r="S4609" s="2" t="s">
        <v>30</v>
      </c>
    </row>
    <row r="4610" spans="1:19">
      <c r="A4610" s="1">
        <v>46204</v>
      </c>
      <c r="B4610" s="1">
        <v>46204</v>
      </c>
      <c r="C4610">
        <v>2026</v>
      </c>
      <c r="D4610">
        <v>7</v>
      </c>
      <c r="E4610" s="2" t="s">
        <v>324</v>
      </c>
      <c r="F4610" s="2" t="s">
        <v>325</v>
      </c>
      <c r="G4610" s="2" t="s">
        <v>21</v>
      </c>
      <c r="H4610" s="2" t="s">
        <v>22</v>
      </c>
      <c r="I4610" s="2" t="s">
        <v>23</v>
      </c>
      <c r="J4610" s="2" t="s">
        <v>59</v>
      </c>
      <c r="K4610">
        <v>253061.29</v>
      </c>
      <c r="L4610">
        <v>8592159.4600000009</v>
      </c>
      <c r="M4610">
        <v>3395.29</v>
      </c>
      <c r="N4610" s="2" t="s">
        <v>326</v>
      </c>
      <c r="O4610" s="2" t="s">
        <v>327</v>
      </c>
      <c r="P4610" s="2" t="s">
        <v>7864</v>
      </c>
      <c r="Q4610" s="2" t="s">
        <v>7865</v>
      </c>
      <c r="R4610" s="2" t="s">
        <v>29</v>
      </c>
      <c r="S4610" s="2" t="s">
        <v>30</v>
      </c>
    </row>
    <row r="4611" spans="1:19">
      <c r="A4611" s="1">
        <v>46204</v>
      </c>
      <c r="B4611" s="1">
        <v>46204</v>
      </c>
      <c r="C4611">
        <v>2026</v>
      </c>
      <c r="D4611">
        <v>7</v>
      </c>
      <c r="E4611" s="2" t="s">
        <v>330</v>
      </c>
      <c r="F4611" s="2" t="s">
        <v>331</v>
      </c>
      <c r="G4611" s="2" t="s">
        <v>21</v>
      </c>
      <c r="H4611" s="2" t="s">
        <v>332</v>
      </c>
      <c r="I4611" s="2" t="s">
        <v>333</v>
      </c>
      <c r="J4611" s="2" t="s">
        <v>24</v>
      </c>
      <c r="K4611">
        <v>331.95</v>
      </c>
      <c r="L4611">
        <v>20378016.890000001</v>
      </c>
      <c r="M4611">
        <v>6138881.4199999999</v>
      </c>
      <c r="N4611" s="2" t="s">
        <v>334</v>
      </c>
      <c r="O4611" s="2" t="s">
        <v>335</v>
      </c>
      <c r="P4611" s="2" t="s">
        <v>7866</v>
      </c>
      <c r="Q4611" s="2" t="s">
        <v>7867</v>
      </c>
      <c r="R4611" s="2" t="s">
        <v>29</v>
      </c>
      <c r="S4611" s="2" t="s">
        <v>30</v>
      </c>
    </row>
    <row r="4612" spans="1:19">
      <c r="A4612" s="1">
        <v>46204</v>
      </c>
      <c r="B4612" s="1">
        <v>46204</v>
      </c>
      <c r="C4612">
        <v>2026</v>
      </c>
      <c r="D4612">
        <v>7</v>
      </c>
      <c r="E4612" s="2" t="s">
        <v>338</v>
      </c>
      <c r="F4612" s="2" t="s">
        <v>339</v>
      </c>
      <c r="G4612" s="2" t="s">
        <v>21</v>
      </c>
      <c r="H4612" s="2" t="s">
        <v>332</v>
      </c>
      <c r="I4612" s="2" t="s">
        <v>333</v>
      </c>
      <c r="J4612" s="2" t="s">
        <v>24</v>
      </c>
      <c r="K4612">
        <v>1.1599999999999999</v>
      </c>
      <c r="L4612">
        <v>1929089.64</v>
      </c>
      <c r="M4612">
        <v>166300831.03</v>
      </c>
      <c r="N4612" s="2" t="s">
        <v>340</v>
      </c>
      <c r="O4612" s="2" t="s">
        <v>341</v>
      </c>
      <c r="P4612" s="2" t="s">
        <v>1921</v>
      </c>
      <c r="Q4612" s="2" t="s">
        <v>7868</v>
      </c>
      <c r="R4612" s="2" t="s">
        <v>29</v>
      </c>
      <c r="S4612" s="2" t="s">
        <v>30</v>
      </c>
    </row>
    <row r="4613" spans="1:19">
      <c r="A4613" s="1">
        <v>46204</v>
      </c>
      <c r="B4613" s="1">
        <v>46204</v>
      </c>
      <c r="C4613">
        <v>2026</v>
      </c>
      <c r="D4613">
        <v>7</v>
      </c>
      <c r="E4613" s="2" t="s">
        <v>344</v>
      </c>
      <c r="F4613" s="2" t="s">
        <v>345</v>
      </c>
      <c r="G4613" s="2" t="s">
        <v>21</v>
      </c>
      <c r="H4613" s="2" t="s">
        <v>332</v>
      </c>
      <c r="I4613" s="2" t="s">
        <v>333</v>
      </c>
      <c r="J4613" s="2" t="s">
        <v>59</v>
      </c>
      <c r="K4613">
        <v>333.1</v>
      </c>
      <c r="L4613">
        <v>22307106.530000001</v>
      </c>
      <c r="M4613">
        <v>6696819.7300000004</v>
      </c>
      <c r="N4613" s="2" t="s">
        <v>346</v>
      </c>
      <c r="O4613" s="2" t="s">
        <v>347</v>
      </c>
      <c r="P4613" s="2" t="s">
        <v>7869</v>
      </c>
      <c r="Q4613" s="2" t="s">
        <v>7870</v>
      </c>
      <c r="R4613" s="2" t="s">
        <v>29</v>
      </c>
      <c r="S4613" s="2" t="s">
        <v>30</v>
      </c>
    </row>
    <row r="4614" spans="1:19">
      <c r="A4614" s="1">
        <v>46204</v>
      </c>
      <c r="B4614" s="1">
        <v>46204</v>
      </c>
      <c r="C4614">
        <v>2026</v>
      </c>
      <c r="D4614">
        <v>7</v>
      </c>
      <c r="E4614" s="2" t="s">
        <v>350</v>
      </c>
      <c r="F4614" s="2" t="s">
        <v>351</v>
      </c>
      <c r="G4614" s="2" t="s">
        <v>21</v>
      </c>
      <c r="H4614" s="2" t="s">
        <v>22</v>
      </c>
      <c r="I4614" s="2" t="s">
        <v>352</v>
      </c>
      <c r="J4614" s="2" t="s">
        <v>353</v>
      </c>
      <c r="K4614">
        <v>271816.8</v>
      </c>
      <c r="L4614">
        <v>31436326.609999999</v>
      </c>
      <c r="M4614">
        <v>11565.26</v>
      </c>
      <c r="N4614" s="2" t="s">
        <v>354</v>
      </c>
      <c r="O4614" s="2" t="s">
        <v>355</v>
      </c>
      <c r="P4614" s="2" t="s">
        <v>7871</v>
      </c>
      <c r="Q4614" s="2" t="s">
        <v>7872</v>
      </c>
      <c r="R4614" s="2" t="s">
        <v>29</v>
      </c>
      <c r="S4614" s="2" t="s">
        <v>30</v>
      </c>
    </row>
    <row r="4615" spans="1:19">
      <c r="A4615" s="1">
        <v>46204</v>
      </c>
      <c r="B4615" s="1">
        <v>46204</v>
      </c>
      <c r="C4615">
        <v>2026</v>
      </c>
      <c r="D4615">
        <v>7</v>
      </c>
      <c r="E4615" s="2" t="s">
        <v>358</v>
      </c>
      <c r="F4615" s="2" t="s">
        <v>359</v>
      </c>
      <c r="G4615" s="2" t="s">
        <v>21</v>
      </c>
      <c r="H4615" s="2" t="s">
        <v>22</v>
      </c>
      <c r="I4615" s="2" t="s">
        <v>352</v>
      </c>
      <c r="J4615" s="2" t="s">
        <v>353</v>
      </c>
      <c r="K4615">
        <v>272263.58</v>
      </c>
      <c r="L4615">
        <v>32080199.210000001</v>
      </c>
      <c r="M4615">
        <v>11782.77</v>
      </c>
      <c r="N4615" s="2" t="s">
        <v>360</v>
      </c>
      <c r="O4615" s="2" t="s">
        <v>361</v>
      </c>
      <c r="P4615" s="2" t="s">
        <v>7873</v>
      </c>
      <c r="Q4615" s="2" t="s">
        <v>7874</v>
      </c>
      <c r="R4615" s="2" t="s">
        <v>29</v>
      </c>
      <c r="S4615" s="2" t="s">
        <v>30</v>
      </c>
    </row>
    <row r="4616" spans="1:19">
      <c r="A4616" s="1">
        <v>46204</v>
      </c>
      <c r="B4616" s="1">
        <v>46204</v>
      </c>
      <c r="C4616">
        <v>2026</v>
      </c>
      <c r="D4616">
        <v>7</v>
      </c>
      <c r="E4616" s="2" t="s">
        <v>364</v>
      </c>
      <c r="F4616" s="2" t="s">
        <v>365</v>
      </c>
      <c r="G4616" s="2" t="s">
        <v>21</v>
      </c>
      <c r="H4616" s="2" t="s">
        <v>22</v>
      </c>
      <c r="I4616" s="2" t="s">
        <v>352</v>
      </c>
      <c r="J4616" s="2" t="s">
        <v>353</v>
      </c>
      <c r="K4616">
        <v>271930.46999999997</v>
      </c>
      <c r="L4616">
        <v>9773092.6899999995</v>
      </c>
      <c r="M4616">
        <v>3593.97</v>
      </c>
      <c r="N4616" s="2" t="s">
        <v>366</v>
      </c>
      <c r="O4616" s="2" t="s">
        <v>367</v>
      </c>
      <c r="P4616" s="2" t="s">
        <v>7875</v>
      </c>
      <c r="Q4616" s="2" t="s">
        <v>7876</v>
      </c>
      <c r="R4616" s="2" t="s">
        <v>29</v>
      </c>
      <c r="S4616" s="2" t="s">
        <v>30</v>
      </c>
    </row>
    <row r="4617" spans="1:19">
      <c r="A4617" s="1">
        <v>46204</v>
      </c>
      <c r="B4617" s="1">
        <v>46204</v>
      </c>
      <c r="C4617">
        <v>2026</v>
      </c>
      <c r="D4617">
        <v>7</v>
      </c>
      <c r="E4617" s="2" t="s">
        <v>370</v>
      </c>
      <c r="F4617" s="2" t="s">
        <v>371</v>
      </c>
      <c r="G4617" s="2" t="s">
        <v>21</v>
      </c>
      <c r="H4617" s="2" t="s">
        <v>22</v>
      </c>
      <c r="I4617" s="2" t="s">
        <v>23</v>
      </c>
      <c r="J4617" s="2" t="s">
        <v>24</v>
      </c>
      <c r="K4617">
        <v>236583.53</v>
      </c>
      <c r="L4617">
        <v>2987880.48</v>
      </c>
      <c r="M4617">
        <v>1262.93</v>
      </c>
      <c r="N4617" s="2" t="s">
        <v>372</v>
      </c>
      <c r="O4617" s="2" t="s">
        <v>373</v>
      </c>
      <c r="P4617" s="2" t="s">
        <v>7877</v>
      </c>
      <c r="Q4617" s="2" t="s">
        <v>7878</v>
      </c>
      <c r="R4617" s="2" t="s">
        <v>29</v>
      </c>
      <c r="S4617" s="2" t="s">
        <v>30</v>
      </c>
    </row>
    <row r="4618" spans="1:19">
      <c r="A4618" s="1">
        <v>46204</v>
      </c>
      <c r="B4618" s="1">
        <v>46204</v>
      </c>
      <c r="C4618">
        <v>2026</v>
      </c>
      <c r="D4618">
        <v>7</v>
      </c>
      <c r="E4618" s="2" t="s">
        <v>376</v>
      </c>
      <c r="F4618" s="2" t="s">
        <v>377</v>
      </c>
      <c r="G4618" s="2" t="s">
        <v>21</v>
      </c>
      <c r="H4618" s="2" t="s">
        <v>22</v>
      </c>
      <c r="I4618" s="2" t="s">
        <v>23</v>
      </c>
      <c r="J4618" s="2" t="s">
        <v>378</v>
      </c>
      <c r="K4618">
        <v>1.36</v>
      </c>
      <c r="L4618">
        <v>12.88</v>
      </c>
      <c r="M4618">
        <v>947.06</v>
      </c>
      <c r="N4618" s="2" t="s">
        <v>379</v>
      </c>
      <c r="O4618" s="2" t="s">
        <v>380</v>
      </c>
      <c r="P4618" s="2" t="s">
        <v>1003</v>
      </c>
      <c r="Q4618" s="2" t="s">
        <v>7879</v>
      </c>
      <c r="R4618" s="2" t="s">
        <v>29</v>
      </c>
      <c r="S4618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B6C7-6D47-41F0-B601-72B3B5EF86EC}">
  <sheetPr>
    <tabColor rgb="FF1F4E78"/>
  </sheetPr>
  <dimension ref="A1:L136"/>
  <sheetViews>
    <sheetView showGridLines="0" tabSelected="1" topLeftCell="A4" zoomScale="57" workbookViewId="0">
      <selection activeCell="H56" sqref="H56"/>
    </sheetView>
  </sheetViews>
  <sheetFormatPr defaultRowHeight="14.5"/>
  <cols>
    <col min="1" max="6" width="13.08984375" customWidth="1"/>
    <col min="7" max="7" width="28.7265625" customWidth="1"/>
    <col min="8" max="12" width="13.08984375" customWidth="1"/>
  </cols>
  <sheetData>
    <row r="1" spans="1:12" ht="34" customHeight="1" thickBot="1">
      <c r="A1" s="11" t="s">
        <v>9292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2" customHeight="1" thickTop="1">
      <c r="A2" s="12" t="s">
        <v>9293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30" customHeight="1">
      <c r="A3" s="13" t="s">
        <v>9294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5" spans="1:12" ht="27" customHeight="1">
      <c r="A5" s="20" t="s">
        <v>9305</v>
      </c>
      <c r="B5" s="18"/>
      <c r="C5" s="18" t="s">
        <v>9306</v>
      </c>
      <c r="D5" s="18"/>
      <c r="E5" s="18" t="s">
        <v>9295</v>
      </c>
      <c r="F5" s="18"/>
      <c r="G5" s="18" t="s">
        <v>9296</v>
      </c>
      <c r="H5" s="18"/>
      <c r="I5" s="18" t="s">
        <v>9307</v>
      </c>
      <c r="J5" s="18"/>
      <c r="K5" s="18"/>
      <c r="L5" s="21"/>
    </row>
    <row r="6" spans="1:12" ht="29" customHeight="1">
      <c r="A6" s="22">
        <f>SUMIFS('Transaction Data'!$K$2:$K$4618,'Transaction Data'!$A$2:$A$4618,MAX('Transaction Data'!$A$2:$A$4618),'Transaction Data'!$E$2:$E$4618,"TOTAL_DIGITAL_PAYMENTS")</f>
        <v>271816.8</v>
      </c>
      <c r="B6" s="19"/>
      <c r="C6" s="22">
        <f>SUMIFS('Transaction Data'!$L$2:$L$4618,'Transaction Data'!$A$2:$A$4618,MAX('Transaction Data'!$A$2:$A$4618),'Transaction Data'!$E$2:$E$4618,"RTGS_TOTAL")+SUMIFS('Transaction Data'!$L$2:$L$4618,'Transaction Data'!$A$2:$A$4618,MAX('Transaction Data'!$A$2:$A$4618),'Transaction Data'!$E$2:$E$4618,"RETAIL_CREDIT_TRANSFERS_TOTAL")+SUMIFS('Transaction Data'!$L$2:$L$4618,'Transaction Data'!$A$2:$A$4618,MAX('Transaction Data'!$A$2:$A$4618),'Transaction Data'!$E$2:$E$4618,"DEBIT_TRANSFERS_TOTAL")+SUMIFS('Transaction Data'!$L$2:$L$4618,'Transaction Data'!$A$2:$A$4618,MAX('Transaction Data'!$A$2:$A$4618),'Transaction Data'!$E$2:$E$4618,"CARD_PAYMENTS_TOTAL")+SUMIFS('Transaction Data'!$L$2:$L$4618,'Transaction Data'!$A$2:$A$4618,MAX('Transaction Data'!$A$2:$A$4618),'Transaction Data'!$E$2:$E$4618,"PPI_TOTAL")</f>
        <v>31436326.610000003</v>
      </c>
      <c r="D6" s="19"/>
      <c r="E6" s="23">
        <f>SUMIFS('Transaction Data'!$K$2:$K$4618,'Transaction Data'!$A$2:$A$4618,MAX('Transaction Data'!$A$2:$A$4618),'Transaction Data'!$E$2:$E$4618,"UPI")/A6</f>
        <v>0.87037861530265981</v>
      </c>
      <c r="F6" s="19"/>
      <c r="G6" s="24">
        <f>A6/SUMIFS('Transaction Data'!$K$2:$K$4618,'Transaction Data'!$A$2:$A$4618,EDATE(MAX('Transaction Data'!$A$2:$A$4618),-1),'Transaction Data'!$E$2:$E$4618,"TOTAL_DIGITAL_PAYMENTS")-1</f>
        <v>3.861419067380556E-2</v>
      </c>
      <c r="H6" s="19"/>
      <c r="I6" s="25" cm="1">
        <f t="array" ref="I6">SUMPRODUCT(('Infrastructure Data'!$E$2:$E$1054&lt;&gt;"")/COUNTIF('Infrastructure Data'!$E$2:$E$1054,'Infrastructure Data'!$E$2:$E$1054))</f>
        <v>12.999999999999694</v>
      </c>
      <c r="J6" s="19"/>
      <c r="K6" s="19"/>
      <c r="L6" s="19"/>
    </row>
    <row r="7" spans="1:12" ht="29" customHeight="1" thickBo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 ht="22" customHeight="1" thickBot="1">
      <c r="A9" s="14" t="s">
        <v>9297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ht="22" customHeight="1">
      <c r="A10" s="16" t="str">
        <f>"UPI accounts for "&amp;TEXT(E6,"0.0%")&amp;" of July transaction volume, indicating a strongly UPI-led mix."</f>
        <v>UPI accounts for 87.0% of July transaction volume, indicating a strongly UPI-led mix.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22" customHeight="1">
      <c r="A11" s="15" t="str">
        <f>"RTGS contributed "&amp;TEXT(SUMIFS('Transaction Data'!$L$2:$L$4618,'Transaction Data'!$A$2:$A$4618,MAX('Transaction Data'!$A$2:$A$4618),'Transaction Data'!$E$2:$E$4618,"RTGS_TOTAL")/C6,"0.0%")&amp;" of July transaction value."</f>
        <v>RTGS contributed 71.0% of July transaction value.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 ht="22" customHeight="1">
      <c r="A12" s="17" t="str">
        <f>"Transaction volume grew "&amp;TEXT(A6/SUMIFS('Transaction Data'!$K$2:$K$4618,'Transaction Data'!$A$2:$A$4618,EDATE(MAX('Transaction Data'!$A$2:$A$4618),-12),'Transaction Data'!$E$2:$E$4618,"TOTAL_DIGITAL_PAYMENTS")-1,"0.0%")&amp;" year over year."</f>
        <v>Transaction volume grew 19.4% year over year.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4" spans="1:1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54" spans="1:8">
      <c r="A54" s="5" t="s">
        <v>9298</v>
      </c>
      <c r="B54" s="5"/>
      <c r="C54" s="3"/>
      <c r="D54" s="3"/>
      <c r="E54" s="3"/>
      <c r="F54" s="3"/>
      <c r="G54" s="5" t="s">
        <v>9301</v>
      </c>
      <c r="H54" s="5"/>
    </row>
    <row r="55" spans="1:8">
      <c r="A55" s="3" t="s">
        <v>9287</v>
      </c>
      <c r="B55" s="3" t="s">
        <v>9299</v>
      </c>
      <c r="C55" s="3"/>
      <c r="D55" s="3" t="s">
        <v>9287</v>
      </c>
      <c r="E55" s="3" t="s">
        <v>9300</v>
      </c>
      <c r="F55" s="3"/>
      <c r="G55" s="3" t="s">
        <v>9302</v>
      </c>
      <c r="H55" s="3" t="s">
        <v>9303</v>
      </c>
    </row>
    <row r="56" spans="1:8">
      <c r="A56" s="6">
        <f>MIN('Transaction Data'!$A$2:$A$4618)</f>
        <v>43770</v>
      </c>
      <c r="B56" s="7">
        <f>SUMIFS('Transaction Data'!$K$2:$K$4618,'Transaction Data'!$A$2:$A$4618,$A56,'Transaction Data'!$E$2:$E$4618,"TOTAL_DIGITAL_PAYMENTS")</f>
        <v>29978.63</v>
      </c>
      <c r="D56" s="6">
        <f>A56</f>
        <v>43770</v>
      </c>
      <c r="E56" s="7">
        <f>SUMIFS('Transaction Data'!$L$2:$L$4618,'Transaction Data'!$A$2:$A$4618,$D56,'Transaction Data'!$E$2:$E$4618,"RTGS_TOTAL")+SUMIFS('Transaction Data'!$L$2:$L$4618,'Transaction Data'!$A$2:$A$4618,$D56,'Transaction Data'!$E$2:$E$4618,"RETAIL_CREDIT_TRANSFERS_TOTAL")+SUMIFS('Transaction Data'!$L$2:$L$4618,'Transaction Data'!$A$2:$A$4618,$D56,'Transaction Data'!$E$2:$E$4618,"DEBIT_TRANSFERS_TOTAL")+SUMIFS('Transaction Data'!$L$2:$L$4618,'Transaction Data'!$A$2:$A$4618,$D56,'Transaction Data'!$E$2:$E$4618,"CARD_PAYMENTS_TOTAL")+SUMIFS('Transaction Data'!$L$2:$L$4618,'Transaction Data'!$A$2:$A$4618,$D56,'Transaction Data'!$E$2:$E$4618,"PPI_TOTAL")</f>
        <v>11092669.119999999</v>
      </c>
      <c r="G56" t="s">
        <v>9288</v>
      </c>
      <c r="H56" s="7">
        <f>SUMIFS('Transaction Data'!$K$2:$K$4618,'Transaction Data'!$A$2:$A$4618,MAX('Transaction Data'!$A$2:$A$4618),'Transaction Data'!$E$2:$E$4618,"RTGS_TOTAL")</f>
        <v>333.1</v>
      </c>
    </row>
    <row r="57" spans="1:8">
      <c r="A57" s="6">
        <f>EDATE(A56,1)</f>
        <v>43800</v>
      </c>
      <c r="B57" s="7">
        <f>SUMIFS('Transaction Data'!$K$2:$K$4618,'Transaction Data'!$A$2:$A$4618,$A57,'Transaction Data'!$E$2:$E$4618,"TOTAL_DIGITAL_PAYMENTS")</f>
        <v>32256.54</v>
      </c>
      <c r="D57" s="6">
        <f>A57</f>
        <v>43800</v>
      </c>
      <c r="E57" s="7">
        <f>SUMIFS('Transaction Data'!$L$2:$L$4618,'Transaction Data'!$A$2:$A$4618,$D57,'Transaction Data'!$E$2:$E$4618,"RTGS_TOTAL")+SUMIFS('Transaction Data'!$L$2:$L$4618,'Transaction Data'!$A$2:$A$4618,$D57,'Transaction Data'!$E$2:$E$4618,"RETAIL_CREDIT_TRANSFERS_TOTAL")+SUMIFS('Transaction Data'!$L$2:$L$4618,'Transaction Data'!$A$2:$A$4618,$D57,'Transaction Data'!$E$2:$E$4618,"DEBIT_TRANSFERS_TOTAL")+SUMIFS('Transaction Data'!$L$2:$L$4618,'Transaction Data'!$A$2:$A$4618,$D57,'Transaction Data'!$E$2:$E$4618,"CARD_PAYMENTS_TOTAL")+SUMIFS('Transaction Data'!$L$2:$L$4618,'Transaction Data'!$A$2:$A$4618,$D57,'Transaction Data'!$E$2:$E$4618,"PPI_TOTAL")</f>
        <v>12958789.300000003</v>
      </c>
      <c r="G57" t="s">
        <v>9289</v>
      </c>
      <c r="H57" s="7">
        <f>SUMIFS('Transaction Data'!$K$2:$K$4618,'Transaction Data'!$A$2:$A$4618,MAX('Transaction Data'!$A$2:$A$4618),'Transaction Data'!$E$2:$E$4618,"RETAIL_CREDIT_TRANSFERS_TOTAL")</f>
        <v>253061.29</v>
      </c>
    </row>
    <row r="58" spans="1:8">
      <c r="A58" s="6">
        <f>EDATE(A57,1)</f>
        <v>43831</v>
      </c>
      <c r="B58" s="7">
        <f>SUMIFS('Transaction Data'!$K$2:$K$4618,'Transaction Data'!$A$2:$A$4618,$A58,'Transaction Data'!$E$2:$E$4618,"TOTAL_DIGITAL_PAYMENTS")</f>
        <v>33631.79</v>
      </c>
      <c r="D58" s="6">
        <f>A58</f>
        <v>43831</v>
      </c>
      <c r="E58" s="7">
        <f>SUMIFS('Transaction Data'!$L$2:$L$4618,'Transaction Data'!$A$2:$A$4618,$D58,'Transaction Data'!$E$2:$E$4618,"RTGS_TOTAL")+SUMIFS('Transaction Data'!$L$2:$L$4618,'Transaction Data'!$A$2:$A$4618,$D58,'Transaction Data'!$E$2:$E$4618,"RETAIL_CREDIT_TRANSFERS_TOTAL")+SUMIFS('Transaction Data'!$L$2:$L$4618,'Transaction Data'!$A$2:$A$4618,$D58,'Transaction Data'!$E$2:$E$4618,"DEBIT_TRANSFERS_TOTAL")+SUMIFS('Transaction Data'!$L$2:$L$4618,'Transaction Data'!$A$2:$A$4618,$D58,'Transaction Data'!$E$2:$E$4618,"CARD_PAYMENTS_TOTAL")+SUMIFS('Transaction Data'!$L$2:$L$4618,'Transaction Data'!$A$2:$A$4618,$D58,'Transaction Data'!$E$2:$E$4618,"PPI_TOTAL")</f>
        <v>12537395.68</v>
      </c>
      <c r="G58" t="s">
        <v>9290</v>
      </c>
      <c r="H58" s="7">
        <f>SUMIFS('Transaction Data'!$K$2:$K$4618,'Transaction Data'!$A$2:$A$4618,MAX('Transaction Data'!$A$2:$A$4618),'Transaction Data'!$E$2:$E$4618,"DEBIT_TRANSFERS_TOTAL")</f>
        <v>2100.5300000000002</v>
      </c>
    </row>
    <row r="59" spans="1:8">
      <c r="A59" s="6">
        <f>EDATE(A58,1)</f>
        <v>43862</v>
      </c>
      <c r="B59" s="7">
        <f>SUMIFS('Transaction Data'!$K$2:$K$4618,'Transaction Data'!$A$2:$A$4618,$A59,'Transaction Data'!$E$2:$E$4618,"TOTAL_DIGITAL_PAYMENTS")</f>
        <v>32895.25</v>
      </c>
      <c r="D59" s="6">
        <f>A59</f>
        <v>43862</v>
      </c>
      <c r="E59" s="7">
        <f>SUMIFS('Transaction Data'!$L$2:$L$4618,'Transaction Data'!$A$2:$A$4618,$D59,'Transaction Data'!$E$2:$E$4618,"RTGS_TOTAL")+SUMIFS('Transaction Data'!$L$2:$L$4618,'Transaction Data'!$A$2:$A$4618,$D59,'Transaction Data'!$E$2:$E$4618,"RETAIL_CREDIT_TRANSFERS_TOTAL")+SUMIFS('Transaction Data'!$L$2:$L$4618,'Transaction Data'!$A$2:$A$4618,$D59,'Transaction Data'!$E$2:$E$4618,"DEBIT_TRANSFERS_TOTAL")+SUMIFS('Transaction Data'!$L$2:$L$4618,'Transaction Data'!$A$2:$A$4618,$D59,'Transaction Data'!$E$2:$E$4618,"CARD_PAYMENTS_TOTAL")+SUMIFS('Transaction Data'!$L$2:$L$4618,'Transaction Data'!$A$2:$A$4618,$D59,'Transaction Data'!$E$2:$E$4618,"PPI_TOTAL")</f>
        <v>11578728.600000001</v>
      </c>
      <c r="G59" t="s">
        <v>9291</v>
      </c>
      <c r="H59" s="7">
        <f>SUMIFS('Transaction Data'!$K$2:$K$4618,'Transaction Data'!$A$2:$A$4618,MAX('Transaction Data'!$A$2:$A$4618),'Transaction Data'!$E$2:$E$4618,"CARD_PAYMENTS_TOTAL")</f>
        <v>7068.23</v>
      </c>
    </row>
    <row r="60" spans="1:8">
      <c r="A60" s="6">
        <f>EDATE(A59,1)</f>
        <v>43891</v>
      </c>
      <c r="B60" s="7">
        <f>SUMIFS('Transaction Data'!$K$2:$K$4618,'Transaction Data'!$A$2:$A$4618,$A60,'Transaction Data'!$E$2:$E$4618,"TOTAL_DIGITAL_PAYMENTS")</f>
        <v>29266.86</v>
      </c>
      <c r="D60" s="6">
        <f>A60</f>
        <v>43891</v>
      </c>
      <c r="E60" s="7">
        <f>SUMIFS('Transaction Data'!$L$2:$L$4618,'Transaction Data'!$A$2:$A$4618,$D60,'Transaction Data'!$E$2:$E$4618,"RTGS_TOTAL")+SUMIFS('Transaction Data'!$L$2:$L$4618,'Transaction Data'!$A$2:$A$4618,$D60,'Transaction Data'!$E$2:$E$4618,"RETAIL_CREDIT_TRANSFERS_TOTAL")+SUMIFS('Transaction Data'!$L$2:$L$4618,'Transaction Data'!$A$2:$A$4618,$D60,'Transaction Data'!$E$2:$E$4618,"DEBIT_TRANSFERS_TOTAL")+SUMIFS('Transaction Data'!$L$2:$L$4618,'Transaction Data'!$A$2:$A$4618,$D60,'Transaction Data'!$E$2:$E$4618,"CARD_PAYMENTS_TOTAL")+SUMIFS('Transaction Data'!$L$2:$L$4618,'Transaction Data'!$A$2:$A$4618,$D60,'Transaction Data'!$E$2:$E$4618,"PPI_TOTAL")</f>
        <v>15024753.780000001</v>
      </c>
      <c r="G60" t="s">
        <v>9304</v>
      </c>
      <c r="H60" s="7">
        <f>SUMIFS('Transaction Data'!$K$2:$K$4618,'Transaction Data'!$A$2:$A$4618,MAX('Transaction Data'!$A$2:$A$4618),'Transaction Data'!$E$2:$E$4618,"PPI_TOTAL")</f>
        <v>9253.65</v>
      </c>
    </row>
    <row r="61" spans="1:8">
      <c r="A61" s="6">
        <f>EDATE(A60,1)</f>
        <v>43922</v>
      </c>
      <c r="B61" s="7">
        <f>SUMIFS('Transaction Data'!$K$2:$K$4618,'Transaction Data'!$A$2:$A$4618,$A61,'Transaction Data'!$E$2:$E$4618,"TOTAL_DIGITAL_PAYMENTS")</f>
        <v>23604.69</v>
      </c>
      <c r="D61" s="6">
        <f>A61</f>
        <v>43922</v>
      </c>
      <c r="E61" s="7">
        <f>SUMIFS('Transaction Data'!$L$2:$L$4618,'Transaction Data'!$A$2:$A$4618,$D61,'Transaction Data'!$E$2:$E$4618,"RTGS_TOTAL")+SUMIFS('Transaction Data'!$L$2:$L$4618,'Transaction Data'!$A$2:$A$4618,$D61,'Transaction Data'!$E$2:$E$4618,"RETAIL_CREDIT_TRANSFERS_TOTAL")+SUMIFS('Transaction Data'!$L$2:$L$4618,'Transaction Data'!$A$2:$A$4618,$D61,'Transaction Data'!$E$2:$E$4618,"DEBIT_TRANSFERS_TOTAL")+SUMIFS('Transaction Data'!$L$2:$L$4618,'Transaction Data'!$A$2:$A$4618,$D61,'Transaction Data'!$E$2:$E$4618,"CARD_PAYMENTS_TOTAL")+SUMIFS('Transaction Data'!$L$2:$L$4618,'Transaction Data'!$A$2:$A$4618,$D61,'Transaction Data'!$E$2:$E$4618,"PPI_TOTAL")</f>
        <v>8241148.2999999998</v>
      </c>
    </row>
    <row r="62" spans="1:8">
      <c r="A62" s="6">
        <f>EDATE(A61,1)</f>
        <v>43952</v>
      </c>
      <c r="B62" s="7">
        <f>SUMIFS('Transaction Data'!$K$2:$K$4618,'Transaction Data'!$A$2:$A$4618,$A62,'Transaction Data'!$E$2:$E$4618,"TOTAL_DIGITAL_PAYMENTS")</f>
        <v>25574.53</v>
      </c>
      <c r="D62" s="6">
        <f>A62</f>
        <v>43952</v>
      </c>
      <c r="E62" s="7">
        <f>SUMIFS('Transaction Data'!$L$2:$L$4618,'Transaction Data'!$A$2:$A$4618,$D62,'Transaction Data'!$E$2:$E$4618,"RTGS_TOTAL")+SUMIFS('Transaction Data'!$L$2:$L$4618,'Transaction Data'!$A$2:$A$4618,$D62,'Transaction Data'!$E$2:$E$4618,"RETAIL_CREDIT_TRANSFERS_TOTAL")+SUMIFS('Transaction Data'!$L$2:$L$4618,'Transaction Data'!$A$2:$A$4618,$D62,'Transaction Data'!$E$2:$E$4618,"DEBIT_TRANSFERS_TOTAL")+SUMIFS('Transaction Data'!$L$2:$L$4618,'Transaction Data'!$A$2:$A$4618,$D62,'Transaction Data'!$E$2:$E$4618,"CARD_PAYMENTS_TOTAL")+SUMIFS('Transaction Data'!$L$2:$L$4618,'Transaction Data'!$A$2:$A$4618,$D62,'Transaction Data'!$E$2:$E$4618,"PPI_TOTAL")</f>
        <v>9193905.7600000016</v>
      </c>
    </row>
    <row r="63" spans="1:8">
      <c r="A63" s="6">
        <f>EDATE(A62,1)</f>
        <v>43983</v>
      </c>
      <c r="B63" s="7">
        <f>SUMIFS('Transaction Data'!$K$2:$K$4618,'Transaction Data'!$A$2:$A$4618,$A63,'Transaction Data'!$E$2:$E$4618,"TOTAL_DIGITAL_PAYMENTS")</f>
        <v>29095.98</v>
      </c>
      <c r="D63" s="6">
        <f>A63</f>
        <v>43983</v>
      </c>
      <c r="E63" s="7">
        <f>SUMIFS('Transaction Data'!$L$2:$L$4618,'Transaction Data'!$A$2:$A$4618,$D63,'Transaction Data'!$E$2:$E$4618,"RTGS_TOTAL")+SUMIFS('Transaction Data'!$L$2:$L$4618,'Transaction Data'!$A$2:$A$4618,$D63,'Transaction Data'!$E$2:$E$4618,"RETAIL_CREDIT_TRANSFERS_TOTAL")+SUMIFS('Transaction Data'!$L$2:$L$4618,'Transaction Data'!$A$2:$A$4618,$D63,'Transaction Data'!$E$2:$E$4618,"DEBIT_TRANSFERS_TOTAL")+SUMIFS('Transaction Data'!$L$2:$L$4618,'Transaction Data'!$A$2:$A$4618,$D63,'Transaction Data'!$E$2:$E$4618,"CARD_PAYMENTS_TOTAL")+SUMIFS('Transaction Data'!$L$2:$L$4618,'Transaction Data'!$A$2:$A$4618,$D63,'Transaction Data'!$E$2:$E$4618,"PPI_TOTAL")</f>
        <v>11327129.15</v>
      </c>
    </row>
    <row r="64" spans="1:8">
      <c r="A64" s="6">
        <f>EDATE(A63,1)</f>
        <v>44013</v>
      </c>
      <c r="B64" s="7">
        <f>SUMIFS('Transaction Data'!$K$2:$K$4618,'Transaction Data'!$A$2:$A$4618,$A64,'Transaction Data'!$E$2:$E$4618,"TOTAL_DIGITAL_PAYMENTS")</f>
        <v>31281.919999999998</v>
      </c>
      <c r="D64" s="6">
        <f>A64</f>
        <v>44013</v>
      </c>
      <c r="E64" s="7">
        <f>SUMIFS('Transaction Data'!$L$2:$L$4618,'Transaction Data'!$A$2:$A$4618,$D64,'Transaction Data'!$E$2:$E$4618,"RTGS_TOTAL")+SUMIFS('Transaction Data'!$L$2:$L$4618,'Transaction Data'!$A$2:$A$4618,$D64,'Transaction Data'!$E$2:$E$4618,"RETAIL_CREDIT_TRANSFERS_TOTAL")+SUMIFS('Transaction Data'!$L$2:$L$4618,'Transaction Data'!$A$2:$A$4618,$D64,'Transaction Data'!$E$2:$E$4618,"DEBIT_TRANSFERS_TOTAL")+SUMIFS('Transaction Data'!$L$2:$L$4618,'Transaction Data'!$A$2:$A$4618,$D64,'Transaction Data'!$E$2:$E$4618,"CARD_PAYMENTS_TOTAL")+SUMIFS('Transaction Data'!$L$2:$L$4618,'Transaction Data'!$A$2:$A$4618,$D64,'Transaction Data'!$E$2:$E$4618,"PPI_TOTAL")</f>
        <v>11102446.68</v>
      </c>
    </row>
    <row r="65" spans="1:5">
      <c r="A65" s="6">
        <f>EDATE(A64,1)</f>
        <v>44044</v>
      </c>
      <c r="B65" s="7">
        <f>SUMIFS('Transaction Data'!$K$2:$K$4618,'Transaction Data'!$A$2:$A$4618,$A65,'Transaction Data'!$E$2:$E$4618,"TOTAL_DIGITAL_PAYMENTS")</f>
        <v>34660.18</v>
      </c>
      <c r="D65" s="6">
        <f>A65</f>
        <v>44044</v>
      </c>
      <c r="E65" s="7">
        <f>SUMIFS('Transaction Data'!$L$2:$L$4618,'Transaction Data'!$A$2:$A$4618,$D65,'Transaction Data'!$E$2:$E$4618,"RTGS_TOTAL")+SUMIFS('Transaction Data'!$L$2:$L$4618,'Transaction Data'!$A$2:$A$4618,$D65,'Transaction Data'!$E$2:$E$4618,"RETAIL_CREDIT_TRANSFERS_TOTAL")+SUMIFS('Transaction Data'!$L$2:$L$4618,'Transaction Data'!$A$2:$A$4618,$D65,'Transaction Data'!$E$2:$E$4618,"DEBIT_TRANSFERS_TOTAL")+SUMIFS('Transaction Data'!$L$2:$L$4618,'Transaction Data'!$A$2:$A$4618,$D65,'Transaction Data'!$E$2:$E$4618,"CARD_PAYMENTS_TOTAL")+SUMIFS('Transaction Data'!$L$2:$L$4618,'Transaction Data'!$A$2:$A$4618,$D65,'Transaction Data'!$E$2:$E$4618,"PPI_TOTAL")</f>
        <v>10037558.279999999</v>
      </c>
    </row>
    <row r="66" spans="1:5">
      <c r="A66" s="6">
        <f>EDATE(A65,1)</f>
        <v>44075</v>
      </c>
      <c r="B66" s="7">
        <f>SUMIFS('Transaction Data'!$K$2:$K$4618,'Transaction Data'!$A$2:$A$4618,$A66,'Transaction Data'!$E$2:$E$4618,"TOTAL_DIGITAL_PAYMENTS")</f>
        <v>36183.72</v>
      </c>
      <c r="D66" s="6">
        <f>A66</f>
        <v>44075</v>
      </c>
      <c r="E66" s="7">
        <f>SUMIFS('Transaction Data'!$L$2:$L$4618,'Transaction Data'!$A$2:$A$4618,$D66,'Transaction Data'!$E$2:$E$4618,"RTGS_TOTAL")+SUMIFS('Transaction Data'!$L$2:$L$4618,'Transaction Data'!$A$2:$A$4618,$D66,'Transaction Data'!$E$2:$E$4618,"RETAIL_CREDIT_TRANSFERS_TOTAL")+SUMIFS('Transaction Data'!$L$2:$L$4618,'Transaction Data'!$A$2:$A$4618,$D66,'Transaction Data'!$E$2:$E$4618,"DEBIT_TRANSFERS_TOTAL")+SUMIFS('Transaction Data'!$L$2:$L$4618,'Transaction Data'!$A$2:$A$4618,$D66,'Transaction Data'!$E$2:$E$4618,"CARD_PAYMENTS_TOTAL")+SUMIFS('Transaction Data'!$L$2:$L$4618,'Transaction Data'!$A$2:$A$4618,$D66,'Transaction Data'!$E$2:$E$4618,"PPI_TOTAL")</f>
        <v>12508222.090000002</v>
      </c>
    </row>
    <row r="67" spans="1:5">
      <c r="A67" s="6">
        <f>EDATE(A66,1)</f>
        <v>44105</v>
      </c>
      <c r="B67" s="7">
        <f>SUMIFS('Transaction Data'!$K$2:$K$4618,'Transaction Data'!$A$2:$A$4618,$A67,'Transaction Data'!$E$2:$E$4618,"TOTAL_DIGITAL_PAYMENTS")</f>
        <v>39946.9</v>
      </c>
      <c r="D67" s="6">
        <f>A67</f>
        <v>44105</v>
      </c>
      <c r="E67" s="7">
        <f>SUMIFS('Transaction Data'!$L$2:$L$4618,'Transaction Data'!$A$2:$A$4618,$D67,'Transaction Data'!$E$2:$E$4618,"RTGS_TOTAL")+SUMIFS('Transaction Data'!$L$2:$L$4618,'Transaction Data'!$A$2:$A$4618,$D67,'Transaction Data'!$E$2:$E$4618,"RETAIL_CREDIT_TRANSFERS_TOTAL")+SUMIFS('Transaction Data'!$L$2:$L$4618,'Transaction Data'!$A$2:$A$4618,$D67,'Transaction Data'!$E$2:$E$4618,"DEBIT_TRANSFERS_TOTAL")+SUMIFS('Transaction Data'!$L$2:$L$4618,'Transaction Data'!$A$2:$A$4618,$D67,'Transaction Data'!$E$2:$E$4618,"CARD_PAYMENTS_TOTAL")+SUMIFS('Transaction Data'!$L$2:$L$4618,'Transaction Data'!$A$2:$A$4618,$D67,'Transaction Data'!$E$2:$E$4618,"PPI_TOTAL")</f>
        <v>11720220.129999997</v>
      </c>
    </row>
    <row r="68" spans="1:5">
      <c r="A68" s="6">
        <f>EDATE(A67,1)</f>
        <v>44136</v>
      </c>
      <c r="B68" s="7">
        <f>SUMIFS('Transaction Data'!$K$2:$K$4618,'Transaction Data'!$A$2:$A$4618,$A68,'Transaction Data'!$E$2:$E$4618,"TOTAL_DIGITAL_PAYMENTS")</f>
        <v>40974.58</v>
      </c>
      <c r="D68" s="6">
        <f>A68</f>
        <v>44136</v>
      </c>
      <c r="E68" s="7">
        <f>SUMIFS('Transaction Data'!$L$2:$L$4618,'Transaction Data'!$A$2:$A$4618,$D68,'Transaction Data'!$E$2:$E$4618,"RTGS_TOTAL")+SUMIFS('Transaction Data'!$L$2:$L$4618,'Transaction Data'!$A$2:$A$4618,$D68,'Transaction Data'!$E$2:$E$4618,"RETAIL_CREDIT_TRANSFERS_TOTAL")+SUMIFS('Transaction Data'!$L$2:$L$4618,'Transaction Data'!$A$2:$A$4618,$D68,'Transaction Data'!$E$2:$E$4618,"DEBIT_TRANSFERS_TOTAL")+SUMIFS('Transaction Data'!$L$2:$L$4618,'Transaction Data'!$A$2:$A$4618,$D68,'Transaction Data'!$E$2:$E$4618,"CARD_PAYMENTS_TOTAL")+SUMIFS('Transaction Data'!$L$2:$L$4618,'Transaction Data'!$A$2:$A$4618,$D68,'Transaction Data'!$E$2:$E$4618,"PPI_TOTAL")</f>
        <v>11199705.560000001</v>
      </c>
    </row>
    <row r="69" spans="1:5">
      <c r="A69" s="6">
        <f>EDATE(A68,1)</f>
        <v>44166</v>
      </c>
      <c r="B69" s="7">
        <f>SUMIFS('Transaction Data'!$K$2:$K$4618,'Transaction Data'!$A$2:$A$4618,$A69,'Transaction Data'!$E$2:$E$4618,"TOTAL_DIGITAL_PAYMENTS")</f>
        <v>42662.25</v>
      </c>
      <c r="D69" s="6">
        <f>A69</f>
        <v>44166</v>
      </c>
      <c r="E69" s="7">
        <f>SUMIFS('Transaction Data'!$L$2:$L$4618,'Transaction Data'!$A$2:$A$4618,$D69,'Transaction Data'!$E$2:$E$4618,"RTGS_TOTAL")+SUMIFS('Transaction Data'!$L$2:$L$4618,'Transaction Data'!$A$2:$A$4618,$D69,'Transaction Data'!$E$2:$E$4618,"RETAIL_CREDIT_TRANSFERS_TOTAL")+SUMIFS('Transaction Data'!$L$2:$L$4618,'Transaction Data'!$A$2:$A$4618,$D69,'Transaction Data'!$E$2:$E$4618,"DEBIT_TRANSFERS_TOTAL")+SUMIFS('Transaction Data'!$L$2:$L$4618,'Transaction Data'!$A$2:$A$4618,$D69,'Transaction Data'!$E$2:$E$4618,"CARD_PAYMENTS_TOTAL")+SUMIFS('Transaction Data'!$L$2:$L$4618,'Transaction Data'!$A$2:$A$4618,$D69,'Transaction Data'!$E$2:$E$4618,"PPI_TOTAL")</f>
        <v>14281201.18</v>
      </c>
    </row>
    <row r="70" spans="1:5">
      <c r="A70" s="6">
        <f>EDATE(A69,1)</f>
        <v>44197</v>
      </c>
      <c r="B70" s="7">
        <f>SUMIFS('Transaction Data'!$K$2:$K$4618,'Transaction Data'!$A$2:$A$4618,$A70,'Transaction Data'!$E$2:$E$4618,"TOTAL_DIGITAL_PAYMENTS")</f>
        <v>42623.4</v>
      </c>
      <c r="D70" s="6">
        <f>A70</f>
        <v>44197</v>
      </c>
      <c r="E70" s="7">
        <f>SUMIFS('Transaction Data'!$L$2:$L$4618,'Transaction Data'!$A$2:$A$4618,$D70,'Transaction Data'!$E$2:$E$4618,"RTGS_TOTAL")+SUMIFS('Transaction Data'!$L$2:$L$4618,'Transaction Data'!$A$2:$A$4618,$D70,'Transaction Data'!$E$2:$E$4618,"RETAIL_CREDIT_TRANSFERS_TOTAL")+SUMIFS('Transaction Data'!$L$2:$L$4618,'Transaction Data'!$A$2:$A$4618,$D70,'Transaction Data'!$E$2:$E$4618,"DEBIT_TRANSFERS_TOTAL")+SUMIFS('Transaction Data'!$L$2:$L$4618,'Transaction Data'!$A$2:$A$4618,$D70,'Transaction Data'!$E$2:$E$4618,"CARD_PAYMENTS_TOTAL")+SUMIFS('Transaction Data'!$L$2:$L$4618,'Transaction Data'!$A$2:$A$4618,$D70,'Transaction Data'!$E$2:$E$4618,"PPI_TOTAL")</f>
        <v>12387617.73</v>
      </c>
    </row>
    <row r="71" spans="1:5">
      <c r="A71" s="6">
        <f>EDATE(A70,1)</f>
        <v>44228</v>
      </c>
      <c r="B71" s="7">
        <f>SUMIFS('Transaction Data'!$K$2:$K$4618,'Transaction Data'!$A$2:$A$4618,$A71,'Transaction Data'!$E$2:$E$4618,"TOTAL_DIGITAL_PAYMENTS")</f>
        <v>41205.730000000003</v>
      </c>
      <c r="D71" s="6">
        <f>A71</f>
        <v>44228</v>
      </c>
      <c r="E71" s="7">
        <f>SUMIFS('Transaction Data'!$L$2:$L$4618,'Transaction Data'!$A$2:$A$4618,$D71,'Transaction Data'!$E$2:$E$4618,"RTGS_TOTAL")+SUMIFS('Transaction Data'!$L$2:$L$4618,'Transaction Data'!$A$2:$A$4618,$D71,'Transaction Data'!$E$2:$E$4618,"RETAIL_CREDIT_TRANSFERS_TOTAL")+SUMIFS('Transaction Data'!$L$2:$L$4618,'Transaction Data'!$A$2:$A$4618,$D71,'Transaction Data'!$E$2:$E$4618,"DEBIT_TRANSFERS_TOTAL")+SUMIFS('Transaction Data'!$L$2:$L$4618,'Transaction Data'!$A$2:$A$4618,$D71,'Transaction Data'!$E$2:$E$4618,"CARD_PAYMENTS_TOTAL")+SUMIFS('Transaction Data'!$L$2:$L$4618,'Transaction Data'!$A$2:$A$4618,$D71,'Transaction Data'!$E$2:$E$4618,"PPI_TOTAL")</f>
        <v>12175715.92</v>
      </c>
    </row>
    <row r="72" spans="1:5">
      <c r="A72" s="6">
        <f>EDATE(A71,1)</f>
        <v>44256</v>
      </c>
      <c r="B72" s="7">
        <f>SUMIFS('Transaction Data'!$K$2:$K$4618,'Transaction Data'!$A$2:$A$4618,$A72,'Transaction Data'!$E$2:$E$4618,"TOTAL_DIGITAL_PAYMENTS")</f>
        <v>49254.6</v>
      </c>
      <c r="D72" s="6">
        <f>A72</f>
        <v>44256</v>
      </c>
      <c r="E72" s="7">
        <f>SUMIFS('Transaction Data'!$L$2:$L$4618,'Transaction Data'!$A$2:$A$4618,$D72,'Transaction Data'!$E$2:$E$4618,"RTGS_TOTAL")+SUMIFS('Transaction Data'!$L$2:$L$4618,'Transaction Data'!$A$2:$A$4618,$D72,'Transaction Data'!$E$2:$E$4618,"RETAIL_CREDIT_TRANSFERS_TOTAL")+SUMIFS('Transaction Data'!$L$2:$L$4618,'Transaction Data'!$A$2:$A$4618,$D72,'Transaction Data'!$E$2:$E$4618,"DEBIT_TRANSFERS_TOTAL")+SUMIFS('Transaction Data'!$L$2:$L$4618,'Transaction Data'!$A$2:$A$4618,$D72,'Transaction Data'!$E$2:$E$4618,"CARD_PAYMENTS_TOTAL")+SUMIFS('Transaction Data'!$L$2:$L$4618,'Transaction Data'!$A$2:$A$4618,$D72,'Transaction Data'!$E$2:$E$4618,"PPI_TOTAL")</f>
        <v>17283617.389999997</v>
      </c>
    </row>
    <row r="73" spans="1:5">
      <c r="A73" s="6">
        <f>EDATE(A72,1)</f>
        <v>44287</v>
      </c>
      <c r="B73" s="7">
        <f>SUMIFS('Transaction Data'!$K$2:$K$4618,'Transaction Data'!$A$2:$A$4618,$A73,'Transaction Data'!$E$2:$E$4618,"TOTAL_DIGITAL_PAYMENTS")</f>
        <v>45129.53</v>
      </c>
      <c r="D73" s="6">
        <f>A73</f>
        <v>44287</v>
      </c>
      <c r="E73" s="7">
        <f>SUMIFS('Transaction Data'!$L$2:$L$4618,'Transaction Data'!$A$2:$A$4618,$D73,'Transaction Data'!$E$2:$E$4618,"RTGS_TOTAL")+SUMIFS('Transaction Data'!$L$2:$L$4618,'Transaction Data'!$A$2:$A$4618,$D73,'Transaction Data'!$E$2:$E$4618,"RETAIL_CREDIT_TRANSFERS_TOTAL")+SUMIFS('Transaction Data'!$L$2:$L$4618,'Transaction Data'!$A$2:$A$4618,$D73,'Transaction Data'!$E$2:$E$4618,"DEBIT_TRANSFERS_TOTAL")+SUMIFS('Transaction Data'!$L$2:$L$4618,'Transaction Data'!$A$2:$A$4618,$D73,'Transaction Data'!$E$2:$E$4618,"CARD_PAYMENTS_TOTAL")+SUMIFS('Transaction Data'!$L$2:$L$4618,'Transaction Data'!$A$2:$A$4618,$D73,'Transaction Data'!$E$2:$E$4618,"PPI_TOTAL")</f>
        <v>11962001.890000001</v>
      </c>
    </row>
    <row r="74" spans="1:5">
      <c r="A74" s="6">
        <f>EDATE(A73,1)</f>
        <v>44317</v>
      </c>
      <c r="B74" s="7">
        <f>SUMIFS('Transaction Data'!$K$2:$K$4618,'Transaction Data'!$A$2:$A$4618,$A74,'Transaction Data'!$E$2:$E$4618,"TOTAL_DIGITAL_PAYMENTS")</f>
        <v>42675.96</v>
      </c>
      <c r="D74" s="6">
        <f>A74</f>
        <v>44317</v>
      </c>
      <c r="E74" s="7">
        <f>SUMIFS('Transaction Data'!$L$2:$L$4618,'Transaction Data'!$A$2:$A$4618,$D74,'Transaction Data'!$E$2:$E$4618,"RTGS_TOTAL")+SUMIFS('Transaction Data'!$L$2:$L$4618,'Transaction Data'!$A$2:$A$4618,$D74,'Transaction Data'!$E$2:$E$4618,"RETAIL_CREDIT_TRANSFERS_TOTAL")+SUMIFS('Transaction Data'!$L$2:$L$4618,'Transaction Data'!$A$2:$A$4618,$D74,'Transaction Data'!$E$2:$E$4618,"DEBIT_TRANSFERS_TOTAL")+SUMIFS('Transaction Data'!$L$2:$L$4618,'Transaction Data'!$A$2:$A$4618,$D74,'Transaction Data'!$E$2:$E$4618,"CARD_PAYMENTS_TOTAL")+SUMIFS('Transaction Data'!$L$2:$L$4618,'Transaction Data'!$A$2:$A$4618,$D74,'Transaction Data'!$E$2:$E$4618,"PPI_TOTAL")</f>
        <v>11261479.550000001</v>
      </c>
    </row>
    <row r="75" spans="1:5">
      <c r="A75" s="6">
        <f>EDATE(A74,1)</f>
        <v>44348</v>
      </c>
      <c r="B75" s="7">
        <f>SUMIFS('Transaction Data'!$K$2:$K$4618,'Transaction Data'!$A$2:$A$4618,$A75,'Transaction Data'!$E$2:$E$4618,"TOTAL_DIGITAL_PAYMENTS")</f>
        <v>46899.91</v>
      </c>
      <c r="D75" s="6">
        <f>A75</f>
        <v>44348</v>
      </c>
      <c r="E75" s="7">
        <f>SUMIFS('Transaction Data'!$L$2:$L$4618,'Transaction Data'!$A$2:$A$4618,$D75,'Transaction Data'!$E$2:$E$4618,"RTGS_TOTAL")+SUMIFS('Transaction Data'!$L$2:$L$4618,'Transaction Data'!$A$2:$A$4618,$D75,'Transaction Data'!$E$2:$E$4618,"RETAIL_CREDIT_TRANSFERS_TOTAL")+SUMIFS('Transaction Data'!$L$2:$L$4618,'Transaction Data'!$A$2:$A$4618,$D75,'Transaction Data'!$E$2:$E$4618,"DEBIT_TRANSFERS_TOTAL")+SUMIFS('Transaction Data'!$L$2:$L$4618,'Transaction Data'!$A$2:$A$4618,$D75,'Transaction Data'!$E$2:$E$4618,"CARD_PAYMENTS_TOTAL")+SUMIFS('Transaction Data'!$L$2:$L$4618,'Transaction Data'!$A$2:$A$4618,$D75,'Transaction Data'!$E$2:$E$4618,"PPI_TOTAL")</f>
        <v>13445922.509999998</v>
      </c>
    </row>
    <row r="76" spans="1:5">
      <c r="A76" s="6">
        <f>EDATE(A75,1)</f>
        <v>44378</v>
      </c>
      <c r="B76" s="7">
        <f>SUMIFS('Transaction Data'!$K$2:$K$4618,'Transaction Data'!$A$2:$A$4618,$A76,'Transaction Data'!$E$2:$E$4618,"TOTAL_DIGITAL_PAYMENTS")</f>
        <v>52711.53</v>
      </c>
      <c r="D76" s="6">
        <f>A76</f>
        <v>44378</v>
      </c>
      <c r="E76" s="7">
        <f>SUMIFS('Transaction Data'!$L$2:$L$4618,'Transaction Data'!$A$2:$A$4618,$D76,'Transaction Data'!$E$2:$E$4618,"RTGS_TOTAL")+SUMIFS('Transaction Data'!$L$2:$L$4618,'Transaction Data'!$A$2:$A$4618,$D76,'Transaction Data'!$E$2:$E$4618,"RETAIL_CREDIT_TRANSFERS_TOTAL")+SUMIFS('Transaction Data'!$L$2:$L$4618,'Transaction Data'!$A$2:$A$4618,$D76,'Transaction Data'!$E$2:$E$4618,"DEBIT_TRANSFERS_TOTAL")+SUMIFS('Transaction Data'!$L$2:$L$4618,'Transaction Data'!$A$2:$A$4618,$D76,'Transaction Data'!$E$2:$E$4618,"CARD_PAYMENTS_TOTAL")+SUMIFS('Transaction Data'!$L$2:$L$4618,'Transaction Data'!$A$2:$A$4618,$D76,'Transaction Data'!$E$2:$E$4618,"PPI_TOTAL")</f>
        <v>14199610.6</v>
      </c>
    </row>
    <row r="77" spans="1:5">
      <c r="A77" s="6">
        <f>EDATE(A76,1)</f>
        <v>44409</v>
      </c>
      <c r="B77" s="7">
        <f>SUMIFS('Transaction Data'!$K$2:$K$4618,'Transaction Data'!$A$2:$A$4618,$A77,'Transaction Data'!$E$2:$E$4618,"TOTAL_DIGITAL_PAYMENTS")</f>
        <v>57298.400000000001</v>
      </c>
      <c r="D77" s="6">
        <f>A77</f>
        <v>44409</v>
      </c>
      <c r="E77" s="7">
        <f>SUMIFS('Transaction Data'!$L$2:$L$4618,'Transaction Data'!$A$2:$A$4618,$D77,'Transaction Data'!$E$2:$E$4618,"RTGS_TOTAL")+SUMIFS('Transaction Data'!$L$2:$L$4618,'Transaction Data'!$A$2:$A$4618,$D77,'Transaction Data'!$E$2:$E$4618,"RETAIL_CREDIT_TRANSFERS_TOTAL")+SUMIFS('Transaction Data'!$L$2:$L$4618,'Transaction Data'!$A$2:$A$4618,$D77,'Transaction Data'!$E$2:$E$4618,"DEBIT_TRANSFERS_TOTAL")+SUMIFS('Transaction Data'!$L$2:$L$4618,'Transaction Data'!$A$2:$A$4618,$D77,'Transaction Data'!$E$2:$E$4618,"CARD_PAYMENTS_TOTAL")+SUMIFS('Transaction Data'!$L$2:$L$4618,'Transaction Data'!$A$2:$A$4618,$D77,'Transaction Data'!$E$2:$E$4618,"PPI_TOTAL")</f>
        <v>13692317.119999999</v>
      </c>
    </row>
    <row r="78" spans="1:5">
      <c r="A78" s="6">
        <f>EDATE(A77,1)</f>
        <v>44440</v>
      </c>
      <c r="B78" s="7">
        <f>SUMIFS('Transaction Data'!$K$2:$K$4618,'Transaction Data'!$A$2:$A$4618,$A78,'Transaction Data'!$E$2:$E$4618,"TOTAL_DIGITAL_PAYMENTS")</f>
        <v>57512.75</v>
      </c>
      <c r="D78" s="6">
        <f>A78</f>
        <v>44440</v>
      </c>
      <c r="E78" s="7">
        <f>SUMIFS('Transaction Data'!$L$2:$L$4618,'Transaction Data'!$A$2:$A$4618,$D78,'Transaction Data'!$E$2:$E$4618,"RTGS_TOTAL")+SUMIFS('Transaction Data'!$L$2:$L$4618,'Transaction Data'!$A$2:$A$4618,$D78,'Transaction Data'!$E$2:$E$4618,"RETAIL_CREDIT_TRANSFERS_TOTAL")+SUMIFS('Transaction Data'!$L$2:$L$4618,'Transaction Data'!$A$2:$A$4618,$D78,'Transaction Data'!$E$2:$E$4618,"DEBIT_TRANSFERS_TOTAL")+SUMIFS('Transaction Data'!$L$2:$L$4618,'Transaction Data'!$A$2:$A$4618,$D78,'Transaction Data'!$E$2:$E$4618,"CARD_PAYMENTS_TOTAL")+SUMIFS('Transaction Data'!$L$2:$L$4618,'Transaction Data'!$A$2:$A$4618,$D78,'Transaction Data'!$E$2:$E$4618,"PPI_TOTAL")</f>
        <v>14817559.320000002</v>
      </c>
    </row>
    <row r="79" spans="1:5">
      <c r="A79" s="6">
        <f>EDATE(A78,1)</f>
        <v>44470</v>
      </c>
      <c r="B79" s="7">
        <f>SUMIFS('Transaction Data'!$K$2:$K$4618,'Transaction Data'!$A$2:$A$4618,$A79,'Transaction Data'!$E$2:$E$4618,"TOTAL_DIGITAL_PAYMENTS")</f>
        <v>66222.66</v>
      </c>
      <c r="D79" s="6">
        <f>A79</f>
        <v>44470</v>
      </c>
      <c r="E79" s="7">
        <f>SUMIFS('Transaction Data'!$L$2:$L$4618,'Transaction Data'!$A$2:$A$4618,$D79,'Transaction Data'!$E$2:$E$4618,"RTGS_TOTAL")+SUMIFS('Transaction Data'!$L$2:$L$4618,'Transaction Data'!$A$2:$A$4618,$D79,'Transaction Data'!$E$2:$E$4618,"RETAIL_CREDIT_TRANSFERS_TOTAL")+SUMIFS('Transaction Data'!$L$2:$L$4618,'Transaction Data'!$A$2:$A$4618,$D79,'Transaction Data'!$E$2:$E$4618,"DEBIT_TRANSFERS_TOTAL")+SUMIFS('Transaction Data'!$L$2:$L$4618,'Transaction Data'!$A$2:$A$4618,$D79,'Transaction Data'!$E$2:$E$4618,"CARD_PAYMENTS_TOTAL")+SUMIFS('Transaction Data'!$L$2:$L$4618,'Transaction Data'!$A$2:$A$4618,$D79,'Transaction Data'!$E$2:$E$4618,"PPI_TOTAL")</f>
        <v>14171917.310000001</v>
      </c>
    </row>
    <row r="80" spans="1:5">
      <c r="A80" s="6">
        <f>EDATE(A79,1)</f>
        <v>44501</v>
      </c>
      <c r="B80" s="7">
        <f>SUMIFS('Transaction Data'!$K$2:$K$4618,'Transaction Data'!$A$2:$A$4618,$A80,'Transaction Data'!$E$2:$E$4618,"TOTAL_DIGITAL_PAYMENTS")</f>
        <v>64617.37</v>
      </c>
      <c r="D80" s="6">
        <f>A80</f>
        <v>44501</v>
      </c>
      <c r="E80" s="7">
        <f>SUMIFS('Transaction Data'!$L$2:$L$4618,'Transaction Data'!$A$2:$A$4618,$D80,'Transaction Data'!$E$2:$E$4618,"RTGS_TOTAL")+SUMIFS('Transaction Data'!$L$2:$L$4618,'Transaction Data'!$A$2:$A$4618,$D80,'Transaction Data'!$E$2:$E$4618,"RETAIL_CREDIT_TRANSFERS_TOTAL")+SUMIFS('Transaction Data'!$L$2:$L$4618,'Transaction Data'!$A$2:$A$4618,$D80,'Transaction Data'!$E$2:$E$4618,"DEBIT_TRANSFERS_TOTAL")+SUMIFS('Transaction Data'!$L$2:$L$4618,'Transaction Data'!$A$2:$A$4618,$D80,'Transaction Data'!$E$2:$E$4618,"CARD_PAYMENTS_TOTAL")+SUMIFS('Transaction Data'!$L$2:$L$4618,'Transaction Data'!$A$2:$A$4618,$D80,'Transaction Data'!$E$2:$E$4618,"PPI_TOTAL")</f>
        <v>14804995.549999997</v>
      </c>
    </row>
    <row r="81" spans="1:5">
      <c r="A81" s="6">
        <f>EDATE(A80,1)</f>
        <v>44531</v>
      </c>
      <c r="B81" s="7">
        <f>SUMIFS('Transaction Data'!$K$2:$K$4618,'Transaction Data'!$A$2:$A$4618,$A81,'Transaction Data'!$E$2:$E$4618,"TOTAL_DIGITAL_PAYMENTS")</f>
        <v>70299.95</v>
      </c>
      <c r="D81" s="6">
        <f>A81</f>
        <v>44531</v>
      </c>
      <c r="E81" s="7">
        <f>SUMIFS('Transaction Data'!$L$2:$L$4618,'Transaction Data'!$A$2:$A$4618,$D81,'Transaction Data'!$E$2:$E$4618,"RTGS_TOTAL")+SUMIFS('Transaction Data'!$L$2:$L$4618,'Transaction Data'!$A$2:$A$4618,$D81,'Transaction Data'!$E$2:$E$4618,"RETAIL_CREDIT_TRANSFERS_TOTAL")+SUMIFS('Transaction Data'!$L$2:$L$4618,'Transaction Data'!$A$2:$A$4618,$D81,'Transaction Data'!$E$2:$E$4618,"DEBIT_TRANSFERS_TOTAL")+SUMIFS('Transaction Data'!$L$2:$L$4618,'Transaction Data'!$A$2:$A$4618,$D81,'Transaction Data'!$E$2:$E$4618,"CARD_PAYMENTS_TOTAL")+SUMIFS('Transaction Data'!$L$2:$L$4618,'Transaction Data'!$A$2:$A$4618,$D81,'Transaction Data'!$E$2:$E$4618,"PPI_TOTAL")</f>
        <v>17320825.370000001</v>
      </c>
    </row>
    <row r="82" spans="1:5">
      <c r="A82" s="6">
        <f>EDATE(A81,1)</f>
        <v>44562</v>
      </c>
      <c r="B82" s="7">
        <f>SUMIFS('Transaction Data'!$K$2:$K$4618,'Transaction Data'!$A$2:$A$4618,$A82,'Transaction Data'!$E$2:$E$4618,"TOTAL_DIGITAL_PAYMENTS")</f>
        <v>69566.320000000007</v>
      </c>
      <c r="D82" s="6">
        <f>A82</f>
        <v>44562</v>
      </c>
      <c r="E82" s="7">
        <f>SUMIFS('Transaction Data'!$L$2:$L$4618,'Transaction Data'!$A$2:$A$4618,$D82,'Transaction Data'!$E$2:$E$4618,"RTGS_TOTAL")+SUMIFS('Transaction Data'!$L$2:$L$4618,'Transaction Data'!$A$2:$A$4618,$D82,'Transaction Data'!$E$2:$E$4618,"RETAIL_CREDIT_TRANSFERS_TOTAL")+SUMIFS('Transaction Data'!$L$2:$L$4618,'Transaction Data'!$A$2:$A$4618,$D82,'Transaction Data'!$E$2:$E$4618,"DEBIT_TRANSFERS_TOTAL")+SUMIFS('Transaction Data'!$L$2:$L$4618,'Transaction Data'!$A$2:$A$4618,$D82,'Transaction Data'!$E$2:$E$4618,"CARD_PAYMENTS_TOTAL")+SUMIFS('Transaction Data'!$L$2:$L$4618,'Transaction Data'!$A$2:$A$4618,$D82,'Transaction Data'!$E$2:$E$4618,"PPI_TOTAL")</f>
        <v>14519881.270000001</v>
      </c>
    </row>
    <row r="83" spans="1:5">
      <c r="A83" s="6">
        <f>EDATE(A82,1)</f>
        <v>44593</v>
      </c>
      <c r="B83" s="7">
        <f>SUMIFS('Transaction Data'!$K$2:$K$4618,'Transaction Data'!$A$2:$A$4618,$A83,'Transaction Data'!$E$2:$E$4618,"TOTAL_DIGITAL_PAYMENTS")</f>
        <v>66966.73</v>
      </c>
      <c r="D83" s="6">
        <f>A83</f>
        <v>44593</v>
      </c>
      <c r="E83" s="7">
        <f>SUMIFS('Transaction Data'!$L$2:$L$4618,'Transaction Data'!$A$2:$A$4618,$D83,'Transaction Data'!$E$2:$E$4618,"RTGS_TOTAL")+SUMIFS('Transaction Data'!$L$2:$L$4618,'Transaction Data'!$A$2:$A$4618,$D83,'Transaction Data'!$E$2:$E$4618,"RETAIL_CREDIT_TRANSFERS_TOTAL")+SUMIFS('Transaction Data'!$L$2:$L$4618,'Transaction Data'!$A$2:$A$4618,$D83,'Transaction Data'!$E$2:$E$4618,"DEBIT_TRANSFERS_TOTAL")+SUMIFS('Transaction Data'!$L$2:$L$4618,'Transaction Data'!$A$2:$A$4618,$D83,'Transaction Data'!$E$2:$E$4618,"CARD_PAYMENTS_TOTAL")+SUMIFS('Transaction Data'!$L$2:$L$4618,'Transaction Data'!$A$2:$A$4618,$D83,'Transaction Data'!$E$2:$E$4618,"PPI_TOTAL")</f>
        <v>14387881.720000003</v>
      </c>
    </row>
    <row r="84" spans="1:5">
      <c r="A84" s="6">
        <f>EDATE(A83,1)</f>
        <v>44621</v>
      </c>
      <c r="B84" s="7">
        <f>SUMIFS('Transaction Data'!$K$2:$K$4618,'Transaction Data'!$A$2:$A$4618,$A84,'Transaction Data'!$E$2:$E$4618,"TOTAL_DIGITAL_PAYMENTS")</f>
        <v>79867.19</v>
      </c>
      <c r="D84" s="6">
        <f>A84</f>
        <v>44621</v>
      </c>
      <c r="E84" s="7">
        <f>SUMIFS('Transaction Data'!$L$2:$L$4618,'Transaction Data'!$A$2:$A$4618,$D84,'Transaction Data'!$E$2:$E$4618,"RTGS_TOTAL")+SUMIFS('Transaction Data'!$L$2:$L$4618,'Transaction Data'!$A$2:$A$4618,$D84,'Transaction Data'!$E$2:$E$4618,"RETAIL_CREDIT_TRANSFERS_TOTAL")+SUMIFS('Transaction Data'!$L$2:$L$4618,'Transaction Data'!$A$2:$A$4618,$D84,'Transaction Data'!$E$2:$E$4618,"DEBIT_TRANSFERS_TOTAL")+SUMIFS('Transaction Data'!$L$2:$L$4618,'Transaction Data'!$A$2:$A$4618,$D84,'Transaction Data'!$E$2:$E$4618,"CARD_PAYMENTS_TOTAL")+SUMIFS('Transaction Data'!$L$2:$L$4618,'Transaction Data'!$A$2:$A$4618,$D84,'Transaction Data'!$E$2:$E$4618,"PPI_TOTAL")</f>
        <v>19816840.709999997</v>
      </c>
    </row>
    <row r="85" spans="1:5">
      <c r="A85" s="6">
        <f>EDATE(A84,1)</f>
        <v>44652</v>
      </c>
      <c r="B85" s="7">
        <f>SUMIFS('Transaction Data'!$K$2:$K$4618,'Transaction Data'!$A$2:$A$4618,$A85,'Transaction Data'!$E$2:$E$4618,"TOTAL_DIGITAL_PAYMENTS")</f>
        <v>80060.94</v>
      </c>
      <c r="D85" s="6">
        <f>A85</f>
        <v>44652</v>
      </c>
      <c r="E85" s="7">
        <f>SUMIFS('Transaction Data'!$L$2:$L$4618,'Transaction Data'!$A$2:$A$4618,$D85,'Transaction Data'!$E$2:$E$4618,"RTGS_TOTAL")+SUMIFS('Transaction Data'!$L$2:$L$4618,'Transaction Data'!$A$2:$A$4618,$D85,'Transaction Data'!$E$2:$E$4618,"RETAIL_CREDIT_TRANSFERS_TOTAL")+SUMIFS('Transaction Data'!$L$2:$L$4618,'Transaction Data'!$A$2:$A$4618,$D85,'Transaction Data'!$E$2:$E$4618,"DEBIT_TRANSFERS_TOTAL")+SUMIFS('Transaction Data'!$L$2:$L$4618,'Transaction Data'!$A$2:$A$4618,$D85,'Transaction Data'!$E$2:$E$4618,"CARD_PAYMENTS_TOTAL")+SUMIFS('Transaction Data'!$L$2:$L$4618,'Transaction Data'!$A$2:$A$4618,$D85,'Transaction Data'!$E$2:$E$4618,"PPI_TOTAL")</f>
        <v>15437383.310000002</v>
      </c>
    </row>
    <row r="86" spans="1:5">
      <c r="A86" s="6">
        <f>EDATE(A85,1)</f>
        <v>44682</v>
      </c>
      <c r="B86" s="7">
        <f>SUMIFS('Transaction Data'!$K$2:$K$4618,'Transaction Data'!$A$2:$A$4618,$A86,'Transaction Data'!$E$2:$E$4618,"TOTAL_DIGITAL_PAYMENTS")</f>
        <v>85783.33</v>
      </c>
      <c r="D86" s="6">
        <f>A86</f>
        <v>44682</v>
      </c>
      <c r="E86" s="7">
        <f>SUMIFS('Transaction Data'!$L$2:$L$4618,'Transaction Data'!$A$2:$A$4618,$D86,'Transaction Data'!$E$2:$E$4618,"RTGS_TOTAL")+SUMIFS('Transaction Data'!$L$2:$L$4618,'Transaction Data'!$A$2:$A$4618,$D86,'Transaction Data'!$E$2:$E$4618,"RETAIL_CREDIT_TRANSFERS_TOTAL")+SUMIFS('Transaction Data'!$L$2:$L$4618,'Transaction Data'!$A$2:$A$4618,$D86,'Transaction Data'!$E$2:$E$4618,"DEBIT_TRANSFERS_TOTAL")+SUMIFS('Transaction Data'!$L$2:$L$4618,'Transaction Data'!$A$2:$A$4618,$D86,'Transaction Data'!$E$2:$E$4618,"CARD_PAYMENTS_TOTAL")+SUMIFS('Transaction Data'!$L$2:$L$4618,'Transaction Data'!$A$2:$A$4618,$D86,'Transaction Data'!$E$2:$E$4618,"PPI_TOTAL")</f>
        <v>15662545.529999999</v>
      </c>
    </row>
    <row r="87" spans="1:5">
      <c r="A87" s="6">
        <f>EDATE(A86,1)</f>
        <v>44713</v>
      </c>
      <c r="B87" s="7">
        <f>SUMIFS('Transaction Data'!$K$2:$K$4618,'Transaction Data'!$A$2:$A$4618,$A87,'Transaction Data'!$E$2:$E$4618,"TOTAL_DIGITAL_PAYMENTS")</f>
        <v>82969.11</v>
      </c>
      <c r="D87" s="6">
        <f>A87</f>
        <v>44713</v>
      </c>
      <c r="E87" s="7">
        <f>SUMIFS('Transaction Data'!$L$2:$L$4618,'Transaction Data'!$A$2:$A$4618,$D87,'Transaction Data'!$E$2:$E$4618,"RTGS_TOTAL")+SUMIFS('Transaction Data'!$L$2:$L$4618,'Transaction Data'!$A$2:$A$4618,$D87,'Transaction Data'!$E$2:$E$4618,"RETAIL_CREDIT_TRANSFERS_TOTAL")+SUMIFS('Transaction Data'!$L$2:$L$4618,'Transaction Data'!$A$2:$A$4618,$D87,'Transaction Data'!$E$2:$E$4618,"DEBIT_TRANSFERS_TOTAL")+SUMIFS('Transaction Data'!$L$2:$L$4618,'Transaction Data'!$A$2:$A$4618,$D87,'Transaction Data'!$E$2:$E$4618,"CARD_PAYMENTS_TOTAL")+SUMIFS('Transaction Data'!$L$2:$L$4618,'Transaction Data'!$A$2:$A$4618,$D87,'Transaction Data'!$E$2:$E$4618,"PPI_TOTAL")</f>
        <v>16948911.259999998</v>
      </c>
    </row>
    <row r="88" spans="1:5">
      <c r="A88" s="6">
        <f>EDATE(A87,1)</f>
        <v>44743</v>
      </c>
      <c r="B88" s="7">
        <f>SUMIFS('Transaction Data'!$K$2:$K$4618,'Transaction Data'!$A$2:$A$4618,$A88,'Transaction Data'!$E$2:$E$4618,"TOTAL_DIGITAL_PAYMENTS")</f>
        <v>87758.02</v>
      </c>
      <c r="D88" s="6">
        <f>A88</f>
        <v>44743</v>
      </c>
      <c r="E88" s="7">
        <f>SUMIFS('Transaction Data'!$L$2:$L$4618,'Transaction Data'!$A$2:$A$4618,$D88,'Transaction Data'!$E$2:$E$4618,"RTGS_TOTAL")+SUMIFS('Transaction Data'!$L$2:$L$4618,'Transaction Data'!$A$2:$A$4618,$D88,'Transaction Data'!$E$2:$E$4618,"RETAIL_CREDIT_TRANSFERS_TOTAL")+SUMIFS('Transaction Data'!$L$2:$L$4618,'Transaction Data'!$A$2:$A$4618,$D88,'Transaction Data'!$E$2:$E$4618,"DEBIT_TRANSFERS_TOTAL")+SUMIFS('Transaction Data'!$L$2:$L$4618,'Transaction Data'!$A$2:$A$4618,$D88,'Transaction Data'!$E$2:$E$4618,"CARD_PAYMENTS_TOTAL")+SUMIFS('Transaction Data'!$L$2:$L$4618,'Transaction Data'!$A$2:$A$4618,$D88,'Transaction Data'!$E$2:$E$4618,"PPI_TOTAL")</f>
        <v>16124939.59</v>
      </c>
    </row>
    <row r="89" spans="1:5">
      <c r="A89" s="6">
        <f>EDATE(A88,1)</f>
        <v>44774</v>
      </c>
      <c r="B89" s="7">
        <f>SUMIFS('Transaction Data'!$K$2:$K$4618,'Transaction Data'!$A$2:$A$4618,$A89,'Transaction Data'!$E$2:$E$4618,"TOTAL_DIGITAL_PAYMENTS")</f>
        <v>90852.160000000003</v>
      </c>
      <c r="D89" s="6">
        <f>A89</f>
        <v>44774</v>
      </c>
      <c r="E89" s="7">
        <f>SUMIFS('Transaction Data'!$L$2:$L$4618,'Transaction Data'!$A$2:$A$4618,$D89,'Transaction Data'!$E$2:$E$4618,"RTGS_TOTAL")+SUMIFS('Transaction Data'!$L$2:$L$4618,'Transaction Data'!$A$2:$A$4618,$D89,'Transaction Data'!$E$2:$E$4618,"RETAIL_CREDIT_TRANSFERS_TOTAL")+SUMIFS('Transaction Data'!$L$2:$L$4618,'Transaction Data'!$A$2:$A$4618,$D89,'Transaction Data'!$E$2:$E$4618,"DEBIT_TRANSFERS_TOTAL")+SUMIFS('Transaction Data'!$L$2:$L$4618,'Transaction Data'!$A$2:$A$4618,$D89,'Transaction Data'!$E$2:$E$4618,"CARD_PAYMENTS_TOTAL")+SUMIFS('Transaction Data'!$L$2:$L$4618,'Transaction Data'!$A$2:$A$4618,$D89,'Transaction Data'!$E$2:$E$4618,"PPI_TOTAL")</f>
        <v>16256511.760000002</v>
      </c>
    </row>
    <row r="90" spans="1:5">
      <c r="A90" s="6">
        <f>EDATE(A89,1)</f>
        <v>44805</v>
      </c>
      <c r="B90" s="7">
        <f>SUMIFS('Transaction Data'!$K$2:$K$4618,'Transaction Data'!$A$2:$A$4618,$A90,'Transaction Data'!$E$2:$E$4618,"TOTAL_DIGITAL_PAYMENTS")</f>
        <v>92421.24</v>
      </c>
      <c r="D90" s="6">
        <f>A90</f>
        <v>44805</v>
      </c>
      <c r="E90" s="7">
        <f>SUMIFS('Transaction Data'!$L$2:$L$4618,'Transaction Data'!$A$2:$A$4618,$D90,'Transaction Data'!$E$2:$E$4618,"RTGS_TOTAL")+SUMIFS('Transaction Data'!$L$2:$L$4618,'Transaction Data'!$A$2:$A$4618,$D90,'Transaction Data'!$E$2:$E$4618,"RETAIL_CREDIT_TRANSFERS_TOTAL")+SUMIFS('Transaction Data'!$L$2:$L$4618,'Transaction Data'!$A$2:$A$4618,$D90,'Transaction Data'!$E$2:$E$4618,"DEBIT_TRANSFERS_TOTAL")+SUMIFS('Transaction Data'!$L$2:$L$4618,'Transaction Data'!$A$2:$A$4618,$D90,'Transaction Data'!$E$2:$E$4618,"CARD_PAYMENTS_TOTAL")+SUMIFS('Transaction Data'!$L$2:$L$4618,'Transaction Data'!$A$2:$A$4618,$D90,'Transaction Data'!$E$2:$E$4618,"PPI_TOTAL")</f>
        <v>18724499.299999997</v>
      </c>
    </row>
    <row r="91" spans="1:5">
      <c r="A91" s="6">
        <f>EDATE(A90,1)</f>
        <v>44835</v>
      </c>
      <c r="B91" s="7">
        <f>SUMIFS('Transaction Data'!$K$2:$K$4618,'Transaction Data'!$A$2:$A$4618,$A91,'Transaction Data'!$E$2:$E$4618,"TOTAL_DIGITAL_PAYMENTS")</f>
        <v>98920.42</v>
      </c>
      <c r="D91" s="6">
        <f>A91</f>
        <v>44835</v>
      </c>
      <c r="E91" s="7">
        <f>SUMIFS('Transaction Data'!$L$2:$L$4618,'Transaction Data'!$A$2:$A$4618,$D91,'Transaction Data'!$E$2:$E$4618,"RTGS_TOTAL")+SUMIFS('Transaction Data'!$L$2:$L$4618,'Transaction Data'!$A$2:$A$4618,$D91,'Transaction Data'!$E$2:$E$4618,"RETAIL_CREDIT_TRANSFERS_TOTAL")+SUMIFS('Transaction Data'!$L$2:$L$4618,'Transaction Data'!$A$2:$A$4618,$D91,'Transaction Data'!$E$2:$E$4618,"DEBIT_TRANSFERS_TOTAL")+SUMIFS('Transaction Data'!$L$2:$L$4618,'Transaction Data'!$A$2:$A$4618,$D91,'Transaction Data'!$E$2:$E$4618,"CARD_PAYMENTS_TOTAL")+SUMIFS('Transaction Data'!$L$2:$L$4618,'Transaction Data'!$A$2:$A$4618,$D91,'Transaction Data'!$E$2:$E$4618,"PPI_TOTAL")</f>
        <v>16435635.009999998</v>
      </c>
    </row>
    <row r="92" spans="1:5">
      <c r="A92" s="6">
        <f>EDATE(A91,1)</f>
        <v>44866</v>
      </c>
      <c r="B92" s="7">
        <f>SUMIFS('Transaction Data'!$K$2:$K$4618,'Transaction Data'!$A$2:$A$4618,$A92,'Transaction Data'!$E$2:$E$4618,"TOTAL_DIGITAL_PAYMENTS")</f>
        <v>97111.86</v>
      </c>
      <c r="D92" s="6">
        <f>A92</f>
        <v>44866</v>
      </c>
      <c r="E92" s="7">
        <f>SUMIFS('Transaction Data'!$L$2:$L$4618,'Transaction Data'!$A$2:$A$4618,$D92,'Transaction Data'!$E$2:$E$4618,"RTGS_TOTAL")+SUMIFS('Transaction Data'!$L$2:$L$4618,'Transaction Data'!$A$2:$A$4618,$D92,'Transaction Data'!$E$2:$E$4618,"RETAIL_CREDIT_TRANSFERS_TOTAL")+SUMIFS('Transaction Data'!$L$2:$L$4618,'Transaction Data'!$A$2:$A$4618,$D92,'Transaction Data'!$E$2:$E$4618,"DEBIT_TRANSFERS_TOTAL")+SUMIFS('Transaction Data'!$L$2:$L$4618,'Transaction Data'!$A$2:$A$4618,$D92,'Transaction Data'!$E$2:$E$4618,"CARD_PAYMENTS_TOTAL")+SUMIFS('Transaction Data'!$L$2:$L$4618,'Transaction Data'!$A$2:$A$4618,$D92,'Transaction Data'!$E$2:$E$4618,"PPI_TOTAL")</f>
        <v>17122666.379999995</v>
      </c>
    </row>
    <row r="93" spans="1:5">
      <c r="A93" s="6">
        <f>EDATE(A92,1)</f>
        <v>44896</v>
      </c>
      <c r="B93" s="7">
        <f>SUMIFS('Transaction Data'!$K$2:$K$4618,'Transaction Data'!$A$2:$A$4618,$A93,'Transaction Data'!$E$2:$E$4618,"TOTAL_DIGITAL_PAYMENTS")</f>
        <v>103826.92</v>
      </c>
      <c r="D93" s="6">
        <f>A93</f>
        <v>44896</v>
      </c>
      <c r="E93" s="7">
        <f>SUMIFS('Transaction Data'!$L$2:$L$4618,'Transaction Data'!$A$2:$A$4618,$D93,'Transaction Data'!$E$2:$E$4618,"RTGS_TOTAL")+SUMIFS('Transaction Data'!$L$2:$L$4618,'Transaction Data'!$A$2:$A$4618,$D93,'Transaction Data'!$E$2:$E$4618,"RETAIL_CREDIT_TRANSFERS_TOTAL")+SUMIFS('Transaction Data'!$L$2:$L$4618,'Transaction Data'!$A$2:$A$4618,$D93,'Transaction Data'!$E$2:$E$4618,"DEBIT_TRANSFERS_TOTAL")+SUMIFS('Transaction Data'!$L$2:$L$4618,'Transaction Data'!$A$2:$A$4618,$D93,'Transaction Data'!$E$2:$E$4618,"CARD_PAYMENTS_TOTAL")+SUMIFS('Transaction Data'!$L$2:$L$4618,'Transaction Data'!$A$2:$A$4618,$D93,'Transaction Data'!$E$2:$E$4618,"PPI_TOTAL")</f>
        <v>18988611.140000004</v>
      </c>
    </row>
    <row r="94" spans="1:5">
      <c r="A94" s="6">
        <f>EDATE(A93,1)</f>
        <v>44927</v>
      </c>
      <c r="B94" s="7">
        <f>SUMIFS('Transaction Data'!$K$2:$K$4618,'Transaction Data'!$A$2:$A$4618,$A94,'Transaction Data'!$E$2:$E$4618,"TOTAL_DIGITAL_PAYMENTS")</f>
        <v>105193.62</v>
      </c>
      <c r="D94" s="6">
        <f>A94</f>
        <v>44927</v>
      </c>
      <c r="E94" s="7">
        <f>SUMIFS('Transaction Data'!$L$2:$L$4618,'Transaction Data'!$A$2:$A$4618,$D94,'Transaction Data'!$E$2:$E$4618,"RTGS_TOTAL")+SUMIFS('Transaction Data'!$L$2:$L$4618,'Transaction Data'!$A$2:$A$4618,$D94,'Transaction Data'!$E$2:$E$4618,"RETAIL_CREDIT_TRANSFERS_TOTAL")+SUMIFS('Transaction Data'!$L$2:$L$4618,'Transaction Data'!$A$2:$A$4618,$D94,'Transaction Data'!$E$2:$E$4618,"DEBIT_TRANSFERS_TOTAL")+SUMIFS('Transaction Data'!$L$2:$L$4618,'Transaction Data'!$A$2:$A$4618,$D94,'Transaction Data'!$E$2:$E$4618,"CARD_PAYMENTS_TOTAL")+SUMIFS('Transaction Data'!$L$2:$L$4618,'Transaction Data'!$A$2:$A$4618,$D94,'Transaction Data'!$E$2:$E$4618,"PPI_TOTAL")</f>
        <v>17606106.070000004</v>
      </c>
    </row>
    <row r="95" spans="1:5">
      <c r="A95" s="6">
        <f>EDATE(A94,1)</f>
        <v>44958</v>
      </c>
      <c r="B95" s="7">
        <f>SUMIFS('Transaction Data'!$K$2:$K$4618,'Transaction Data'!$A$2:$A$4618,$A95,'Transaction Data'!$E$2:$E$4618,"TOTAL_DIGITAL_PAYMENTS")</f>
        <v>100738.77</v>
      </c>
      <c r="D95" s="6">
        <f>A95</f>
        <v>44958</v>
      </c>
      <c r="E95" s="7">
        <f>SUMIFS('Transaction Data'!$L$2:$L$4618,'Transaction Data'!$A$2:$A$4618,$D95,'Transaction Data'!$E$2:$E$4618,"RTGS_TOTAL")+SUMIFS('Transaction Data'!$L$2:$L$4618,'Transaction Data'!$A$2:$A$4618,$D95,'Transaction Data'!$E$2:$E$4618,"RETAIL_CREDIT_TRANSFERS_TOTAL")+SUMIFS('Transaction Data'!$L$2:$L$4618,'Transaction Data'!$A$2:$A$4618,$D95,'Transaction Data'!$E$2:$E$4618,"DEBIT_TRANSFERS_TOTAL")+SUMIFS('Transaction Data'!$L$2:$L$4618,'Transaction Data'!$A$2:$A$4618,$D95,'Transaction Data'!$E$2:$E$4618,"CARD_PAYMENTS_TOTAL")+SUMIFS('Transaction Data'!$L$2:$L$4618,'Transaction Data'!$A$2:$A$4618,$D95,'Transaction Data'!$E$2:$E$4618,"PPI_TOTAL")</f>
        <v>17007088.599999998</v>
      </c>
    </row>
    <row r="96" spans="1:5">
      <c r="A96" s="6">
        <f>EDATE(A95,1)</f>
        <v>44986</v>
      </c>
      <c r="B96" s="7">
        <f>SUMIFS('Transaction Data'!$K$2:$K$4618,'Transaction Data'!$A$2:$A$4618,$A96,'Transaction Data'!$E$2:$E$4618,"TOTAL_DIGITAL_PAYMENTS")</f>
        <v>113921.68</v>
      </c>
      <c r="D96" s="6">
        <f>A96</f>
        <v>44986</v>
      </c>
      <c r="E96" s="7">
        <f>SUMIFS('Transaction Data'!$L$2:$L$4618,'Transaction Data'!$A$2:$A$4618,$D96,'Transaction Data'!$E$2:$E$4618,"RTGS_TOTAL")+SUMIFS('Transaction Data'!$L$2:$L$4618,'Transaction Data'!$A$2:$A$4618,$D96,'Transaction Data'!$E$2:$E$4618,"RETAIL_CREDIT_TRANSFERS_TOTAL")+SUMIFS('Transaction Data'!$L$2:$L$4618,'Transaction Data'!$A$2:$A$4618,$D96,'Transaction Data'!$E$2:$E$4618,"DEBIT_TRANSFERS_TOTAL")+SUMIFS('Transaction Data'!$L$2:$L$4618,'Transaction Data'!$A$2:$A$4618,$D96,'Transaction Data'!$E$2:$E$4618,"CARD_PAYMENTS_TOTAL")+SUMIFS('Transaction Data'!$L$2:$L$4618,'Transaction Data'!$A$2:$A$4618,$D96,'Transaction Data'!$E$2:$E$4618,"PPI_TOTAL")</f>
        <v>22370990.859999999</v>
      </c>
    </row>
    <row r="97" spans="1:5">
      <c r="A97" s="6">
        <f>EDATE(A96,1)</f>
        <v>45017</v>
      </c>
      <c r="B97" s="7">
        <f>SUMIFS('Transaction Data'!$K$2:$K$4618,'Transaction Data'!$A$2:$A$4618,$A97,'Transaction Data'!$E$2:$E$4618,"TOTAL_DIGITAL_PAYMENTS")</f>
        <v>113422.69</v>
      </c>
      <c r="D97" s="6">
        <f>A97</f>
        <v>45017</v>
      </c>
      <c r="E97" s="7">
        <f>SUMIFS('Transaction Data'!$L$2:$L$4618,'Transaction Data'!$A$2:$A$4618,$D97,'Transaction Data'!$E$2:$E$4618,"RTGS_TOTAL")+SUMIFS('Transaction Data'!$L$2:$L$4618,'Transaction Data'!$A$2:$A$4618,$D97,'Transaction Data'!$E$2:$E$4618,"RETAIL_CREDIT_TRANSFERS_TOTAL")+SUMIFS('Transaction Data'!$L$2:$L$4618,'Transaction Data'!$A$2:$A$4618,$D97,'Transaction Data'!$E$2:$E$4618,"DEBIT_TRANSFERS_TOTAL")+SUMIFS('Transaction Data'!$L$2:$L$4618,'Transaction Data'!$A$2:$A$4618,$D97,'Transaction Data'!$E$2:$E$4618,"CARD_PAYMENTS_TOTAL")+SUMIFS('Transaction Data'!$L$2:$L$4618,'Transaction Data'!$A$2:$A$4618,$D97,'Transaction Data'!$E$2:$E$4618,"PPI_TOTAL")</f>
        <v>17041460.879999999</v>
      </c>
    </row>
    <row r="98" spans="1:5">
      <c r="A98" s="6">
        <f>EDATE(A97,1)</f>
        <v>45047</v>
      </c>
      <c r="B98" s="7">
        <f>SUMIFS('Transaction Data'!$K$2:$K$4618,'Transaction Data'!$A$2:$A$4618,$A98,'Transaction Data'!$E$2:$E$4618,"TOTAL_DIGITAL_PAYMENTS")</f>
        <v>120847.63</v>
      </c>
      <c r="D98" s="6">
        <f>A98</f>
        <v>45047</v>
      </c>
      <c r="E98" s="7">
        <f>SUMIFS('Transaction Data'!$L$2:$L$4618,'Transaction Data'!$A$2:$A$4618,$D98,'Transaction Data'!$E$2:$E$4618,"RTGS_TOTAL")+SUMIFS('Transaction Data'!$L$2:$L$4618,'Transaction Data'!$A$2:$A$4618,$D98,'Transaction Data'!$E$2:$E$4618,"RETAIL_CREDIT_TRANSFERS_TOTAL")+SUMIFS('Transaction Data'!$L$2:$L$4618,'Transaction Data'!$A$2:$A$4618,$D98,'Transaction Data'!$E$2:$E$4618,"DEBIT_TRANSFERS_TOTAL")+SUMIFS('Transaction Data'!$L$2:$L$4618,'Transaction Data'!$A$2:$A$4618,$D98,'Transaction Data'!$E$2:$E$4618,"CARD_PAYMENTS_TOTAL")+SUMIFS('Transaction Data'!$L$2:$L$4618,'Transaction Data'!$A$2:$A$4618,$D98,'Transaction Data'!$E$2:$E$4618,"PPI_TOTAL")</f>
        <v>18422636.729999997</v>
      </c>
    </row>
    <row r="99" spans="1:5">
      <c r="A99" s="6">
        <f>EDATE(A98,1)</f>
        <v>45078</v>
      </c>
      <c r="B99" s="7">
        <f>SUMIFS('Transaction Data'!$K$2:$K$4618,'Transaction Data'!$A$2:$A$4618,$A99,'Transaction Data'!$E$2:$E$4618,"TOTAL_DIGITAL_PAYMENTS")</f>
        <v>119266.7</v>
      </c>
      <c r="D99" s="6">
        <f>A99</f>
        <v>45078</v>
      </c>
      <c r="E99" s="7">
        <f>SUMIFS('Transaction Data'!$L$2:$L$4618,'Transaction Data'!$A$2:$A$4618,$D99,'Transaction Data'!$E$2:$E$4618,"RTGS_TOTAL")+SUMIFS('Transaction Data'!$L$2:$L$4618,'Transaction Data'!$A$2:$A$4618,$D99,'Transaction Data'!$E$2:$E$4618,"RETAIL_CREDIT_TRANSFERS_TOTAL")+SUMIFS('Transaction Data'!$L$2:$L$4618,'Transaction Data'!$A$2:$A$4618,$D99,'Transaction Data'!$E$2:$E$4618,"DEBIT_TRANSFERS_TOTAL")+SUMIFS('Transaction Data'!$L$2:$L$4618,'Transaction Data'!$A$2:$A$4618,$D99,'Transaction Data'!$E$2:$E$4618,"CARD_PAYMENTS_TOTAL")+SUMIFS('Transaction Data'!$L$2:$L$4618,'Transaction Data'!$A$2:$A$4618,$D99,'Transaction Data'!$E$2:$E$4618,"PPI_TOTAL")</f>
        <v>19829171.950000003</v>
      </c>
    </row>
    <row r="100" spans="1:5">
      <c r="A100" s="6">
        <f>EDATE(A99,1)</f>
        <v>45108</v>
      </c>
      <c r="B100" s="7">
        <f>SUMIFS('Transaction Data'!$K$2:$K$4618,'Transaction Data'!$A$2:$A$4618,$A100,'Transaction Data'!$E$2:$E$4618,"TOTAL_DIGITAL_PAYMENTS")</f>
        <v>127149.92</v>
      </c>
      <c r="D100" s="6">
        <f>A100</f>
        <v>45108</v>
      </c>
      <c r="E100" s="7">
        <f>SUMIFS('Transaction Data'!$L$2:$L$4618,'Transaction Data'!$A$2:$A$4618,$D100,'Transaction Data'!$E$2:$E$4618,"RTGS_TOTAL")+SUMIFS('Transaction Data'!$L$2:$L$4618,'Transaction Data'!$A$2:$A$4618,$D100,'Transaction Data'!$E$2:$E$4618,"RETAIL_CREDIT_TRANSFERS_TOTAL")+SUMIFS('Transaction Data'!$L$2:$L$4618,'Transaction Data'!$A$2:$A$4618,$D100,'Transaction Data'!$E$2:$E$4618,"DEBIT_TRANSFERS_TOTAL")+SUMIFS('Transaction Data'!$L$2:$L$4618,'Transaction Data'!$A$2:$A$4618,$D100,'Transaction Data'!$E$2:$E$4618,"CARD_PAYMENTS_TOTAL")+SUMIFS('Transaction Data'!$L$2:$L$4618,'Transaction Data'!$A$2:$A$4618,$D100,'Transaction Data'!$E$2:$E$4618,"PPI_TOTAL")</f>
        <v>18728093.780000001</v>
      </c>
    </row>
    <row r="101" spans="1:5">
      <c r="A101" s="6">
        <f>EDATE(A100,1)</f>
        <v>45139</v>
      </c>
      <c r="B101" s="7">
        <f>SUMIFS('Transaction Data'!$K$2:$K$4618,'Transaction Data'!$A$2:$A$4618,$A101,'Transaction Data'!$E$2:$E$4618,"TOTAL_DIGITAL_PAYMENTS")</f>
        <v>132912.92000000001</v>
      </c>
      <c r="D101" s="6">
        <f>A101</f>
        <v>45139</v>
      </c>
      <c r="E101" s="7">
        <f>SUMIFS('Transaction Data'!$L$2:$L$4618,'Transaction Data'!$A$2:$A$4618,$D101,'Transaction Data'!$E$2:$E$4618,"RTGS_TOTAL")+SUMIFS('Transaction Data'!$L$2:$L$4618,'Transaction Data'!$A$2:$A$4618,$D101,'Transaction Data'!$E$2:$E$4618,"RETAIL_CREDIT_TRANSFERS_TOTAL")+SUMIFS('Transaction Data'!$L$2:$L$4618,'Transaction Data'!$A$2:$A$4618,$D101,'Transaction Data'!$E$2:$E$4618,"DEBIT_TRANSFERS_TOTAL")+SUMIFS('Transaction Data'!$L$2:$L$4618,'Transaction Data'!$A$2:$A$4618,$D101,'Transaction Data'!$E$2:$E$4618,"CARD_PAYMENTS_TOTAL")+SUMIFS('Transaction Data'!$L$2:$L$4618,'Transaction Data'!$A$2:$A$4618,$D101,'Transaction Data'!$E$2:$E$4618,"PPI_TOTAL")</f>
        <v>19476332.710000001</v>
      </c>
    </row>
    <row r="102" spans="1:5">
      <c r="A102" s="6">
        <f>EDATE(A101,1)</f>
        <v>45170</v>
      </c>
      <c r="B102" s="7">
        <f>SUMIFS('Transaction Data'!$K$2:$K$4618,'Transaction Data'!$A$2:$A$4618,$A102,'Transaction Data'!$E$2:$E$4618,"TOTAL_DIGITAL_PAYMENTS")</f>
        <v>131665.97</v>
      </c>
      <c r="D102" s="6">
        <f>A102</f>
        <v>45170</v>
      </c>
      <c r="E102" s="7">
        <f>SUMIFS('Transaction Data'!$L$2:$L$4618,'Transaction Data'!$A$2:$A$4618,$D102,'Transaction Data'!$E$2:$E$4618,"RTGS_TOTAL")+SUMIFS('Transaction Data'!$L$2:$L$4618,'Transaction Data'!$A$2:$A$4618,$D102,'Transaction Data'!$E$2:$E$4618,"RETAIL_CREDIT_TRANSFERS_TOTAL")+SUMIFS('Transaction Data'!$L$2:$L$4618,'Transaction Data'!$A$2:$A$4618,$D102,'Transaction Data'!$E$2:$E$4618,"DEBIT_TRANSFERS_TOTAL")+SUMIFS('Transaction Data'!$L$2:$L$4618,'Transaction Data'!$A$2:$A$4618,$D102,'Transaction Data'!$E$2:$E$4618,"CARD_PAYMENTS_TOTAL")+SUMIFS('Transaction Data'!$L$2:$L$4618,'Transaction Data'!$A$2:$A$4618,$D102,'Transaction Data'!$E$2:$E$4618,"PPI_TOTAL")</f>
        <v>20237041.129999999</v>
      </c>
    </row>
    <row r="103" spans="1:5">
      <c r="A103" s="6">
        <f>EDATE(A102,1)</f>
        <v>45200</v>
      </c>
      <c r="B103" s="7">
        <f>SUMIFS('Transaction Data'!$K$2:$K$4618,'Transaction Data'!$A$2:$A$4618,$A103,'Transaction Data'!$E$2:$E$4618,"TOTAL_DIGITAL_PAYMENTS")</f>
        <v>141873.15</v>
      </c>
      <c r="D103" s="6">
        <f>A103</f>
        <v>45200</v>
      </c>
      <c r="E103" s="7">
        <f>SUMIFS('Transaction Data'!$L$2:$L$4618,'Transaction Data'!$A$2:$A$4618,$D103,'Transaction Data'!$E$2:$E$4618,"RTGS_TOTAL")+SUMIFS('Transaction Data'!$L$2:$L$4618,'Transaction Data'!$A$2:$A$4618,$D103,'Transaction Data'!$E$2:$E$4618,"RETAIL_CREDIT_TRANSFERS_TOTAL")+SUMIFS('Transaction Data'!$L$2:$L$4618,'Transaction Data'!$A$2:$A$4618,$D103,'Transaction Data'!$E$2:$E$4618,"DEBIT_TRANSFERS_TOTAL")+SUMIFS('Transaction Data'!$L$2:$L$4618,'Transaction Data'!$A$2:$A$4618,$D103,'Transaction Data'!$E$2:$E$4618,"CARD_PAYMENTS_TOTAL")+SUMIFS('Transaction Data'!$L$2:$L$4618,'Transaction Data'!$A$2:$A$4618,$D103,'Transaction Data'!$E$2:$E$4618,"PPI_TOTAL")</f>
        <v>19526386.609999999</v>
      </c>
    </row>
    <row r="104" spans="1:5">
      <c r="A104" s="6">
        <f>EDATE(A103,1)</f>
        <v>45231</v>
      </c>
      <c r="B104" s="7">
        <f>SUMIFS('Transaction Data'!$K$2:$K$4618,'Transaction Data'!$A$2:$A$4618,$A104,'Transaction Data'!$E$2:$E$4618,"TOTAL_DIGITAL_PAYMENTS")</f>
        <v>141072.41</v>
      </c>
      <c r="D104" s="6">
        <f>A104</f>
        <v>45231</v>
      </c>
      <c r="E104" s="7">
        <f>SUMIFS('Transaction Data'!$L$2:$L$4618,'Transaction Data'!$A$2:$A$4618,$D104,'Transaction Data'!$E$2:$E$4618,"RTGS_TOTAL")+SUMIFS('Transaction Data'!$L$2:$L$4618,'Transaction Data'!$A$2:$A$4618,$D104,'Transaction Data'!$E$2:$E$4618,"RETAIL_CREDIT_TRANSFERS_TOTAL")+SUMIFS('Transaction Data'!$L$2:$L$4618,'Transaction Data'!$A$2:$A$4618,$D104,'Transaction Data'!$E$2:$E$4618,"DEBIT_TRANSFERS_TOTAL")+SUMIFS('Transaction Data'!$L$2:$L$4618,'Transaction Data'!$A$2:$A$4618,$D104,'Transaction Data'!$E$2:$E$4618,"CARD_PAYMENTS_TOTAL")+SUMIFS('Transaction Data'!$L$2:$L$4618,'Transaction Data'!$A$2:$A$4618,$D104,'Transaction Data'!$E$2:$E$4618,"PPI_TOTAL")</f>
        <v>19641486.98</v>
      </c>
    </row>
    <row r="105" spans="1:5">
      <c r="A105" s="6">
        <f>EDATE(A104,1)</f>
        <v>45261</v>
      </c>
      <c r="B105" s="7">
        <f>SUMIFS('Transaction Data'!$K$2:$K$4618,'Transaction Data'!$A$2:$A$4618,$A105,'Transaction Data'!$E$2:$E$4618,"TOTAL_DIGITAL_PAYMENTS")</f>
        <v>148762.4</v>
      </c>
      <c r="D105" s="6">
        <f>A105</f>
        <v>45261</v>
      </c>
      <c r="E105" s="7">
        <f>SUMIFS('Transaction Data'!$L$2:$L$4618,'Transaction Data'!$A$2:$A$4618,$D105,'Transaction Data'!$E$2:$E$4618,"RTGS_TOTAL")+SUMIFS('Transaction Data'!$L$2:$L$4618,'Transaction Data'!$A$2:$A$4618,$D105,'Transaction Data'!$E$2:$E$4618,"RETAIL_CREDIT_TRANSFERS_TOTAL")+SUMIFS('Transaction Data'!$L$2:$L$4618,'Transaction Data'!$A$2:$A$4618,$D105,'Transaction Data'!$E$2:$E$4618,"DEBIT_TRANSFERS_TOTAL")+SUMIFS('Transaction Data'!$L$2:$L$4618,'Transaction Data'!$A$2:$A$4618,$D105,'Transaction Data'!$E$2:$E$4618,"CARD_PAYMENTS_TOTAL")+SUMIFS('Transaction Data'!$L$2:$L$4618,'Transaction Data'!$A$2:$A$4618,$D105,'Transaction Data'!$E$2:$E$4618,"PPI_TOTAL")</f>
        <v>22197900.809999999</v>
      </c>
    </row>
    <row r="106" spans="1:5">
      <c r="A106" s="6">
        <f>EDATE(A105,1)</f>
        <v>45292</v>
      </c>
      <c r="B106" s="7">
        <f>SUMIFS('Transaction Data'!$K$2:$K$4618,'Transaction Data'!$A$2:$A$4618,$A106,'Transaction Data'!$E$2:$E$4618,"TOTAL_DIGITAL_PAYMENTS")</f>
        <v>150891.97</v>
      </c>
      <c r="D106" s="6">
        <f>A106</f>
        <v>45292</v>
      </c>
      <c r="E106" s="7">
        <f>SUMIFS('Transaction Data'!$L$2:$L$4618,'Transaction Data'!$A$2:$A$4618,$D106,'Transaction Data'!$E$2:$E$4618,"RTGS_TOTAL")+SUMIFS('Transaction Data'!$L$2:$L$4618,'Transaction Data'!$A$2:$A$4618,$D106,'Transaction Data'!$E$2:$E$4618,"RETAIL_CREDIT_TRANSFERS_TOTAL")+SUMIFS('Transaction Data'!$L$2:$L$4618,'Transaction Data'!$A$2:$A$4618,$D106,'Transaction Data'!$E$2:$E$4618,"DEBIT_TRANSFERS_TOTAL")+SUMIFS('Transaction Data'!$L$2:$L$4618,'Transaction Data'!$A$2:$A$4618,$D106,'Transaction Data'!$E$2:$E$4618,"CARD_PAYMENTS_TOTAL")+SUMIFS('Transaction Data'!$L$2:$L$4618,'Transaction Data'!$A$2:$A$4618,$D106,'Transaction Data'!$E$2:$E$4618,"PPI_TOTAL")</f>
        <v>21028870.680000003</v>
      </c>
    </row>
    <row r="107" spans="1:5">
      <c r="A107" s="6">
        <f>EDATE(A106,1)</f>
        <v>45323</v>
      </c>
      <c r="B107" s="7">
        <f>SUMIFS('Transaction Data'!$K$2:$K$4618,'Transaction Data'!$A$2:$A$4618,$A107,'Transaction Data'!$E$2:$E$4618,"TOTAL_DIGITAL_PAYMENTS")</f>
        <v>150688.49</v>
      </c>
      <c r="D107" s="6">
        <f>A107</f>
        <v>45323</v>
      </c>
      <c r="E107" s="7">
        <f>SUMIFS('Transaction Data'!$L$2:$L$4618,'Transaction Data'!$A$2:$A$4618,$D107,'Transaction Data'!$E$2:$E$4618,"RTGS_TOTAL")+SUMIFS('Transaction Data'!$L$2:$L$4618,'Transaction Data'!$A$2:$A$4618,$D107,'Transaction Data'!$E$2:$E$4618,"RETAIL_CREDIT_TRANSFERS_TOTAL")+SUMIFS('Transaction Data'!$L$2:$L$4618,'Transaction Data'!$A$2:$A$4618,$D107,'Transaction Data'!$E$2:$E$4618,"DEBIT_TRANSFERS_TOTAL")+SUMIFS('Transaction Data'!$L$2:$L$4618,'Transaction Data'!$A$2:$A$4618,$D107,'Transaction Data'!$E$2:$E$4618,"CARD_PAYMENTS_TOTAL")+SUMIFS('Transaction Data'!$L$2:$L$4618,'Transaction Data'!$A$2:$A$4618,$D107,'Transaction Data'!$E$2:$E$4618,"PPI_TOTAL")</f>
        <v>21021038.469999999</v>
      </c>
    </row>
    <row r="108" spans="1:5">
      <c r="A108" s="6">
        <f>EDATE(A107,1)</f>
        <v>45352</v>
      </c>
      <c r="B108" s="7">
        <f>SUMIFS('Transaction Data'!$K$2:$K$4618,'Transaction Data'!$A$2:$A$4618,$A108,'Transaction Data'!$E$2:$E$4618,"TOTAL_DIGITAL_PAYMENTS")</f>
        <v>165747.54</v>
      </c>
      <c r="D108" s="6">
        <f>A108</f>
        <v>45352</v>
      </c>
      <c r="E108" s="7">
        <f>SUMIFS('Transaction Data'!$L$2:$L$4618,'Transaction Data'!$A$2:$A$4618,$D108,'Transaction Data'!$E$2:$E$4618,"RTGS_TOTAL")+SUMIFS('Transaction Data'!$L$2:$L$4618,'Transaction Data'!$A$2:$A$4618,$D108,'Transaction Data'!$E$2:$E$4618,"RETAIL_CREDIT_TRANSFERS_TOTAL")+SUMIFS('Transaction Data'!$L$2:$L$4618,'Transaction Data'!$A$2:$A$4618,$D108,'Transaction Data'!$E$2:$E$4618,"DEBIT_TRANSFERS_TOTAL")+SUMIFS('Transaction Data'!$L$2:$L$4618,'Transaction Data'!$A$2:$A$4618,$D108,'Transaction Data'!$E$2:$E$4618,"CARD_PAYMENTS_TOTAL")+SUMIFS('Transaction Data'!$L$2:$L$4618,'Transaction Data'!$A$2:$A$4618,$D108,'Transaction Data'!$E$2:$E$4618,"PPI_TOTAL")</f>
        <v>25673377.93</v>
      </c>
    </row>
    <row r="109" spans="1:5">
      <c r="A109" s="6">
        <f>EDATE(A108,1)</f>
        <v>45383</v>
      </c>
      <c r="B109" s="7">
        <f>SUMIFS('Transaction Data'!$K$2:$K$4618,'Transaction Data'!$A$2:$A$4618,$A109,'Transaction Data'!$E$2:$E$4618,"TOTAL_DIGITAL_PAYMENTS")</f>
        <v>161211.88</v>
      </c>
      <c r="D109" s="6">
        <f>A109</f>
        <v>45383</v>
      </c>
      <c r="E109" s="7">
        <f>SUMIFS('Transaction Data'!$L$2:$L$4618,'Transaction Data'!$A$2:$A$4618,$D109,'Transaction Data'!$E$2:$E$4618,"RTGS_TOTAL")+SUMIFS('Transaction Data'!$L$2:$L$4618,'Transaction Data'!$A$2:$A$4618,$D109,'Transaction Data'!$E$2:$E$4618,"RETAIL_CREDIT_TRANSFERS_TOTAL")+SUMIFS('Transaction Data'!$L$2:$L$4618,'Transaction Data'!$A$2:$A$4618,$D109,'Transaction Data'!$E$2:$E$4618,"DEBIT_TRANSFERS_TOTAL")+SUMIFS('Transaction Data'!$L$2:$L$4618,'Transaction Data'!$A$2:$A$4618,$D109,'Transaction Data'!$E$2:$E$4618,"CARD_PAYMENTS_TOTAL")+SUMIFS('Transaction Data'!$L$2:$L$4618,'Transaction Data'!$A$2:$A$4618,$D109,'Transaction Data'!$E$2:$E$4618,"PPI_TOTAL")</f>
        <v>20753664.850000001</v>
      </c>
    </row>
    <row r="110" spans="1:5">
      <c r="A110" s="6">
        <f>EDATE(A109,1)</f>
        <v>45413</v>
      </c>
      <c r="B110" s="7">
        <f>SUMIFS('Transaction Data'!$K$2:$K$4618,'Transaction Data'!$A$2:$A$4618,$A110,'Transaction Data'!$E$2:$E$4618,"TOTAL_DIGITAL_PAYMENTS")</f>
        <v>169323.14</v>
      </c>
      <c r="D110" s="6">
        <f>A110</f>
        <v>45413</v>
      </c>
      <c r="E110" s="7">
        <f>SUMIFS('Transaction Data'!$L$2:$L$4618,'Transaction Data'!$A$2:$A$4618,$D110,'Transaction Data'!$E$2:$E$4618,"RTGS_TOTAL")+SUMIFS('Transaction Data'!$L$2:$L$4618,'Transaction Data'!$A$2:$A$4618,$D110,'Transaction Data'!$E$2:$E$4618,"RETAIL_CREDIT_TRANSFERS_TOTAL")+SUMIFS('Transaction Data'!$L$2:$L$4618,'Transaction Data'!$A$2:$A$4618,$D110,'Transaction Data'!$E$2:$E$4618,"DEBIT_TRANSFERS_TOTAL")+SUMIFS('Transaction Data'!$L$2:$L$4618,'Transaction Data'!$A$2:$A$4618,$D110,'Transaction Data'!$E$2:$E$4618,"CARD_PAYMENTS_TOTAL")+SUMIFS('Transaction Data'!$L$2:$L$4618,'Transaction Data'!$A$2:$A$4618,$D110,'Transaction Data'!$E$2:$E$4618,"PPI_TOTAL")</f>
        <v>21858217.780000001</v>
      </c>
    </row>
    <row r="111" spans="1:5">
      <c r="A111" s="6">
        <f>EDATE(A110,1)</f>
        <v>45444</v>
      </c>
      <c r="B111" s="7">
        <f>SUMIFS('Transaction Data'!$K$2:$K$4618,'Transaction Data'!$A$2:$A$4618,$A111,'Transaction Data'!$E$2:$E$4618,"TOTAL_DIGITAL_PAYMENTS")</f>
        <v>167736.1</v>
      </c>
      <c r="D111" s="6">
        <f>A111</f>
        <v>45444</v>
      </c>
      <c r="E111" s="7">
        <f>SUMIFS('Transaction Data'!$L$2:$L$4618,'Transaction Data'!$A$2:$A$4618,$D111,'Transaction Data'!$E$2:$E$4618,"RTGS_TOTAL")+SUMIFS('Transaction Data'!$L$2:$L$4618,'Transaction Data'!$A$2:$A$4618,$D111,'Transaction Data'!$E$2:$E$4618,"RETAIL_CREDIT_TRANSFERS_TOTAL")+SUMIFS('Transaction Data'!$L$2:$L$4618,'Transaction Data'!$A$2:$A$4618,$D111,'Transaction Data'!$E$2:$E$4618,"DEBIT_TRANSFERS_TOTAL")+SUMIFS('Transaction Data'!$L$2:$L$4618,'Transaction Data'!$A$2:$A$4618,$D111,'Transaction Data'!$E$2:$E$4618,"CARD_PAYMENTS_TOTAL")+SUMIFS('Transaction Data'!$L$2:$L$4618,'Transaction Data'!$A$2:$A$4618,$D111,'Transaction Data'!$E$2:$E$4618,"PPI_TOTAL")</f>
        <v>22499058.109999999</v>
      </c>
    </row>
    <row r="112" spans="1:5">
      <c r="A112" s="6">
        <f>EDATE(A111,1)</f>
        <v>45474</v>
      </c>
      <c r="B112" s="7">
        <f>SUMIFS('Transaction Data'!$K$2:$K$4618,'Transaction Data'!$A$2:$A$4618,$A112,'Transaction Data'!$E$2:$E$4618,"TOTAL_DIGITAL_PAYMENTS")</f>
        <v>173858.01</v>
      </c>
      <c r="D112" s="6">
        <f>A112</f>
        <v>45474</v>
      </c>
      <c r="E112" s="7">
        <f>SUMIFS('Transaction Data'!$L$2:$L$4618,'Transaction Data'!$A$2:$A$4618,$D112,'Transaction Data'!$E$2:$E$4618,"RTGS_TOTAL")+SUMIFS('Transaction Data'!$L$2:$L$4618,'Transaction Data'!$A$2:$A$4618,$D112,'Transaction Data'!$E$2:$E$4618,"RETAIL_CREDIT_TRANSFERS_TOTAL")+SUMIFS('Transaction Data'!$L$2:$L$4618,'Transaction Data'!$A$2:$A$4618,$D112,'Transaction Data'!$E$2:$E$4618,"DEBIT_TRANSFERS_TOTAL")+SUMIFS('Transaction Data'!$L$2:$L$4618,'Transaction Data'!$A$2:$A$4618,$D112,'Transaction Data'!$E$2:$E$4618,"CARD_PAYMENTS_TOTAL")+SUMIFS('Transaction Data'!$L$2:$L$4618,'Transaction Data'!$A$2:$A$4618,$D112,'Transaction Data'!$E$2:$E$4618,"PPI_TOTAL")</f>
        <v>22860979.25</v>
      </c>
    </row>
    <row r="113" spans="1:5">
      <c r="A113" s="6">
        <f>EDATE(A112,1)</f>
        <v>45505</v>
      </c>
      <c r="B113" s="7">
        <f>SUMIFS('Transaction Data'!$K$2:$K$4618,'Transaction Data'!$A$2:$A$4618,$A113,'Transaction Data'!$E$2:$E$4618,"TOTAL_DIGITAL_PAYMENTS")</f>
        <v>179267.64</v>
      </c>
      <c r="D113" s="6">
        <f>A113</f>
        <v>45505</v>
      </c>
      <c r="E113" s="7">
        <f>SUMIFS('Transaction Data'!$L$2:$L$4618,'Transaction Data'!$A$2:$A$4618,$D113,'Transaction Data'!$E$2:$E$4618,"RTGS_TOTAL")+SUMIFS('Transaction Data'!$L$2:$L$4618,'Transaction Data'!$A$2:$A$4618,$D113,'Transaction Data'!$E$2:$E$4618,"RETAIL_CREDIT_TRANSFERS_TOTAL")+SUMIFS('Transaction Data'!$L$2:$L$4618,'Transaction Data'!$A$2:$A$4618,$D113,'Transaction Data'!$E$2:$E$4618,"DEBIT_TRANSFERS_TOTAL")+SUMIFS('Transaction Data'!$L$2:$L$4618,'Transaction Data'!$A$2:$A$4618,$D113,'Transaction Data'!$E$2:$E$4618,"CARD_PAYMENTS_TOTAL")+SUMIFS('Transaction Data'!$L$2:$L$4618,'Transaction Data'!$A$2:$A$4618,$D113,'Transaction Data'!$E$2:$E$4618,"PPI_TOTAL")</f>
        <v>22724581.949999999</v>
      </c>
    </row>
    <row r="114" spans="1:5">
      <c r="A114" s="6">
        <f>EDATE(A113,1)</f>
        <v>45536</v>
      </c>
      <c r="B114" s="7">
        <f>SUMIFS('Transaction Data'!$K$2:$K$4618,'Transaction Data'!$A$2:$A$4618,$A114,'Transaction Data'!$E$2:$E$4618,"TOTAL_DIGITAL_PAYMENTS")</f>
        <v>179416.95999999999</v>
      </c>
      <c r="D114" s="6">
        <f>A114</f>
        <v>45536</v>
      </c>
      <c r="E114" s="7">
        <f>SUMIFS('Transaction Data'!$L$2:$L$4618,'Transaction Data'!$A$2:$A$4618,$D114,'Transaction Data'!$E$2:$E$4618,"RTGS_TOTAL")+SUMIFS('Transaction Data'!$L$2:$L$4618,'Transaction Data'!$A$2:$A$4618,$D114,'Transaction Data'!$E$2:$E$4618,"RETAIL_CREDIT_TRANSFERS_TOTAL")+SUMIFS('Transaction Data'!$L$2:$L$4618,'Transaction Data'!$A$2:$A$4618,$D114,'Transaction Data'!$E$2:$E$4618,"DEBIT_TRANSFERS_TOTAL")+SUMIFS('Transaction Data'!$L$2:$L$4618,'Transaction Data'!$A$2:$A$4618,$D114,'Transaction Data'!$E$2:$E$4618,"CARD_PAYMENTS_TOTAL")+SUMIFS('Transaction Data'!$L$2:$L$4618,'Transaction Data'!$A$2:$A$4618,$D114,'Transaction Data'!$E$2:$E$4618,"PPI_TOTAL")</f>
        <v>24585736.920000002</v>
      </c>
    </row>
    <row r="115" spans="1:5">
      <c r="A115" s="6">
        <f>EDATE(A114,1)</f>
        <v>45566</v>
      </c>
      <c r="B115" s="7">
        <f>SUMIFS('Transaction Data'!$K$2:$K$4618,'Transaction Data'!$A$2:$A$4618,$A115,'Transaction Data'!$E$2:$E$4618,"TOTAL_DIGITAL_PAYMENTS")</f>
        <v>199064.01</v>
      </c>
      <c r="D115" s="6">
        <f>A115</f>
        <v>45566</v>
      </c>
      <c r="E115" s="7">
        <f>SUMIFS('Transaction Data'!$L$2:$L$4618,'Transaction Data'!$A$2:$A$4618,$D115,'Transaction Data'!$E$2:$E$4618,"RTGS_TOTAL")+SUMIFS('Transaction Data'!$L$2:$L$4618,'Transaction Data'!$A$2:$A$4618,$D115,'Transaction Data'!$E$2:$E$4618,"RETAIL_CREDIT_TRANSFERS_TOTAL")+SUMIFS('Transaction Data'!$L$2:$L$4618,'Transaction Data'!$A$2:$A$4618,$D115,'Transaction Data'!$E$2:$E$4618,"DEBIT_TRANSFERS_TOTAL")+SUMIFS('Transaction Data'!$L$2:$L$4618,'Transaction Data'!$A$2:$A$4618,$D115,'Transaction Data'!$E$2:$E$4618,"CARD_PAYMENTS_TOTAL")+SUMIFS('Transaction Data'!$L$2:$L$4618,'Transaction Data'!$A$2:$A$4618,$D115,'Transaction Data'!$E$2:$E$4618,"PPI_TOTAL")</f>
        <v>24888114.16</v>
      </c>
    </row>
    <row r="116" spans="1:5">
      <c r="A116" s="6">
        <f>EDATE(A115,1)</f>
        <v>45597</v>
      </c>
      <c r="B116" s="7">
        <f>SUMIFS('Transaction Data'!$K$2:$K$4618,'Transaction Data'!$A$2:$A$4618,$A116,'Transaction Data'!$E$2:$E$4618,"TOTAL_DIGITAL_PAYMENTS")</f>
        <v>183509.26</v>
      </c>
      <c r="D116" s="6">
        <f>A116</f>
        <v>45597</v>
      </c>
      <c r="E116" s="7">
        <f>SUMIFS('Transaction Data'!$L$2:$L$4618,'Transaction Data'!$A$2:$A$4618,$D116,'Transaction Data'!$E$2:$E$4618,"RTGS_TOTAL")+SUMIFS('Transaction Data'!$L$2:$L$4618,'Transaction Data'!$A$2:$A$4618,$D116,'Transaction Data'!$E$2:$E$4618,"RETAIL_CREDIT_TRANSFERS_TOTAL")+SUMIFS('Transaction Data'!$L$2:$L$4618,'Transaction Data'!$A$2:$A$4618,$D116,'Transaction Data'!$E$2:$E$4618,"DEBIT_TRANSFERS_TOTAL")+SUMIFS('Transaction Data'!$L$2:$L$4618,'Transaction Data'!$A$2:$A$4618,$D116,'Transaction Data'!$E$2:$E$4618,"CARD_PAYMENTS_TOTAL")+SUMIFS('Transaction Data'!$L$2:$L$4618,'Transaction Data'!$A$2:$A$4618,$D116,'Transaction Data'!$E$2:$E$4618,"PPI_TOTAL")</f>
        <v>21514229.670000002</v>
      </c>
    </row>
    <row r="117" spans="1:5">
      <c r="A117" s="6">
        <f>EDATE(A116,1)</f>
        <v>45627</v>
      </c>
      <c r="B117" s="7">
        <f>SUMIFS('Transaction Data'!$K$2:$K$4618,'Transaction Data'!$A$2:$A$4618,$A117,'Transaction Data'!$E$2:$E$4618,"TOTAL_DIGITAL_PAYMENTS")</f>
        <v>197940.75</v>
      </c>
      <c r="D117" s="6">
        <f>A117</f>
        <v>45627</v>
      </c>
      <c r="E117" s="7">
        <f>SUMIFS('Transaction Data'!$L$2:$L$4618,'Transaction Data'!$A$2:$A$4618,$D117,'Transaction Data'!$E$2:$E$4618,"RTGS_TOTAL")+SUMIFS('Transaction Data'!$L$2:$L$4618,'Transaction Data'!$A$2:$A$4618,$D117,'Transaction Data'!$E$2:$E$4618,"RETAIL_CREDIT_TRANSFERS_TOTAL")+SUMIFS('Transaction Data'!$L$2:$L$4618,'Transaction Data'!$A$2:$A$4618,$D117,'Transaction Data'!$E$2:$E$4618,"DEBIT_TRANSFERS_TOTAL")+SUMIFS('Transaction Data'!$L$2:$L$4618,'Transaction Data'!$A$2:$A$4618,$D117,'Transaction Data'!$E$2:$E$4618,"CARD_PAYMENTS_TOTAL")+SUMIFS('Transaction Data'!$L$2:$L$4618,'Transaction Data'!$A$2:$A$4618,$D117,'Transaction Data'!$E$2:$E$4618,"PPI_TOTAL")</f>
        <v>26545062.149999999</v>
      </c>
    </row>
    <row r="118" spans="1:5">
      <c r="A118" s="6">
        <f>EDATE(A117,1)</f>
        <v>45658</v>
      </c>
      <c r="B118" s="7">
        <f>SUMIFS('Transaction Data'!$K$2:$K$4618,'Transaction Data'!$A$2:$A$4618,$A118,'Transaction Data'!$E$2:$E$4618,"TOTAL_DIGITAL_PAYMENTS")</f>
        <v>200754.53</v>
      </c>
      <c r="D118" s="6">
        <f>A118</f>
        <v>45658</v>
      </c>
      <c r="E118" s="7">
        <f>SUMIFS('Transaction Data'!$L$2:$L$4618,'Transaction Data'!$A$2:$A$4618,$D118,'Transaction Data'!$E$2:$E$4618,"RTGS_TOTAL")+SUMIFS('Transaction Data'!$L$2:$L$4618,'Transaction Data'!$A$2:$A$4618,$D118,'Transaction Data'!$E$2:$E$4618,"RETAIL_CREDIT_TRANSFERS_TOTAL")+SUMIFS('Transaction Data'!$L$2:$L$4618,'Transaction Data'!$A$2:$A$4618,$D118,'Transaction Data'!$E$2:$E$4618,"DEBIT_TRANSFERS_TOTAL")+SUMIFS('Transaction Data'!$L$2:$L$4618,'Transaction Data'!$A$2:$A$4618,$D118,'Transaction Data'!$E$2:$E$4618,"CARD_PAYMENTS_TOTAL")+SUMIFS('Transaction Data'!$L$2:$L$4618,'Transaction Data'!$A$2:$A$4618,$D118,'Transaction Data'!$E$2:$E$4618,"PPI_TOTAL")</f>
        <v>24941970.199999999</v>
      </c>
    </row>
    <row r="119" spans="1:5">
      <c r="A119" s="6">
        <f>EDATE(A118,1)</f>
        <v>45689</v>
      </c>
      <c r="B119" s="7">
        <f>SUMIFS('Transaction Data'!$K$2:$K$4618,'Transaction Data'!$A$2:$A$4618,$A119,'Transaction Data'!$E$2:$E$4618,"TOTAL_DIGITAL_PAYMENTS")</f>
        <v>190952.14</v>
      </c>
      <c r="D119" s="6">
        <f>A119</f>
        <v>45689</v>
      </c>
      <c r="E119" s="7">
        <f>SUMIFS('Transaction Data'!$L$2:$L$4618,'Transaction Data'!$A$2:$A$4618,$D119,'Transaction Data'!$E$2:$E$4618,"RTGS_TOTAL")+SUMIFS('Transaction Data'!$L$2:$L$4618,'Transaction Data'!$A$2:$A$4618,$D119,'Transaction Data'!$E$2:$E$4618,"RETAIL_CREDIT_TRANSFERS_TOTAL")+SUMIFS('Transaction Data'!$L$2:$L$4618,'Transaction Data'!$A$2:$A$4618,$D119,'Transaction Data'!$E$2:$E$4618,"DEBIT_TRANSFERS_TOTAL")+SUMIFS('Transaction Data'!$L$2:$L$4618,'Transaction Data'!$A$2:$A$4618,$D119,'Transaction Data'!$E$2:$E$4618,"CARD_PAYMENTS_TOTAL")+SUMIFS('Transaction Data'!$L$2:$L$4618,'Transaction Data'!$A$2:$A$4618,$D119,'Transaction Data'!$E$2:$E$4618,"PPI_TOTAL")</f>
        <v>23010857.059999999</v>
      </c>
    </row>
    <row r="120" spans="1:5">
      <c r="A120" s="6">
        <f>EDATE(A119,1)</f>
        <v>45717</v>
      </c>
      <c r="B120" s="7">
        <f>SUMIFS('Transaction Data'!$K$2:$K$4618,'Transaction Data'!$A$2:$A$4618,$A120,'Transaction Data'!$E$2:$E$4618,"TOTAL_DIGITAL_PAYMENTS")</f>
        <v>216780.2</v>
      </c>
      <c r="D120" s="6">
        <f>A120</f>
        <v>45717</v>
      </c>
      <c r="E120" s="7">
        <f>SUMIFS('Transaction Data'!$L$2:$L$4618,'Transaction Data'!$A$2:$A$4618,$D120,'Transaction Data'!$E$2:$E$4618,"RTGS_TOTAL")+SUMIFS('Transaction Data'!$L$2:$L$4618,'Transaction Data'!$A$2:$A$4618,$D120,'Transaction Data'!$E$2:$E$4618,"RETAIL_CREDIT_TRANSFERS_TOTAL")+SUMIFS('Transaction Data'!$L$2:$L$4618,'Transaction Data'!$A$2:$A$4618,$D120,'Transaction Data'!$E$2:$E$4618,"DEBIT_TRANSFERS_TOTAL")+SUMIFS('Transaction Data'!$L$2:$L$4618,'Transaction Data'!$A$2:$A$4618,$D120,'Transaction Data'!$E$2:$E$4618,"CARD_PAYMENTS_TOTAL")+SUMIFS('Transaction Data'!$L$2:$L$4618,'Transaction Data'!$A$2:$A$4618,$D120,'Transaction Data'!$E$2:$E$4618,"PPI_TOTAL")</f>
        <v>30117631.050000004</v>
      </c>
    </row>
    <row r="121" spans="1:5">
      <c r="A121" s="6">
        <f>EDATE(A120,1)</f>
        <v>45748</v>
      </c>
      <c r="B121" s="7">
        <f>SUMIFS('Transaction Data'!$K$2:$K$4618,'Transaction Data'!$A$2:$A$4618,$A121,'Transaction Data'!$E$2:$E$4618,"TOTAL_DIGITAL_PAYMENTS")</f>
        <v>209500.31</v>
      </c>
      <c r="D121" s="6">
        <f>A121</f>
        <v>45748</v>
      </c>
      <c r="E121" s="7">
        <f>SUMIFS('Transaction Data'!$L$2:$L$4618,'Transaction Data'!$A$2:$A$4618,$D121,'Transaction Data'!$E$2:$E$4618,"RTGS_TOTAL")+SUMIFS('Transaction Data'!$L$2:$L$4618,'Transaction Data'!$A$2:$A$4618,$D121,'Transaction Data'!$E$2:$E$4618,"RETAIL_CREDIT_TRANSFERS_TOTAL")+SUMIFS('Transaction Data'!$L$2:$L$4618,'Transaction Data'!$A$2:$A$4618,$D121,'Transaction Data'!$E$2:$E$4618,"DEBIT_TRANSFERS_TOTAL")+SUMIFS('Transaction Data'!$L$2:$L$4618,'Transaction Data'!$A$2:$A$4618,$D121,'Transaction Data'!$E$2:$E$4618,"CARD_PAYMENTS_TOTAL")+SUMIFS('Transaction Data'!$L$2:$L$4618,'Transaction Data'!$A$2:$A$4618,$D121,'Transaction Data'!$E$2:$E$4618,"PPI_TOTAL")</f>
        <v>24464163.800000001</v>
      </c>
    </row>
    <row r="122" spans="1:5">
      <c r="A122" s="6">
        <f>EDATE(A121,1)</f>
        <v>45778</v>
      </c>
      <c r="B122" s="7">
        <f>SUMIFS('Transaction Data'!$K$2:$K$4618,'Transaction Data'!$A$2:$A$4618,$A122,'Transaction Data'!$E$2:$E$4618,"TOTAL_DIGITAL_PAYMENTS")</f>
        <v>218760.95999999999</v>
      </c>
      <c r="D122" s="6">
        <f>A122</f>
        <v>45778</v>
      </c>
      <c r="E122" s="7">
        <f>SUMIFS('Transaction Data'!$L$2:$L$4618,'Transaction Data'!$A$2:$A$4618,$D122,'Transaction Data'!$E$2:$E$4618,"RTGS_TOTAL")+SUMIFS('Transaction Data'!$L$2:$L$4618,'Transaction Data'!$A$2:$A$4618,$D122,'Transaction Data'!$E$2:$E$4618,"RETAIL_CREDIT_TRANSFERS_TOTAL")+SUMIFS('Transaction Data'!$L$2:$L$4618,'Transaction Data'!$A$2:$A$4618,$D122,'Transaction Data'!$E$2:$E$4618,"DEBIT_TRANSFERS_TOTAL")+SUMIFS('Transaction Data'!$L$2:$L$4618,'Transaction Data'!$A$2:$A$4618,$D122,'Transaction Data'!$E$2:$E$4618,"CARD_PAYMENTS_TOTAL")+SUMIFS('Transaction Data'!$L$2:$L$4618,'Transaction Data'!$A$2:$A$4618,$D122,'Transaction Data'!$E$2:$E$4618,"PPI_TOTAL")</f>
        <v>24614318.369999997</v>
      </c>
    </row>
    <row r="123" spans="1:5">
      <c r="A123" s="6">
        <f>EDATE(A122,1)</f>
        <v>45809</v>
      </c>
      <c r="B123" s="7">
        <f>SUMIFS('Transaction Data'!$K$2:$K$4618,'Transaction Data'!$A$2:$A$4618,$A123,'Transaction Data'!$E$2:$E$4618,"TOTAL_DIGITAL_PAYMENTS")</f>
        <v>215207.29</v>
      </c>
      <c r="D123" s="6">
        <f>A123</f>
        <v>45809</v>
      </c>
      <c r="E123" s="7">
        <f>SUMIFS('Transaction Data'!$L$2:$L$4618,'Transaction Data'!$A$2:$A$4618,$D123,'Transaction Data'!$E$2:$E$4618,"RTGS_TOTAL")+SUMIFS('Transaction Data'!$L$2:$L$4618,'Transaction Data'!$A$2:$A$4618,$D123,'Transaction Data'!$E$2:$E$4618,"RETAIL_CREDIT_TRANSFERS_TOTAL")+SUMIFS('Transaction Data'!$L$2:$L$4618,'Transaction Data'!$A$2:$A$4618,$D123,'Transaction Data'!$E$2:$E$4618,"DEBIT_TRANSFERS_TOTAL")+SUMIFS('Transaction Data'!$L$2:$L$4618,'Transaction Data'!$A$2:$A$4618,$D123,'Transaction Data'!$E$2:$E$4618,"CARD_PAYMENTS_TOTAL")+SUMIFS('Transaction Data'!$L$2:$L$4618,'Transaction Data'!$A$2:$A$4618,$D123,'Transaction Data'!$E$2:$E$4618,"PPI_TOTAL")</f>
        <v>26419883.550000001</v>
      </c>
    </row>
    <row r="124" spans="1:5">
      <c r="A124" s="6">
        <f>EDATE(A123,1)</f>
        <v>45839</v>
      </c>
      <c r="B124" s="7">
        <f>SUMIFS('Transaction Data'!$K$2:$K$4618,'Transaction Data'!$A$2:$A$4618,$A124,'Transaction Data'!$E$2:$E$4618,"TOTAL_DIGITAL_PAYMENTS")</f>
        <v>227631.95</v>
      </c>
      <c r="D124" s="6">
        <f>A124</f>
        <v>45839</v>
      </c>
      <c r="E124" s="7">
        <f>SUMIFS('Transaction Data'!$L$2:$L$4618,'Transaction Data'!$A$2:$A$4618,$D124,'Transaction Data'!$E$2:$E$4618,"RTGS_TOTAL")+SUMIFS('Transaction Data'!$L$2:$L$4618,'Transaction Data'!$A$2:$A$4618,$D124,'Transaction Data'!$E$2:$E$4618,"RETAIL_CREDIT_TRANSFERS_TOTAL")+SUMIFS('Transaction Data'!$L$2:$L$4618,'Transaction Data'!$A$2:$A$4618,$D124,'Transaction Data'!$E$2:$E$4618,"DEBIT_TRANSFERS_TOTAL")+SUMIFS('Transaction Data'!$L$2:$L$4618,'Transaction Data'!$A$2:$A$4618,$D124,'Transaction Data'!$E$2:$E$4618,"CARD_PAYMENTS_TOTAL")+SUMIFS('Transaction Data'!$L$2:$L$4618,'Transaction Data'!$A$2:$A$4618,$D124,'Transaction Data'!$E$2:$E$4618,"PPI_TOTAL")</f>
        <v>26653867.290000003</v>
      </c>
    </row>
    <row r="125" spans="1:5">
      <c r="A125" s="6">
        <f>EDATE(A124,1)</f>
        <v>45870</v>
      </c>
      <c r="B125" s="7">
        <f>SUMIFS('Transaction Data'!$K$2:$K$4618,'Transaction Data'!$A$2:$A$4618,$A125,'Transaction Data'!$E$2:$E$4618,"TOTAL_DIGITAL_PAYMENTS")</f>
        <v>235027.6</v>
      </c>
      <c r="D125" s="6">
        <f>A125</f>
        <v>45870</v>
      </c>
      <c r="E125" s="7">
        <f>SUMIFS('Transaction Data'!$L$2:$L$4618,'Transaction Data'!$A$2:$A$4618,$D125,'Transaction Data'!$E$2:$E$4618,"RTGS_TOTAL")+SUMIFS('Transaction Data'!$L$2:$L$4618,'Transaction Data'!$A$2:$A$4618,$D125,'Transaction Data'!$E$2:$E$4618,"RETAIL_CREDIT_TRANSFERS_TOTAL")+SUMIFS('Transaction Data'!$L$2:$L$4618,'Transaction Data'!$A$2:$A$4618,$D125,'Transaction Data'!$E$2:$E$4618,"DEBIT_TRANSFERS_TOTAL")+SUMIFS('Transaction Data'!$L$2:$L$4618,'Transaction Data'!$A$2:$A$4618,$D125,'Transaction Data'!$E$2:$E$4618,"CARD_PAYMENTS_TOTAL")+SUMIFS('Transaction Data'!$L$2:$L$4618,'Transaction Data'!$A$2:$A$4618,$D125,'Transaction Data'!$E$2:$E$4618,"PPI_TOTAL")</f>
        <v>23939275.030000001</v>
      </c>
    </row>
    <row r="126" spans="1:5">
      <c r="A126" s="6">
        <f>EDATE(A125,1)</f>
        <v>45901</v>
      </c>
      <c r="B126" s="7">
        <f>SUMIFS('Transaction Data'!$K$2:$K$4618,'Transaction Data'!$A$2:$A$4618,$A126,'Transaction Data'!$E$2:$E$4618,"TOTAL_DIGITAL_PAYMENTS")</f>
        <v>229834.03</v>
      </c>
      <c r="D126" s="6">
        <f>A126</f>
        <v>45901</v>
      </c>
      <c r="E126" s="7">
        <f>SUMIFS('Transaction Data'!$L$2:$L$4618,'Transaction Data'!$A$2:$A$4618,$D126,'Transaction Data'!$E$2:$E$4618,"RTGS_TOTAL")+SUMIFS('Transaction Data'!$L$2:$L$4618,'Transaction Data'!$A$2:$A$4618,$D126,'Transaction Data'!$E$2:$E$4618,"RETAIL_CREDIT_TRANSFERS_TOTAL")+SUMIFS('Transaction Data'!$L$2:$L$4618,'Transaction Data'!$A$2:$A$4618,$D126,'Transaction Data'!$E$2:$E$4618,"DEBIT_TRANSFERS_TOTAL")+SUMIFS('Transaction Data'!$L$2:$L$4618,'Transaction Data'!$A$2:$A$4618,$D126,'Transaction Data'!$E$2:$E$4618,"CARD_PAYMENTS_TOTAL")+SUMIFS('Transaction Data'!$L$2:$L$4618,'Transaction Data'!$A$2:$A$4618,$D126,'Transaction Data'!$E$2:$E$4618,"PPI_TOTAL")</f>
        <v>27879360.43</v>
      </c>
    </row>
    <row r="127" spans="1:5">
      <c r="A127" s="6">
        <f>EDATE(A126,1)</f>
        <v>45931</v>
      </c>
      <c r="B127" s="7">
        <f>SUMIFS('Transaction Data'!$K$2:$K$4618,'Transaction Data'!$A$2:$A$4618,$A127,'Transaction Data'!$E$2:$E$4618,"TOTAL_DIGITAL_PAYMENTS")</f>
        <v>241798.06</v>
      </c>
      <c r="D127" s="6">
        <f>A127</f>
        <v>45931</v>
      </c>
      <c r="E127" s="7">
        <f>SUMIFS('Transaction Data'!$L$2:$L$4618,'Transaction Data'!$A$2:$A$4618,$D127,'Transaction Data'!$E$2:$E$4618,"RTGS_TOTAL")+SUMIFS('Transaction Data'!$L$2:$L$4618,'Transaction Data'!$A$2:$A$4618,$D127,'Transaction Data'!$E$2:$E$4618,"RETAIL_CREDIT_TRANSFERS_TOTAL")+SUMIFS('Transaction Data'!$L$2:$L$4618,'Transaction Data'!$A$2:$A$4618,$D127,'Transaction Data'!$E$2:$E$4618,"DEBIT_TRANSFERS_TOTAL")+SUMIFS('Transaction Data'!$L$2:$L$4618,'Transaction Data'!$A$2:$A$4618,$D127,'Transaction Data'!$E$2:$E$4618,"CARD_PAYMENTS_TOTAL")+SUMIFS('Transaction Data'!$L$2:$L$4618,'Transaction Data'!$A$2:$A$4618,$D127,'Transaction Data'!$E$2:$E$4618,"PPI_TOTAL")</f>
        <v>27089050.769999996</v>
      </c>
    </row>
    <row r="128" spans="1:5">
      <c r="A128" s="6">
        <f>EDATE(A127,1)</f>
        <v>45962</v>
      </c>
      <c r="B128" s="7">
        <f>SUMIFS('Transaction Data'!$K$2:$K$4618,'Transaction Data'!$A$2:$A$4618,$A128,'Transaction Data'!$E$2:$E$4618,"TOTAL_DIGITAL_PAYMENTS")</f>
        <v>238887.74</v>
      </c>
      <c r="D128" s="6">
        <f>A128</f>
        <v>45962</v>
      </c>
      <c r="E128" s="7">
        <f>SUMIFS('Transaction Data'!$L$2:$L$4618,'Transaction Data'!$A$2:$A$4618,$D128,'Transaction Data'!$E$2:$E$4618,"RTGS_TOTAL")+SUMIFS('Transaction Data'!$L$2:$L$4618,'Transaction Data'!$A$2:$A$4618,$D128,'Transaction Data'!$E$2:$E$4618,"RETAIL_CREDIT_TRANSFERS_TOTAL")+SUMIFS('Transaction Data'!$L$2:$L$4618,'Transaction Data'!$A$2:$A$4618,$D128,'Transaction Data'!$E$2:$E$4618,"DEBIT_TRANSFERS_TOTAL")+SUMIFS('Transaction Data'!$L$2:$L$4618,'Transaction Data'!$A$2:$A$4618,$D128,'Transaction Data'!$E$2:$E$4618,"CARD_PAYMENTS_TOTAL")+SUMIFS('Transaction Data'!$L$2:$L$4618,'Transaction Data'!$A$2:$A$4618,$D128,'Transaction Data'!$E$2:$E$4618,"PPI_TOTAL")</f>
        <v>24669099.540000003</v>
      </c>
    </row>
    <row r="129" spans="1:5">
      <c r="A129" s="6">
        <f>EDATE(A128,1)</f>
        <v>45992</v>
      </c>
      <c r="B129" s="7">
        <f>SUMIFS('Transaction Data'!$K$2:$K$4618,'Transaction Data'!$A$2:$A$4618,$A129,'Transaction Data'!$E$2:$E$4618,"TOTAL_DIGITAL_PAYMENTS")</f>
        <v>251055.07</v>
      </c>
      <c r="D129" s="6">
        <f>A129</f>
        <v>45992</v>
      </c>
      <c r="E129" s="7">
        <f>SUMIFS('Transaction Data'!$L$2:$L$4618,'Transaction Data'!$A$2:$A$4618,$D129,'Transaction Data'!$E$2:$E$4618,"RTGS_TOTAL")+SUMIFS('Transaction Data'!$L$2:$L$4618,'Transaction Data'!$A$2:$A$4618,$D129,'Transaction Data'!$E$2:$E$4618,"RETAIL_CREDIT_TRANSFERS_TOTAL")+SUMIFS('Transaction Data'!$L$2:$L$4618,'Transaction Data'!$A$2:$A$4618,$D129,'Transaction Data'!$E$2:$E$4618,"DEBIT_TRANSFERS_TOTAL")+SUMIFS('Transaction Data'!$L$2:$L$4618,'Transaction Data'!$A$2:$A$4618,$D129,'Transaction Data'!$E$2:$E$4618,"CARD_PAYMENTS_TOTAL")+SUMIFS('Transaction Data'!$L$2:$L$4618,'Transaction Data'!$A$2:$A$4618,$D129,'Transaction Data'!$E$2:$E$4618,"PPI_TOTAL")</f>
        <v>30567264.100000001</v>
      </c>
    </row>
    <row r="130" spans="1:5">
      <c r="A130" s="6">
        <f>EDATE(A129,1)</f>
        <v>46023</v>
      </c>
      <c r="B130" s="7">
        <f>SUMIFS('Transaction Data'!$K$2:$K$4618,'Transaction Data'!$A$2:$A$4618,$A130,'Transaction Data'!$E$2:$E$4618,"TOTAL_DIGITAL_PAYMENTS")</f>
        <v>251651.77</v>
      </c>
      <c r="D130" s="6">
        <f>A130</f>
        <v>46023</v>
      </c>
      <c r="E130" s="7">
        <f>SUMIFS('Transaction Data'!$L$2:$L$4618,'Transaction Data'!$A$2:$A$4618,$D130,'Transaction Data'!$E$2:$E$4618,"RTGS_TOTAL")+SUMIFS('Transaction Data'!$L$2:$L$4618,'Transaction Data'!$A$2:$A$4618,$D130,'Transaction Data'!$E$2:$E$4618,"RETAIL_CREDIT_TRANSFERS_TOTAL")+SUMIFS('Transaction Data'!$L$2:$L$4618,'Transaction Data'!$A$2:$A$4618,$D130,'Transaction Data'!$E$2:$E$4618,"DEBIT_TRANSFERS_TOTAL")+SUMIFS('Transaction Data'!$L$2:$L$4618,'Transaction Data'!$A$2:$A$4618,$D130,'Transaction Data'!$E$2:$E$4618,"CARD_PAYMENTS_TOTAL")+SUMIFS('Transaction Data'!$L$2:$L$4618,'Transaction Data'!$A$2:$A$4618,$D130,'Transaction Data'!$E$2:$E$4618,"PPI_TOTAL")</f>
        <v>27760396.739999998</v>
      </c>
    </row>
    <row r="131" spans="1:5">
      <c r="A131" s="6">
        <f>EDATE(A130,1)</f>
        <v>46054</v>
      </c>
      <c r="B131" s="7">
        <f>SUMIFS('Transaction Data'!$K$2:$K$4618,'Transaction Data'!$A$2:$A$4618,$A131,'Transaction Data'!$E$2:$E$4618,"TOTAL_DIGITAL_PAYMENTS")</f>
        <v>235756.65</v>
      </c>
      <c r="D131" s="6">
        <f>A131</f>
        <v>46054</v>
      </c>
      <c r="E131" s="7">
        <f>SUMIFS('Transaction Data'!$L$2:$L$4618,'Transaction Data'!$A$2:$A$4618,$D131,'Transaction Data'!$E$2:$E$4618,"RTGS_TOTAL")+SUMIFS('Transaction Data'!$L$2:$L$4618,'Transaction Data'!$A$2:$A$4618,$D131,'Transaction Data'!$E$2:$E$4618,"RETAIL_CREDIT_TRANSFERS_TOTAL")+SUMIFS('Transaction Data'!$L$2:$L$4618,'Transaction Data'!$A$2:$A$4618,$D131,'Transaction Data'!$E$2:$E$4618,"DEBIT_TRANSFERS_TOTAL")+SUMIFS('Transaction Data'!$L$2:$L$4618,'Transaction Data'!$A$2:$A$4618,$D131,'Transaction Data'!$E$2:$E$4618,"CARD_PAYMENTS_TOTAL")+SUMIFS('Transaction Data'!$L$2:$L$4618,'Transaction Data'!$A$2:$A$4618,$D131,'Transaction Data'!$E$2:$E$4618,"PPI_TOTAL")</f>
        <v>27124723.450000003</v>
      </c>
    </row>
    <row r="132" spans="1:5">
      <c r="A132" s="6">
        <f>EDATE(A131,1)</f>
        <v>46082</v>
      </c>
      <c r="B132" s="7">
        <f>SUMIFS('Transaction Data'!$K$2:$K$4618,'Transaction Data'!$A$2:$A$4618,$A132,'Transaction Data'!$E$2:$E$4618,"TOTAL_DIGITAL_PAYMENTS")</f>
        <v>262336.94</v>
      </c>
      <c r="D132" s="6">
        <f>A132</f>
        <v>46082</v>
      </c>
      <c r="E132" s="7">
        <f>SUMIFS('Transaction Data'!$L$2:$L$4618,'Transaction Data'!$A$2:$A$4618,$D132,'Transaction Data'!$E$2:$E$4618,"RTGS_TOTAL")+SUMIFS('Transaction Data'!$L$2:$L$4618,'Transaction Data'!$A$2:$A$4618,$D132,'Transaction Data'!$E$2:$E$4618,"RETAIL_CREDIT_TRANSFERS_TOTAL")+SUMIFS('Transaction Data'!$L$2:$L$4618,'Transaction Data'!$A$2:$A$4618,$D132,'Transaction Data'!$E$2:$E$4618,"DEBIT_TRANSFERS_TOTAL")+SUMIFS('Transaction Data'!$L$2:$L$4618,'Transaction Data'!$A$2:$A$4618,$D132,'Transaction Data'!$E$2:$E$4618,"CARD_PAYMENTS_TOTAL")+SUMIFS('Transaction Data'!$L$2:$L$4618,'Transaction Data'!$A$2:$A$4618,$D132,'Transaction Data'!$E$2:$E$4618,"PPI_TOTAL")</f>
        <v>33922161.600000001</v>
      </c>
    </row>
    <row r="133" spans="1:5">
      <c r="A133" s="6">
        <f>EDATE(A132,1)</f>
        <v>46113</v>
      </c>
      <c r="B133" s="7">
        <f>SUMIFS('Transaction Data'!$K$2:$K$4618,'Transaction Data'!$A$2:$A$4618,$A133,'Transaction Data'!$E$2:$E$4618,"TOTAL_DIGITAL_PAYMENTS")</f>
        <v>256317.02</v>
      </c>
      <c r="D133" s="6">
        <f>A133</f>
        <v>46113</v>
      </c>
      <c r="E133" s="7">
        <f>SUMIFS('Transaction Data'!$L$2:$L$4618,'Transaction Data'!$A$2:$A$4618,$D133,'Transaction Data'!$E$2:$E$4618,"RTGS_TOTAL")+SUMIFS('Transaction Data'!$L$2:$L$4618,'Transaction Data'!$A$2:$A$4618,$D133,'Transaction Data'!$E$2:$E$4618,"RETAIL_CREDIT_TRANSFERS_TOTAL")+SUMIFS('Transaction Data'!$L$2:$L$4618,'Transaction Data'!$A$2:$A$4618,$D133,'Transaction Data'!$E$2:$E$4618,"DEBIT_TRANSFERS_TOTAL")+SUMIFS('Transaction Data'!$L$2:$L$4618,'Transaction Data'!$A$2:$A$4618,$D133,'Transaction Data'!$E$2:$E$4618,"CARD_PAYMENTS_TOTAL")+SUMIFS('Transaction Data'!$L$2:$L$4618,'Transaction Data'!$A$2:$A$4618,$D133,'Transaction Data'!$E$2:$E$4618,"PPI_TOTAL")</f>
        <v>27993138.739999998</v>
      </c>
    </row>
    <row r="134" spans="1:5">
      <c r="A134" s="6">
        <f>EDATE(A133,1)</f>
        <v>46143</v>
      </c>
      <c r="B134" s="7">
        <f>SUMIFS('Transaction Data'!$K$2:$K$4618,'Transaction Data'!$A$2:$A$4618,$A134,'Transaction Data'!$E$2:$E$4618,"TOTAL_DIGITAL_PAYMENTS")</f>
        <v>265265</v>
      </c>
      <c r="D134" s="6">
        <f>A134</f>
        <v>46143</v>
      </c>
      <c r="E134" s="7">
        <f>SUMIFS('Transaction Data'!$L$2:$L$4618,'Transaction Data'!$A$2:$A$4618,$D134,'Transaction Data'!$E$2:$E$4618,"RTGS_TOTAL")+SUMIFS('Transaction Data'!$L$2:$L$4618,'Transaction Data'!$A$2:$A$4618,$D134,'Transaction Data'!$E$2:$E$4618,"RETAIL_CREDIT_TRANSFERS_TOTAL")+SUMIFS('Transaction Data'!$L$2:$L$4618,'Transaction Data'!$A$2:$A$4618,$D134,'Transaction Data'!$E$2:$E$4618,"DEBIT_TRANSFERS_TOTAL")+SUMIFS('Transaction Data'!$L$2:$L$4618,'Transaction Data'!$A$2:$A$4618,$D134,'Transaction Data'!$E$2:$E$4618,"CARD_PAYMENTS_TOTAL")+SUMIFS('Transaction Data'!$L$2:$L$4618,'Transaction Data'!$A$2:$A$4618,$D134,'Transaction Data'!$E$2:$E$4618,"PPI_TOTAL")</f>
        <v>27268804.859999999</v>
      </c>
    </row>
    <row r="135" spans="1:5">
      <c r="A135" s="6">
        <f>EDATE(A134,1)</f>
        <v>46174</v>
      </c>
      <c r="B135" s="7">
        <f>SUMIFS('Transaction Data'!$K$2:$K$4618,'Transaction Data'!$A$2:$A$4618,$A135,'Transaction Data'!$E$2:$E$4618,"TOTAL_DIGITAL_PAYMENTS")</f>
        <v>261711.04</v>
      </c>
      <c r="D135" s="6">
        <f>A135</f>
        <v>46174</v>
      </c>
      <c r="E135" s="7">
        <f>SUMIFS('Transaction Data'!$L$2:$L$4618,'Transaction Data'!$A$2:$A$4618,$D135,'Transaction Data'!$E$2:$E$4618,"RTGS_TOTAL")+SUMIFS('Transaction Data'!$L$2:$L$4618,'Transaction Data'!$A$2:$A$4618,$D135,'Transaction Data'!$E$2:$E$4618,"RETAIL_CREDIT_TRANSFERS_TOTAL")+SUMIFS('Transaction Data'!$L$2:$L$4618,'Transaction Data'!$A$2:$A$4618,$D135,'Transaction Data'!$E$2:$E$4618,"DEBIT_TRANSFERS_TOTAL")+SUMIFS('Transaction Data'!$L$2:$L$4618,'Transaction Data'!$A$2:$A$4618,$D135,'Transaction Data'!$E$2:$E$4618,"CARD_PAYMENTS_TOTAL")+SUMIFS('Transaction Data'!$L$2:$L$4618,'Transaction Data'!$A$2:$A$4618,$D135,'Transaction Data'!$E$2:$E$4618,"PPI_TOTAL")</f>
        <v>31764092.219999999</v>
      </c>
    </row>
    <row r="136" spans="1:5">
      <c r="A136" s="6">
        <f>EDATE(A135,1)</f>
        <v>46204</v>
      </c>
      <c r="B136" s="7">
        <f>SUMIFS('Transaction Data'!$K$2:$K$4618,'Transaction Data'!$A$2:$A$4618,$A136,'Transaction Data'!$E$2:$E$4618,"TOTAL_DIGITAL_PAYMENTS")</f>
        <v>271816.8</v>
      </c>
      <c r="D136" s="6">
        <f>A136</f>
        <v>46204</v>
      </c>
      <c r="E136" s="7">
        <f>SUMIFS('Transaction Data'!$L$2:$L$4618,'Transaction Data'!$A$2:$A$4618,$D136,'Transaction Data'!$E$2:$E$4618,"RTGS_TOTAL")+SUMIFS('Transaction Data'!$L$2:$L$4618,'Transaction Data'!$A$2:$A$4618,$D136,'Transaction Data'!$E$2:$E$4618,"RETAIL_CREDIT_TRANSFERS_TOTAL")+SUMIFS('Transaction Data'!$L$2:$L$4618,'Transaction Data'!$A$2:$A$4618,$D136,'Transaction Data'!$E$2:$E$4618,"DEBIT_TRANSFERS_TOTAL")+SUMIFS('Transaction Data'!$L$2:$L$4618,'Transaction Data'!$A$2:$A$4618,$D136,'Transaction Data'!$E$2:$E$4618,"CARD_PAYMENTS_TOTAL")+SUMIFS('Transaction Data'!$L$2:$L$4618,'Transaction Data'!$A$2:$A$4618,$D136,'Transaction Data'!$E$2:$E$4618,"PPI_TOTAL")</f>
        <v>31436326.610000003</v>
      </c>
    </row>
  </sheetData>
  <mergeCells count="19">
    <mergeCell ref="A12:L12"/>
    <mergeCell ref="A54:B54"/>
    <mergeCell ref="G54:H54"/>
    <mergeCell ref="G6:H7"/>
    <mergeCell ref="I5:L5"/>
    <mergeCell ref="I6:L7"/>
    <mergeCell ref="A9:L9"/>
    <mergeCell ref="A10:L10"/>
    <mergeCell ref="A11:L11"/>
    <mergeCell ref="A1:L1"/>
    <mergeCell ref="A2:L2"/>
    <mergeCell ref="A3:L3"/>
    <mergeCell ref="A5:B5"/>
    <mergeCell ref="A6:B7"/>
    <mergeCell ref="C5:D5"/>
    <mergeCell ref="C6:D7"/>
    <mergeCell ref="E5:F5"/>
    <mergeCell ref="E6:F7"/>
    <mergeCell ref="G5:H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B24F-AD70-45DE-B34C-C0AB3D9954A7}">
  <sheetPr>
    <tabColor rgb="FF1F4E78"/>
  </sheetPr>
  <dimension ref="A1:P137"/>
  <sheetViews>
    <sheetView showGridLines="0" topLeftCell="A51" zoomScale="54" workbookViewId="0">
      <selection activeCell="Q6" sqref="Q6"/>
    </sheetView>
  </sheetViews>
  <sheetFormatPr defaultRowHeight="14.5"/>
  <cols>
    <col min="1" max="1" width="17.7265625" customWidth="1"/>
    <col min="2" max="2" width="9.81640625" customWidth="1"/>
    <col min="3" max="3" width="24.1796875" customWidth="1"/>
    <col min="4" max="7" width="9.81640625" customWidth="1"/>
    <col min="8" max="8" width="13" customWidth="1"/>
    <col min="9" max="9" width="19.81640625" customWidth="1"/>
    <col min="10" max="10" width="21" customWidth="1"/>
    <col min="11" max="11" width="20.08984375" customWidth="1"/>
    <col min="12" max="12" width="20.36328125" customWidth="1"/>
    <col min="13" max="13" width="18.6328125" customWidth="1"/>
    <col min="14" max="14" width="9.81640625" customWidth="1"/>
    <col min="15" max="15" width="29.7265625" customWidth="1"/>
    <col min="16" max="16" width="9.81640625" customWidth="1"/>
  </cols>
  <sheetData>
    <row r="1" spans="1:16" ht="28.5" thickBot="1">
      <c r="A1" s="11" t="s">
        <v>9308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5" thickTop="1">
      <c r="A2" s="12" t="s">
        <v>9309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ht="32" customHeight="1">
      <c r="A3" s="13" t="s">
        <v>9310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5" spans="1:16" ht="15" thickBot="1">
      <c r="A5" s="14" t="s">
        <v>9311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6" t="str">
        <f>"Latest-month volume is "&amp;TEXT(SUM(B137:F137)/SUMIFS('Transaction Data'!$K$2:$K$4618,'Transaction Data'!$A$2:$A$4618,EDATE(MAX('Transaction Data'!$A$2:$A$4618),-12),'Transaction Data'!$E$2:$E$4618,"TOTAL_DIGITAL_PAYMENTS")-1,"0.0%")&amp;" above July 2025."</f>
        <v>Latest-month volume is 19.4% above July 2025.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>
      <c r="A7" s="15" t="str">
        <f>"Retail credit transfers represented "&amp;TEXT(C137/SUM(B137:F137),"0.0%")&amp;" of July 2026 volume, the largest official category."</f>
        <v>Retail credit transfers represented 93.1% of July 2026 volume, the largest official category.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7" t="str">
        <f>"Total payment volume increased "&amp;TEXT(P137,"0.0%")&amp;" month over month in July 2026."</f>
        <v>Total payment volume increased 3.9% month over month in July 2026.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56" spans="1:16">
      <c r="A56" s="3" t="s">
        <v>9287</v>
      </c>
      <c r="B56" s="3" t="s">
        <v>9288</v>
      </c>
      <c r="C56" s="3" t="s">
        <v>9289</v>
      </c>
      <c r="D56" s="3" t="s">
        <v>9290</v>
      </c>
      <c r="E56" s="3" t="s">
        <v>9291</v>
      </c>
      <c r="F56" s="3" t="s">
        <v>9304</v>
      </c>
      <c r="G56" s="3"/>
      <c r="H56" s="3" t="s">
        <v>9287</v>
      </c>
      <c r="I56" s="3" t="s">
        <v>9288</v>
      </c>
      <c r="J56" s="3" t="s">
        <v>9289</v>
      </c>
      <c r="K56" s="3" t="s">
        <v>9290</v>
      </c>
      <c r="L56" s="3" t="s">
        <v>9291</v>
      </c>
      <c r="M56" s="3" t="s">
        <v>9304</v>
      </c>
      <c r="N56" s="3"/>
      <c r="O56" s="3" t="s">
        <v>9287</v>
      </c>
      <c r="P56" s="3" t="s">
        <v>9312</v>
      </c>
    </row>
    <row r="57" spans="1:16">
      <c r="A57" s="6">
        <f>MIN('Transaction Data'!$A$2:$A$4618)</f>
        <v>43770</v>
      </c>
      <c r="B57" s="7">
        <f>SUMIFS('Transaction Data'!$K$2:$K$4618,'Transaction Data'!$A$2:$A$4618,$A57,'Transaction Data'!$E$2:$E$4618,"RTGS_TOTAL")</f>
        <v>133.87</v>
      </c>
      <c r="C57" s="7">
        <f>SUMIFS('Transaction Data'!$K$2:$K$4618,'Transaction Data'!$A$2:$A$4618,$A57,'Transaction Data'!$E$2:$E$4618,"RETAIL_CREDIT_TRANSFERS_TOTAL")</f>
        <v>18731.18</v>
      </c>
      <c r="D57" s="7">
        <f>SUMIFS('Transaction Data'!$K$2:$K$4618,'Transaction Data'!$A$2:$A$4618,$A57,'Transaction Data'!$E$2:$E$4618,"DEBIT_TRANSFERS_TOTAL")</f>
        <v>530.54</v>
      </c>
      <c r="E57" s="7">
        <f>SUMIFS('Transaction Data'!$K$2:$K$4618,'Transaction Data'!$A$2:$A$4618,$A57,'Transaction Data'!$E$2:$E$4618,"CARD_PAYMENTS_TOTAL")</f>
        <v>5942.96</v>
      </c>
      <c r="F57" s="7">
        <f>SUMIFS('Transaction Data'!$K$2:$K$4618,'Transaction Data'!$A$2:$A$4618,$A57,'Transaction Data'!$E$2:$E$4618,"PPI_TOTAL")</f>
        <v>4640.07</v>
      </c>
      <c r="H57" s="6">
        <f>A57</f>
        <v>43770</v>
      </c>
      <c r="I57" s="7">
        <f>SUMIFS('Transaction Data'!$L$2:$L$4618,'Transaction Data'!$A$2:$A$4618,$H57,'Transaction Data'!$E$2:$E$4618,"RTGS_TOTAL")</f>
        <v>8679806.1899999995</v>
      </c>
      <c r="J57" s="7">
        <f>SUMIFS('Transaction Data'!$L$2:$L$4618,'Transaction Data'!$A$2:$A$4618,$H57,'Transaction Data'!$E$2:$E$4618,"RETAIL_CREDIT_TRANSFERS_TOTAL")</f>
        <v>2224702.0099999998</v>
      </c>
      <c r="K57" s="7">
        <f>SUMIFS('Transaction Data'!$L$2:$L$4618,'Transaction Data'!$A$2:$A$4618,$H57,'Transaction Data'!$E$2:$E$4618,"DEBIT_TRANSFERS_TOTAL")</f>
        <v>52894.13</v>
      </c>
      <c r="L57" s="7">
        <f>SUMIFS('Transaction Data'!$L$2:$L$4618,'Transaction Data'!$A$2:$A$4618,$H57,'Transaction Data'!$E$2:$E$4618,"CARD_PAYMENTS_TOTAL")</f>
        <v>118338.93</v>
      </c>
      <c r="M57" s="7">
        <f>SUMIFS('Transaction Data'!$L$2:$L$4618,'Transaction Data'!$A$2:$A$4618,$H57,'Transaction Data'!$E$2:$E$4618,"PPI_TOTAL")</f>
        <v>16927.86</v>
      </c>
      <c r="O57" s="6">
        <f>A57</f>
        <v>43770</v>
      </c>
      <c r="P57" s="9"/>
    </row>
    <row r="58" spans="1:16">
      <c r="A58" s="6">
        <f>EDATE(A57,1)</f>
        <v>43800</v>
      </c>
      <c r="B58" s="7">
        <f>SUMIFS('Transaction Data'!$K$2:$K$4618,'Transaction Data'!$A$2:$A$4618,$A58,'Transaction Data'!$E$2:$E$4618,"RTGS_TOTAL")</f>
        <v>136.02000000000001</v>
      </c>
      <c r="C58" s="7">
        <f>SUMIFS('Transaction Data'!$K$2:$K$4618,'Transaction Data'!$A$2:$A$4618,$A58,'Transaction Data'!$E$2:$E$4618,"RETAIL_CREDIT_TRANSFERS_TOTAL")</f>
        <v>20012.78</v>
      </c>
      <c r="D58" s="7">
        <f>SUMIFS('Transaction Data'!$K$2:$K$4618,'Transaction Data'!$A$2:$A$4618,$A58,'Transaction Data'!$E$2:$E$4618,"DEBIT_TRANSFERS_TOTAL")</f>
        <v>552.85</v>
      </c>
      <c r="E58" s="7">
        <f>SUMIFS('Transaction Data'!$K$2:$K$4618,'Transaction Data'!$A$2:$A$4618,$A58,'Transaction Data'!$E$2:$E$4618,"CARD_PAYMENTS_TOTAL")</f>
        <v>6485.39</v>
      </c>
      <c r="F58" s="7">
        <f>SUMIFS('Transaction Data'!$K$2:$K$4618,'Transaction Data'!$A$2:$A$4618,$A58,'Transaction Data'!$E$2:$E$4618,"PPI_TOTAL")</f>
        <v>5069.51</v>
      </c>
      <c r="H58" s="6">
        <f>A58</f>
        <v>43800</v>
      </c>
      <c r="I58" s="7">
        <f>SUMIFS('Transaction Data'!$L$2:$L$4618,'Transaction Data'!$A$2:$A$4618,$H58,'Transaction Data'!$E$2:$E$4618,"RTGS_TOTAL")</f>
        <v>10316936.810000001</v>
      </c>
      <c r="J58" s="7">
        <f>SUMIFS('Transaction Data'!$L$2:$L$4618,'Transaction Data'!$A$2:$A$4618,$H58,'Transaction Data'!$E$2:$E$4618,"RETAIL_CREDIT_TRANSFERS_TOTAL")</f>
        <v>2440121.66</v>
      </c>
      <c r="K58" s="7">
        <f>SUMIFS('Transaction Data'!$L$2:$L$4618,'Transaction Data'!$A$2:$A$4618,$H58,'Transaction Data'!$E$2:$E$4618,"DEBIT_TRANSFERS_TOTAL")</f>
        <v>54320.3</v>
      </c>
      <c r="L58" s="7">
        <f>SUMIFS('Transaction Data'!$L$2:$L$4618,'Transaction Data'!$A$2:$A$4618,$H58,'Transaction Data'!$E$2:$E$4618,"CARD_PAYMENTS_TOTAL")</f>
        <v>128488.21</v>
      </c>
      <c r="M58" s="7">
        <f>SUMIFS('Transaction Data'!$L$2:$L$4618,'Transaction Data'!$A$2:$A$4618,$H58,'Transaction Data'!$E$2:$E$4618,"PPI_TOTAL")</f>
        <v>18922.32</v>
      </c>
      <c r="O58" s="6">
        <f>A58</f>
        <v>43800</v>
      </c>
      <c r="P58" s="9">
        <f>IFERROR(IF(SUM(B57:F57)=0,"",SUM(B58:F58)/SUM(B57:F57)-1),"")</f>
        <v>7.5985152085052521E-2</v>
      </c>
    </row>
    <row r="59" spans="1:16">
      <c r="A59" s="6">
        <f>EDATE(A58,1)</f>
        <v>43831</v>
      </c>
      <c r="B59" s="7">
        <f>SUMIFS('Transaction Data'!$K$2:$K$4618,'Transaction Data'!$A$2:$A$4618,$A59,'Transaction Data'!$E$2:$E$4618,"RTGS_TOTAL")</f>
        <v>137.29</v>
      </c>
      <c r="C59" s="7">
        <f>SUMIFS('Transaction Data'!$K$2:$K$4618,'Transaction Data'!$A$2:$A$4618,$A59,'Transaction Data'!$E$2:$E$4618,"RETAIL_CREDIT_TRANSFERS_TOTAL")</f>
        <v>21168.29</v>
      </c>
      <c r="D59" s="7">
        <f>SUMIFS('Transaction Data'!$K$2:$K$4618,'Transaction Data'!$A$2:$A$4618,$A59,'Transaction Data'!$E$2:$E$4618,"DEBIT_TRANSFERS_TOTAL")</f>
        <v>571.04999999999995</v>
      </c>
      <c r="E59" s="7">
        <f>SUMIFS('Transaction Data'!$K$2:$K$4618,'Transaction Data'!$A$2:$A$4618,$A59,'Transaction Data'!$E$2:$E$4618,"CARD_PAYMENTS_TOTAL")</f>
        <v>6518.12</v>
      </c>
      <c r="F59" s="7">
        <f>SUMIFS('Transaction Data'!$K$2:$K$4618,'Transaction Data'!$A$2:$A$4618,$A59,'Transaction Data'!$E$2:$E$4618,"PPI_TOTAL")</f>
        <v>5237.05</v>
      </c>
      <c r="H59" s="6">
        <f>A59</f>
        <v>43831</v>
      </c>
      <c r="I59" s="7">
        <f>SUMIFS('Transaction Data'!$L$2:$L$4618,'Transaction Data'!$A$2:$A$4618,$H59,'Transaction Data'!$E$2:$E$4618,"RTGS_TOTAL")</f>
        <v>9880821.25</v>
      </c>
      <c r="J59" s="7">
        <f>SUMIFS('Transaction Data'!$L$2:$L$4618,'Transaction Data'!$A$2:$A$4618,$H59,'Transaction Data'!$E$2:$E$4618,"RETAIL_CREDIT_TRANSFERS_TOTAL")</f>
        <v>2453546.42</v>
      </c>
      <c r="K59" s="7">
        <f>SUMIFS('Transaction Data'!$L$2:$L$4618,'Transaction Data'!$A$2:$A$4618,$H59,'Transaction Data'!$E$2:$E$4618,"DEBIT_TRANSFERS_TOTAL")</f>
        <v>55298.1</v>
      </c>
      <c r="L59" s="7">
        <f>SUMIFS('Transaction Data'!$L$2:$L$4618,'Transaction Data'!$A$2:$A$4618,$H59,'Transaction Data'!$E$2:$E$4618,"CARD_PAYMENTS_TOTAL")</f>
        <v>129444.05</v>
      </c>
      <c r="M59" s="7">
        <f>SUMIFS('Transaction Data'!$L$2:$L$4618,'Transaction Data'!$A$2:$A$4618,$H59,'Transaction Data'!$E$2:$E$4618,"PPI_TOTAL")</f>
        <v>18285.86</v>
      </c>
      <c r="O59" s="6">
        <f>A59</f>
        <v>43831</v>
      </c>
      <c r="P59" s="9">
        <f>IFERROR(IF(SUM(B58:F58)=0,"",SUM(B59:F59)/SUM(B58:F58)-1),"")</f>
        <v>4.2634751701592588E-2</v>
      </c>
    </row>
    <row r="60" spans="1:16">
      <c r="A60" s="6">
        <f>EDATE(A59,1)</f>
        <v>43862</v>
      </c>
      <c r="B60" s="7">
        <f>SUMIFS('Transaction Data'!$K$2:$K$4618,'Transaction Data'!$A$2:$A$4618,$A60,'Transaction Data'!$E$2:$E$4618,"RTGS_TOTAL")</f>
        <v>133.15</v>
      </c>
      <c r="C60" s="7">
        <f>SUMIFS('Transaction Data'!$K$2:$K$4618,'Transaction Data'!$A$2:$A$4618,$A60,'Transaction Data'!$E$2:$E$4618,"RETAIL_CREDIT_TRANSFERS_TOTAL")</f>
        <v>20370.86</v>
      </c>
      <c r="D60" s="7">
        <f>SUMIFS('Transaction Data'!$K$2:$K$4618,'Transaction Data'!$A$2:$A$4618,$A60,'Transaction Data'!$E$2:$E$4618,"DEBIT_TRANSFERS_TOTAL")</f>
        <v>577.38</v>
      </c>
      <c r="E60" s="7">
        <f>SUMIFS('Transaction Data'!$K$2:$K$4618,'Transaction Data'!$A$2:$A$4618,$A60,'Transaction Data'!$E$2:$E$4618,"CARD_PAYMENTS_TOTAL")</f>
        <v>6128.68</v>
      </c>
      <c r="F60" s="7">
        <f>SUMIFS('Transaction Data'!$K$2:$K$4618,'Transaction Data'!$A$2:$A$4618,$A60,'Transaction Data'!$E$2:$E$4618,"PPI_TOTAL")</f>
        <v>5685.17</v>
      </c>
      <c r="H60" s="6">
        <f>A60</f>
        <v>43862</v>
      </c>
      <c r="I60" s="7">
        <f>SUMIFS('Transaction Data'!$L$2:$L$4618,'Transaction Data'!$A$2:$A$4618,$H60,'Transaction Data'!$E$2:$E$4618,"RTGS_TOTAL")</f>
        <v>8990096.7699999996</v>
      </c>
      <c r="J60" s="7">
        <f>SUMIFS('Transaction Data'!$L$2:$L$4618,'Transaction Data'!$A$2:$A$4618,$H60,'Transaction Data'!$E$2:$E$4618,"RETAIL_CREDIT_TRANSFERS_TOTAL")</f>
        <v>2395194.7200000002</v>
      </c>
      <c r="K60" s="7">
        <f>SUMIFS('Transaction Data'!$L$2:$L$4618,'Transaction Data'!$A$2:$A$4618,$H60,'Transaction Data'!$E$2:$E$4618,"DEBIT_TRANSFERS_TOTAL")</f>
        <v>55214.55</v>
      </c>
      <c r="L60" s="7">
        <f>SUMIFS('Transaction Data'!$L$2:$L$4618,'Transaction Data'!$A$2:$A$4618,$H60,'Transaction Data'!$E$2:$E$4618,"CARD_PAYMENTS_TOTAL")</f>
        <v>120707.85</v>
      </c>
      <c r="M60" s="7">
        <f>SUMIFS('Transaction Data'!$L$2:$L$4618,'Transaction Data'!$A$2:$A$4618,$H60,'Transaction Data'!$E$2:$E$4618,"PPI_TOTAL")</f>
        <v>17514.71</v>
      </c>
      <c r="O60" s="6">
        <f>A60</f>
        <v>43862</v>
      </c>
      <c r="P60" s="9">
        <f>IFERROR(IF(SUM(B59:F59)=0,"",SUM(B60:F60)/SUM(B59:F59)-1),"")</f>
        <v>-2.1900701122152144E-2</v>
      </c>
    </row>
    <row r="61" spans="1:16">
      <c r="A61" s="6">
        <f>EDATE(A60,1)</f>
        <v>43891</v>
      </c>
      <c r="B61" s="7">
        <f>SUMIFS('Transaction Data'!$K$2:$K$4618,'Transaction Data'!$A$2:$A$4618,$A61,'Transaction Data'!$E$2:$E$4618,"RTGS_TOTAL")</f>
        <v>118.95</v>
      </c>
      <c r="C61" s="7">
        <f>SUMIFS('Transaction Data'!$K$2:$K$4618,'Transaction Data'!$A$2:$A$4618,$A61,'Transaction Data'!$E$2:$E$4618,"RETAIL_CREDIT_TRANSFERS_TOTAL")</f>
        <v>19635.400000000001</v>
      </c>
      <c r="D61" s="7">
        <f>SUMIFS('Transaction Data'!$K$2:$K$4618,'Transaction Data'!$A$2:$A$4618,$A61,'Transaction Data'!$E$2:$E$4618,"DEBIT_TRANSFERS_TOTAL")</f>
        <v>282.97000000000003</v>
      </c>
      <c r="E61" s="7">
        <f>SUMIFS('Transaction Data'!$K$2:$K$4618,'Transaction Data'!$A$2:$A$4618,$A61,'Transaction Data'!$E$2:$E$4618,"CARD_PAYMENTS_TOTAL")</f>
        <v>5246.7</v>
      </c>
      <c r="F61" s="7">
        <f>SUMIFS('Transaction Data'!$K$2:$K$4618,'Transaction Data'!$A$2:$A$4618,$A61,'Transaction Data'!$E$2:$E$4618,"PPI_TOTAL")</f>
        <v>3982.85</v>
      </c>
      <c r="H61" s="6">
        <f>A61</f>
        <v>43891</v>
      </c>
      <c r="I61" s="7">
        <f>SUMIFS('Transaction Data'!$L$2:$L$4618,'Transaction Data'!$A$2:$A$4618,$H61,'Transaction Data'!$E$2:$E$4618,"RTGS_TOTAL")</f>
        <v>12047220.74</v>
      </c>
      <c r="J61" s="7">
        <f>SUMIFS('Transaction Data'!$L$2:$L$4618,'Transaction Data'!$A$2:$A$4618,$H61,'Transaction Data'!$E$2:$E$4618,"RETAIL_CREDIT_TRANSFERS_TOTAL")</f>
        <v>2829140.24</v>
      </c>
      <c r="K61" s="7">
        <f>SUMIFS('Transaction Data'!$L$2:$L$4618,'Transaction Data'!$A$2:$A$4618,$H61,'Transaction Data'!$E$2:$E$4618,"DEBIT_TRANSFERS_TOTAL")</f>
        <v>34268.89</v>
      </c>
      <c r="L61" s="7">
        <f>SUMIFS('Transaction Data'!$L$2:$L$4618,'Transaction Data'!$A$2:$A$4618,$H61,'Transaction Data'!$E$2:$E$4618,"CARD_PAYMENTS_TOTAL")</f>
        <v>98783.1</v>
      </c>
      <c r="M61" s="7">
        <f>SUMIFS('Transaction Data'!$L$2:$L$4618,'Transaction Data'!$A$2:$A$4618,$H61,'Transaction Data'!$E$2:$E$4618,"PPI_TOTAL")</f>
        <v>15340.81</v>
      </c>
      <c r="O61" s="6">
        <f>A61</f>
        <v>43891</v>
      </c>
      <c r="P61" s="9">
        <f>IFERROR(IF(SUM(B60:F60)=0,"",SUM(B61:F61)/SUM(B60:F60)-1),"")</f>
        <v>-0.11030076083956231</v>
      </c>
    </row>
    <row r="62" spans="1:16">
      <c r="A62" s="6">
        <f>EDATE(A61,1)</f>
        <v>43922</v>
      </c>
      <c r="B62" s="7">
        <f>SUMIFS('Transaction Data'!$K$2:$K$4618,'Transaction Data'!$A$2:$A$4618,$A62,'Transaction Data'!$E$2:$E$4618,"RTGS_TOTAL")</f>
        <v>54.35</v>
      </c>
      <c r="C62" s="7">
        <f>SUMIFS('Transaction Data'!$K$2:$K$4618,'Transaction Data'!$A$2:$A$4618,$A62,'Transaction Data'!$E$2:$E$4618,"RETAIL_CREDIT_TRANSFERS_TOTAL")</f>
        <v>17950.71</v>
      </c>
      <c r="D62" s="7">
        <f>SUMIFS('Transaction Data'!$K$2:$K$4618,'Transaction Data'!$A$2:$A$4618,$A62,'Transaction Data'!$E$2:$E$4618,"DEBIT_TRANSFERS_TOTAL")</f>
        <v>691.42</v>
      </c>
      <c r="E62" s="7">
        <f>SUMIFS('Transaction Data'!$K$2:$K$4618,'Transaction Data'!$A$2:$A$4618,$A62,'Transaction Data'!$E$2:$E$4618,"CARD_PAYMENTS_TOTAL")</f>
        <v>2822.19</v>
      </c>
      <c r="F62" s="7">
        <f>SUMIFS('Transaction Data'!$K$2:$K$4618,'Transaction Data'!$A$2:$A$4618,$A62,'Transaction Data'!$E$2:$E$4618,"PPI_TOTAL")</f>
        <v>2086.0100000000002</v>
      </c>
      <c r="H62" s="6">
        <f>A62</f>
        <v>43922</v>
      </c>
      <c r="I62" s="7">
        <f>SUMIFS('Transaction Data'!$L$2:$L$4618,'Transaction Data'!$A$2:$A$4618,$H62,'Transaction Data'!$E$2:$E$4618,"RTGS_TOTAL")</f>
        <v>6443653.1100000003</v>
      </c>
      <c r="J62" s="7">
        <f>SUMIFS('Transaction Data'!$L$2:$L$4618,'Transaction Data'!$A$2:$A$4618,$H62,'Transaction Data'!$E$2:$E$4618,"RETAIL_CREDIT_TRANSFERS_TOTAL")</f>
        <v>1687803</v>
      </c>
      <c r="K62" s="7">
        <f>SUMIFS('Transaction Data'!$L$2:$L$4618,'Transaction Data'!$A$2:$A$4618,$H62,'Transaction Data'!$E$2:$E$4618,"DEBIT_TRANSFERS_TOTAL")</f>
        <v>56028.52</v>
      </c>
      <c r="L62" s="7">
        <f>SUMIFS('Transaction Data'!$L$2:$L$4618,'Transaction Data'!$A$2:$A$4618,$H62,'Transaction Data'!$E$2:$E$4618,"CARD_PAYMENTS_TOTAL")</f>
        <v>44015.25</v>
      </c>
      <c r="M62" s="7">
        <f>SUMIFS('Transaction Data'!$L$2:$L$4618,'Transaction Data'!$A$2:$A$4618,$H62,'Transaction Data'!$E$2:$E$4618,"PPI_TOTAL")</f>
        <v>9648.42</v>
      </c>
      <c r="O62" s="6">
        <f>A62</f>
        <v>43922</v>
      </c>
      <c r="P62" s="9">
        <f>IFERROR(IF(SUM(B61:F61)=0,"",SUM(B62:F62)/SUM(B61:F61)-1),"")</f>
        <v>-0.19346756246909935</v>
      </c>
    </row>
    <row r="63" spans="1:16">
      <c r="A63" s="6">
        <f>EDATE(A62,1)</f>
        <v>43952</v>
      </c>
      <c r="B63" s="7">
        <f>SUMIFS('Transaction Data'!$K$2:$K$4618,'Transaction Data'!$A$2:$A$4618,$A63,'Transaction Data'!$E$2:$E$4618,"RTGS_TOTAL")</f>
        <v>90.04</v>
      </c>
      <c r="C63" s="7">
        <f>SUMIFS('Transaction Data'!$K$2:$K$4618,'Transaction Data'!$A$2:$A$4618,$A63,'Transaction Data'!$E$2:$E$4618,"RETAIL_CREDIT_TRANSFERS_TOTAL")</f>
        <v>18091.87</v>
      </c>
      <c r="D63" s="7">
        <f>SUMIFS('Transaction Data'!$K$2:$K$4618,'Transaction Data'!$A$2:$A$4618,$A63,'Transaction Data'!$E$2:$E$4618,"DEBIT_TRANSFERS_TOTAL")</f>
        <v>672.9</v>
      </c>
      <c r="E63" s="7">
        <f>SUMIFS('Transaction Data'!$K$2:$K$4618,'Transaction Data'!$A$2:$A$4618,$A63,'Transaction Data'!$E$2:$E$4618,"CARD_PAYMENTS_TOTAL")</f>
        <v>3687.68</v>
      </c>
      <c r="F63" s="7">
        <f>SUMIFS('Transaction Data'!$K$2:$K$4618,'Transaction Data'!$A$2:$A$4618,$A63,'Transaction Data'!$E$2:$E$4618,"PPI_TOTAL")</f>
        <v>3032.04</v>
      </c>
      <c r="H63" s="6">
        <f>A63</f>
        <v>43952</v>
      </c>
      <c r="I63" s="7">
        <f>SUMIFS('Transaction Data'!$L$2:$L$4618,'Transaction Data'!$A$2:$A$4618,$H63,'Transaction Data'!$E$2:$E$4618,"RTGS_TOTAL")</f>
        <v>7041869.3600000003</v>
      </c>
      <c r="J63" s="7">
        <f>SUMIFS('Transaction Data'!$L$2:$L$4618,'Transaction Data'!$A$2:$A$4618,$H63,'Transaction Data'!$E$2:$E$4618,"RETAIL_CREDIT_TRANSFERS_TOTAL")</f>
        <v>2018057.2</v>
      </c>
      <c r="K63" s="7">
        <f>SUMIFS('Transaction Data'!$L$2:$L$4618,'Transaction Data'!$A$2:$A$4618,$H63,'Transaction Data'!$E$2:$E$4618,"DEBIT_TRANSFERS_TOTAL")</f>
        <v>50961.89</v>
      </c>
      <c r="L63" s="7">
        <f>SUMIFS('Transaction Data'!$L$2:$L$4618,'Transaction Data'!$A$2:$A$4618,$H63,'Transaction Data'!$E$2:$E$4618,"CARD_PAYMENTS_TOTAL")</f>
        <v>70208.81</v>
      </c>
      <c r="M63" s="7">
        <f>SUMIFS('Transaction Data'!$L$2:$L$4618,'Transaction Data'!$A$2:$A$4618,$H63,'Transaction Data'!$E$2:$E$4618,"PPI_TOTAL")</f>
        <v>12808.5</v>
      </c>
      <c r="O63" s="6">
        <f>A63</f>
        <v>43952</v>
      </c>
      <c r="P63" s="9">
        <f>IFERROR(IF(SUM(B62:F62)=0,"",SUM(B63:F63)/SUM(B62:F62)-1),"")</f>
        <v>8.3451671448204756E-2</v>
      </c>
    </row>
    <row r="64" spans="1:16">
      <c r="A64" s="6">
        <f>EDATE(A63,1)</f>
        <v>43983</v>
      </c>
      <c r="B64" s="7">
        <f>SUMIFS('Transaction Data'!$K$2:$K$4618,'Transaction Data'!$A$2:$A$4618,$A64,'Transaction Data'!$E$2:$E$4618,"RTGS_TOTAL")</f>
        <v>119.68</v>
      </c>
      <c r="C64" s="7">
        <f>SUMIFS('Transaction Data'!$K$2:$K$4618,'Transaction Data'!$A$2:$A$4618,$A64,'Transaction Data'!$E$2:$E$4618,"RETAIL_CREDIT_TRANSFERS_TOTAL")</f>
        <v>20341.73</v>
      </c>
      <c r="D64" s="7">
        <f>SUMIFS('Transaction Data'!$K$2:$K$4618,'Transaction Data'!$A$2:$A$4618,$A64,'Transaction Data'!$E$2:$E$4618,"DEBIT_TRANSFERS_TOTAL")</f>
        <v>837.03</v>
      </c>
      <c r="E64" s="7">
        <f>SUMIFS('Transaction Data'!$K$2:$K$4618,'Transaction Data'!$A$2:$A$4618,$A64,'Transaction Data'!$E$2:$E$4618,"CARD_PAYMENTS_TOTAL")</f>
        <v>4250.8900000000003</v>
      </c>
      <c r="F64" s="7">
        <f>SUMIFS('Transaction Data'!$K$2:$K$4618,'Transaction Data'!$A$2:$A$4618,$A64,'Transaction Data'!$E$2:$E$4618,"PPI_TOTAL")</f>
        <v>3546.66</v>
      </c>
      <c r="H64" s="6">
        <f>A64</f>
        <v>43983</v>
      </c>
      <c r="I64" s="7">
        <f>SUMIFS('Transaction Data'!$L$2:$L$4618,'Transaction Data'!$A$2:$A$4618,$H64,'Transaction Data'!$E$2:$E$4618,"RTGS_TOTAL")</f>
        <v>8651977.7200000007</v>
      </c>
      <c r="J64" s="7">
        <f>SUMIFS('Transaction Data'!$L$2:$L$4618,'Transaction Data'!$A$2:$A$4618,$H64,'Transaction Data'!$E$2:$E$4618,"RETAIL_CREDIT_TRANSFERS_TOTAL")</f>
        <v>2499470.2200000002</v>
      </c>
      <c r="K64" s="7">
        <f>SUMIFS('Transaction Data'!$L$2:$L$4618,'Transaction Data'!$A$2:$A$4618,$H64,'Transaction Data'!$E$2:$E$4618,"DEBIT_TRANSFERS_TOTAL")</f>
        <v>70703.19</v>
      </c>
      <c r="L64" s="7">
        <f>SUMIFS('Transaction Data'!$L$2:$L$4618,'Transaction Data'!$A$2:$A$4618,$H64,'Transaction Data'!$E$2:$E$4618,"CARD_PAYMENTS_TOTAL")</f>
        <v>90483.87</v>
      </c>
      <c r="M64" s="7">
        <f>SUMIFS('Transaction Data'!$L$2:$L$4618,'Transaction Data'!$A$2:$A$4618,$H64,'Transaction Data'!$E$2:$E$4618,"PPI_TOTAL")</f>
        <v>14494.15</v>
      </c>
      <c r="O64" s="6">
        <f>A64</f>
        <v>43983</v>
      </c>
      <c r="P64" s="9">
        <f>IFERROR(IF(SUM(B63:F63)=0,"",SUM(B64:F64)/SUM(B63:F63)-1),"")</f>
        <v>0.13769402604857239</v>
      </c>
    </row>
    <row r="65" spans="1:16">
      <c r="A65" s="6">
        <f>EDATE(A64,1)</f>
        <v>44013</v>
      </c>
      <c r="B65" s="7">
        <f>SUMIFS('Transaction Data'!$K$2:$K$4618,'Transaction Data'!$A$2:$A$4618,$A65,'Transaction Data'!$E$2:$E$4618,"RTGS_TOTAL")</f>
        <v>124.76</v>
      </c>
      <c r="C65" s="7">
        <f>SUMIFS('Transaction Data'!$K$2:$K$4618,'Transaction Data'!$A$2:$A$4618,$A65,'Transaction Data'!$E$2:$E$4618,"RETAIL_CREDIT_TRANSFERS_TOTAL")</f>
        <v>21832.43</v>
      </c>
      <c r="D65" s="7">
        <f>SUMIFS('Transaction Data'!$K$2:$K$4618,'Transaction Data'!$A$2:$A$4618,$A65,'Transaction Data'!$E$2:$E$4618,"DEBIT_TRANSFERS_TOTAL")</f>
        <v>855.71</v>
      </c>
      <c r="E65" s="7">
        <f>SUMIFS('Transaction Data'!$K$2:$K$4618,'Transaction Data'!$A$2:$A$4618,$A65,'Transaction Data'!$E$2:$E$4618,"CARD_PAYMENTS_TOTAL")</f>
        <v>4481.59</v>
      </c>
      <c r="F65" s="7">
        <f>SUMIFS('Transaction Data'!$K$2:$K$4618,'Transaction Data'!$A$2:$A$4618,$A65,'Transaction Data'!$E$2:$E$4618,"PPI_TOTAL")</f>
        <v>3987.42</v>
      </c>
      <c r="H65" s="6">
        <f>A65</f>
        <v>44013</v>
      </c>
      <c r="I65" s="7">
        <f>SUMIFS('Transaction Data'!$L$2:$L$4618,'Transaction Data'!$A$2:$A$4618,$H65,'Transaction Data'!$E$2:$E$4618,"RTGS_TOTAL")</f>
        <v>8335279.0499999998</v>
      </c>
      <c r="J65" s="7">
        <f>SUMIFS('Transaction Data'!$L$2:$L$4618,'Transaction Data'!$A$2:$A$4618,$H65,'Transaction Data'!$E$2:$E$4618,"RETAIL_CREDIT_TRANSFERS_TOTAL")</f>
        <v>2587407.4500000002</v>
      </c>
      <c r="K65" s="7">
        <f>SUMIFS('Transaction Data'!$L$2:$L$4618,'Transaction Data'!$A$2:$A$4618,$H65,'Transaction Data'!$E$2:$E$4618,"DEBIT_TRANSFERS_TOTAL")</f>
        <v>68355.91</v>
      </c>
      <c r="L65" s="7">
        <f>SUMIFS('Transaction Data'!$L$2:$L$4618,'Transaction Data'!$A$2:$A$4618,$H65,'Transaction Data'!$E$2:$E$4618,"CARD_PAYMENTS_TOTAL")</f>
        <v>95882.98</v>
      </c>
      <c r="M65" s="7">
        <f>SUMIFS('Transaction Data'!$L$2:$L$4618,'Transaction Data'!$A$2:$A$4618,$H65,'Transaction Data'!$E$2:$E$4618,"PPI_TOTAL")</f>
        <v>15521.29</v>
      </c>
      <c r="O65" s="6">
        <f>A65</f>
        <v>44013</v>
      </c>
      <c r="P65" s="9">
        <f>IFERROR(IF(SUM(B64:F64)=0,"",SUM(B65:F65)/SUM(B64:F64)-1),"")</f>
        <v>7.5127878446479945E-2</v>
      </c>
    </row>
    <row r="66" spans="1:16">
      <c r="A66" s="6">
        <f>EDATE(A65,1)</f>
        <v>44044</v>
      </c>
      <c r="B66" s="7">
        <f>SUMIFS('Transaction Data'!$K$2:$K$4618,'Transaction Data'!$A$2:$A$4618,$A66,'Transaction Data'!$E$2:$E$4618,"RTGS_TOTAL")</f>
        <v>116.77</v>
      </c>
      <c r="C66" s="7">
        <f>SUMIFS('Transaction Data'!$K$2:$K$4618,'Transaction Data'!$A$2:$A$4618,$A66,'Transaction Data'!$E$2:$E$4618,"RETAIL_CREDIT_TRANSFERS_TOTAL")</f>
        <v>23968.19</v>
      </c>
      <c r="D66" s="7">
        <f>SUMIFS('Transaction Data'!$K$2:$K$4618,'Transaction Data'!$A$2:$A$4618,$A66,'Transaction Data'!$E$2:$E$4618,"DEBIT_TRANSFERS_TOTAL")</f>
        <v>857.28</v>
      </c>
      <c r="E66" s="7">
        <f>SUMIFS('Transaction Data'!$K$2:$K$4618,'Transaction Data'!$A$2:$A$4618,$A66,'Transaction Data'!$E$2:$E$4618,"CARD_PAYMENTS_TOTAL")</f>
        <v>4814.53</v>
      </c>
      <c r="F66" s="7">
        <f>SUMIFS('Transaction Data'!$K$2:$K$4618,'Transaction Data'!$A$2:$A$4618,$A66,'Transaction Data'!$E$2:$E$4618,"PPI_TOTAL")</f>
        <v>4903.41</v>
      </c>
      <c r="H66" s="6">
        <f>A66</f>
        <v>44044</v>
      </c>
      <c r="I66" s="7">
        <f>SUMIFS('Transaction Data'!$L$2:$L$4618,'Transaction Data'!$A$2:$A$4618,$H66,'Transaction Data'!$E$2:$E$4618,"RTGS_TOTAL")</f>
        <v>7292379.7000000002</v>
      </c>
      <c r="J66" s="7">
        <f>SUMIFS('Transaction Data'!$L$2:$L$4618,'Transaction Data'!$A$2:$A$4618,$H66,'Transaction Data'!$E$2:$E$4618,"RETAIL_CREDIT_TRANSFERS_TOTAL")</f>
        <v>2556879.38</v>
      </c>
      <c r="K66" s="7">
        <f>SUMIFS('Transaction Data'!$L$2:$L$4618,'Transaction Data'!$A$2:$A$4618,$H66,'Transaction Data'!$E$2:$E$4618,"DEBIT_TRANSFERS_TOTAL")</f>
        <v>67146.350000000006</v>
      </c>
      <c r="L66" s="7">
        <f>SUMIFS('Transaction Data'!$L$2:$L$4618,'Transaction Data'!$A$2:$A$4618,$H66,'Transaction Data'!$E$2:$E$4618,"CARD_PAYMENTS_TOTAL")</f>
        <v>105081.07</v>
      </c>
      <c r="M66" s="7">
        <f>SUMIFS('Transaction Data'!$L$2:$L$4618,'Transaction Data'!$A$2:$A$4618,$H66,'Transaction Data'!$E$2:$E$4618,"PPI_TOTAL")</f>
        <v>16071.78</v>
      </c>
      <c r="O66" s="6">
        <f>A66</f>
        <v>44044</v>
      </c>
      <c r="P66" s="9">
        <f>IFERROR(IF(SUM(B65:F65)=0,"",SUM(B66:F66)/SUM(B65:F65)-1),"")</f>
        <v>0.1079943647942212</v>
      </c>
    </row>
    <row r="67" spans="1:16">
      <c r="A67" s="6">
        <f>EDATE(A66,1)</f>
        <v>44075</v>
      </c>
      <c r="B67" s="7">
        <f>SUMIFS('Transaction Data'!$K$2:$K$4618,'Transaction Data'!$A$2:$A$4618,$A67,'Transaction Data'!$E$2:$E$4618,"RTGS_TOTAL")</f>
        <v>130.11000000000001</v>
      </c>
      <c r="C67" s="7">
        <f>SUMIFS('Transaction Data'!$K$2:$K$4618,'Transaction Data'!$A$2:$A$4618,$A67,'Transaction Data'!$E$2:$E$4618,"RETAIL_CREDIT_TRANSFERS_TOTAL")</f>
        <v>25506.720000000001</v>
      </c>
      <c r="D67" s="7">
        <f>SUMIFS('Transaction Data'!$K$2:$K$4618,'Transaction Data'!$A$2:$A$4618,$A67,'Transaction Data'!$E$2:$E$4618,"DEBIT_TRANSFERS_TOTAL")</f>
        <v>926.42</v>
      </c>
      <c r="E67" s="7">
        <f>SUMIFS('Transaction Data'!$K$2:$K$4618,'Transaction Data'!$A$2:$A$4618,$A67,'Transaction Data'!$E$2:$E$4618,"CARD_PAYMENTS_TOTAL")</f>
        <v>4994.5200000000004</v>
      </c>
      <c r="F67" s="7">
        <f>SUMIFS('Transaction Data'!$K$2:$K$4618,'Transaction Data'!$A$2:$A$4618,$A67,'Transaction Data'!$E$2:$E$4618,"PPI_TOTAL")</f>
        <v>4625.96</v>
      </c>
      <c r="H67" s="6">
        <f>A67</f>
        <v>44075</v>
      </c>
      <c r="I67" s="7">
        <f>SUMIFS('Transaction Data'!$L$2:$L$4618,'Transaction Data'!$A$2:$A$4618,$H67,'Transaction Data'!$E$2:$E$4618,"RTGS_TOTAL")</f>
        <v>9489065.75</v>
      </c>
      <c r="J67" s="7">
        <f>SUMIFS('Transaction Data'!$L$2:$L$4618,'Transaction Data'!$A$2:$A$4618,$H67,'Transaction Data'!$E$2:$E$4618,"RETAIL_CREDIT_TRANSFERS_TOTAL")</f>
        <v>2817732.97</v>
      </c>
      <c r="K67" s="7">
        <f>SUMIFS('Transaction Data'!$L$2:$L$4618,'Transaction Data'!$A$2:$A$4618,$H67,'Transaction Data'!$E$2:$E$4618,"DEBIT_TRANSFERS_TOTAL")</f>
        <v>78239.960000000006</v>
      </c>
      <c r="L67" s="7">
        <f>SUMIFS('Transaction Data'!$L$2:$L$4618,'Transaction Data'!$A$2:$A$4618,$H67,'Transaction Data'!$E$2:$E$4618,"CARD_PAYMENTS_TOTAL")</f>
        <v>106500.1</v>
      </c>
      <c r="M67" s="7">
        <f>SUMIFS('Transaction Data'!$L$2:$L$4618,'Transaction Data'!$A$2:$A$4618,$H67,'Transaction Data'!$E$2:$E$4618,"PPI_TOTAL")</f>
        <v>16683.310000000001</v>
      </c>
      <c r="O67" s="6">
        <f>A67</f>
        <v>44075</v>
      </c>
      <c r="P67" s="9">
        <f>IFERROR(IF(SUM(B66:F66)=0,"",SUM(B67:F67)/SUM(B66:F66)-1),"")</f>
        <v>4.3956782682606166E-2</v>
      </c>
    </row>
    <row r="68" spans="1:16">
      <c r="A68" s="6">
        <f>EDATE(A67,1)</f>
        <v>44105</v>
      </c>
      <c r="B68" s="7">
        <f>SUMIFS('Transaction Data'!$K$2:$K$4618,'Transaction Data'!$A$2:$A$4618,$A68,'Transaction Data'!$E$2:$E$4618,"RTGS_TOTAL")</f>
        <v>138.22</v>
      </c>
      <c r="C68" s="7">
        <f>SUMIFS('Transaction Data'!$K$2:$K$4618,'Transaction Data'!$A$2:$A$4618,$A68,'Transaction Data'!$E$2:$E$4618,"RETAIL_CREDIT_TRANSFERS_TOTAL")</f>
        <v>28646.32</v>
      </c>
      <c r="D68" s="7">
        <f>SUMIFS('Transaction Data'!$K$2:$K$4618,'Transaction Data'!$A$2:$A$4618,$A68,'Transaction Data'!$E$2:$E$4618,"DEBIT_TRANSFERS_TOTAL")</f>
        <v>920.15</v>
      </c>
      <c r="E68" s="7">
        <f>SUMIFS('Transaction Data'!$K$2:$K$4618,'Transaction Data'!$A$2:$A$4618,$A68,'Transaction Data'!$E$2:$E$4618,"CARD_PAYMENTS_TOTAL")</f>
        <v>5650.7</v>
      </c>
      <c r="F68" s="7">
        <f>SUMIFS('Transaction Data'!$K$2:$K$4618,'Transaction Data'!$A$2:$A$4618,$A68,'Transaction Data'!$E$2:$E$4618,"PPI_TOTAL")</f>
        <v>4591.5200000000004</v>
      </c>
      <c r="H68" s="6">
        <f>A68</f>
        <v>44105</v>
      </c>
      <c r="I68" s="7">
        <f>SUMIFS('Transaction Data'!$L$2:$L$4618,'Transaction Data'!$A$2:$A$4618,$H68,'Transaction Data'!$E$2:$E$4618,"RTGS_TOTAL")</f>
        <v>8496045.6999999993</v>
      </c>
      <c r="J68" s="7">
        <f>SUMIFS('Transaction Data'!$L$2:$L$4618,'Transaction Data'!$A$2:$A$4618,$H68,'Transaction Data'!$E$2:$E$4618,"RETAIL_CREDIT_TRANSFERS_TOTAL")</f>
        <v>2993166.11</v>
      </c>
      <c r="K68" s="7">
        <f>SUMIFS('Transaction Data'!$L$2:$L$4618,'Transaction Data'!$A$2:$A$4618,$H68,'Transaction Data'!$E$2:$E$4618,"DEBIT_TRANSFERS_TOTAL")</f>
        <v>79305.119999999995</v>
      </c>
      <c r="L68" s="7">
        <f>SUMIFS('Transaction Data'!$L$2:$L$4618,'Transaction Data'!$A$2:$A$4618,$H68,'Transaction Data'!$E$2:$E$4618,"CARD_PAYMENTS_TOTAL")</f>
        <v>133792.5</v>
      </c>
      <c r="M68" s="7">
        <f>SUMIFS('Transaction Data'!$L$2:$L$4618,'Transaction Data'!$A$2:$A$4618,$H68,'Transaction Data'!$E$2:$E$4618,"PPI_TOTAL")</f>
        <v>17910.7</v>
      </c>
      <c r="O68" s="6">
        <f>A68</f>
        <v>44105</v>
      </c>
      <c r="P68" s="9">
        <f>IFERROR(IF(SUM(B67:F67)=0,"",SUM(B68:F68)/SUM(B67:F67)-1),"")</f>
        <v>0.1040019920555455</v>
      </c>
    </row>
    <row r="69" spans="1:16">
      <c r="A69" s="6">
        <f>EDATE(A68,1)</f>
        <v>44136</v>
      </c>
      <c r="B69" s="7">
        <f>SUMIFS('Transaction Data'!$K$2:$K$4618,'Transaction Data'!$A$2:$A$4618,$A69,'Transaction Data'!$E$2:$E$4618,"RTGS_TOTAL")</f>
        <v>137.80000000000001</v>
      </c>
      <c r="C69" s="7">
        <f>SUMIFS('Transaction Data'!$K$2:$K$4618,'Transaction Data'!$A$2:$A$4618,$A69,'Transaction Data'!$E$2:$E$4618,"RETAIL_CREDIT_TRANSFERS_TOTAL")</f>
        <v>30270.13</v>
      </c>
      <c r="D69" s="7">
        <f>SUMIFS('Transaction Data'!$K$2:$K$4618,'Transaction Data'!$A$2:$A$4618,$A69,'Transaction Data'!$E$2:$E$4618,"DEBIT_TRANSFERS_TOTAL")</f>
        <v>944.24</v>
      </c>
      <c r="E69" s="7">
        <f>SUMIFS('Transaction Data'!$K$2:$K$4618,'Transaction Data'!$A$2:$A$4618,$A69,'Transaction Data'!$E$2:$E$4618,"CARD_PAYMENTS_TOTAL")</f>
        <v>5428.32</v>
      </c>
      <c r="F69" s="7">
        <f>SUMIFS('Transaction Data'!$K$2:$K$4618,'Transaction Data'!$A$2:$A$4618,$A69,'Transaction Data'!$E$2:$E$4618,"PPI_TOTAL")</f>
        <v>4194.1000000000004</v>
      </c>
      <c r="H69" s="6">
        <f>A69</f>
        <v>44136</v>
      </c>
      <c r="I69" s="7">
        <f>SUMIFS('Transaction Data'!$L$2:$L$4618,'Transaction Data'!$A$2:$A$4618,$H69,'Transaction Data'!$E$2:$E$4618,"RTGS_TOTAL")</f>
        <v>7987655.4500000002</v>
      </c>
      <c r="J69" s="7">
        <f>SUMIFS('Transaction Data'!$L$2:$L$4618,'Transaction Data'!$A$2:$A$4618,$H69,'Transaction Data'!$E$2:$E$4618,"RETAIL_CREDIT_TRANSFERS_TOTAL")</f>
        <v>2986291.7</v>
      </c>
      <c r="K69" s="7">
        <f>SUMIFS('Transaction Data'!$L$2:$L$4618,'Transaction Data'!$A$2:$A$4618,$H69,'Transaction Data'!$E$2:$E$4618,"DEBIT_TRANSFERS_TOTAL")</f>
        <v>78708.759999999995</v>
      </c>
      <c r="L69" s="7">
        <f>SUMIFS('Transaction Data'!$L$2:$L$4618,'Transaction Data'!$A$2:$A$4618,$H69,'Transaction Data'!$E$2:$E$4618,"CARD_PAYMENTS_TOTAL")</f>
        <v>130238.55</v>
      </c>
      <c r="M69" s="7">
        <f>SUMIFS('Transaction Data'!$L$2:$L$4618,'Transaction Data'!$A$2:$A$4618,$H69,'Transaction Data'!$E$2:$E$4618,"PPI_TOTAL")</f>
        <v>16811.099999999999</v>
      </c>
      <c r="O69" s="6">
        <f>A69</f>
        <v>44136</v>
      </c>
      <c r="P69" s="9">
        <f>IFERROR(IF(SUM(B68:F68)=0,"",SUM(B69:F69)/SUM(B68:F68)-1),"")</f>
        <v>2.5726145025985803E-2</v>
      </c>
    </row>
    <row r="70" spans="1:16">
      <c r="A70" s="6">
        <f>EDATE(A69,1)</f>
        <v>44166</v>
      </c>
      <c r="B70" s="7">
        <f>SUMIFS('Transaction Data'!$K$2:$K$4618,'Transaction Data'!$A$2:$A$4618,$A70,'Transaction Data'!$E$2:$E$4618,"RTGS_TOTAL")</f>
        <v>163.47999999999999</v>
      </c>
      <c r="C70" s="7">
        <f>SUMIFS('Transaction Data'!$K$2:$K$4618,'Transaction Data'!$A$2:$A$4618,$A70,'Transaction Data'!$E$2:$E$4618,"RETAIL_CREDIT_TRANSFERS_TOTAL")</f>
        <v>31735.79</v>
      </c>
      <c r="D70" s="7">
        <f>SUMIFS('Transaction Data'!$K$2:$K$4618,'Transaction Data'!$A$2:$A$4618,$A70,'Transaction Data'!$E$2:$E$4618,"DEBIT_TRANSFERS_TOTAL")</f>
        <v>922.53</v>
      </c>
      <c r="E70" s="7">
        <f>SUMIFS('Transaction Data'!$K$2:$K$4618,'Transaction Data'!$A$2:$A$4618,$A70,'Transaction Data'!$E$2:$E$4618,"CARD_PAYMENTS_TOTAL")</f>
        <v>5502.88</v>
      </c>
      <c r="F70" s="7">
        <f>SUMIFS('Transaction Data'!$K$2:$K$4618,'Transaction Data'!$A$2:$A$4618,$A70,'Transaction Data'!$E$2:$E$4618,"PPI_TOTAL")</f>
        <v>4337.5600000000004</v>
      </c>
      <c r="H70" s="6">
        <f>A70</f>
        <v>44166</v>
      </c>
      <c r="I70" s="7">
        <f>SUMIFS('Transaction Data'!$L$2:$L$4618,'Transaction Data'!$A$2:$A$4618,$H70,'Transaction Data'!$E$2:$E$4618,"RTGS_TOTAL")</f>
        <v>10659120.34</v>
      </c>
      <c r="J70" s="7">
        <f>SUMIFS('Transaction Data'!$L$2:$L$4618,'Transaction Data'!$A$2:$A$4618,$H70,'Transaction Data'!$E$2:$E$4618,"RETAIL_CREDIT_TRANSFERS_TOTAL")</f>
        <v>3393355.02</v>
      </c>
      <c r="K70" s="7">
        <f>SUMIFS('Transaction Data'!$L$2:$L$4618,'Transaction Data'!$A$2:$A$4618,$H70,'Transaction Data'!$E$2:$E$4618,"DEBIT_TRANSFERS_TOTAL")</f>
        <v>81871.009999999995</v>
      </c>
      <c r="L70" s="7">
        <f>SUMIFS('Transaction Data'!$L$2:$L$4618,'Transaction Data'!$A$2:$A$4618,$H70,'Transaction Data'!$E$2:$E$4618,"CARD_PAYMENTS_TOTAL")</f>
        <v>128664.84</v>
      </c>
      <c r="M70" s="7">
        <f>SUMIFS('Transaction Data'!$L$2:$L$4618,'Transaction Data'!$A$2:$A$4618,$H70,'Transaction Data'!$E$2:$E$4618,"PPI_TOTAL")</f>
        <v>18189.97</v>
      </c>
      <c r="O70" s="6">
        <f>A70</f>
        <v>44166</v>
      </c>
      <c r="P70" s="9">
        <f>IFERROR(IF(SUM(B69:F69)=0,"",SUM(B70:F70)/SUM(B69:F69)-1),"")</f>
        <v>4.1187721463472604E-2</v>
      </c>
    </row>
    <row r="71" spans="1:16">
      <c r="A71" s="6">
        <f>EDATE(A70,1)</f>
        <v>44197</v>
      </c>
      <c r="B71" s="7">
        <f>SUMIFS('Transaction Data'!$K$2:$K$4618,'Transaction Data'!$A$2:$A$4618,$A71,'Transaction Data'!$E$2:$E$4618,"RTGS_TOTAL")</f>
        <v>156.68</v>
      </c>
      <c r="C71" s="7">
        <f>SUMIFS('Transaction Data'!$K$2:$K$4618,'Transaction Data'!$A$2:$A$4618,$A71,'Transaction Data'!$E$2:$E$4618,"RETAIL_CREDIT_TRANSFERS_TOTAL")</f>
        <v>31708.240000000002</v>
      </c>
      <c r="D71" s="7">
        <f>SUMIFS('Transaction Data'!$K$2:$K$4618,'Transaction Data'!$A$2:$A$4618,$A71,'Transaction Data'!$E$2:$E$4618,"DEBIT_TRANSFERS_TOTAL")</f>
        <v>928.08</v>
      </c>
      <c r="E71" s="7">
        <f>SUMIFS('Transaction Data'!$K$2:$K$4618,'Transaction Data'!$A$2:$A$4618,$A71,'Transaction Data'!$E$2:$E$4618,"CARD_PAYMENTS_TOTAL")</f>
        <v>5443.74</v>
      </c>
      <c r="F71" s="7">
        <f>SUMIFS('Transaction Data'!$K$2:$K$4618,'Transaction Data'!$A$2:$A$4618,$A71,'Transaction Data'!$E$2:$E$4618,"PPI_TOTAL")</f>
        <v>4386.66</v>
      </c>
      <c r="H71" s="6">
        <f>A71</f>
        <v>44197</v>
      </c>
      <c r="I71" s="7">
        <f>SUMIFS('Transaction Data'!$L$2:$L$4618,'Transaction Data'!$A$2:$A$4618,$H71,'Transaction Data'!$E$2:$E$4618,"RTGS_TOTAL")</f>
        <v>9170162.3000000007</v>
      </c>
      <c r="J71" s="7">
        <f>SUMIFS('Transaction Data'!$L$2:$L$4618,'Transaction Data'!$A$2:$A$4618,$H71,'Transaction Data'!$E$2:$E$4618,"RETAIL_CREDIT_TRANSFERS_TOTAL")</f>
        <v>2990834.85</v>
      </c>
      <c r="K71" s="7">
        <f>SUMIFS('Transaction Data'!$L$2:$L$4618,'Transaction Data'!$A$2:$A$4618,$H71,'Transaction Data'!$E$2:$E$4618,"DEBIT_TRANSFERS_TOTAL")</f>
        <v>79371.77</v>
      </c>
      <c r="L71" s="7">
        <f>SUMIFS('Transaction Data'!$L$2:$L$4618,'Transaction Data'!$A$2:$A$4618,$H71,'Transaction Data'!$E$2:$E$4618,"CARD_PAYMENTS_TOTAL")</f>
        <v>127894.22</v>
      </c>
      <c r="M71" s="7">
        <f>SUMIFS('Transaction Data'!$L$2:$L$4618,'Transaction Data'!$A$2:$A$4618,$H71,'Transaction Data'!$E$2:$E$4618,"PPI_TOTAL")</f>
        <v>19354.59</v>
      </c>
      <c r="O71" s="6">
        <f>A71</f>
        <v>44197</v>
      </c>
      <c r="P71" s="9">
        <f>IFERROR(IF(SUM(B70:F70)=0,"",SUM(B71:F71)/SUM(B70:F70)-1),"")</f>
        <v>-9.1040695472166533E-4</v>
      </c>
    </row>
    <row r="72" spans="1:16">
      <c r="A72" s="6">
        <f>EDATE(A71,1)</f>
        <v>44228</v>
      </c>
      <c r="B72" s="7">
        <f>SUMIFS('Transaction Data'!$K$2:$K$4618,'Transaction Data'!$A$2:$A$4618,$A72,'Transaction Data'!$E$2:$E$4618,"RTGS_TOTAL")</f>
        <v>157.69999999999999</v>
      </c>
      <c r="C72" s="7">
        <f>SUMIFS('Transaction Data'!$K$2:$K$4618,'Transaction Data'!$A$2:$A$4618,$A72,'Transaction Data'!$E$2:$E$4618,"RETAIL_CREDIT_TRANSFERS_TOTAL")</f>
        <v>30607.09</v>
      </c>
      <c r="D72" s="7">
        <f>SUMIFS('Transaction Data'!$K$2:$K$4618,'Transaction Data'!$A$2:$A$4618,$A72,'Transaction Data'!$E$2:$E$4618,"DEBIT_TRANSFERS_TOTAL")</f>
        <v>861.94</v>
      </c>
      <c r="E72" s="7">
        <f>SUMIFS('Transaction Data'!$K$2:$K$4618,'Transaction Data'!$A$2:$A$4618,$A72,'Transaction Data'!$E$2:$E$4618,"CARD_PAYMENTS_TOTAL")</f>
        <v>5059.24</v>
      </c>
      <c r="F72" s="7">
        <f>SUMIFS('Transaction Data'!$K$2:$K$4618,'Transaction Data'!$A$2:$A$4618,$A72,'Transaction Data'!$E$2:$E$4618,"PPI_TOTAL")</f>
        <v>4519.7700000000004</v>
      </c>
      <c r="H72" s="6">
        <f>A72</f>
        <v>44228</v>
      </c>
      <c r="I72" s="7">
        <f>SUMIFS('Transaction Data'!$L$2:$L$4618,'Transaction Data'!$A$2:$A$4618,$H72,'Transaction Data'!$E$2:$E$4618,"RTGS_TOTAL")</f>
        <v>9050425.4499999993</v>
      </c>
      <c r="J72" s="7">
        <f>SUMIFS('Transaction Data'!$L$2:$L$4618,'Transaction Data'!$A$2:$A$4618,$H72,'Transaction Data'!$E$2:$E$4618,"RETAIL_CREDIT_TRANSFERS_TOTAL")</f>
        <v>2919320.67</v>
      </c>
      <c r="K72" s="7">
        <f>SUMIFS('Transaction Data'!$L$2:$L$4618,'Transaction Data'!$A$2:$A$4618,$H72,'Transaction Data'!$E$2:$E$4618,"DEBIT_TRANSFERS_TOTAL")</f>
        <v>68323.100000000006</v>
      </c>
      <c r="L72" s="7">
        <f>SUMIFS('Transaction Data'!$L$2:$L$4618,'Transaction Data'!$A$2:$A$4618,$H72,'Transaction Data'!$E$2:$E$4618,"CARD_PAYMENTS_TOTAL")</f>
        <v>119331.22</v>
      </c>
      <c r="M72" s="7">
        <f>SUMIFS('Transaction Data'!$L$2:$L$4618,'Transaction Data'!$A$2:$A$4618,$H72,'Transaction Data'!$E$2:$E$4618,"PPI_TOTAL")</f>
        <v>18315.48</v>
      </c>
      <c r="O72" s="6">
        <f>A72</f>
        <v>44228</v>
      </c>
      <c r="P72" s="9">
        <f>IFERROR(IF(SUM(B71:F71)=0,"",SUM(B72:F72)/SUM(B71:F71)-1),"")</f>
        <v>-3.326013410474038E-2</v>
      </c>
    </row>
    <row r="73" spans="1:16">
      <c r="A73" s="6">
        <f>EDATE(A72,1)</f>
        <v>44256</v>
      </c>
      <c r="B73" s="7">
        <f>SUMIFS('Transaction Data'!$K$2:$K$4618,'Transaction Data'!$A$2:$A$4618,$A73,'Transaction Data'!$E$2:$E$4618,"RTGS_TOTAL")</f>
        <v>202.35</v>
      </c>
      <c r="C73" s="7">
        <f>SUMIFS('Transaction Data'!$K$2:$K$4618,'Transaction Data'!$A$2:$A$4618,$A73,'Transaction Data'!$E$2:$E$4618,"RETAIL_CREDIT_TRANSFERS_TOTAL")</f>
        <v>37208.51</v>
      </c>
      <c r="D73" s="7">
        <f>SUMIFS('Transaction Data'!$K$2:$K$4618,'Transaction Data'!$A$2:$A$4618,$A73,'Transaction Data'!$E$2:$E$4618,"DEBIT_TRANSFERS_TOTAL")</f>
        <v>1038.8399999999999</v>
      </c>
      <c r="E73" s="7">
        <f>SUMIFS('Transaction Data'!$K$2:$K$4618,'Transaction Data'!$A$2:$A$4618,$A73,'Transaction Data'!$E$2:$E$4618,"CARD_PAYMENTS_TOTAL")</f>
        <v>5650.32</v>
      </c>
      <c r="F73" s="7">
        <f>SUMIFS('Transaction Data'!$K$2:$K$4618,'Transaction Data'!$A$2:$A$4618,$A73,'Transaction Data'!$E$2:$E$4618,"PPI_TOTAL")</f>
        <v>5154.57</v>
      </c>
      <c r="H73" s="6">
        <f>A73</f>
        <v>44256</v>
      </c>
      <c r="I73" s="7">
        <f>SUMIFS('Transaction Data'!$L$2:$L$4618,'Transaction Data'!$A$2:$A$4618,$H73,'Transaction Data'!$E$2:$E$4618,"RTGS_TOTAL")</f>
        <v>12982214.6</v>
      </c>
      <c r="J73" s="7">
        <f>SUMIFS('Transaction Data'!$L$2:$L$4618,'Transaction Data'!$A$2:$A$4618,$H73,'Transaction Data'!$E$2:$E$4618,"RETAIL_CREDIT_TRANSFERS_TOTAL")</f>
        <v>4053907.07</v>
      </c>
      <c r="K73" s="7">
        <f>SUMIFS('Transaction Data'!$L$2:$L$4618,'Transaction Data'!$A$2:$A$4618,$H73,'Transaction Data'!$E$2:$E$4618,"DEBIT_TRANSFERS_TOTAL")</f>
        <v>86504.52</v>
      </c>
      <c r="L73" s="7">
        <f>SUMIFS('Transaction Data'!$L$2:$L$4618,'Transaction Data'!$A$2:$A$4618,$H73,'Transaction Data'!$E$2:$E$4618,"CARD_PAYMENTS_TOTAL")</f>
        <v>139705.22</v>
      </c>
      <c r="M73" s="7">
        <f>SUMIFS('Transaction Data'!$L$2:$L$4618,'Transaction Data'!$A$2:$A$4618,$H73,'Transaction Data'!$E$2:$E$4618,"PPI_TOTAL")</f>
        <v>21285.98</v>
      </c>
      <c r="O73" s="6">
        <f>A73</f>
        <v>44256</v>
      </c>
      <c r="P73" s="9">
        <f>IFERROR(IF(SUM(B72:F72)=0,"",SUM(B73:F73)/SUM(B72:F72)-1),"")</f>
        <v>0.19533322299271871</v>
      </c>
    </row>
    <row r="74" spans="1:16">
      <c r="A74" s="6">
        <f>EDATE(A73,1)</f>
        <v>44287</v>
      </c>
      <c r="B74" s="7">
        <f>SUMIFS('Transaction Data'!$K$2:$K$4618,'Transaction Data'!$A$2:$A$4618,$A74,'Transaction Data'!$E$2:$E$4618,"RTGS_TOTAL")</f>
        <v>151.52000000000001</v>
      </c>
      <c r="C74" s="7">
        <f>SUMIFS('Transaction Data'!$K$2:$K$4618,'Transaction Data'!$A$2:$A$4618,$A74,'Transaction Data'!$E$2:$E$4618,"RETAIL_CREDIT_TRANSFERS_TOTAL")</f>
        <v>34506.22</v>
      </c>
      <c r="D74" s="7">
        <f>SUMIFS('Transaction Data'!$K$2:$K$4618,'Transaction Data'!$A$2:$A$4618,$A74,'Transaction Data'!$E$2:$E$4618,"DEBIT_TRANSFERS_TOTAL")</f>
        <v>921.28</v>
      </c>
      <c r="E74" s="7">
        <f>SUMIFS('Transaction Data'!$K$2:$K$4618,'Transaction Data'!$A$2:$A$4618,$A74,'Transaction Data'!$E$2:$E$4618,"CARD_PAYMENTS_TOTAL")</f>
        <v>4788.55</v>
      </c>
      <c r="F74" s="7">
        <f>SUMIFS('Transaction Data'!$K$2:$K$4618,'Transaction Data'!$A$2:$A$4618,$A74,'Transaction Data'!$E$2:$E$4618,"PPI_TOTAL")</f>
        <v>4761.96</v>
      </c>
      <c r="H74" s="6">
        <f>A74</f>
        <v>44287</v>
      </c>
      <c r="I74" s="7">
        <f>SUMIFS('Transaction Data'!$L$2:$L$4618,'Transaction Data'!$A$2:$A$4618,$H74,'Transaction Data'!$E$2:$E$4618,"RTGS_TOTAL")</f>
        <v>8802867.7599999998</v>
      </c>
      <c r="J74" s="7">
        <f>SUMIFS('Transaction Data'!$L$2:$L$4618,'Transaction Data'!$A$2:$A$4618,$H74,'Transaction Data'!$E$2:$E$4618,"RETAIL_CREDIT_TRANSFERS_TOTAL")</f>
        <v>2946342.24</v>
      </c>
      <c r="K74" s="7">
        <f>SUMIFS('Transaction Data'!$L$2:$L$4618,'Transaction Data'!$A$2:$A$4618,$H74,'Transaction Data'!$E$2:$E$4618,"DEBIT_TRANSFERS_TOTAL")</f>
        <v>75500.94</v>
      </c>
      <c r="L74" s="7">
        <f>SUMIFS('Transaction Data'!$L$2:$L$4618,'Transaction Data'!$A$2:$A$4618,$H74,'Transaction Data'!$E$2:$E$4618,"CARD_PAYMENTS_TOTAL")</f>
        <v>115232.23</v>
      </c>
      <c r="M74" s="7">
        <f>SUMIFS('Transaction Data'!$L$2:$L$4618,'Transaction Data'!$A$2:$A$4618,$H74,'Transaction Data'!$E$2:$E$4618,"PPI_TOTAL")</f>
        <v>22058.720000000001</v>
      </c>
      <c r="O74" s="6">
        <f>A74</f>
        <v>44287</v>
      </c>
      <c r="P74" s="9">
        <f>IFERROR(IF(SUM(B73:F73)=0,"",SUM(B74:F74)/SUM(B73:F73)-1),"")</f>
        <v>-8.3749758144367803E-2</v>
      </c>
    </row>
    <row r="75" spans="1:16">
      <c r="A75" s="6">
        <f>EDATE(A74,1)</f>
        <v>44317</v>
      </c>
      <c r="B75" s="7">
        <f>SUMIFS('Transaction Data'!$K$2:$K$4618,'Transaction Data'!$A$2:$A$4618,$A75,'Transaction Data'!$E$2:$E$4618,"RTGS_TOTAL")</f>
        <v>123.34</v>
      </c>
      <c r="C75" s="7">
        <f>SUMIFS('Transaction Data'!$K$2:$K$4618,'Transaction Data'!$A$2:$A$4618,$A75,'Transaction Data'!$E$2:$E$4618,"RETAIL_CREDIT_TRANSFERS_TOTAL")</f>
        <v>33866.21</v>
      </c>
      <c r="D75" s="7">
        <f>SUMIFS('Transaction Data'!$K$2:$K$4618,'Transaction Data'!$A$2:$A$4618,$A75,'Transaction Data'!$E$2:$E$4618,"DEBIT_TRANSFERS_TOTAL")</f>
        <v>936.41</v>
      </c>
      <c r="E75" s="7">
        <f>SUMIFS('Transaction Data'!$K$2:$K$4618,'Transaction Data'!$A$2:$A$4618,$A75,'Transaction Data'!$E$2:$E$4618,"CARD_PAYMENTS_TOTAL")</f>
        <v>3901.33</v>
      </c>
      <c r="F75" s="7">
        <f>SUMIFS('Transaction Data'!$K$2:$K$4618,'Transaction Data'!$A$2:$A$4618,$A75,'Transaction Data'!$E$2:$E$4618,"PPI_TOTAL")</f>
        <v>3848.67</v>
      </c>
      <c r="H75" s="6">
        <f>A75</f>
        <v>44317</v>
      </c>
      <c r="I75" s="7">
        <f>SUMIFS('Transaction Data'!$L$2:$L$4618,'Transaction Data'!$A$2:$A$4618,$H75,'Transaction Data'!$E$2:$E$4618,"RTGS_TOTAL")</f>
        <v>8366599.4199999999</v>
      </c>
      <c r="J75" s="7">
        <f>SUMIFS('Transaction Data'!$L$2:$L$4618,'Transaction Data'!$A$2:$A$4618,$H75,'Transaction Data'!$E$2:$E$4618,"RETAIL_CREDIT_TRANSFERS_TOTAL")</f>
        <v>2707637.44</v>
      </c>
      <c r="K75" s="7">
        <f>SUMIFS('Transaction Data'!$L$2:$L$4618,'Transaction Data'!$A$2:$A$4618,$H75,'Transaction Data'!$E$2:$E$4618,"DEBIT_TRANSFERS_TOTAL")</f>
        <v>70589.490000000005</v>
      </c>
      <c r="L75" s="7">
        <f>SUMIFS('Transaction Data'!$L$2:$L$4618,'Transaction Data'!$A$2:$A$4618,$H75,'Transaction Data'!$E$2:$E$4618,"CARD_PAYMENTS_TOTAL")</f>
        <v>95238.97</v>
      </c>
      <c r="M75" s="7">
        <f>SUMIFS('Transaction Data'!$L$2:$L$4618,'Transaction Data'!$A$2:$A$4618,$H75,'Transaction Data'!$E$2:$E$4618,"PPI_TOTAL")</f>
        <v>21414.23</v>
      </c>
      <c r="O75" s="6">
        <f>A75</f>
        <v>44317</v>
      </c>
      <c r="P75" s="9">
        <f>IFERROR(IF(SUM(B74:F74)=0,"",SUM(B75:F75)/SUM(B74:F74)-1),"")</f>
        <v>-5.4367284569548979E-2</v>
      </c>
    </row>
    <row r="76" spans="1:16">
      <c r="A76" s="6">
        <f>EDATE(A75,1)</f>
        <v>44348</v>
      </c>
      <c r="B76" s="7">
        <f>SUMIFS('Transaction Data'!$K$2:$K$4618,'Transaction Data'!$A$2:$A$4618,$A76,'Transaction Data'!$E$2:$E$4618,"RTGS_TOTAL")</f>
        <v>154.13999999999999</v>
      </c>
      <c r="C76" s="7">
        <f>SUMIFS('Transaction Data'!$K$2:$K$4618,'Transaction Data'!$A$2:$A$4618,$A76,'Transaction Data'!$E$2:$E$4618,"RETAIL_CREDIT_TRANSFERS_TOTAL")</f>
        <v>36684.400000000001</v>
      </c>
      <c r="D76" s="7">
        <f>SUMIFS('Transaction Data'!$K$2:$K$4618,'Transaction Data'!$A$2:$A$4618,$A76,'Transaction Data'!$E$2:$E$4618,"DEBIT_TRANSFERS_TOTAL")</f>
        <v>981.7</v>
      </c>
      <c r="E76" s="7">
        <f>SUMIFS('Transaction Data'!$K$2:$K$4618,'Transaction Data'!$A$2:$A$4618,$A76,'Transaction Data'!$E$2:$E$4618,"CARD_PAYMENTS_TOTAL")</f>
        <v>4493.75</v>
      </c>
      <c r="F76" s="7">
        <f>SUMIFS('Transaction Data'!$K$2:$K$4618,'Transaction Data'!$A$2:$A$4618,$A76,'Transaction Data'!$E$2:$E$4618,"PPI_TOTAL")</f>
        <v>4585.92</v>
      </c>
      <c r="H76" s="6">
        <f>A76</f>
        <v>44348</v>
      </c>
      <c r="I76" s="7">
        <f>SUMIFS('Transaction Data'!$L$2:$L$4618,'Transaction Data'!$A$2:$A$4618,$H76,'Transaction Data'!$E$2:$E$4618,"RTGS_TOTAL")</f>
        <v>10196989.439999999</v>
      </c>
      <c r="J76" s="7">
        <f>SUMIFS('Transaction Data'!$L$2:$L$4618,'Transaction Data'!$A$2:$A$4618,$H76,'Transaction Data'!$E$2:$E$4618,"RETAIL_CREDIT_TRANSFERS_TOTAL")</f>
        <v>3029727.61</v>
      </c>
      <c r="K76" s="7">
        <f>SUMIFS('Transaction Data'!$L$2:$L$4618,'Transaction Data'!$A$2:$A$4618,$H76,'Transaction Data'!$E$2:$E$4618,"DEBIT_TRANSFERS_TOTAL")</f>
        <v>86759.11</v>
      </c>
      <c r="L76" s="7">
        <f>SUMIFS('Transaction Data'!$L$2:$L$4618,'Transaction Data'!$A$2:$A$4618,$H76,'Transaction Data'!$E$2:$E$4618,"CARD_PAYMENTS_TOTAL")</f>
        <v>113789.59</v>
      </c>
      <c r="M76" s="7">
        <f>SUMIFS('Transaction Data'!$L$2:$L$4618,'Transaction Data'!$A$2:$A$4618,$H76,'Transaction Data'!$E$2:$E$4618,"PPI_TOTAL")</f>
        <v>18656.759999999998</v>
      </c>
      <c r="O76" s="6">
        <f>A76</f>
        <v>44348</v>
      </c>
      <c r="P76" s="9">
        <f>IFERROR(IF(SUM(B75:F75)=0,"",SUM(B76:F76)/SUM(B75:F75)-1),"")</f>
        <v>9.8977269638456766E-2</v>
      </c>
    </row>
    <row r="77" spans="1:16">
      <c r="A77" s="6">
        <f>EDATE(A76,1)</f>
        <v>44378</v>
      </c>
      <c r="B77" s="7">
        <f>SUMIFS('Transaction Data'!$K$2:$K$4618,'Transaction Data'!$A$2:$A$4618,$A77,'Transaction Data'!$E$2:$E$4618,"RTGS_TOTAL")</f>
        <v>167.65</v>
      </c>
      <c r="C77" s="7">
        <f>SUMIFS('Transaction Data'!$K$2:$K$4618,'Transaction Data'!$A$2:$A$4618,$A77,'Transaction Data'!$E$2:$E$4618,"RETAIL_CREDIT_TRANSFERS_TOTAL")</f>
        <v>41372.720000000001</v>
      </c>
      <c r="D77" s="7">
        <f>SUMIFS('Transaction Data'!$K$2:$K$4618,'Transaction Data'!$A$2:$A$4618,$A77,'Transaction Data'!$E$2:$E$4618,"DEBIT_TRANSFERS_TOTAL")</f>
        <v>986.32</v>
      </c>
      <c r="E77" s="7">
        <f>SUMIFS('Transaction Data'!$K$2:$K$4618,'Transaction Data'!$A$2:$A$4618,$A77,'Transaction Data'!$E$2:$E$4618,"CARD_PAYMENTS_TOTAL")</f>
        <v>5225.8599999999997</v>
      </c>
      <c r="F77" s="7">
        <f>SUMIFS('Transaction Data'!$K$2:$K$4618,'Transaction Data'!$A$2:$A$4618,$A77,'Transaction Data'!$E$2:$E$4618,"PPI_TOTAL")</f>
        <v>4958.99</v>
      </c>
      <c r="H77" s="6">
        <f>A77</f>
        <v>44378</v>
      </c>
      <c r="I77" s="7">
        <f>SUMIFS('Transaction Data'!$L$2:$L$4618,'Transaction Data'!$A$2:$A$4618,$H77,'Transaction Data'!$E$2:$E$4618,"RTGS_TOTAL")</f>
        <v>10741314.109999999</v>
      </c>
      <c r="J77" s="7">
        <f>SUMIFS('Transaction Data'!$L$2:$L$4618,'Transaction Data'!$A$2:$A$4618,$H77,'Transaction Data'!$E$2:$E$4618,"RETAIL_CREDIT_TRANSFERS_TOTAL")</f>
        <v>3215234.46</v>
      </c>
      <c r="K77" s="7">
        <f>SUMIFS('Transaction Data'!$L$2:$L$4618,'Transaction Data'!$A$2:$A$4618,$H77,'Transaction Data'!$E$2:$E$4618,"DEBIT_TRANSFERS_TOTAL")</f>
        <v>86502.66</v>
      </c>
      <c r="L77" s="7">
        <f>SUMIFS('Transaction Data'!$L$2:$L$4618,'Transaction Data'!$A$2:$A$4618,$H77,'Transaction Data'!$E$2:$E$4618,"CARD_PAYMENTS_TOTAL")</f>
        <v>135972.20000000001</v>
      </c>
      <c r="M77" s="7">
        <f>SUMIFS('Transaction Data'!$L$2:$L$4618,'Transaction Data'!$A$2:$A$4618,$H77,'Transaction Data'!$E$2:$E$4618,"PPI_TOTAL")</f>
        <v>20587.169999999998</v>
      </c>
      <c r="O77" s="6">
        <f>A77</f>
        <v>44378</v>
      </c>
      <c r="P77" s="9">
        <f>IFERROR(IF(SUM(B76:F76)=0,"",SUM(B77:F77)/SUM(B76:F76)-1),"")</f>
        <v>0.12391558960347693</v>
      </c>
    </row>
    <row r="78" spans="1:16">
      <c r="A78" s="6">
        <f>EDATE(A77,1)</f>
        <v>44409</v>
      </c>
      <c r="B78" s="7">
        <f>SUMIFS('Transaction Data'!$K$2:$K$4618,'Transaction Data'!$A$2:$A$4618,$A78,'Transaction Data'!$E$2:$E$4618,"RTGS_TOTAL")</f>
        <v>166.52</v>
      </c>
      <c r="C78" s="7">
        <f>SUMIFS('Transaction Data'!$K$2:$K$4618,'Transaction Data'!$A$2:$A$4618,$A78,'Transaction Data'!$E$2:$E$4618,"RETAIL_CREDIT_TRANSFERS_TOTAL")</f>
        <v>45370.66</v>
      </c>
      <c r="D78" s="7">
        <f>SUMIFS('Transaction Data'!$K$2:$K$4618,'Transaction Data'!$A$2:$A$4618,$A78,'Transaction Data'!$E$2:$E$4618,"DEBIT_TRANSFERS_TOTAL")</f>
        <v>1008.32</v>
      </c>
      <c r="E78" s="7">
        <f>SUMIFS('Transaction Data'!$K$2:$K$4618,'Transaction Data'!$A$2:$A$4618,$A78,'Transaction Data'!$E$2:$E$4618,"CARD_PAYMENTS_TOTAL")</f>
        <v>5493</v>
      </c>
      <c r="F78" s="7">
        <f>SUMIFS('Transaction Data'!$K$2:$K$4618,'Transaction Data'!$A$2:$A$4618,$A78,'Transaction Data'!$E$2:$E$4618,"PPI_TOTAL")</f>
        <v>5259.9</v>
      </c>
      <c r="H78" s="6">
        <f>A78</f>
        <v>44409</v>
      </c>
      <c r="I78" s="7">
        <f>SUMIFS('Transaction Data'!$L$2:$L$4618,'Transaction Data'!$A$2:$A$4618,$H78,'Transaction Data'!$E$2:$E$4618,"RTGS_TOTAL")</f>
        <v>10164295.640000001</v>
      </c>
      <c r="J78" s="7">
        <f>SUMIFS('Transaction Data'!$L$2:$L$4618,'Transaction Data'!$A$2:$A$4618,$H78,'Transaction Data'!$E$2:$E$4618,"RETAIL_CREDIT_TRANSFERS_TOTAL")</f>
        <v>3277623.53</v>
      </c>
      <c r="K78" s="7">
        <f>SUMIFS('Transaction Data'!$L$2:$L$4618,'Transaction Data'!$A$2:$A$4618,$H78,'Transaction Data'!$E$2:$E$4618,"DEBIT_TRANSFERS_TOTAL")</f>
        <v>85435.87</v>
      </c>
      <c r="L78" s="7">
        <f>SUMIFS('Transaction Data'!$L$2:$L$4618,'Transaction Data'!$A$2:$A$4618,$H78,'Transaction Data'!$E$2:$E$4618,"CARD_PAYMENTS_TOTAL")</f>
        <v>142599.76</v>
      </c>
      <c r="M78" s="7">
        <f>SUMIFS('Transaction Data'!$L$2:$L$4618,'Transaction Data'!$A$2:$A$4618,$H78,'Transaction Data'!$E$2:$E$4618,"PPI_TOTAL")</f>
        <v>22362.32</v>
      </c>
      <c r="O78" s="6">
        <f>A78</f>
        <v>44409</v>
      </c>
      <c r="P78" s="9">
        <f>IFERROR(IF(SUM(B77:F77)=0,"",SUM(B78:F78)/SUM(B77:F77)-1),"")</f>
        <v>8.7018136825446568E-2</v>
      </c>
    </row>
    <row r="79" spans="1:16">
      <c r="A79" s="6">
        <f>EDATE(A78,1)</f>
        <v>44440</v>
      </c>
      <c r="B79" s="7">
        <f>SUMIFS('Transaction Data'!$K$2:$K$4618,'Transaction Data'!$A$2:$A$4618,$A79,'Transaction Data'!$E$2:$E$4618,"RTGS_TOTAL")</f>
        <v>174.57</v>
      </c>
      <c r="C79" s="7">
        <f>SUMIFS('Transaction Data'!$K$2:$K$4618,'Transaction Data'!$A$2:$A$4618,$A79,'Transaction Data'!$E$2:$E$4618,"RETAIL_CREDIT_TRANSFERS_TOTAL")</f>
        <v>45720.72</v>
      </c>
      <c r="D79" s="7">
        <f>SUMIFS('Transaction Data'!$K$2:$K$4618,'Transaction Data'!$A$2:$A$4618,$A79,'Transaction Data'!$E$2:$E$4618,"DEBIT_TRANSFERS_TOTAL")</f>
        <v>987.44</v>
      </c>
      <c r="E79" s="7">
        <f>SUMIFS('Transaction Data'!$K$2:$K$4618,'Transaction Data'!$A$2:$A$4618,$A79,'Transaction Data'!$E$2:$E$4618,"CARD_PAYMENTS_TOTAL")</f>
        <v>5337.5</v>
      </c>
      <c r="F79" s="7">
        <f>SUMIFS('Transaction Data'!$K$2:$K$4618,'Transaction Data'!$A$2:$A$4618,$A79,'Transaction Data'!$E$2:$E$4618,"PPI_TOTAL")</f>
        <v>5292.53</v>
      </c>
      <c r="H79" s="6">
        <f>A79</f>
        <v>44440</v>
      </c>
      <c r="I79" s="7">
        <f>SUMIFS('Transaction Data'!$L$2:$L$4618,'Transaction Data'!$A$2:$A$4618,$H79,'Transaction Data'!$E$2:$E$4618,"RTGS_TOTAL")</f>
        <v>11069631.02</v>
      </c>
      <c r="J79" s="7">
        <f>SUMIFS('Transaction Data'!$L$2:$L$4618,'Transaction Data'!$A$2:$A$4618,$H79,'Transaction Data'!$E$2:$E$4618,"RETAIL_CREDIT_TRANSFERS_TOTAL")</f>
        <v>3495969.31</v>
      </c>
      <c r="K79" s="7">
        <f>SUMIFS('Transaction Data'!$L$2:$L$4618,'Transaction Data'!$A$2:$A$4618,$H79,'Transaction Data'!$E$2:$E$4618,"DEBIT_TRANSFERS_TOTAL")</f>
        <v>84660.46</v>
      </c>
      <c r="L79" s="7">
        <f>SUMIFS('Transaction Data'!$L$2:$L$4618,'Transaction Data'!$A$2:$A$4618,$H79,'Transaction Data'!$E$2:$E$4618,"CARD_PAYMENTS_TOTAL")</f>
        <v>142816.79999999999</v>
      </c>
      <c r="M79" s="7">
        <f>SUMIFS('Transaction Data'!$L$2:$L$4618,'Transaction Data'!$A$2:$A$4618,$H79,'Transaction Data'!$E$2:$E$4618,"PPI_TOTAL")</f>
        <v>24481.73</v>
      </c>
      <c r="O79" s="6">
        <f>A79</f>
        <v>44440</v>
      </c>
      <c r="P79" s="9">
        <f>IFERROR(IF(SUM(B78:F78)=0,"",SUM(B79:F79)/SUM(B78:F78)-1),"")</f>
        <v>3.7411166803960061E-3</v>
      </c>
    </row>
    <row r="80" spans="1:16">
      <c r="A80" s="6">
        <f>EDATE(A79,1)</f>
        <v>44470</v>
      </c>
      <c r="B80" s="7">
        <f>SUMIFS('Transaction Data'!$K$2:$K$4618,'Transaction Data'!$A$2:$A$4618,$A80,'Transaction Data'!$E$2:$E$4618,"RTGS_TOTAL")</f>
        <v>184.11</v>
      </c>
      <c r="C80" s="7">
        <f>SUMIFS('Transaction Data'!$K$2:$K$4618,'Transaction Data'!$A$2:$A$4618,$A80,'Transaction Data'!$E$2:$E$4618,"RETAIL_CREDIT_TRANSFERS_TOTAL")</f>
        <v>52919.519999999997</v>
      </c>
      <c r="D80" s="7">
        <f>SUMIFS('Transaction Data'!$K$2:$K$4618,'Transaction Data'!$A$2:$A$4618,$A80,'Transaction Data'!$E$2:$E$4618,"DEBIT_TRANSFERS_TOTAL")</f>
        <v>979.36</v>
      </c>
      <c r="E80" s="7">
        <f>SUMIFS('Transaction Data'!$K$2:$K$4618,'Transaction Data'!$A$2:$A$4618,$A80,'Transaction Data'!$E$2:$E$4618,"CARD_PAYMENTS_TOTAL")</f>
        <v>6008.76</v>
      </c>
      <c r="F80" s="7">
        <f>SUMIFS('Transaction Data'!$K$2:$K$4618,'Transaction Data'!$A$2:$A$4618,$A80,'Transaction Data'!$E$2:$E$4618,"PPI_TOTAL")</f>
        <v>6130.9</v>
      </c>
      <c r="H80" s="6">
        <f>A80</f>
        <v>44470</v>
      </c>
      <c r="I80" s="7">
        <f>SUMIFS('Transaction Data'!$L$2:$L$4618,'Transaction Data'!$A$2:$A$4618,$H80,'Transaction Data'!$E$2:$E$4618,"RTGS_TOTAL")</f>
        <v>10134367.91</v>
      </c>
      <c r="J80" s="7">
        <f>SUMIFS('Transaction Data'!$L$2:$L$4618,'Transaction Data'!$A$2:$A$4618,$H80,'Transaction Data'!$E$2:$E$4618,"RETAIL_CREDIT_TRANSFERS_TOTAL")</f>
        <v>3748602.37</v>
      </c>
      <c r="K80" s="7">
        <f>SUMIFS('Transaction Data'!$L$2:$L$4618,'Transaction Data'!$A$2:$A$4618,$H80,'Transaction Data'!$E$2:$E$4618,"DEBIT_TRANSFERS_TOTAL")</f>
        <v>85776.42</v>
      </c>
      <c r="L80" s="7">
        <f>SUMIFS('Transaction Data'!$L$2:$L$4618,'Transaction Data'!$A$2:$A$4618,$H80,'Transaction Data'!$E$2:$E$4618,"CARD_PAYMENTS_TOTAL")</f>
        <v>177413.29</v>
      </c>
      <c r="M80" s="7">
        <f>SUMIFS('Transaction Data'!$L$2:$L$4618,'Transaction Data'!$A$2:$A$4618,$H80,'Transaction Data'!$E$2:$E$4618,"PPI_TOTAL")</f>
        <v>25757.32</v>
      </c>
      <c r="O80" s="6">
        <f>A80</f>
        <v>44470</v>
      </c>
      <c r="P80" s="9">
        <f>IFERROR(IF(SUM(B79:F79)=0,"",SUM(B80:F80)/SUM(B79:F79)-1),"")</f>
        <v>0.15144274070658392</v>
      </c>
    </row>
    <row r="81" spans="1:16">
      <c r="A81" s="6">
        <f>EDATE(A80,1)</f>
        <v>44501</v>
      </c>
      <c r="B81" s="7">
        <f>SUMIFS('Transaction Data'!$K$2:$K$4618,'Transaction Data'!$A$2:$A$4618,$A81,'Transaction Data'!$E$2:$E$4618,"RTGS_TOTAL")</f>
        <v>172.14</v>
      </c>
      <c r="C81" s="7">
        <f>SUMIFS('Transaction Data'!$K$2:$K$4618,'Transaction Data'!$A$2:$A$4618,$A81,'Transaction Data'!$E$2:$E$4618,"RETAIL_CREDIT_TRANSFERS_TOTAL")</f>
        <v>51880.87</v>
      </c>
      <c r="D81" s="7">
        <f>SUMIFS('Transaction Data'!$K$2:$K$4618,'Transaction Data'!$A$2:$A$4618,$A81,'Transaction Data'!$E$2:$E$4618,"DEBIT_TRANSFERS_TOTAL")</f>
        <v>1039.1300000000001</v>
      </c>
      <c r="E81" s="7">
        <f>SUMIFS('Transaction Data'!$K$2:$K$4618,'Transaction Data'!$A$2:$A$4618,$A81,'Transaction Data'!$E$2:$E$4618,"CARD_PAYMENTS_TOTAL")</f>
        <v>5418.18</v>
      </c>
      <c r="F81" s="7">
        <f>SUMIFS('Transaction Data'!$K$2:$K$4618,'Transaction Data'!$A$2:$A$4618,$A81,'Transaction Data'!$E$2:$E$4618,"PPI_TOTAL")</f>
        <v>6107.05</v>
      </c>
      <c r="H81" s="6">
        <f>A81</f>
        <v>44501</v>
      </c>
      <c r="I81" s="7">
        <f>SUMIFS('Transaction Data'!$L$2:$L$4618,'Transaction Data'!$A$2:$A$4618,$H81,'Transaction Data'!$E$2:$E$4618,"RTGS_TOTAL")</f>
        <v>10981778</v>
      </c>
      <c r="J81" s="7">
        <f>SUMIFS('Transaction Data'!$L$2:$L$4618,'Transaction Data'!$A$2:$A$4618,$H81,'Transaction Data'!$E$2:$E$4618,"RETAIL_CREDIT_TRANSFERS_TOTAL")</f>
        <v>3554895.63</v>
      </c>
      <c r="K81" s="7">
        <f>SUMIFS('Transaction Data'!$L$2:$L$4618,'Transaction Data'!$A$2:$A$4618,$H81,'Transaction Data'!$E$2:$E$4618,"DEBIT_TRANSFERS_TOTAL")</f>
        <v>87110.62</v>
      </c>
      <c r="L81" s="7">
        <f>SUMIFS('Transaction Data'!$L$2:$L$4618,'Transaction Data'!$A$2:$A$4618,$H81,'Transaction Data'!$E$2:$E$4618,"CARD_PAYMENTS_TOTAL")</f>
        <v>156326.20000000001</v>
      </c>
      <c r="M81" s="7">
        <f>SUMIFS('Transaction Data'!$L$2:$L$4618,'Transaction Data'!$A$2:$A$4618,$H81,'Transaction Data'!$E$2:$E$4618,"PPI_TOTAL")</f>
        <v>24885.1</v>
      </c>
      <c r="O81" s="6">
        <f>A81</f>
        <v>44501</v>
      </c>
      <c r="P81" s="9">
        <f>IFERROR(IF(SUM(B80:F80)=0,"",SUM(B81:F81)/SUM(B80:F80)-1),"")</f>
        <v>-2.4240648781043816E-2</v>
      </c>
    </row>
    <row r="82" spans="1:16">
      <c r="A82" s="6">
        <f>EDATE(A81,1)</f>
        <v>44531</v>
      </c>
      <c r="B82" s="7">
        <f>SUMIFS('Transaction Data'!$K$2:$K$4618,'Transaction Data'!$A$2:$A$4618,$A82,'Transaction Data'!$E$2:$E$4618,"RTGS_TOTAL")</f>
        <v>192.78</v>
      </c>
      <c r="C82" s="7">
        <f>SUMIFS('Transaction Data'!$K$2:$K$4618,'Transaction Data'!$A$2:$A$4618,$A82,'Transaction Data'!$E$2:$E$4618,"RETAIL_CREDIT_TRANSFERS_TOTAL")</f>
        <v>56422.79</v>
      </c>
      <c r="D82" s="7">
        <f>SUMIFS('Transaction Data'!$K$2:$K$4618,'Transaction Data'!$A$2:$A$4618,$A82,'Transaction Data'!$E$2:$E$4618,"DEBIT_TRANSFERS_TOTAL")</f>
        <v>1064.54</v>
      </c>
      <c r="E82" s="7">
        <f>SUMIFS('Transaction Data'!$K$2:$K$4618,'Transaction Data'!$A$2:$A$4618,$A82,'Transaction Data'!$E$2:$E$4618,"CARD_PAYMENTS_TOTAL")</f>
        <v>5611.8</v>
      </c>
      <c r="F82" s="7">
        <f>SUMIFS('Transaction Data'!$K$2:$K$4618,'Transaction Data'!$A$2:$A$4618,$A82,'Transaction Data'!$E$2:$E$4618,"PPI_TOTAL")</f>
        <v>7008.04</v>
      </c>
      <c r="H82" s="6">
        <f>A82</f>
        <v>44531</v>
      </c>
      <c r="I82" s="7">
        <f>SUMIFS('Transaction Data'!$L$2:$L$4618,'Transaction Data'!$A$2:$A$4618,$H82,'Transaction Data'!$E$2:$E$4618,"RTGS_TOTAL")</f>
        <v>12966990.800000001</v>
      </c>
      <c r="J82" s="7">
        <f>SUMIFS('Transaction Data'!$L$2:$L$4618,'Transaction Data'!$A$2:$A$4618,$H82,'Transaction Data'!$E$2:$E$4618,"RETAIL_CREDIT_TRANSFERS_TOTAL")</f>
        <v>4076395.23</v>
      </c>
      <c r="K82" s="7">
        <f>SUMIFS('Transaction Data'!$L$2:$L$4618,'Transaction Data'!$A$2:$A$4618,$H82,'Transaction Data'!$E$2:$E$4618,"DEBIT_TRANSFERS_TOTAL")</f>
        <v>91162.84</v>
      </c>
      <c r="L82" s="7">
        <f>SUMIFS('Transaction Data'!$L$2:$L$4618,'Transaction Data'!$A$2:$A$4618,$H82,'Transaction Data'!$E$2:$E$4618,"CARD_PAYMENTS_TOTAL")</f>
        <v>160398.26999999999</v>
      </c>
      <c r="M82" s="7">
        <f>SUMIFS('Transaction Data'!$L$2:$L$4618,'Transaction Data'!$A$2:$A$4618,$H82,'Transaction Data'!$E$2:$E$4618,"PPI_TOTAL")</f>
        <v>25878.23</v>
      </c>
      <c r="O82" s="6">
        <f>A82</f>
        <v>44531</v>
      </c>
      <c r="P82" s="9">
        <f>IFERROR(IF(SUM(B81:F81)=0,"",SUM(B82:F82)/SUM(B81:F81)-1),"")</f>
        <v>8.7941988353905431E-2</v>
      </c>
    </row>
    <row r="83" spans="1:16">
      <c r="A83" s="6">
        <f>EDATE(A82,1)</f>
        <v>44562</v>
      </c>
      <c r="B83" s="7">
        <f>SUMIFS('Transaction Data'!$K$2:$K$4618,'Transaction Data'!$A$2:$A$4618,$A83,'Transaction Data'!$E$2:$E$4618,"RTGS_TOTAL")</f>
        <v>181.29</v>
      </c>
      <c r="C83" s="7">
        <f>SUMIFS('Transaction Data'!$K$2:$K$4618,'Transaction Data'!$A$2:$A$4618,$A83,'Transaction Data'!$E$2:$E$4618,"RETAIL_CREDIT_TRANSFERS_TOTAL")</f>
        <v>57367.3</v>
      </c>
      <c r="D83" s="7">
        <f>SUMIFS('Transaction Data'!$K$2:$K$4618,'Transaction Data'!$A$2:$A$4618,$A83,'Transaction Data'!$E$2:$E$4618,"DEBIT_TRANSFERS_TOTAL")</f>
        <v>1059.01</v>
      </c>
      <c r="E83" s="7">
        <f>SUMIFS('Transaction Data'!$K$2:$K$4618,'Transaction Data'!$A$2:$A$4618,$A83,'Transaction Data'!$E$2:$E$4618,"CARD_PAYMENTS_TOTAL")</f>
        <v>5151.05</v>
      </c>
      <c r="F83" s="7">
        <f>SUMIFS('Transaction Data'!$K$2:$K$4618,'Transaction Data'!$A$2:$A$4618,$A83,'Transaction Data'!$E$2:$E$4618,"PPI_TOTAL")</f>
        <v>5807.67</v>
      </c>
      <c r="H83" s="6">
        <f>A83</f>
        <v>44562</v>
      </c>
      <c r="I83" s="7">
        <f>SUMIFS('Transaction Data'!$L$2:$L$4618,'Transaction Data'!$A$2:$A$4618,$H83,'Transaction Data'!$E$2:$E$4618,"RTGS_TOTAL")</f>
        <v>10449109.5</v>
      </c>
      <c r="J83" s="7">
        <f>SUMIFS('Transaction Data'!$L$2:$L$4618,'Transaction Data'!$A$2:$A$4618,$H83,'Transaction Data'!$E$2:$E$4618,"RETAIL_CREDIT_TRANSFERS_TOTAL")</f>
        <v>3806627.76</v>
      </c>
      <c r="K83" s="7">
        <f>SUMIFS('Transaction Data'!$L$2:$L$4618,'Transaction Data'!$A$2:$A$4618,$H83,'Transaction Data'!$E$2:$E$4618,"DEBIT_TRANSFERS_TOTAL")</f>
        <v>91553.73</v>
      </c>
      <c r="L83" s="7">
        <f>SUMIFS('Transaction Data'!$L$2:$L$4618,'Transaction Data'!$A$2:$A$4618,$H83,'Transaction Data'!$E$2:$E$4618,"CARD_PAYMENTS_TOTAL")</f>
        <v>147793.88</v>
      </c>
      <c r="M83" s="7">
        <f>SUMIFS('Transaction Data'!$L$2:$L$4618,'Transaction Data'!$A$2:$A$4618,$H83,'Transaction Data'!$E$2:$E$4618,"PPI_TOTAL")</f>
        <v>24796.400000000001</v>
      </c>
      <c r="O83" s="6">
        <f>A83</f>
        <v>44562</v>
      </c>
      <c r="P83" s="9">
        <f>IFERROR(IF(SUM(B82:F82)=0,"",SUM(B83:F83)/SUM(B82:F82)-1),"")</f>
        <v>-1.0435711547447601E-2</v>
      </c>
    </row>
    <row r="84" spans="1:16">
      <c r="A84" s="6">
        <f>EDATE(A83,1)</f>
        <v>44593</v>
      </c>
      <c r="B84" s="7">
        <f>SUMIFS('Transaction Data'!$K$2:$K$4618,'Transaction Data'!$A$2:$A$4618,$A84,'Transaction Data'!$E$2:$E$4618,"RTGS_TOTAL")</f>
        <v>180.29</v>
      </c>
      <c r="C84" s="7">
        <f>SUMIFS('Transaction Data'!$K$2:$K$4618,'Transaction Data'!$A$2:$A$4618,$A84,'Transaction Data'!$E$2:$E$4618,"RETAIL_CREDIT_TRANSFERS_TOTAL")</f>
        <v>55305.52</v>
      </c>
      <c r="D84" s="7">
        <f>SUMIFS('Transaction Data'!$K$2:$K$4618,'Transaction Data'!$A$2:$A$4618,$A84,'Transaction Data'!$E$2:$E$4618,"DEBIT_TRANSFERS_TOTAL")</f>
        <v>1089.3</v>
      </c>
      <c r="E84" s="7">
        <f>SUMIFS('Transaction Data'!$K$2:$K$4618,'Transaction Data'!$A$2:$A$4618,$A84,'Transaction Data'!$E$2:$E$4618,"CARD_PAYMENTS_TOTAL")</f>
        <v>4840.47</v>
      </c>
      <c r="F84" s="7">
        <f>SUMIFS('Transaction Data'!$K$2:$K$4618,'Transaction Data'!$A$2:$A$4618,$A84,'Transaction Data'!$E$2:$E$4618,"PPI_TOTAL")</f>
        <v>5551.16</v>
      </c>
      <c r="H84" s="6">
        <f>A84</f>
        <v>44593</v>
      </c>
      <c r="I84" s="7">
        <f>SUMIFS('Transaction Data'!$L$2:$L$4618,'Transaction Data'!$A$2:$A$4618,$H84,'Transaction Data'!$E$2:$E$4618,"RTGS_TOTAL")</f>
        <v>10324617.82</v>
      </c>
      <c r="J84" s="7">
        <f>SUMIFS('Transaction Data'!$L$2:$L$4618,'Transaction Data'!$A$2:$A$4618,$H84,'Transaction Data'!$E$2:$E$4618,"RETAIL_CREDIT_TRANSFERS_TOTAL")</f>
        <v>3806483.72</v>
      </c>
      <c r="K84" s="7">
        <f>SUMIFS('Transaction Data'!$L$2:$L$4618,'Transaction Data'!$A$2:$A$4618,$H84,'Transaction Data'!$E$2:$E$4618,"DEBIT_TRANSFERS_TOTAL")</f>
        <v>90746.07</v>
      </c>
      <c r="L84" s="7">
        <f>SUMIFS('Transaction Data'!$L$2:$L$4618,'Transaction Data'!$A$2:$A$4618,$H84,'Transaction Data'!$E$2:$E$4618,"CARD_PAYMENTS_TOTAL")</f>
        <v>143111.15</v>
      </c>
      <c r="M84" s="7">
        <f>SUMIFS('Transaction Data'!$L$2:$L$4618,'Transaction Data'!$A$2:$A$4618,$H84,'Transaction Data'!$E$2:$E$4618,"PPI_TOTAL")</f>
        <v>22922.959999999999</v>
      </c>
      <c r="O84" s="6">
        <f>A84</f>
        <v>44593</v>
      </c>
      <c r="P84" s="9">
        <f>IFERROR(IF(SUM(B83:F83)=0,"",SUM(B84:F84)/SUM(B83:F83)-1),"")</f>
        <v>-3.7368370211332214E-2</v>
      </c>
    </row>
    <row r="85" spans="1:16">
      <c r="A85" s="6">
        <f>EDATE(A84,1)</f>
        <v>44621</v>
      </c>
      <c r="B85" s="7">
        <f>SUMIFS('Transaction Data'!$K$2:$K$4618,'Transaction Data'!$A$2:$A$4618,$A85,'Transaction Data'!$E$2:$E$4618,"RTGS_TOTAL")</f>
        <v>230.04</v>
      </c>
      <c r="C85" s="7">
        <f>SUMIFS('Transaction Data'!$K$2:$K$4618,'Transaction Data'!$A$2:$A$4618,$A85,'Transaction Data'!$E$2:$E$4618,"RETAIL_CREDIT_TRANSFERS_TOTAL")</f>
        <v>66517.820000000007</v>
      </c>
      <c r="D85" s="7">
        <f>SUMIFS('Transaction Data'!$K$2:$K$4618,'Transaction Data'!$A$2:$A$4618,$A85,'Transaction Data'!$E$2:$E$4618,"DEBIT_TRANSFERS_TOTAL")</f>
        <v>1136.67</v>
      </c>
      <c r="E85" s="7">
        <f>SUMIFS('Transaction Data'!$K$2:$K$4618,'Transaction Data'!$A$2:$A$4618,$A85,'Transaction Data'!$E$2:$E$4618,"CARD_PAYMENTS_TOTAL")</f>
        <v>5512.7</v>
      </c>
      <c r="F85" s="7">
        <f>SUMIFS('Transaction Data'!$K$2:$K$4618,'Transaction Data'!$A$2:$A$4618,$A85,'Transaction Data'!$E$2:$E$4618,"PPI_TOTAL")</f>
        <v>6469.96</v>
      </c>
      <c r="H85" s="6">
        <f>A85</f>
        <v>44621</v>
      </c>
      <c r="I85" s="7">
        <f>SUMIFS('Transaction Data'!$L$2:$L$4618,'Transaction Data'!$A$2:$A$4618,$H85,'Transaction Data'!$E$2:$E$4618,"RTGS_TOTAL")</f>
        <v>14458955.039999999</v>
      </c>
      <c r="J85" s="7">
        <f>SUMIFS('Transaction Data'!$L$2:$L$4618,'Transaction Data'!$A$2:$A$4618,$H85,'Transaction Data'!$E$2:$E$4618,"RETAIL_CREDIT_TRANSFERS_TOTAL")</f>
        <v>5062466.26</v>
      </c>
      <c r="K85" s="7">
        <f>SUMIFS('Transaction Data'!$L$2:$L$4618,'Transaction Data'!$A$2:$A$4618,$H85,'Transaction Data'!$E$2:$E$4618,"DEBIT_TRANSFERS_TOTAL")</f>
        <v>98645.32</v>
      </c>
      <c r="L85" s="7">
        <f>SUMIFS('Transaction Data'!$L$2:$L$4618,'Transaction Data'!$A$2:$A$4618,$H85,'Transaction Data'!$E$2:$E$4618,"CARD_PAYMENTS_TOTAL")</f>
        <v>171158.6</v>
      </c>
      <c r="M85" s="7">
        <f>SUMIFS('Transaction Data'!$L$2:$L$4618,'Transaction Data'!$A$2:$A$4618,$H85,'Transaction Data'!$E$2:$E$4618,"PPI_TOTAL")</f>
        <v>25615.49</v>
      </c>
      <c r="O85" s="6">
        <f>A85</f>
        <v>44621</v>
      </c>
      <c r="P85" s="9">
        <f>IFERROR(IF(SUM(B84:F84)=0,"",SUM(B85:F85)/SUM(B84:F84)-1),"")</f>
        <v>0.19263965962804819</v>
      </c>
    </row>
    <row r="86" spans="1:16">
      <c r="A86" s="6">
        <f>EDATE(A85,1)</f>
        <v>44652</v>
      </c>
      <c r="B86" s="7">
        <f>SUMIFS('Transaction Data'!$K$2:$K$4618,'Transaction Data'!$A$2:$A$4618,$A86,'Transaction Data'!$E$2:$E$4618,"RTGS_TOTAL")</f>
        <v>195.32</v>
      </c>
      <c r="C86" s="7">
        <f>SUMIFS('Transaction Data'!$K$2:$K$4618,'Transaction Data'!$A$2:$A$4618,$A86,'Transaction Data'!$E$2:$E$4618,"RETAIL_CREDIT_TRANSFERS_TOTAL")</f>
        <v>66747.570000000007</v>
      </c>
      <c r="D86" s="7">
        <f>SUMIFS('Transaction Data'!$K$2:$K$4618,'Transaction Data'!$A$2:$A$4618,$A86,'Transaction Data'!$E$2:$E$4618,"DEBIT_TRANSFERS_TOTAL")</f>
        <v>1121.68</v>
      </c>
      <c r="E86" s="7">
        <f>SUMIFS('Transaction Data'!$K$2:$K$4618,'Transaction Data'!$A$2:$A$4618,$A86,'Transaction Data'!$E$2:$E$4618,"CARD_PAYMENTS_TOTAL")</f>
        <v>5541.17</v>
      </c>
      <c r="F86" s="7">
        <f>SUMIFS('Transaction Data'!$K$2:$K$4618,'Transaction Data'!$A$2:$A$4618,$A86,'Transaction Data'!$E$2:$E$4618,"PPI_TOTAL")</f>
        <v>6455.19</v>
      </c>
      <c r="H86" s="6">
        <f>A86</f>
        <v>44652</v>
      </c>
      <c r="I86" s="7">
        <f>SUMIFS('Transaction Data'!$L$2:$L$4618,'Transaction Data'!$A$2:$A$4618,$H86,'Transaction Data'!$E$2:$E$4618,"RTGS_TOTAL")</f>
        <v>11097594.49</v>
      </c>
      <c r="J86" s="7">
        <f>SUMIFS('Transaction Data'!$L$2:$L$4618,'Transaction Data'!$A$2:$A$4618,$H86,'Transaction Data'!$E$2:$E$4618,"RETAIL_CREDIT_TRANSFERS_TOTAL")</f>
        <v>4050335.04</v>
      </c>
      <c r="K86" s="7">
        <f>SUMIFS('Transaction Data'!$L$2:$L$4618,'Transaction Data'!$A$2:$A$4618,$H86,'Transaction Data'!$E$2:$E$4618,"DEBIT_TRANSFERS_TOTAL")</f>
        <v>93616.33</v>
      </c>
      <c r="L86" s="7">
        <f>SUMIFS('Transaction Data'!$L$2:$L$4618,'Transaction Data'!$A$2:$A$4618,$H86,'Transaction Data'!$E$2:$E$4618,"CARD_PAYMENTS_TOTAL")</f>
        <v>170520.88</v>
      </c>
      <c r="M86" s="7">
        <f>SUMIFS('Transaction Data'!$L$2:$L$4618,'Transaction Data'!$A$2:$A$4618,$H86,'Transaction Data'!$E$2:$E$4618,"PPI_TOTAL")</f>
        <v>25316.57</v>
      </c>
      <c r="O86" s="6">
        <f>A86</f>
        <v>44652</v>
      </c>
      <c r="P86" s="9">
        <f>IFERROR(IF(SUM(B85:F85)=0,"",SUM(B86:F86)/SUM(B85:F85)-1),"")</f>
        <v>2.4257770931968015E-3</v>
      </c>
    </row>
    <row r="87" spans="1:16">
      <c r="A87" s="6">
        <f>EDATE(A86,1)</f>
        <v>44682</v>
      </c>
      <c r="B87" s="7">
        <f>SUMIFS('Transaction Data'!$K$2:$K$4618,'Transaction Data'!$A$2:$A$4618,$A87,'Transaction Data'!$E$2:$E$4618,"RTGS_TOTAL")</f>
        <v>195.72</v>
      </c>
      <c r="C87" s="7">
        <f>SUMIFS('Transaction Data'!$K$2:$K$4618,'Transaction Data'!$A$2:$A$4618,$A87,'Transaction Data'!$E$2:$E$4618,"RETAIL_CREDIT_TRANSFERS_TOTAL")</f>
        <v>72187.5</v>
      </c>
      <c r="D87" s="7">
        <f>SUMIFS('Transaction Data'!$K$2:$K$4618,'Transaction Data'!$A$2:$A$4618,$A87,'Transaction Data'!$E$2:$E$4618,"DEBIT_TRANSFERS_TOTAL")</f>
        <v>1177.32</v>
      </c>
      <c r="E87" s="7">
        <f>SUMIFS('Transaction Data'!$K$2:$K$4618,'Transaction Data'!$A$2:$A$4618,$A87,'Transaction Data'!$E$2:$E$4618,"CARD_PAYMENTS_TOTAL")</f>
        <v>5693.68</v>
      </c>
      <c r="F87" s="7">
        <f>SUMIFS('Transaction Data'!$K$2:$K$4618,'Transaction Data'!$A$2:$A$4618,$A87,'Transaction Data'!$E$2:$E$4618,"PPI_TOTAL")</f>
        <v>6529.11</v>
      </c>
      <c r="H87" s="6">
        <f>A87</f>
        <v>44682</v>
      </c>
      <c r="I87" s="7">
        <f>SUMIFS('Transaction Data'!$L$2:$L$4618,'Transaction Data'!$A$2:$A$4618,$H87,'Transaction Data'!$E$2:$E$4618,"RTGS_TOTAL")</f>
        <v>11183946.970000001</v>
      </c>
      <c r="J87" s="7">
        <f>SUMIFS('Transaction Data'!$L$2:$L$4618,'Transaction Data'!$A$2:$A$4618,$H87,'Transaction Data'!$E$2:$E$4618,"RETAIL_CREDIT_TRANSFERS_TOTAL")</f>
        <v>4177865.19</v>
      </c>
      <c r="K87" s="7">
        <f>SUMIFS('Transaction Data'!$L$2:$L$4618,'Transaction Data'!$A$2:$A$4618,$H87,'Transaction Data'!$E$2:$E$4618,"DEBIT_TRANSFERS_TOTAL")</f>
        <v>95541.51</v>
      </c>
      <c r="L87" s="7">
        <f>SUMIFS('Transaction Data'!$L$2:$L$4618,'Transaction Data'!$A$2:$A$4618,$H87,'Transaction Data'!$E$2:$E$4618,"CARD_PAYMENTS_TOTAL")</f>
        <v>179493.5</v>
      </c>
      <c r="M87" s="7">
        <f>SUMIFS('Transaction Data'!$L$2:$L$4618,'Transaction Data'!$A$2:$A$4618,$H87,'Transaction Data'!$E$2:$E$4618,"PPI_TOTAL")</f>
        <v>25698.36</v>
      </c>
      <c r="O87" s="6">
        <f>A87</f>
        <v>44682</v>
      </c>
      <c r="P87" s="9">
        <f>IFERROR(IF(SUM(B86:F86)=0,"",SUM(B87:F87)/SUM(B86:F86)-1),"")</f>
        <v>7.1475562424768047E-2</v>
      </c>
    </row>
    <row r="88" spans="1:16">
      <c r="A88" s="6">
        <f>EDATE(A87,1)</f>
        <v>44713</v>
      </c>
      <c r="B88" s="7">
        <f>SUMIFS('Transaction Data'!$K$2:$K$4618,'Transaction Data'!$A$2:$A$4618,$A88,'Transaction Data'!$E$2:$E$4618,"RTGS_TOTAL")</f>
        <v>194.42</v>
      </c>
      <c r="C88" s="7">
        <f>SUMIFS('Transaction Data'!$K$2:$K$4618,'Transaction Data'!$A$2:$A$4618,$A88,'Transaction Data'!$E$2:$E$4618,"RETAIL_CREDIT_TRANSFERS_TOTAL")</f>
        <v>69921.27</v>
      </c>
      <c r="D88" s="7">
        <f>SUMIFS('Transaction Data'!$K$2:$K$4618,'Transaction Data'!$A$2:$A$4618,$A88,'Transaction Data'!$E$2:$E$4618,"DEBIT_TRANSFERS_TOTAL")</f>
        <v>1225.96</v>
      </c>
      <c r="E88" s="7">
        <f>SUMIFS('Transaction Data'!$K$2:$K$4618,'Transaction Data'!$A$2:$A$4618,$A88,'Transaction Data'!$E$2:$E$4618,"CARD_PAYMENTS_TOTAL")</f>
        <v>5369.44</v>
      </c>
      <c r="F88" s="7">
        <f>SUMIFS('Transaction Data'!$K$2:$K$4618,'Transaction Data'!$A$2:$A$4618,$A88,'Transaction Data'!$E$2:$E$4618,"PPI_TOTAL")</f>
        <v>6258.03</v>
      </c>
      <c r="H88" s="6">
        <f>A88</f>
        <v>44713</v>
      </c>
      <c r="I88" s="7">
        <f>SUMIFS('Transaction Data'!$L$2:$L$4618,'Transaction Data'!$A$2:$A$4618,$H88,'Transaction Data'!$E$2:$E$4618,"RTGS_TOTAL")</f>
        <v>12356053.529999999</v>
      </c>
      <c r="J88" s="7">
        <f>SUMIFS('Transaction Data'!$L$2:$L$4618,'Transaction Data'!$A$2:$A$4618,$H88,'Transaction Data'!$E$2:$E$4618,"RETAIL_CREDIT_TRANSFERS_TOTAL")</f>
        <v>4298157.62</v>
      </c>
      <c r="K88" s="7">
        <f>SUMIFS('Transaction Data'!$L$2:$L$4618,'Transaction Data'!$A$2:$A$4618,$H88,'Transaction Data'!$E$2:$E$4618,"DEBIT_TRANSFERS_TOTAL")</f>
        <v>100325.48</v>
      </c>
      <c r="L88" s="7">
        <f>SUMIFS('Transaction Data'!$L$2:$L$4618,'Transaction Data'!$A$2:$A$4618,$H88,'Transaction Data'!$E$2:$E$4618,"CARD_PAYMENTS_TOTAL")</f>
        <v>169636.43</v>
      </c>
      <c r="M88" s="7">
        <f>SUMIFS('Transaction Data'!$L$2:$L$4618,'Transaction Data'!$A$2:$A$4618,$H88,'Transaction Data'!$E$2:$E$4618,"PPI_TOTAL")</f>
        <v>24738.2</v>
      </c>
      <c r="O88" s="6">
        <f>A88</f>
        <v>44713</v>
      </c>
      <c r="P88" s="9">
        <f>IFERROR(IF(SUM(B87:F87)=0,"",SUM(B88:F88)/SUM(B87:F87)-1),"")</f>
        <v>-3.2806024200739192E-2</v>
      </c>
    </row>
    <row r="89" spans="1:16">
      <c r="A89" s="6">
        <f>EDATE(A88,1)</f>
        <v>44743</v>
      </c>
      <c r="B89" s="7">
        <f>SUMIFS('Transaction Data'!$K$2:$K$4618,'Transaction Data'!$A$2:$A$4618,$A89,'Transaction Data'!$E$2:$E$4618,"RTGS_TOTAL")</f>
        <v>189.26</v>
      </c>
      <c r="C89" s="7">
        <f>SUMIFS('Transaction Data'!$K$2:$K$4618,'Transaction Data'!$A$2:$A$4618,$A89,'Transaction Data'!$E$2:$E$4618,"RETAIL_CREDIT_TRANSFERS_TOTAL")</f>
        <v>74673.64</v>
      </c>
      <c r="D89" s="7">
        <f>SUMIFS('Transaction Data'!$K$2:$K$4618,'Transaction Data'!$A$2:$A$4618,$A89,'Transaction Data'!$E$2:$E$4618,"DEBIT_TRANSFERS_TOTAL")</f>
        <v>1217.97</v>
      </c>
      <c r="E89" s="7">
        <f>SUMIFS('Transaction Data'!$K$2:$K$4618,'Transaction Data'!$A$2:$A$4618,$A89,'Transaction Data'!$E$2:$E$4618,"CARD_PAYMENTS_TOTAL")</f>
        <v>5481.8</v>
      </c>
      <c r="F89" s="7">
        <f>SUMIFS('Transaction Data'!$K$2:$K$4618,'Transaction Data'!$A$2:$A$4618,$A89,'Transaction Data'!$E$2:$E$4618,"PPI_TOTAL")</f>
        <v>6195.34</v>
      </c>
      <c r="H89" s="6">
        <f>A89</f>
        <v>44743</v>
      </c>
      <c r="I89" s="7">
        <f>SUMIFS('Transaction Data'!$L$2:$L$4618,'Transaction Data'!$A$2:$A$4618,$H89,'Transaction Data'!$E$2:$E$4618,"RTGS_TOTAL")</f>
        <v>11551439.68</v>
      </c>
      <c r="J89" s="7">
        <f>SUMIFS('Transaction Data'!$L$2:$L$4618,'Transaction Data'!$A$2:$A$4618,$H89,'Transaction Data'!$E$2:$E$4618,"RETAIL_CREDIT_TRANSFERS_TOTAL")</f>
        <v>4267239.1500000004</v>
      </c>
      <c r="K89" s="7">
        <f>SUMIFS('Transaction Data'!$L$2:$L$4618,'Transaction Data'!$A$2:$A$4618,$H89,'Transaction Data'!$E$2:$E$4618,"DEBIT_TRANSFERS_TOTAL")</f>
        <v>100581.21</v>
      </c>
      <c r="L89" s="7">
        <f>SUMIFS('Transaction Data'!$L$2:$L$4618,'Transaction Data'!$A$2:$A$4618,$H89,'Transaction Data'!$E$2:$E$4618,"CARD_PAYMENTS_TOTAL")</f>
        <v>180370.69</v>
      </c>
      <c r="M89" s="7">
        <f>SUMIFS('Transaction Data'!$L$2:$L$4618,'Transaction Data'!$A$2:$A$4618,$H89,'Transaction Data'!$E$2:$E$4618,"PPI_TOTAL")</f>
        <v>25308.86</v>
      </c>
      <c r="O89" s="6">
        <f>A89</f>
        <v>44743</v>
      </c>
      <c r="P89" s="9">
        <f>IFERROR(IF(SUM(B88:F88)=0,"",SUM(B89:F89)/SUM(B88:F88)-1),"")</f>
        <v>5.7718944108362091E-2</v>
      </c>
    </row>
    <row r="90" spans="1:16">
      <c r="A90" s="6">
        <f>EDATE(A89,1)</f>
        <v>44774</v>
      </c>
      <c r="B90" s="7">
        <f>SUMIFS('Transaction Data'!$K$2:$K$4618,'Transaction Data'!$A$2:$A$4618,$A90,'Transaction Data'!$E$2:$E$4618,"RTGS_TOTAL")</f>
        <v>188.08</v>
      </c>
      <c r="C90" s="7">
        <f>SUMIFS('Transaction Data'!$K$2:$K$4618,'Transaction Data'!$A$2:$A$4618,$A90,'Transaction Data'!$E$2:$E$4618,"RETAIL_CREDIT_TRANSFERS_TOTAL")</f>
        <v>77757.95</v>
      </c>
      <c r="D90" s="7">
        <f>SUMIFS('Transaction Data'!$K$2:$K$4618,'Transaction Data'!$A$2:$A$4618,$A90,'Transaction Data'!$E$2:$E$4618,"DEBIT_TRANSFERS_TOTAL")</f>
        <v>1247.1500000000001</v>
      </c>
      <c r="E90" s="7">
        <f>SUMIFS('Transaction Data'!$K$2:$K$4618,'Transaction Data'!$A$2:$A$4618,$A90,'Transaction Data'!$E$2:$E$4618,"CARD_PAYMENTS_TOTAL")</f>
        <v>5481.3</v>
      </c>
      <c r="F90" s="7">
        <f>SUMIFS('Transaction Data'!$K$2:$K$4618,'Transaction Data'!$A$2:$A$4618,$A90,'Transaction Data'!$E$2:$E$4618,"PPI_TOTAL")</f>
        <v>6177.69</v>
      </c>
      <c r="H90" s="6">
        <f>A90</f>
        <v>44774</v>
      </c>
      <c r="I90" s="7">
        <f>SUMIFS('Transaction Data'!$L$2:$L$4618,'Transaction Data'!$A$2:$A$4618,$H90,'Transaction Data'!$E$2:$E$4618,"RTGS_TOTAL")</f>
        <v>11665582.710000001</v>
      </c>
      <c r="J90" s="7">
        <f>SUMIFS('Transaction Data'!$L$2:$L$4618,'Transaction Data'!$A$2:$A$4618,$H90,'Transaction Data'!$E$2:$E$4618,"RETAIL_CREDIT_TRANSFERS_TOTAL")</f>
        <v>4288962.9800000004</v>
      </c>
      <c r="K90" s="7">
        <f>SUMIFS('Transaction Data'!$L$2:$L$4618,'Transaction Data'!$A$2:$A$4618,$H90,'Transaction Data'!$E$2:$E$4618,"DEBIT_TRANSFERS_TOTAL")</f>
        <v>102824.44</v>
      </c>
      <c r="L90" s="7">
        <f>SUMIFS('Transaction Data'!$L$2:$L$4618,'Transaction Data'!$A$2:$A$4618,$H90,'Transaction Data'!$E$2:$E$4618,"CARD_PAYMENTS_TOTAL")</f>
        <v>174516.21</v>
      </c>
      <c r="M90" s="7">
        <f>SUMIFS('Transaction Data'!$L$2:$L$4618,'Transaction Data'!$A$2:$A$4618,$H90,'Transaction Data'!$E$2:$E$4618,"PPI_TOTAL")</f>
        <v>24625.42</v>
      </c>
      <c r="O90" s="6">
        <f>A90</f>
        <v>44774</v>
      </c>
      <c r="P90" s="9">
        <f>IFERROR(IF(SUM(B89:F89)=0,"",SUM(B90:F90)/SUM(B89:F89)-1),"")</f>
        <v>3.5257864210913592E-2</v>
      </c>
    </row>
    <row r="91" spans="1:16">
      <c r="A91" s="6">
        <f>EDATE(A90,1)</f>
        <v>44805</v>
      </c>
      <c r="B91" s="7">
        <f>SUMIFS('Transaction Data'!$K$2:$K$4618,'Transaction Data'!$A$2:$A$4618,$A91,'Transaction Data'!$E$2:$E$4618,"RTGS_TOTAL")</f>
        <v>198.3</v>
      </c>
      <c r="C91" s="7">
        <f>SUMIFS('Transaction Data'!$K$2:$K$4618,'Transaction Data'!$A$2:$A$4618,$A91,'Transaction Data'!$E$2:$E$4618,"RETAIL_CREDIT_TRANSFERS_TOTAL")</f>
        <v>79564.56</v>
      </c>
      <c r="D91" s="7">
        <f>SUMIFS('Transaction Data'!$K$2:$K$4618,'Transaction Data'!$A$2:$A$4618,$A91,'Transaction Data'!$E$2:$E$4618,"DEBIT_TRANSFERS_TOTAL")</f>
        <v>1257.3399999999999</v>
      </c>
      <c r="E91" s="7">
        <f>SUMIFS('Transaction Data'!$K$2:$K$4618,'Transaction Data'!$A$2:$A$4618,$A91,'Transaction Data'!$E$2:$E$4618,"CARD_PAYMENTS_TOTAL")</f>
        <v>5352.43</v>
      </c>
      <c r="F91" s="7">
        <f>SUMIFS('Transaction Data'!$K$2:$K$4618,'Transaction Data'!$A$2:$A$4618,$A91,'Transaction Data'!$E$2:$E$4618,"PPI_TOTAL")</f>
        <v>6048.61</v>
      </c>
      <c r="H91" s="6">
        <f>A91</f>
        <v>44805</v>
      </c>
      <c r="I91" s="7">
        <f>SUMIFS('Transaction Data'!$L$2:$L$4618,'Transaction Data'!$A$2:$A$4618,$H91,'Transaction Data'!$E$2:$E$4618,"RTGS_TOTAL")</f>
        <v>13789637.119999999</v>
      </c>
      <c r="J91" s="7">
        <f>SUMIFS('Transaction Data'!$L$2:$L$4618,'Transaction Data'!$A$2:$A$4618,$H91,'Transaction Data'!$E$2:$E$4618,"RETAIL_CREDIT_TRANSFERS_TOTAL")</f>
        <v>4621356.6399999997</v>
      </c>
      <c r="K91" s="7">
        <f>SUMIFS('Transaction Data'!$L$2:$L$4618,'Transaction Data'!$A$2:$A$4618,$H91,'Transaction Data'!$E$2:$E$4618,"DEBIT_TRANSFERS_TOTAL")</f>
        <v>106117.57</v>
      </c>
      <c r="L91" s="7">
        <f>SUMIFS('Transaction Data'!$L$2:$L$4618,'Transaction Data'!$A$2:$A$4618,$H91,'Transaction Data'!$E$2:$E$4618,"CARD_PAYMENTS_TOTAL")</f>
        <v>183297.75</v>
      </c>
      <c r="M91" s="7">
        <f>SUMIFS('Transaction Data'!$L$2:$L$4618,'Transaction Data'!$A$2:$A$4618,$H91,'Transaction Data'!$E$2:$E$4618,"PPI_TOTAL")</f>
        <v>24090.22</v>
      </c>
      <c r="O91" s="6">
        <f>A91</f>
        <v>44805</v>
      </c>
      <c r="P91" s="9">
        <f>IFERROR(IF(SUM(B90:F90)=0,"",SUM(B91:F91)/SUM(B90:F90)-1),"")</f>
        <v>1.7270583630528691E-2</v>
      </c>
    </row>
    <row r="92" spans="1:16">
      <c r="A92" s="6">
        <f>EDATE(A91,1)</f>
        <v>44835</v>
      </c>
      <c r="B92" s="7">
        <f>SUMIFS('Transaction Data'!$K$2:$K$4618,'Transaction Data'!$A$2:$A$4618,$A92,'Transaction Data'!$E$2:$E$4618,"RTGS_TOTAL")</f>
        <v>190.34</v>
      </c>
      <c r="C92" s="7">
        <f>SUMIFS('Transaction Data'!$K$2:$K$4618,'Transaction Data'!$A$2:$A$4618,$A92,'Transaction Data'!$E$2:$E$4618,"RETAIL_CREDIT_TRANSFERS_TOTAL")</f>
        <v>85748.55</v>
      </c>
      <c r="D92" s="7">
        <f>SUMIFS('Transaction Data'!$K$2:$K$4618,'Transaction Data'!$A$2:$A$4618,$A92,'Transaction Data'!$E$2:$E$4618,"DEBIT_TRANSFERS_TOTAL")</f>
        <v>1297.79</v>
      </c>
      <c r="E92" s="7">
        <f>SUMIFS('Transaction Data'!$K$2:$K$4618,'Transaction Data'!$A$2:$A$4618,$A92,'Transaction Data'!$E$2:$E$4618,"CARD_PAYMENTS_TOTAL")</f>
        <v>5516.4</v>
      </c>
      <c r="F92" s="7">
        <f>SUMIFS('Transaction Data'!$K$2:$K$4618,'Transaction Data'!$A$2:$A$4618,$A92,'Transaction Data'!$E$2:$E$4618,"PPI_TOTAL")</f>
        <v>6167.35</v>
      </c>
      <c r="H92" s="6">
        <f>A92</f>
        <v>44835</v>
      </c>
      <c r="I92" s="7">
        <f>SUMIFS('Transaction Data'!$L$2:$L$4618,'Transaction Data'!$A$2:$A$4618,$H92,'Transaction Data'!$E$2:$E$4618,"RTGS_TOTAL")</f>
        <v>11551276.859999999</v>
      </c>
      <c r="J92" s="7">
        <f>SUMIFS('Transaction Data'!$L$2:$L$4618,'Transaction Data'!$A$2:$A$4618,$H92,'Transaction Data'!$E$2:$E$4618,"RETAIL_CREDIT_TRANSFERS_TOTAL")</f>
        <v>4557107.24</v>
      </c>
      <c r="K92" s="7">
        <f>SUMIFS('Transaction Data'!$L$2:$L$4618,'Transaction Data'!$A$2:$A$4618,$H92,'Transaction Data'!$E$2:$E$4618,"DEBIT_TRANSFERS_TOTAL")</f>
        <v>106956.04</v>
      </c>
      <c r="L92" s="7">
        <f>SUMIFS('Transaction Data'!$L$2:$L$4618,'Transaction Data'!$A$2:$A$4618,$H92,'Transaction Data'!$E$2:$E$4618,"CARD_PAYMENTS_TOTAL")</f>
        <v>195998.5</v>
      </c>
      <c r="M92" s="7">
        <f>SUMIFS('Transaction Data'!$L$2:$L$4618,'Transaction Data'!$A$2:$A$4618,$H92,'Transaction Data'!$E$2:$E$4618,"PPI_TOTAL")</f>
        <v>24296.37</v>
      </c>
      <c r="O92" s="6">
        <f>A92</f>
        <v>44835</v>
      </c>
      <c r="P92" s="9">
        <f>IFERROR(IF(SUM(B91:F91)=0,"",SUM(B92:F92)/SUM(B91:F91)-1),"")</f>
        <v>7.0321389325657124E-2</v>
      </c>
    </row>
    <row r="93" spans="1:16">
      <c r="A93" s="6">
        <f>EDATE(A92,1)</f>
        <v>44866</v>
      </c>
      <c r="B93" s="7">
        <f>SUMIFS('Transaction Data'!$K$2:$K$4618,'Transaction Data'!$A$2:$A$4618,$A93,'Transaction Data'!$E$2:$E$4618,"RTGS_TOTAL")</f>
        <v>206.46</v>
      </c>
      <c r="C93" s="7">
        <f>SUMIFS('Transaction Data'!$K$2:$K$4618,'Transaction Data'!$A$2:$A$4618,$A93,'Transaction Data'!$E$2:$E$4618,"RETAIL_CREDIT_TRANSFERS_TOTAL")</f>
        <v>84557.58</v>
      </c>
      <c r="D93" s="7">
        <f>SUMIFS('Transaction Data'!$K$2:$K$4618,'Transaction Data'!$A$2:$A$4618,$A93,'Transaction Data'!$E$2:$E$4618,"DEBIT_TRANSFERS_TOTAL")</f>
        <v>1316.6</v>
      </c>
      <c r="E93" s="7">
        <f>SUMIFS('Transaction Data'!$K$2:$K$4618,'Transaction Data'!$A$2:$A$4618,$A93,'Transaction Data'!$E$2:$E$4618,"CARD_PAYMENTS_TOTAL")</f>
        <v>4956.0200000000004</v>
      </c>
      <c r="F93" s="7">
        <f>SUMIFS('Transaction Data'!$K$2:$K$4618,'Transaction Data'!$A$2:$A$4618,$A93,'Transaction Data'!$E$2:$E$4618,"PPI_TOTAL")</f>
        <v>6075.2</v>
      </c>
      <c r="H93" s="6">
        <f>A93</f>
        <v>44866</v>
      </c>
      <c r="I93" s="7">
        <f>SUMIFS('Transaction Data'!$L$2:$L$4618,'Transaction Data'!$A$2:$A$4618,$H93,'Transaction Data'!$E$2:$E$4618,"RTGS_TOTAL")</f>
        <v>12291749.49</v>
      </c>
      <c r="J93" s="7">
        <f>SUMIFS('Transaction Data'!$L$2:$L$4618,'Transaction Data'!$A$2:$A$4618,$H93,'Transaction Data'!$E$2:$E$4618,"RETAIL_CREDIT_TRANSFERS_TOTAL")</f>
        <v>4527540.16</v>
      </c>
      <c r="K93" s="7">
        <f>SUMIFS('Transaction Data'!$L$2:$L$4618,'Transaction Data'!$A$2:$A$4618,$H93,'Transaction Data'!$E$2:$E$4618,"DEBIT_TRANSFERS_TOTAL")</f>
        <v>110180.7</v>
      </c>
      <c r="L93" s="7">
        <f>SUMIFS('Transaction Data'!$L$2:$L$4618,'Transaction Data'!$A$2:$A$4618,$H93,'Transaction Data'!$E$2:$E$4618,"CARD_PAYMENTS_TOTAL")</f>
        <v>170387.63</v>
      </c>
      <c r="M93" s="7">
        <f>SUMIFS('Transaction Data'!$L$2:$L$4618,'Transaction Data'!$A$2:$A$4618,$H93,'Transaction Data'!$E$2:$E$4618,"PPI_TOTAL")</f>
        <v>22808.400000000001</v>
      </c>
      <c r="O93" s="6">
        <f>A93</f>
        <v>44866</v>
      </c>
      <c r="P93" s="9">
        <f>IFERROR(IF(SUM(B92:F92)=0,"",SUM(B93:F93)/SUM(B92:F92)-1),"")</f>
        <v>-1.8283078631987082E-2</v>
      </c>
    </row>
    <row r="94" spans="1:16">
      <c r="A94" s="6">
        <f>EDATE(A93,1)</f>
        <v>44896</v>
      </c>
      <c r="B94" s="7">
        <f>SUMIFS('Transaction Data'!$K$2:$K$4618,'Transaction Data'!$A$2:$A$4618,$A94,'Transaction Data'!$E$2:$E$4618,"RTGS_TOTAL")</f>
        <v>215.03</v>
      </c>
      <c r="C94" s="7">
        <f>SUMIFS('Transaction Data'!$K$2:$K$4618,'Transaction Data'!$A$2:$A$4618,$A94,'Transaction Data'!$E$2:$E$4618,"RETAIL_CREDIT_TRANSFERS_TOTAL")</f>
        <v>90675.95</v>
      </c>
      <c r="D94" s="7">
        <f>SUMIFS('Transaction Data'!$K$2:$K$4618,'Transaction Data'!$A$2:$A$4618,$A94,'Transaction Data'!$E$2:$E$4618,"DEBIT_TRANSFERS_TOTAL")</f>
        <v>1357.72</v>
      </c>
      <c r="E94" s="7">
        <f>SUMIFS('Transaction Data'!$K$2:$K$4618,'Transaction Data'!$A$2:$A$4618,$A94,'Transaction Data'!$E$2:$E$4618,"CARD_PAYMENTS_TOTAL")</f>
        <v>5223.57</v>
      </c>
      <c r="F94" s="7">
        <f>SUMIFS('Transaction Data'!$K$2:$K$4618,'Transaction Data'!$A$2:$A$4618,$A94,'Transaction Data'!$E$2:$E$4618,"PPI_TOTAL")</f>
        <v>6354.65</v>
      </c>
      <c r="H94" s="6">
        <f>A94</f>
        <v>44896</v>
      </c>
      <c r="I94" s="7">
        <f>SUMIFS('Transaction Data'!$L$2:$L$4618,'Transaction Data'!$A$2:$A$4618,$H94,'Transaction Data'!$E$2:$E$4618,"RTGS_TOTAL")</f>
        <v>13736057.18</v>
      </c>
      <c r="J94" s="7">
        <f>SUMIFS('Transaction Data'!$L$2:$L$4618,'Transaction Data'!$A$2:$A$4618,$H94,'Transaction Data'!$E$2:$E$4618,"RETAIL_CREDIT_TRANSFERS_TOTAL")</f>
        <v>4928330.62</v>
      </c>
      <c r="K94" s="7">
        <f>SUMIFS('Transaction Data'!$L$2:$L$4618,'Transaction Data'!$A$2:$A$4618,$H94,'Transaction Data'!$E$2:$E$4618,"DEBIT_TRANSFERS_TOTAL")</f>
        <v>116425.42</v>
      </c>
      <c r="L94" s="7">
        <f>SUMIFS('Transaction Data'!$L$2:$L$4618,'Transaction Data'!$A$2:$A$4618,$H94,'Transaction Data'!$E$2:$E$4618,"CARD_PAYMENTS_TOTAL")</f>
        <v>185149.73</v>
      </c>
      <c r="M94" s="7">
        <f>SUMIFS('Transaction Data'!$L$2:$L$4618,'Transaction Data'!$A$2:$A$4618,$H94,'Transaction Data'!$E$2:$E$4618,"PPI_TOTAL")</f>
        <v>22648.19</v>
      </c>
      <c r="O94" s="6">
        <f>A94</f>
        <v>44896</v>
      </c>
      <c r="P94" s="9">
        <f>IFERROR(IF(SUM(B93:F93)=0,"",SUM(B94:F94)/SUM(B93:F93)-1),"")</f>
        <v>6.9147681858837462E-2</v>
      </c>
    </row>
    <row r="95" spans="1:16">
      <c r="A95" s="6">
        <f>EDATE(A94,1)</f>
        <v>44927</v>
      </c>
      <c r="B95" s="7">
        <f>SUMIFS('Transaction Data'!$K$2:$K$4618,'Transaction Data'!$A$2:$A$4618,$A95,'Transaction Data'!$E$2:$E$4618,"RTGS_TOTAL")</f>
        <v>204.18</v>
      </c>
      <c r="C95" s="7">
        <f>SUMIFS('Transaction Data'!$K$2:$K$4618,'Transaction Data'!$A$2:$A$4618,$A95,'Transaction Data'!$E$2:$E$4618,"RETAIL_CREDIT_TRANSFERS_TOTAL")</f>
        <v>92396.07</v>
      </c>
      <c r="D95" s="7">
        <f>SUMIFS('Transaction Data'!$K$2:$K$4618,'Transaction Data'!$A$2:$A$4618,$A95,'Transaction Data'!$E$2:$E$4618,"DEBIT_TRANSFERS_TOTAL")</f>
        <v>1360.36</v>
      </c>
      <c r="E95" s="7">
        <f>SUMIFS('Transaction Data'!$K$2:$K$4618,'Transaction Data'!$A$2:$A$4618,$A95,'Transaction Data'!$E$2:$E$4618,"CARD_PAYMENTS_TOTAL")</f>
        <v>5103.6099999999997</v>
      </c>
      <c r="F95" s="7">
        <f>SUMIFS('Transaction Data'!$K$2:$K$4618,'Transaction Data'!$A$2:$A$4618,$A95,'Transaction Data'!$E$2:$E$4618,"PPI_TOTAL")</f>
        <v>6129.4</v>
      </c>
      <c r="H95" s="6">
        <f>A95</f>
        <v>44927</v>
      </c>
      <c r="I95" s="7">
        <f>SUMIFS('Transaction Data'!$L$2:$L$4618,'Transaction Data'!$A$2:$A$4618,$H95,'Transaction Data'!$E$2:$E$4618,"RTGS_TOTAL")</f>
        <v>12546466.77</v>
      </c>
      <c r="J95" s="7">
        <f>SUMIFS('Transaction Data'!$L$2:$L$4618,'Transaction Data'!$A$2:$A$4618,$H95,'Transaction Data'!$E$2:$E$4618,"RETAIL_CREDIT_TRANSFERS_TOTAL")</f>
        <v>4738328.25</v>
      </c>
      <c r="K95" s="7">
        <f>SUMIFS('Transaction Data'!$L$2:$L$4618,'Transaction Data'!$A$2:$A$4618,$H95,'Transaction Data'!$E$2:$E$4618,"DEBIT_TRANSFERS_TOTAL")</f>
        <v>115657.51</v>
      </c>
      <c r="L95" s="7">
        <f>SUMIFS('Transaction Data'!$L$2:$L$4618,'Transaction Data'!$A$2:$A$4618,$H95,'Transaction Data'!$E$2:$E$4618,"CARD_PAYMENTS_TOTAL")</f>
        <v>183460.35</v>
      </c>
      <c r="M95" s="7">
        <f>SUMIFS('Transaction Data'!$L$2:$L$4618,'Transaction Data'!$A$2:$A$4618,$H95,'Transaction Data'!$E$2:$E$4618,"PPI_TOTAL")</f>
        <v>22193.19</v>
      </c>
      <c r="O95" s="6">
        <f>A95</f>
        <v>44927</v>
      </c>
      <c r="P95" s="9">
        <f>IFERROR(IF(SUM(B94:F94)=0,"",SUM(B95:F95)/SUM(B94:F94)-1),"")</f>
        <v>1.3163252844252904E-2</v>
      </c>
    </row>
    <row r="96" spans="1:16">
      <c r="A96" s="6">
        <f>EDATE(A95,1)</f>
        <v>44958</v>
      </c>
      <c r="B96" s="7">
        <f>SUMIFS('Transaction Data'!$K$2:$K$4618,'Transaction Data'!$A$2:$A$4618,$A96,'Transaction Data'!$E$2:$E$4618,"RTGS_TOTAL")</f>
        <v>200.5</v>
      </c>
      <c r="C96" s="7">
        <f>SUMIFS('Transaction Data'!$K$2:$K$4618,'Transaction Data'!$A$2:$A$4618,$A96,'Transaction Data'!$E$2:$E$4618,"RETAIL_CREDIT_TRANSFERS_TOTAL")</f>
        <v>88539.09</v>
      </c>
      <c r="D96" s="7">
        <f>SUMIFS('Transaction Data'!$K$2:$K$4618,'Transaction Data'!$A$2:$A$4618,$A96,'Transaction Data'!$E$2:$E$4618,"DEBIT_TRANSFERS_TOTAL")</f>
        <v>1359.79</v>
      </c>
      <c r="E96" s="7">
        <f>SUMIFS('Transaction Data'!$K$2:$K$4618,'Transaction Data'!$A$2:$A$4618,$A96,'Transaction Data'!$E$2:$E$4618,"CARD_PAYMENTS_TOTAL")</f>
        <v>4588.51</v>
      </c>
      <c r="F96" s="7">
        <f>SUMIFS('Transaction Data'!$K$2:$K$4618,'Transaction Data'!$A$2:$A$4618,$A96,'Transaction Data'!$E$2:$E$4618,"PPI_TOTAL")</f>
        <v>6050.89</v>
      </c>
      <c r="H96" s="6">
        <f>A96</f>
        <v>44958</v>
      </c>
      <c r="I96" s="7">
        <f>SUMIFS('Transaction Data'!$L$2:$L$4618,'Transaction Data'!$A$2:$A$4618,$H96,'Transaction Data'!$E$2:$E$4618,"RTGS_TOTAL")</f>
        <v>12053579.029999999</v>
      </c>
      <c r="J96" s="7">
        <f>SUMIFS('Transaction Data'!$L$2:$L$4618,'Transaction Data'!$A$2:$A$4618,$H96,'Transaction Data'!$E$2:$E$4618,"RETAIL_CREDIT_TRANSFERS_TOTAL")</f>
        <v>4647461.08</v>
      </c>
      <c r="K96" s="7">
        <f>SUMIFS('Transaction Data'!$L$2:$L$4618,'Transaction Data'!$A$2:$A$4618,$H96,'Transaction Data'!$E$2:$E$4618,"DEBIT_TRANSFERS_TOTAL")</f>
        <v>115271.9</v>
      </c>
      <c r="L96" s="7">
        <f>SUMIFS('Transaction Data'!$L$2:$L$4618,'Transaction Data'!$A$2:$A$4618,$H96,'Transaction Data'!$E$2:$E$4618,"CARD_PAYMENTS_TOTAL")</f>
        <v>168377.71</v>
      </c>
      <c r="M96" s="7">
        <f>SUMIFS('Transaction Data'!$L$2:$L$4618,'Transaction Data'!$A$2:$A$4618,$H96,'Transaction Data'!$E$2:$E$4618,"PPI_TOTAL")</f>
        <v>22398.880000000001</v>
      </c>
      <c r="O96" s="6">
        <f>A96</f>
        <v>44958</v>
      </c>
      <c r="P96" s="9">
        <f>IFERROR(IF(SUM(B95:F95)=0,"",SUM(B96:F96)/SUM(B95:F95)-1),"")</f>
        <v>-4.2348956143918315E-2</v>
      </c>
    </row>
    <row r="97" spans="1:16">
      <c r="A97" s="6">
        <f>EDATE(A96,1)</f>
        <v>44986</v>
      </c>
      <c r="B97" s="7">
        <f>SUMIFS('Transaction Data'!$K$2:$K$4618,'Transaction Data'!$A$2:$A$4618,$A97,'Transaction Data'!$E$2:$E$4618,"RTGS_TOTAL")</f>
        <v>248.01</v>
      </c>
      <c r="C97" s="7">
        <f>SUMIFS('Transaction Data'!$K$2:$K$4618,'Transaction Data'!$A$2:$A$4618,$A97,'Transaction Data'!$E$2:$E$4618,"RETAIL_CREDIT_TRANSFERS_TOTAL")</f>
        <v>100851.12</v>
      </c>
      <c r="D97" s="7">
        <f>SUMIFS('Transaction Data'!$K$2:$K$4618,'Transaction Data'!$A$2:$A$4618,$A97,'Transaction Data'!$E$2:$E$4618,"DEBIT_TRANSFERS_TOTAL")</f>
        <v>1403.39</v>
      </c>
      <c r="E97" s="7">
        <f>SUMIFS('Transaction Data'!$K$2:$K$4618,'Transaction Data'!$A$2:$A$4618,$A97,'Transaction Data'!$E$2:$E$4618,"CARD_PAYMENTS_TOTAL")</f>
        <v>5016.79</v>
      </c>
      <c r="F97" s="7">
        <f>SUMIFS('Transaction Data'!$K$2:$K$4618,'Transaction Data'!$A$2:$A$4618,$A97,'Transaction Data'!$E$2:$E$4618,"PPI_TOTAL")</f>
        <v>6402.38</v>
      </c>
      <c r="H97" s="6">
        <f>A97</f>
        <v>44986</v>
      </c>
      <c r="I97" s="7">
        <f>SUMIFS('Transaction Data'!$L$2:$L$4618,'Transaction Data'!$A$2:$A$4618,$H97,'Transaction Data'!$E$2:$E$4618,"RTGS_TOTAL")</f>
        <v>16122902.24</v>
      </c>
      <c r="J97" s="7">
        <f>SUMIFS('Transaction Data'!$L$2:$L$4618,'Transaction Data'!$A$2:$A$4618,$H97,'Transaction Data'!$E$2:$E$4618,"RETAIL_CREDIT_TRANSFERS_TOTAL")</f>
        <v>5906935.5300000003</v>
      </c>
      <c r="K97" s="7">
        <f>SUMIFS('Transaction Data'!$L$2:$L$4618,'Transaction Data'!$A$2:$A$4618,$H97,'Transaction Data'!$E$2:$E$4618,"DEBIT_TRANSFERS_TOTAL")</f>
        <v>126112.96000000001</v>
      </c>
      <c r="L97" s="7">
        <f>SUMIFS('Transaction Data'!$L$2:$L$4618,'Transaction Data'!$A$2:$A$4618,$H97,'Transaction Data'!$E$2:$E$4618,"CARD_PAYMENTS_TOTAL")</f>
        <v>191035.14</v>
      </c>
      <c r="M97" s="7">
        <f>SUMIFS('Transaction Data'!$L$2:$L$4618,'Transaction Data'!$A$2:$A$4618,$H97,'Transaction Data'!$E$2:$E$4618,"PPI_TOTAL")</f>
        <v>24004.99</v>
      </c>
      <c r="O97" s="6">
        <f>A97</f>
        <v>44986</v>
      </c>
      <c r="P97" s="9">
        <f>IFERROR(IF(SUM(B96:F96)=0,"",SUM(B97:F97)/SUM(B96:F96)-1),"")</f>
        <v>0.13086231538638859</v>
      </c>
    </row>
    <row r="98" spans="1:16">
      <c r="A98" s="6">
        <f>EDATE(A97,1)</f>
        <v>45017</v>
      </c>
      <c r="B98" s="7">
        <f>SUMIFS('Transaction Data'!$K$2:$K$4618,'Transaction Data'!$A$2:$A$4618,$A98,'Transaction Data'!$E$2:$E$4618,"RTGS_TOTAL")</f>
        <v>201.57</v>
      </c>
      <c r="C98" s="7">
        <f>SUMIFS('Transaction Data'!$K$2:$K$4618,'Transaction Data'!$A$2:$A$4618,$A98,'Transaction Data'!$E$2:$E$4618,"RETAIL_CREDIT_TRANSFERS_TOTAL")</f>
        <v>100492.45</v>
      </c>
      <c r="D98" s="7">
        <f>SUMIFS('Transaction Data'!$K$2:$K$4618,'Transaction Data'!$A$2:$A$4618,$A98,'Transaction Data'!$E$2:$E$4618,"DEBIT_TRANSFERS_TOTAL")</f>
        <v>1398.58</v>
      </c>
      <c r="E98" s="7">
        <f>SUMIFS('Transaction Data'!$K$2:$K$4618,'Transaction Data'!$A$2:$A$4618,$A98,'Transaction Data'!$E$2:$E$4618,"CARD_PAYMENTS_TOTAL")</f>
        <v>4887.9399999999996</v>
      </c>
      <c r="F98" s="7">
        <f>SUMIFS('Transaction Data'!$K$2:$K$4618,'Transaction Data'!$A$2:$A$4618,$A98,'Transaction Data'!$E$2:$E$4618,"PPI_TOTAL")</f>
        <v>6442.16</v>
      </c>
      <c r="H98" s="6">
        <f>A98</f>
        <v>45017</v>
      </c>
      <c r="I98" s="7">
        <f>SUMIFS('Transaction Data'!$L$2:$L$4618,'Transaction Data'!$A$2:$A$4618,$H98,'Transaction Data'!$E$2:$E$4618,"RTGS_TOTAL")</f>
        <v>11876805.539999999</v>
      </c>
      <c r="J98" s="7">
        <f>SUMIFS('Transaction Data'!$L$2:$L$4618,'Transaction Data'!$A$2:$A$4618,$H98,'Transaction Data'!$E$2:$E$4618,"RETAIL_CREDIT_TRANSFERS_TOTAL")</f>
        <v>4834440.84</v>
      </c>
      <c r="K98" s="7">
        <f>SUMIFS('Transaction Data'!$L$2:$L$4618,'Transaction Data'!$A$2:$A$4618,$H98,'Transaction Data'!$E$2:$E$4618,"DEBIT_TRANSFERS_TOTAL")</f>
        <v>120184.75</v>
      </c>
      <c r="L98" s="7">
        <f>SUMIFS('Transaction Data'!$L$2:$L$4618,'Transaction Data'!$A$2:$A$4618,$H98,'Transaction Data'!$E$2:$E$4618,"CARD_PAYMENTS_TOTAL")</f>
        <v>187395.9</v>
      </c>
      <c r="M98" s="7">
        <f>SUMIFS('Transaction Data'!$L$2:$L$4618,'Transaction Data'!$A$2:$A$4618,$H98,'Transaction Data'!$E$2:$E$4618,"PPI_TOTAL")</f>
        <v>22633.85</v>
      </c>
      <c r="O98" s="6">
        <f>A98</f>
        <v>45017</v>
      </c>
      <c r="P98" s="9">
        <f>IFERROR(IF(SUM(B97:F97)=0,"",SUM(B98:F98)/SUM(B97:F97)-1),"")</f>
        <v>-4.3801140941639449E-3</v>
      </c>
    </row>
    <row r="99" spans="1:16">
      <c r="A99" s="6">
        <f>EDATE(A98,1)</f>
        <v>45047</v>
      </c>
      <c r="B99" s="7">
        <f>SUMIFS('Transaction Data'!$K$2:$K$4618,'Transaction Data'!$A$2:$A$4618,$A99,'Transaction Data'!$E$2:$E$4618,"RTGS_TOTAL")</f>
        <v>220.46</v>
      </c>
      <c r="C99" s="7">
        <f>SUMIFS('Transaction Data'!$K$2:$K$4618,'Transaction Data'!$A$2:$A$4618,$A99,'Transaction Data'!$E$2:$E$4618,"RETAIL_CREDIT_TRANSFERS_TOTAL")</f>
        <v>107130.93</v>
      </c>
      <c r="D99" s="7">
        <f>SUMIFS('Transaction Data'!$K$2:$K$4618,'Transaction Data'!$A$2:$A$4618,$A99,'Transaction Data'!$E$2:$E$4618,"DEBIT_TRANSFERS_TOTAL")</f>
        <v>1457.43</v>
      </c>
      <c r="E99" s="7">
        <f>SUMIFS('Transaction Data'!$K$2:$K$4618,'Transaction Data'!$A$2:$A$4618,$A99,'Transaction Data'!$E$2:$E$4618,"CARD_PAYMENTS_TOTAL")</f>
        <v>4974.51</v>
      </c>
      <c r="F99" s="7">
        <f>SUMIFS('Transaction Data'!$K$2:$K$4618,'Transaction Data'!$A$2:$A$4618,$A99,'Transaction Data'!$E$2:$E$4618,"PPI_TOTAL")</f>
        <v>7064.3</v>
      </c>
      <c r="H99" s="6">
        <f>A99</f>
        <v>45047</v>
      </c>
      <c r="I99" s="7">
        <f>SUMIFS('Transaction Data'!$L$2:$L$4618,'Transaction Data'!$A$2:$A$4618,$H99,'Transaction Data'!$E$2:$E$4618,"RTGS_TOTAL")</f>
        <v>12882587.119999999</v>
      </c>
      <c r="J99" s="7">
        <f>SUMIFS('Transaction Data'!$L$2:$L$4618,'Transaction Data'!$A$2:$A$4618,$H99,'Transaction Data'!$E$2:$E$4618,"RETAIL_CREDIT_TRANSFERS_TOTAL")</f>
        <v>5196720</v>
      </c>
      <c r="K99" s="7">
        <f>SUMIFS('Transaction Data'!$L$2:$L$4618,'Transaction Data'!$A$2:$A$4618,$H99,'Transaction Data'!$E$2:$E$4618,"DEBIT_TRANSFERS_TOTAL")</f>
        <v>125654.49</v>
      </c>
      <c r="L99" s="7">
        <f>SUMIFS('Transaction Data'!$L$2:$L$4618,'Transaction Data'!$A$2:$A$4618,$H99,'Transaction Data'!$E$2:$E$4618,"CARD_PAYMENTS_TOTAL")</f>
        <v>193435.51</v>
      </c>
      <c r="M99" s="7">
        <f>SUMIFS('Transaction Data'!$L$2:$L$4618,'Transaction Data'!$A$2:$A$4618,$H99,'Transaction Data'!$E$2:$E$4618,"PPI_TOTAL")</f>
        <v>24239.61</v>
      </c>
      <c r="O99" s="6">
        <f>A99</f>
        <v>45047</v>
      </c>
      <c r="P99" s="9">
        <f>IFERROR(IF(SUM(B98:F98)=0,"",SUM(B99:F99)/SUM(B98:F98)-1),"")</f>
        <v>6.5462469153000136E-2</v>
      </c>
    </row>
    <row r="100" spans="1:16">
      <c r="A100" s="6">
        <f>EDATE(A99,1)</f>
        <v>45078</v>
      </c>
      <c r="B100" s="7">
        <f>SUMIFS('Transaction Data'!$K$2:$K$4618,'Transaction Data'!$A$2:$A$4618,$A100,'Transaction Data'!$E$2:$E$4618,"RTGS_TOTAL")</f>
        <v>212.3</v>
      </c>
      <c r="C100" s="7">
        <f>SUMIFS('Transaction Data'!$K$2:$K$4618,'Transaction Data'!$A$2:$A$4618,$A100,'Transaction Data'!$E$2:$E$4618,"RETAIL_CREDIT_TRANSFERS_TOTAL")</f>
        <v>106299.38</v>
      </c>
      <c r="D100" s="7">
        <f>SUMIFS('Transaction Data'!$K$2:$K$4618,'Transaction Data'!$A$2:$A$4618,$A100,'Transaction Data'!$E$2:$E$4618,"DEBIT_TRANSFERS_TOTAL")</f>
        <v>1453.92</v>
      </c>
      <c r="E100" s="7">
        <f>SUMIFS('Transaction Data'!$K$2:$K$4618,'Transaction Data'!$A$2:$A$4618,$A100,'Transaction Data'!$E$2:$E$4618,"CARD_PAYMENTS_TOTAL")</f>
        <v>4731.29</v>
      </c>
      <c r="F100" s="7">
        <f>SUMIFS('Transaction Data'!$K$2:$K$4618,'Transaction Data'!$A$2:$A$4618,$A100,'Transaction Data'!$E$2:$E$4618,"PPI_TOTAL")</f>
        <v>6569.82</v>
      </c>
      <c r="H100" s="6">
        <f>A100</f>
        <v>45078</v>
      </c>
      <c r="I100" s="7">
        <f>SUMIFS('Transaction Data'!$L$2:$L$4618,'Transaction Data'!$A$2:$A$4618,$H100,'Transaction Data'!$E$2:$E$4618,"RTGS_TOTAL")</f>
        <v>14336617.140000001</v>
      </c>
      <c r="J100" s="7">
        <f>SUMIFS('Transaction Data'!$L$2:$L$4618,'Transaction Data'!$A$2:$A$4618,$H100,'Transaction Data'!$E$2:$E$4618,"RETAIL_CREDIT_TRANSFERS_TOTAL")</f>
        <v>5151212.8</v>
      </c>
      <c r="K100" s="7">
        <f>SUMIFS('Transaction Data'!$L$2:$L$4618,'Transaction Data'!$A$2:$A$4618,$H100,'Transaction Data'!$E$2:$E$4618,"DEBIT_TRANSFERS_TOTAL")</f>
        <v>129549.31</v>
      </c>
      <c r="L100" s="7">
        <f>SUMIFS('Transaction Data'!$L$2:$L$4618,'Transaction Data'!$A$2:$A$4618,$H100,'Transaction Data'!$E$2:$E$4618,"CARD_PAYMENTS_TOTAL")</f>
        <v>188283.69</v>
      </c>
      <c r="M100" s="7">
        <f>SUMIFS('Transaction Data'!$L$2:$L$4618,'Transaction Data'!$A$2:$A$4618,$H100,'Transaction Data'!$E$2:$E$4618,"PPI_TOTAL")</f>
        <v>23509.01</v>
      </c>
      <c r="O100" s="6">
        <f>A100</f>
        <v>45078</v>
      </c>
      <c r="P100" s="9">
        <f>IFERROR(IF(SUM(B99:F99)=0,"",SUM(B100:F100)/SUM(B99:F99)-1),"")</f>
        <v>-1.3081928044430757E-2</v>
      </c>
    </row>
    <row r="101" spans="1:16">
      <c r="A101" s="6">
        <f>EDATE(A100,1)</f>
        <v>45108</v>
      </c>
      <c r="B101" s="7">
        <f>SUMIFS('Transaction Data'!$K$2:$K$4618,'Transaction Data'!$A$2:$A$4618,$A101,'Transaction Data'!$E$2:$E$4618,"RTGS_TOTAL")</f>
        <v>211.89</v>
      </c>
      <c r="C101" s="7">
        <f>SUMIFS('Transaction Data'!$K$2:$K$4618,'Transaction Data'!$A$2:$A$4618,$A101,'Transaction Data'!$E$2:$E$4618,"RETAIL_CREDIT_TRANSFERS_TOTAL")</f>
        <v>114189.63</v>
      </c>
      <c r="D101" s="7">
        <f>SUMIFS('Transaction Data'!$K$2:$K$4618,'Transaction Data'!$A$2:$A$4618,$A101,'Transaction Data'!$E$2:$E$4618,"DEBIT_TRANSFERS_TOTAL")</f>
        <v>1473.1</v>
      </c>
      <c r="E101" s="7">
        <f>SUMIFS('Transaction Data'!$K$2:$K$4618,'Transaction Data'!$A$2:$A$4618,$A101,'Transaction Data'!$E$2:$E$4618,"CARD_PAYMENTS_TOTAL")</f>
        <v>4882.21</v>
      </c>
      <c r="F101" s="7">
        <f>SUMIFS('Transaction Data'!$K$2:$K$4618,'Transaction Data'!$A$2:$A$4618,$A101,'Transaction Data'!$E$2:$E$4618,"PPI_TOTAL")</f>
        <v>6393.08</v>
      </c>
      <c r="H101" s="6">
        <f>A101</f>
        <v>45108</v>
      </c>
      <c r="I101" s="7">
        <f>SUMIFS('Transaction Data'!$L$2:$L$4618,'Transaction Data'!$A$2:$A$4618,$H101,'Transaction Data'!$E$2:$E$4618,"RTGS_TOTAL")</f>
        <v>13124561.27</v>
      </c>
      <c r="J101" s="7">
        <f>SUMIFS('Transaction Data'!$L$2:$L$4618,'Transaction Data'!$A$2:$A$4618,$H101,'Transaction Data'!$E$2:$E$4618,"RETAIL_CREDIT_TRANSFERS_TOTAL")</f>
        <v>5250942.51</v>
      </c>
      <c r="K101" s="7">
        <f>SUMIFS('Transaction Data'!$L$2:$L$4618,'Transaction Data'!$A$2:$A$4618,$H101,'Transaction Data'!$E$2:$E$4618,"DEBIT_TRANSFERS_TOTAL")</f>
        <v>130930.69</v>
      </c>
      <c r="L101" s="7">
        <f>SUMIFS('Transaction Data'!$L$2:$L$4618,'Transaction Data'!$A$2:$A$4618,$H101,'Transaction Data'!$E$2:$E$4618,"CARD_PAYMENTS_TOTAL")</f>
        <v>198421.45</v>
      </c>
      <c r="M101" s="7">
        <f>SUMIFS('Transaction Data'!$L$2:$L$4618,'Transaction Data'!$A$2:$A$4618,$H101,'Transaction Data'!$E$2:$E$4618,"PPI_TOTAL")</f>
        <v>23237.86</v>
      </c>
      <c r="O101" s="6">
        <f>A101</f>
        <v>45108</v>
      </c>
      <c r="P101" s="9">
        <f>IFERROR(IF(SUM(B100:F100)=0,"",SUM(B101:F101)/SUM(B100:F100)-1),"")</f>
        <v>6.6097237024481004E-2</v>
      </c>
    </row>
    <row r="102" spans="1:16">
      <c r="A102" s="6">
        <f>EDATE(A101,1)</f>
        <v>45139</v>
      </c>
      <c r="B102" s="7">
        <f>SUMIFS('Transaction Data'!$K$2:$K$4618,'Transaction Data'!$A$2:$A$4618,$A102,'Transaction Data'!$E$2:$E$4618,"RTGS_TOTAL")</f>
        <v>218.08</v>
      </c>
      <c r="C102" s="7">
        <f>SUMIFS('Transaction Data'!$K$2:$K$4618,'Transaction Data'!$A$2:$A$4618,$A102,'Transaction Data'!$E$2:$E$4618,"RETAIL_CREDIT_TRANSFERS_TOTAL")</f>
        <v>119823.49</v>
      </c>
      <c r="D102" s="7">
        <f>SUMIFS('Transaction Data'!$K$2:$K$4618,'Transaction Data'!$A$2:$A$4618,$A102,'Transaction Data'!$E$2:$E$4618,"DEBIT_TRANSFERS_TOTAL")</f>
        <v>1522.83</v>
      </c>
      <c r="E102" s="7">
        <f>SUMIFS('Transaction Data'!$K$2:$K$4618,'Transaction Data'!$A$2:$A$4618,$A102,'Transaction Data'!$E$2:$E$4618,"CARD_PAYMENTS_TOTAL")</f>
        <v>4981.72</v>
      </c>
      <c r="F102" s="7">
        <f>SUMIFS('Transaction Data'!$K$2:$K$4618,'Transaction Data'!$A$2:$A$4618,$A102,'Transaction Data'!$E$2:$E$4618,"PPI_TOTAL")</f>
        <v>6366.8</v>
      </c>
      <c r="H102" s="6">
        <f>A102</f>
        <v>45139</v>
      </c>
      <c r="I102" s="7">
        <f>SUMIFS('Transaction Data'!$L$2:$L$4618,'Transaction Data'!$A$2:$A$4618,$H102,'Transaction Data'!$E$2:$E$4618,"RTGS_TOTAL")</f>
        <v>13742007.220000001</v>
      </c>
      <c r="J102" s="7">
        <f>SUMIFS('Transaction Data'!$L$2:$L$4618,'Transaction Data'!$A$2:$A$4618,$H102,'Transaction Data'!$E$2:$E$4618,"RETAIL_CREDIT_TRANSFERS_TOTAL")</f>
        <v>5374181.4100000001</v>
      </c>
      <c r="K102" s="7">
        <f>SUMIFS('Transaction Data'!$L$2:$L$4618,'Transaction Data'!$A$2:$A$4618,$H102,'Transaction Data'!$E$2:$E$4618,"DEBIT_TRANSFERS_TOTAL")</f>
        <v>135193.15</v>
      </c>
      <c r="L102" s="7">
        <f>SUMIFS('Transaction Data'!$L$2:$L$4618,'Transaction Data'!$A$2:$A$4618,$H102,'Transaction Data'!$E$2:$E$4618,"CARD_PAYMENTS_TOTAL")</f>
        <v>201281.68</v>
      </c>
      <c r="M102" s="7">
        <f>SUMIFS('Transaction Data'!$L$2:$L$4618,'Transaction Data'!$A$2:$A$4618,$H102,'Transaction Data'!$E$2:$E$4618,"PPI_TOTAL")</f>
        <v>23669.25</v>
      </c>
      <c r="O102" s="6">
        <f>A102</f>
        <v>45139</v>
      </c>
      <c r="P102" s="9">
        <f>IFERROR(IF(SUM(B101:F101)=0,"",SUM(B102:F102)/SUM(B101:F101)-1),"")</f>
        <v>4.5324530705527E-2</v>
      </c>
    </row>
    <row r="103" spans="1:16">
      <c r="A103" s="6">
        <f>EDATE(A102,1)</f>
        <v>45170</v>
      </c>
      <c r="B103" s="7">
        <f>SUMIFS('Transaction Data'!$K$2:$K$4618,'Transaction Data'!$A$2:$A$4618,$A103,'Transaction Data'!$E$2:$E$4618,"RTGS_TOTAL")</f>
        <v>213.94</v>
      </c>
      <c r="C103" s="7">
        <f>SUMIFS('Transaction Data'!$K$2:$K$4618,'Transaction Data'!$A$2:$A$4618,$A103,'Transaction Data'!$E$2:$E$4618,"RETAIL_CREDIT_TRANSFERS_TOTAL")</f>
        <v>119215.72</v>
      </c>
      <c r="D103" s="7">
        <f>SUMIFS('Transaction Data'!$K$2:$K$4618,'Transaction Data'!$A$2:$A$4618,$A103,'Transaction Data'!$E$2:$E$4618,"DEBIT_TRANSFERS_TOTAL")</f>
        <v>1514.68</v>
      </c>
      <c r="E103" s="7">
        <f>SUMIFS('Transaction Data'!$K$2:$K$4618,'Transaction Data'!$A$2:$A$4618,$A103,'Transaction Data'!$E$2:$E$4618,"CARD_PAYMENTS_TOTAL")</f>
        <v>4578.47</v>
      </c>
      <c r="F103" s="7">
        <f>SUMIFS('Transaction Data'!$K$2:$K$4618,'Transaction Data'!$A$2:$A$4618,$A103,'Transaction Data'!$E$2:$E$4618,"PPI_TOTAL")</f>
        <v>6143.17</v>
      </c>
      <c r="H103" s="6">
        <f>A103</f>
        <v>45170</v>
      </c>
      <c r="I103" s="7">
        <f>SUMIFS('Transaction Data'!$L$2:$L$4618,'Transaction Data'!$A$2:$A$4618,$H103,'Transaction Data'!$E$2:$E$4618,"RTGS_TOTAL")</f>
        <v>14545183.359999999</v>
      </c>
      <c r="J103" s="7">
        <f>SUMIFS('Transaction Data'!$L$2:$L$4618,'Transaction Data'!$A$2:$A$4618,$H103,'Transaction Data'!$E$2:$E$4618,"RETAIL_CREDIT_TRANSFERS_TOTAL")</f>
        <v>5340255.82</v>
      </c>
      <c r="K103" s="7">
        <f>SUMIFS('Transaction Data'!$L$2:$L$4618,'Transaction Data'!$A$2:$A$4618,$H103,'Transaction Data'!$E$2:$E$4618,"DEBIT_TRANSFERS_TOTAL")</f>
        <v>138748.18</v>
      </c>
      <c r="L103" s="7">
        <f>SUMIFS('Transaction Data'!$L$2:$L$4618,'Transaction Data'!$A$2:$A$4618,$H103,'Transaction Data'!$E$2:$E$4618,"CARD_PAYMENTS_TOTAL")</f>
        <v>189185.99</v>
      </c>
      <c r="M103" s="7">
        <f>SUMIFS('Transaction Data'!$L$2:$L$4618,'Transaction Data'!$A$2:$A$4618,$H103,'Transaction Data'!$E$2:$E$4618,"PPI_TOTAL")</f>
        <v>23667.78</v>
      </c>
      <c r="O103" s="6">
        <f>A103</f>
        <v>45170</v>
      </c>
      <c r="P103" s="9">
        <f>IFERROR(IF(SUM(B102:F102)=0,"",SUM(B103:F103)/SUM(B102:F102)-1),"")</f>
        <v>-9.3816312214042297E-3</v>
      </c>
    </row>
    <row r="104" spans="1:16">
      <c r="A104" s="6">
        <f>EDATE(A103,1)</f>
        <v>45200</v>
      </c>
      <c r="B104" s="7">
        <f>SUMIFS('Transaction Data'!$K$2:$K$4618,'Transaction Data'!$A$2:$A$4618,$A104,'Transaction Data'!$E$2:$E$4618,"RTGS_TOTAL")</f>
        <v>224.62</v>
      </c>
      <c r="C104" s="7">
        <f>SUMIFS('Transaction Data'!$K$2:$K$4618,'Transaction Data'!$A$2:$A$4618,$A104,'Transaction Data'!$E$2:$E$4618,"RETAIL_CREDIT_TRANSFERS_TOTAL")</f>
        <v>128356.32</v>
      </c>
      <c r="D104" s="7">
        <f>SUMIFS('Transaction Data'!$K$2:$K$4618,'Transaction Data'!$A$2:$A$4618,$A104,'Transaction Data'!$E$2:$E$4618,"DEBIT_TRANSFERS_TOTAL")</f>
        <v>1499.66</v>
      </c>
      <c r="E104" s="7">
        <f>SUMIFS('Transaction Data'!$K$2:$K$4618,'Transaction Data'!$A$2:$A$4618,$A104,'Transaction Data'!$E$2:$E$4618,"CARD_PAYMENTS_TOTAL")</f>
        <v>5104.71</v>
      </c>
      <c r="F104" s="7">
        <f>SUMIFS('Transaction Data'!$K$2:$K$4618,'Transaction Data'!$A$2:$A$4618,$A104,'Transaction Data'!$E$2:$E$4618,"PPI_TOTAL")</f>
        <v>6687.84</v>
      </c>
      <c r="H104" s="6">
        <f>A104</f>
        <v>45200</v>
      </c>
      <c r="I104" s="7">
        <f>SUMIFS('Transaction Data'!$L$2:$L$4618,'Transaction Data'!$A$2:$A$4618,$H104,'Transaction Data'!$E$2:$E$4618,"RTGS_TOTAL")</f>
        <v>13464400.460000001</v>
      </c>
      <c r="J104" s="7">
        <f>SUMIFS('Transaction Data'!$L$2:$L$4618,'Transaction Data'!$A$2:$A$4618,$H104,'Transaction Data'!$E$2:$E$4618,"RETAIL_CREDIT_TRANSFERS_TOTAL")</f>
        <v>5667253.6299999999</v>
      </c>
      <c r="K104" s="7">
        <f>SUMIFS('Transaction Data'!$L$2:$L$4618,'Transaction Data'!$A$2:$A$4618,$H104,'Transaction Data'!$E$2:$E$4618,"DEBIT_TRANSFERS_TOTAL")</f>
        <v>139050.42000000001</v>
      </c>
      <c r="L104" s="7">
        <f>SUMIFS('Transaction Data'!$L$2:$L$4618,'Transaction Data'!$A$2:$A$4618,$H104,'Transaction Data'!$E$2:$E$4618,"CARD_PAYMENTS_TOTAL")</f>
        <v>230670.27</v>
      </c>
      <c r="M104" s="7">
        <f>SUMIFS('Transaction Data'!$L$2:$L$4618,'Transaction Data'!$A$2:$A$4618,$H104,'Transaction Data'!$E$2:$E$4618,"PPI_TOTAL")</f>
        <v>25011.83</v>
      </c>
      <c r="O104" s="6">
        <f>A104</f>
        <v>45200</v>
      </c>
      <c r="P104" s="9">
        <f>IFERROR(IF(SUM(B103:F103)=0,"",SUM(B104:F104)/SUM(B103:F103)-1),"")</f>
        <v>7.7523214424864983E-2</v>
      </c>
    </row>
    <row r="105" spans="1:16">
      <c r="A105" s="6">
        <f>EDATE(A104,1)</f>
        <v>45231</v>
      </c>
      <c r="B105" s="7">
        <f>SUMIFS('Transaction Data'!$K$2:$K$4618,'Transaction Data'!$A$2:$A$4618,$A105,'Transaction Data'!$E$2:$E$4618,"RTGS_TOTAL")</f>
        <v>219.2</v>
      </c>
      <c r="C105" s="7">
        <f>SUMIFS('Transaction Data'!$K$2:$K$4618,'Transaction Data'!$A$2:$A$4618,$A105,'Transaction Data'!$E$2:$E$4618,"RETAIL_CREDIT_TRANSFERS_TOTAL")</f>
        <v>128072.73</v>
      </c>
      <c r="D105" s="7">
        <f>SUMIFS('Transaction Data'!$K$2:$K$4618,'Transaction Data'!$A$2:$A$4618,$A105,'Transaction Data'!$E$2:$E$4618,"DEBIT_TRANSFERS_TOTAL")</f>
        <v>1527.84</v>
      </c>
      <c r="E105" s="7">
        <f>SUMIFS('Transaction Data'!$K$2:$K$4618,'Transaction Data'!$A$2:$A$4618,$A105,'Transaction Data'!$E$2:$E$4618,"CARD_PAYMENTS_TOTAL")</f>
        <v>4742.5600000000004</v>
      </c>
      <c r="F105" s="7">
        <f>SUMIFS('Transaction Data'!$K$2:$K$4618,'Transaction Data'!$A$2:$A$4618,$A105,'Transaction Data'!$E$2:$E$4618,"PPI_TOTAL")</f>
        <v>6510.09</v>
      </c>
      <c r="H105" s="6">
        <f>A105</f>
        <v>45231</v>
      </c>
      <c r="I105" s="7">
        <f>SUMIFS('Transaction Data'!$L$2:$L$4618,'Transaction Data'!$A$2:$A$4618,$H105,'Transaction Data'!$E$2:$E$4618,"RTGS_TOTAL")</f>
        <v>13591442.529999999</v>
      </c>
      <c r="J105" s="7">
        <f>SUMIFS('Transaction Data'!$L$2:$L$4618,'Transaction Data'!$A$2:$A$4618,$H105,'Transaction Data'!$E$2:$E$4618,"RETAIL_CREDIT_TRANSFERS_TOTAL")</f>
        <v>5673302.6100000003</v>
      </c>
      <c r="K105" s="7">
        <f>SUMIFS('Transaction Data'!$L$2:$L$4618,'Transaction Data'!$A$2:$A$4618,$H105,'Transaction Data'!$E$2:$E$4618,"DEBIT_TRANSFERS_TOTAL")</f>
        <v>142456.18</v>
      </c>
      <c r="L105" s="7">
        <f>SUMIFS('Transaction Data'!$L$2:$L$4618,'Transaction Data'!$A$2:$A$4618,$H105,'Transaction Data'!$E$2:$E$4618,"CARD_PAYMENTS_TOTAL")</f>
        <v>210038.12</v>
      </c>
      <c r="M105" s="7">
        <f>SUMIFS('Transaction Data'!$L$2:$L$4618,'Transaction Data'!$A$2:$A$4618,$H105,'Transaction Data'!$E$2:$E$4618,"PPI_TOTAL")</f>
        <v>24247.54</v>
      </c>
      <c r="O105" s="6">
        <f>A105</f>
        <v>45231</v>
      </c>
      <c r="P105" s="9">
        <f>IFERROR(IF(SUM(B104:F104)=0,"",SUM(B105:F105)/SUM(B104:F104)-1),"")</f>
        <v>-5.6439854898548969E-3</v>
      </c>
    </row>
    <row r="106" spans="1:16">
      <c r="A106" s="6">
        <f>EDATE(A105,1)</f>
        <v>45261</v>
      </c>
      <c r="B106" s="7">
        <f>SUMIFS('Transaction Data'!$K$2:$K$4618,'Transaction Data'!$A$2:$A$4618,$A106,'Transaction Data'!$E$2:$E$4618,"RTGS_TOTAL")</f>
        <v>230.39</v>
      </c>
      <c r="C106" s="7">
        <f>SUMIFS('Transaction Data'!$K$2:$K$4618,'Transaction Data'!$A$2:$A$4618,$A106,'Transaction Data'!$E$2:$E$4618,"RETAIL_CREDIT_TRANSFERS_TOTAL")</f>
        <v>134755.92000000001</v>
      </c>
      <c r="D106" s="7">
        <f>SUMIFS('Transaction Data'!$K$2:$K$4618,'Transaction Data'!$A$2:$A$4618,$A106,'Transaction Data'!$E$2:$E$4618,"DEBIT_TRANSFERS_TOTAL")</f>
        <v>1557.74</v>
      </c>
      <c r="E106" s="7">
        <f>SUMIFS('Transaction Data'!$K$2:$K$4618,'Transaction Data'!$A$2:$A$4618,$A106,'Transaction Data'!$E$2:$E$4618,"CARD_PAYMENTS_TOTAL")</f>
        <v>4983.1499999999996</v>
      </c>
      <c r="F106" s="7">
        <f>SUMIFS('Transaction Data'!$K$2:$K$4618,'Transaction Data'!$A$2:$A$4618,$A106,'Transaction Data'!$E$2:$E$4618,"PPI_TOTAL")</f>
        <v>7235.2</v>
      </c>
      <c r="H106" s="6">
        <f>A106</f>
        <v>45261</v>
      </c>
      <c r="I106" s="7">
        <f>SUMIFS('Transaction Data'!$L$2:$L$4618,'Transaction Data'!$A$2:$A$4618,$H106,'Transaction Data'!$E$2:$E$4618,"RTGS_TOTAL")</f>
        <v>15888777.99</v>
      </c>
      <c r="J106" s="7">
        <f>SUMIFS('Transaction Data'!$L$2:$L$4618,'Transaction Data'!$A$2:$A$4618,$H106,'Transaction Data'!$E$2:$E$4618,"RETAIL_CREDIT_TRANSFERS_TOTAL")</f>
        <v>5917191.4199999999</v>
      </c>
      <c r="K106" s="7">
        <f>SUMIFS('Transaction Data'!$L$2:$L$4618,'Transaction Data'!$A$2:$A$4618,$H106,'Transaction Data'!$E$2:$E$4618,"DEBIT_TRANSFERS_TOTAL")</f>
        <v>152704.79</v>
      </c>
      <c r="L106" s="7">
        <f>SUMIFS('Transaction Data'!$L$2:$L$4618,'Transaction Data'!$A$2:$A$4618,$H106,'Transaction Data'!$E$2:$E$4618,"CARD_PAYMENTS_TOTAL")</f>
        <v>213053.75</v>
      </c>
      <c r="M106" s="7">
        <f>SUMIFS('Transaction Data'!$L$2:$L$4618,'Transaction Data'!$A$2:$A$4618,$H106,'Transaction Data'!$E$2:$E$4618,"PPI_TOTAL")</f>
        <v>26172.86</v>
      </c>
      <c r="O106" s="6">
        <f>A106</f>
        <v>45261</v>
      </c>
      <c r="P106" s="9">
        <f>IFERROR(IF(SUM(B105:F105)=0,"",SUM(B106:F106)/SUM(B105:F105)-1),"")</f>
        <v>5.4510867538814844E-2</v>
      </c>
    </row>
    <row r="107" spans="1:16">
      <c r="A107" s="6">
        <f>EDATE(A106,1)</f>
        <v>45292</v>
      </c>
      <c r="B107" s="7">
        <f>SUMIFS('Transaction Data'!$K$2:$K$4618,'Transaction Data'!$A$2:$A$4618,$A107,'Transaction Data'!$E$2:$E$4618,"RTGS_TOTAL")</f>
        <v>230.99</v>
      </c>
      <c r="C107" s="7">
        <f>SUMIFS('Transaction Data'!$K$2:$K$4618,'Transaction Data'!$A$2:$A$4618,$A107,'Transaction Data'!$E$2:$E$4618,"RETAIL_CREDIT_TRANSFERS_TOTAL")</f>
        <v>137068.03</v>
      </c>
      <c r="D107" s="7">
        <f>SUMIFS('Transaction Data'!$K$2:$K$4618,'Transaction Data'!$A$2:$A$4618,$A107,'Transaction Data'!$E$2:$E$4618,"DEBIT_TRANSFERS_TOTAL")</f>
        <v>1571.5</v>
      </c>
      <c r="E107" s="7">
        <f>SUMIFS('Transaction Data'!$K$2:$K$4618,'Transaction Data'!$A$2:$A$4618,$A107,'Transaction Data'!$E$2:$E$4618,"CARD_PAYMENTS_TOTAL")</f>
        <v>4934.1899999999996</v>
      </c>
      <c r="F107" s="7">
        <f>SUMIFS('Transaction Data'!$K$2:$K$4618,'Transaction Data'!$A$2:$A$4618,$A107,'Transaction Data'!$E$2:$E$4618,"PPI_TOTAL")</f>
        <v>7087.25</v>
      </c>
      <c r="H107" s="6">
        <f>A107</f>
        <v>45292</v>
      </c>
      <c r="I107" s="7">
        <f>SUMIFS('Transaction Data'!$L$2:$L$4618,'Transaction Data'!$A$2:$A$4618,$H107,'Transaction Data'!$E$2:$E$4618,"RTGS_TOTAL")</f>
        <v>14691624.859999999</v>
      </c>
      <c r="J107" s="7">
        <f>SUMIFS('Transaction Data'!$L$2:$L$4618,'Transaction Data'!$A$2:$A$4618,$H107,'Transaction Data'!$E$2:$E$4618,"RETAIL_CREDIT_TRANSFERS_TOTAL")</f>
        <v>5945126.2400000002</v>
      </c>
      <c r="K107" s="7">
        <f>SUMIFS('Transaction Data'!$L$2:$L$4618,'Transaction Data'!$A$2:$A$4618,$H107,'Transaction Data'!$E$2:$E$4618,"DEBIT_TRANSFERS_TOTAL")</f>
        <v>154404.69</v>
      </c>
      <c r="L107" s="7">
        <f>SUMIFS('Transaction Data'!$L$2:$L$4618,'Transaction Data'!$A$2:$A$4618,$H107,'Transaction Data'!$E$2:$E$4618,"CARD_PAYMENTS_TOTAL")</f>
        <v>211930.51</v>
      </c>
      <c r="M107" s="7">
        <f>SUMIFS('Transaction Data'!$L$2:$L$4618,'Transaction Data'!$A$2:$A$4618,$H107,'Transaction Data'!$E$2:$E$4618,"PPI_TOTAL")</f>
        <v>25784.38</v>
      </c>
      <c r="O107" s="6">
        <f>A107</f>
        <v>45292</v>
      </c>
      <c r="P107" s="9">
        <f>IFERROR(IF(SUM(B106:F106)=0,"",SUM(B107:F107)/SUM(B106:F106)-1),"")</f>
        <v>1.4315176415545583E-2</v>
      </c>
    </row>
    <row r="108" spans="1:16">
      <c r="A108" s="6">
        <f>EDATE(A107,1)</f>
        <v>45323</v>
      </c>
      <c r="B108" s="7">
        <f>SUMIFS('Transaction Data'!$K$2:$K$4618,'Transaction Data'!$A$2:$A$4618,$A108,'Transaction Data'!$E$2:$E$4618,"RTGS_TOTAL")</f>
        <v>238.26</v>
      </c>
      <c r="C108" s="7">
        <f>SUMIFS('Transaction Data'!$K$2:$K$4618,'Transaction Data'!$A$2:$A$4618,$A108,'Transaction Data'!$E$2:$E$4618,"RETAIL_CREDIT_TRANSFERS_TOTAL")</f>
        <v>137733.21</v>
      </c>
      <c r="D108" s="7">
        <f>SUMIFS('Transaction Data'!$K$2:$K$4618,'Transaction Data'!$A$2:$A$4618,$A108,'Transaction Data'!$E$2:$E$4618,"DEBIT_TRANSFERS_TOTAL")</f>
        <v>1611.25</v>
      </c>
      <c r="E108" s="7">
        <f>SUMIFS('Transaction Data'!$K$2:$K$4618,'Transaction Data'!$A$2:$A$4618,$A108,'Transaction Data'!$E$2:$E$4618,"CARD_PAYMENTS_TOTAL")</f>
        <v>4634.92</v>
      </c>
      <c r="F108" s="7">
        <f>SUMIFS('Transaction Data'!$K$2:$K$4618,'Transaction Data'!$A$2:$A$4618,$A108,'Transaction Data'!$E$2:$E$4618,"PPI_TOTAL")</f>
        <v>6470.84</v>
      </c>
      <c r="H108" s="6">
        <f>A108</f>
        <v>45323</v>
      </c>
      <c r="I108" s="7">
        <f>SUMIFS('Transaction Data'!$L$2:$L$4618,'Transaction Data'!$A$2:$A$4618,$H108,'Transaction Data'!$E$2:$E$4618,"RTGS_TOTAL")</f>
        <v>14614296.779999999</v>
      </c>
      <c r="J108" s="7">
        <f>SUMIFS('Transaction Data'!$L$2:$L$4618,'Transaction Data'!$A$2:$A$4618,$H108,'Transaction Data'!$E$2:$E$4618,"RETAIL_CREDIT_TRANSFERS_TOTAL")</f>
        <v>6039675.3700000001</v>
      </c>
      <c r="K108" s="7">
        <f>SUMIFS('Transaction Data'!$L$2:$L$4618,'Transaction Data'!$A$2:$A$4618,$H108,'Transaction Data'!$E$2:$E$4618,"DEBIT_TRANSFERS_TOTAL")</f>
        <v>153734.13</v>
      </c>
      <c r="L108" s="7">
        <f>SUMIFS('Transaction Data'!$L$2:$L$4618,'Transaction Data'!$A$2:$A$4618,$H108,'Transaction Data'!$E$2:$E$4618,"CARD_PAYMENTS_TOTAL")</f>
        <v>190658.44</v>
      </c>
      <c r="M108" s="7">
        <f>SUMIFS('Transaction Data'!$L$2:$L$4618,'Transaction Data'!$A$2:$A$4618,$H108,'Transaction Data'!$E$2:$E$4618,"PPI_TOTAL")</f>
        <v>22673.75</v>
      </c>
      <c r="O108" s="6">
        <f>A108</f>
        <v>45323</v>
      </c>
      <c r="P108" s="9">
        <f>IFERROR(IF(SUM(B107:F107)=0,"",SUM(B108:F108)/SUM(B107:F107)-1),"")</f>
        <v>-1.3485145265524912E-3</v>
      </c>
    </row>
    <row r="109" spans="1:16">
      <c r="A109" s="6">
        <f>EDATE(A108,1)</f>
        <v>45352</v>
      </c>
      <c r="B109" s="7">
        <f>SUMIFS('Transaction Data'!$K$2:$K$4618,'Transaction Data'!$A$2:$A$4618,$A109,'Transaction Data'!$E$2:$E$4618,"RTGS_TOTAL")</f>
        <v>278.47000000000003</v>
      </c>
      <c r="C109" s="7">
        <f>SUMIFS('Transaction Data'!$K$2:$K$4618,'Transaction Data'!$A$2:$A$4618,$A109,'Transaction Data'!$E$2:$E$4618,"RETAIL_CREDIT_TRANSFERS_TOTAL")</f>
        <v>152969.07999999999</v>
      </c>
      <c r="D109" s="7">
        <f>SUMIFS('Transaction Data'!$K$2:$K$4618,'Transaction Data'!$A$2:$A$4618,$A109,'Transaction Data'!$E$2:$E$4618,"DEBIT_TRANSFERS_TOTAL")</f>
        <v>1661</v>
      </c>
      <c r="E109" s="7">
        <f>SUMIFS('Transaction Data'!$K$2:$K$4618,'Transaction Data'!$A$2:$A$4618,$A109,'Transaction Data'!$E$2:$E$4618,"CARD_PAYMENTS_TOTAL")</f>
        <v>5034.13</v>
      </c>
      <c r="F109" s="7">
        <f>SUMIFS('Transaction Data'!$K$2:$K$4618,'Transaction Data'!$A$2:$A$4618,$A109,'Transaction Data'!$E$2:$E$4618,"PPI_TOTAL")</f>
        <v>5804.85</v>
      </c>
      <c r="H109" s="6">
        <f>A109</f>
        <v>45352</v>
      </c>
      <c r="I109" s="7">
        <f>SUMIFS('Transaction Data'!$L$2:$L$4618,'Transaction Data'!$A$2:$A$4618,$H109,'Transaction Data'!$E$2:$E$4618,"RTGS_TOTAL")</f>
        <v>18128366.100000001</v>
      </c>
      <c r="J109" s="7">
        <f>SUMIFS('Transaction Data'!$L$2:$L$4618,'Transaction Data'!$A$2:$A$4618,$H109,'Transaction Data'!$E$2:$E$4618,"RETAIL_CREDIT_TRANSFERS_TOTAL")</f>
        <v>7152556.7300000004</v>
      </c>
      <c r="K109" s="7">
        <f>SUMIFS('Transaction Data'!$L$2:$L$4618,'Transaction Data'!$A$2:$A$4618,$H109,'Transaction Data'!$E$2:$E$4618,"DEBIT_TRANSFERS_TOTAL")</f>
        <v>165046.75</v>
      </c>
      <c r="L109" s="7">
        <f>SUMIFS('Transaction Data'!$L$2:$L$4618,'Transaction Data'!$A$2:$A$4618,$H109,'Transaction Data'!$E$2:$E$4618,"CARD_PAYMENTS_TOTAL")</f>
        <v>209208.02</v>
      </c>
      <c r="M109" s="7">
        <f>SUMIFS('Transaction Data'!$L$2:$L$4618,'Transaction Data'!$A$2:$A$4618,$H109,'Transaction Data'!$E$2:$E$4618,"PPI_TOTAL")</f>
        <v>18200.330000000002</v>
      </c>
      <c r="O109" s="6">
        <f>A109</f>
        <v>45352</v>
      </c>
      <c r="P109" s="9">
        <f>IFERROR(IF(SUM(B108:F108)=0,"",SUM(B109:F109)/SUM(B108:F108)-1),"")</f>
        <v>9.9934978440289424E-2</v>
      </c>
    </row>
    <row r="110" spans="1:16">
      <c r="A110" s="6">
        <f>EDATE(A109,1)</f>
        <v>45383</v>
      </c>
      <c r="B110" s="7">
        <f>SUMIFS('Transaction Data'!$K$2:$K$4618,'Transaction Data'!$A$2:$A$4618,$A110,'Transaction Data'!$E$2:$E$4618,"RTGS_TOTAL")</f>
        <v>235.59</v>
      </c>
      <c r="C110" s="7">
        <f>SUMIFS('Transaction Data'!$K$2:$K$4618,'Transaction Data'!$A$2:$A$4618,$A110,'Transaction Data'!$E$2:$E$4618,"RETAIL_CREDIT_TRANSFERS_TOTAL")</f>
        <v>149083.29</v>
      </c>
      <c r="D110" s="7">
        <f>SUMIFS('Transaction Data'!$K$2:$K$4618,'Transaction Data'!$A$2:$A$4618,$A110,'Transaction Data'!$E$2:$E$4618,"DEBIT_TRANSFERS_TOTAL")</f>
        <v>1644.1</v>
      </c>
      <c r="E110" s="7">
        <f>SUMIFS('Transaction Data'!$K$2:$K$4618,'Transaction Data'!$A$2:$A$4618,$A110,'Transaction Data'!$E$2:$E$4618,"CARD_PAYMENTS_TOTAL")</f>
        <v>4960.12</v>
      </c>
      <c r="F110" s="7">
        <f>SUMIFS('Transaction Data'!$K$2:$K$4618,'Transaction Data'!$A$2:$A$4618,$A110,'Transaction Data'!$E$2:$E$4618,"PPI_TOTAL")</f>
        <v>5288.79</v>
      </c>
      <c r="H110" s="6">
        <f>A110</f>
        <v>45383</v>
      </c>
      <c r="I110" s="7">
        <f>SUMIFS('Transaction Data'!$L$2:$L$4618,'Transaction Data'!$A$2:$A$4618,$H110,'Transaction Data'!$E$2:$E$4618,"RTGS_TOTAL")</f>
        <v>14433296.210000001</v>
      </c>
      <c r="J110" s="7">
        <f>SUMIFS('Transaction Data'!$L$2:$L$4618,'Transaction Data'!$A$2:$A$4618,$H110,'Transaction Data'!$E$2:$E$4618,"RETAIL_CREDIT_TRANSFERS_TOTAL")</f>
        <v>5945989.3200000003</v>
      </c>
      <c r="K110" s="7">
        <f>SUMIFS('Transaction Data'!$L$2:$L$4618,'Transaction Data'!$A$2:$A$4618,$H110,'Transaction Data'!$E$2:$E$4618,"DEBIT_TRANSFERS_TOTAL")</f>
        <v>159006.34</v>
      </c>
      <c r="L110" s="7">
        <f>SUMIFS('Transaction Data'!$L$2:$L$4618,'Transaction Data'!$A$2:$A$4618,$H110,'Transaction Data'!$E$2:$E$4618,"CARD_PAYMENTS_TOTAL")</f>
        <v>200409.47</v>
      </c>
      <c r="M110" s="7">
        <f>SUMIFS('Transaction Data'!$L$2:$L$4618,'Transaction Data'!$A$2:$A$4618,$H110,'Transaction Data'!$E$2:$E$4618,"PPI_TOTAL")</f>
        <v>14963.51</v>
      </c>
      <c r="O110" s="6">
        <f>A110</f>
        <v>45383</v>
      </c>
      <c r="P110" s="9">
        <f>IFERROR(IF(SUM(B109:F109)=0,"",SUM(B110:F110)/SUM(B109:F109)-1),"")</f>
        <v>-2.7364751679859078E-2</v>
      </c>
    </row>
    <row r="111" spans="1:16">
      <c r="A111" s="6">
        <f>EDATE(A110,1)</f>
        <v>45413</v>
      </c>
      <c r="B111" s="7">
        <f>SUMIFS('Transaction Data'!$K$2:$K$4618,'Transaction Data'!$A$2:$A$4618,$A111,'Transaction Data'!$E$2:$E$4618,"RTGS_TOTAL")</f>
        <v>249.71</v>
      </c>
      <c r="C111" s="7">
        <f>SUMIFS('Transaction Data'!$K$2:$K$4618,'Transaction Data'!$A$2:$A$4618,$A111,'Transaction Data'!$E$2:$E$4618,"RETAIL_CREDIT_TRANSFERS_TOTAL")</f>
        <v>156773.59</v>
      </c>
      <c r="D111" s="7">
        <f>SUMIFS('Transaction Data'!$K$2:$K$4618,'Transaction Data'!$A$2:$A$4618,$A111,'Transaction Data'!$E$2:$E$4618,"DEBIT_TRANSFERS_TOTAL")</f>
        <v>1698.67</v>
      </c>
      <c r="E111" s="7">
        <f>SUMIFS('Transaction Data'!$K$2:$K$4618,'Transaction Data'!$A$2:$A$4618,$A111,'Transaction Data'!$E$2:$E$4618,"CARD_PAYMENTS_TOTAL")</f>
        <v>5105.17</v>
      </c>
      <c r="F111" s="7">
        <f>SUMIFS('Transaction Data'!$K$2:$K$4618,'Transaction Data'!$A$2:$A$4618,$A111,'Transaction Data'!$E$2:$E$4618,"PPI_TOTAL")</f>
        <v>5496</v>
      </c>
      <c r="H111" s="6">
        <f>A111</f>
        <v>45413</v>
      </c>
      <c r="I111" s="7">
        <f>SUMIFS('Transaction Data'!$L$2:$L$4618,'Transaction Data'!$A$2:$A$4618,$H111,'Transaction Data'!$E$2:$E$4618,"RTGS_TOTAL")</f>
        <v>15186946.630000001</v>
      </c>
      <c r="J111" s="7">
        <f>SUMIFS('Transaction Data'!$L$2:$L$4618,'Transaction Data'!$A$2:$A$4618,$H111,'Transaction Data'!$E$2:$E$4618,"RETAIL_CREDIT_TRANSFERS_TOTAL")</f>
        <v>6279018.54</v>
      </c>
      <c r="K111" s="7">
        <f>SUMIFS('Transaction Data'!$L$2:$L$4618,'Transaction Data'!$A$2:$A$4618,$H111,'Transaction Data'!$E$2:$E$4618,"DEBIT_TRANSFERS_TOTAL")</f>
        <v>167035.49</v>
      </c>
      <c r="L111" s="7">
        <f>SUMIFS('Transaction Data'!$L$2:$L$4618,'Transaction Data'!$A$2:$A$4618,$H111,'Transaction Data'!$E$2:$E$4618,"CARD_PAYMENTS_TOTAL")</f>
        <v>208520.23</v>
      </c>
      <c r="M111" s="7">
        <f>SUMIFS('Transaction Data'!$L$2:$L$4618,'Transaction Data'!$A$2:$A$4618,$H111,'Transaction Data'!$E$2:$E$4618,"PPI_TOTAL")</f>
        <v>16696.89</v>
      </c>
      <c r="O111" s="6">
        <f>A111</f>
        <v>45413</v>
      </c>
      <c r="P111" s="9">
        <f>IFERROR(IF(SUM(B110:F110)=0,"",SUM(B111:F111)/SUM(B110:F110)-1),"")</f>
        <v>5.0314216898021513E-2</v>
      </c>
    </row>
    <row r="112" spans="1:16">
      <c r="A112" s="6">
        <f>EDATE(A111,1)</f>
        <v>45444</v>
      </c>
      <c r="B112" s="7">
        <f>SUMIFS('Transaction Data'!$K$2:$K$4618,'Transaction Data'!$A$2:$A$4618,$A112,'Transaction Data'!$E$2:$E$4618,"RTGS_TOTAL")</f>
        <v>231.84</v>
      </c>
      <c r="C112" s="7">
        <f>SUMIFS('Transaction Data'!$K$2:$K$4618,'Transaction Data'!$A$2:$A$4618,$A112,'Transaction Data'!$E$2:$E$4618,"RETAIL_CREDIT_TRANSFERS_TOTAL")</f>
        <v>155567.01999999999</v>
      </c>
      <c r="D112" s="7">
        <f>SUMIFS('Transaction Data'!$K$2:$K$4618,'Transaction Data'!$A$2:$A$4618,$A112,'Transaction Data'!$E$2:$E$4618,"DEBIT_TRANSFERS_TOTAL")</f>
        <v>1697.73</v>
      </c>
      <c r="E112" s="7">
        <f>SUMIFS('Transaction Data'!$K$2:$K$4618,'Transaction Data'!$A$2:$A$4618,$A112,'Transaction Data'!$E$2:$E$4618,"CARD_PAYMENTS_TOTAL")</f>
        <v>5003.43</v>
      </c>
      <c r="F112" s="7">
        <f>SUMIFS('Transaction Data'!$K$2:$K$4618,'Transaction Data'!$A$2:$A$4618,$A112,'Transaction Data'!$E$2:$E$4618,"PPI_TOTAL")</f>
        <v>5236.08</v>
      </c>
      <c r="H112" s="6">
        <f>A112</f>
        <v>45444</v>
      </c>
      <c r="I112" s="7">
        <f>SUMIFS('Transaction Data'!$L$2:$L$4618,'Transaction Data'!$A$2:$A$4618,$H112,'Transaction Data'!$E$2:$E$4618,"RTGS_TOTAL")</f>
        <v>16037693.85</v>
      </c>
      <c r="J112" s="7">
        <f>SUMIFS('Transaction Data'!$L$2:$L$4618,'Transaction Data'!$A$2:$A$4618,$H112,'Transaction Data'!$E$2:$E$4618,"RETAIL_CREDIT_TRANSFERS_TOTAL")</f>
        <v>6073917.3399999999</v>
      </c>
      <c r="K112" s="7">
        <f>SUMIFS('Transaction Data'!$L$2:$L$4618,'Transaction Data'!$A$2:$A$4618,$H112,'Transaction Data'!$E$2:$E$4618,"DEBIT_TRANSFERS_TOTAL")</f>
        <v>171468.98</v>
      </c>
      <c r="L112" s="7">
        <f>SUMIFS('Transaction Data'!$L$2:$L$4618,'Transaction Data'!$A$2:$A$4618,$H112,'Transaction Data'!$E$2:$E$4618,"CARD_PAYMENTS_TOTAL")</f>
        <v>200080.96</v>
      </c>
      <c r="M112" s="7">
        <f>SUMIFS('Transaction Data'!$L$2:$L$4618,'Transaction Data'!$A$2:$A$4618,$H112,'Transaction Data'!$E$2:$E$4618,"PPI_TOTAL")</f>
        <v>15896.98</v>
      </c>
      <c r="O112" s="6">
        <f>A112</f>
        <v>45444</v>
      </c>
      <c r="P112" s="9">
        <f>IFERROR(IF(SUM(B111:F111)=0,"",SUM(B112:F112)/SUM(B111:F111)-1),"")</f>
        <v>-9.372847680476748E-3</v>
      </c>
    </row>
    <row r="113" spans="1:16">
      <c r="A113" s="6">
        <f>EDATE(A112,1)</f>
        <v>45474</v>
      </c>
      <c r="B113" s="7">
        <f>SUMIFS('Transaction Data'!$K$2:$K$4618,'Transaction Data'!$A$2:$A$4618,$A113,'Transaction Data'!$E$2:$E$4618,"RTGS_TOTAL")</f>
        <v>246.68</v>
      </c>
      <c r="C113" s="7">
        <f>SUMIFS('Transaction Data'!$K$2:$K$4618,'Transaction Data'!$A$2:$A$4618,$A113,'Transaction Data'!$E$2:$E$4618,"RETAIL_CREDIT_TRANSFERS_TOTAL")</f>
        <v>161225.51</v>
      </c>
      <c r="D113" s="7">
        <f>SUMIFS('Transaction Data'!$K$2:$K$4618,'Transaction Data'!$A$2:$A$4618,$A113,'Transaction Data'!$E$2:$E$4618,"DEBIT_TRANSFERS_TOTAL")</f>
        <v>1734.76</v>
      </c>
      <c r="E113" s="7">
        <f>SUMIFS('Transaction Data'!$K$2:$K$4618,'Transaction Data'!$A$2:$A$4618,$A113,'Transaction Data'!$E$2:$E$4618,"CARD_PAYMENTS_TOTAL")</f>
        <v>5294.35</v>
      </c>
      <c r="F113" s="7">
        <f>SUMIFS('Transaction Data'!$K$2:$K$4618,'Transaction Data'!$A$2:$A$4618,$A113,'Transaction Data'!$E$2:$E$4618,"PPI_TOTAL")</f>
        <v>5356.71</v>
      </c>
      <c r="H113" s="6">
        <f>A113</f>
        <v>45474</v>
      </c>
      <c r="I113" s="7">
        <f>SUMIFS('Transaction Data'!$L$2:$L$4618,'Transaction Data'!$A$2:$A$4618,$H113,'Transaction Data'!$E$2:$E$4618,"RTGS_TOTAL")</f>
        <v>15970680.41</v>
      </c>
      <c r="J113" s="7">
        <f>SUMIFS('Transaction Data'!$L$2:$L$4618,'Transaction Data'!$A$2:$A$4618,$H113,'Transaction Data'!$E$2:$E$4618,"RETAIL_CREDIT_TRANSFERS_TOTAL")</f>
        <v>6480747.8099999996</v>
      </c>
      <c r="K113" s="7">
        <f>SUMIFS('Transaction Data'!$L$2:$L$4618,'Transaction Data'!$A$2:$A$4618,$H113,'Transaction Data'!$E$2:$E$4618,"DEBIT_TRANSFERS_TOTAL")</f>
        <v>175789.01</v>
      </c>
      <c r="L113" s="7">
        <f>SUMIFS('Transaction Data'!$L$2:$L$4618,'Transaction Data'!$A$2:$A$4618,$H113,'Transaction Data'!$E$2:$E$4618,"CARD_PAYMENTS_TOTAL")</f>
        <v>217434.87</v>
      </c>
      <c r="M113" s="7">
        <f>SUMIFS('Transaction Data'!$L$2:$L$4618,'Transaction Data'!$A$2:$A$4618,$H113,'Transaction Data'!$E$2:$E$4618,"PPI_TOTAL")</f>
        <v>16327.15</v>
      </c>
      <c r="O113" s="6">
        <f>A113</f>
        <v>45474</v>
      </c>
      <c r="P113" s="9">
        <f>IFERROR(IF(SUM(B112:F112)=0,"",SUM(B113:F113)/SUM(B112:F112)-1),"")</f>
        <v>3.6497271607006665E-2</v>
      </c>
    </row>
    <row r="114" spans="1:16">
      <c r="A114" s="6">
        <f>EDATE(A113,1)</f>
        <v>45505</v>
      </c>
      <c r="B114" s="7">
        <f>SUMIFS('Transaction Data'!$K$2:$K$4618,'Transaction Data'!$A$2:$A$4618,$A114,'Transaction Data'!$E$2:$E$4618,"RTGS_TOTAL")</f>
        <v>237.53</v>
      </c>
      <c r="C114" s="7">
        <f>SUMIFS('Transaction Data'!$K$2:$K$4618,'Transaction Data'!$A$2:$A$4618,$A114,'Transaction Data'!$E$2:$E$4618,"RETAIL_CREDIT_TRANSFERS_TOTAL")</f>
        <v>166465.5</v>
      </c>
      <c r="D114" s="7">
        <f>SUMIFS('Transaction Data'!$K$2:$K$4618,'Transaction Data'!$A$2:$A$4618,$A114,'Transaction Data'!$E$2:$E$4618,"DEBIT_TRANSFERS_TOTAL")</f>
        <v>1774.78</v>
      </c>
      <c r="E114" s="7">
        <f>SUMIFS('Transaction Data'!$K$2:$K$4618,'Transaction Data'!$A$2:$A$4618,$A114,'Transaction Data'!$E$2:$E$4618,"CARD_PAYMENTS_TOTAL")</f>
        <v>5322.94</v>
      </c>
      <c r="F114" s="7">
        <f>SUMIFS('Transaction Data'!$K$2:$K$4618,'Transaction Data'!$A$2:$A$4618,$A114,'Transaction Data'!$E$2:$E$4618,"PPI_TOTAL")</f>
        <v>5466.9</v>
      </c>
      <c r="H114" s="6">
        <f>A114</f>
        <v>45505</v>
      </c>
      <c r="I114" s="7">
        <f>SUMIFS('Transaction Data'!$L$2:$L$4618,'Transaction Data'!$A$2:$A$4618,$H114,'Transaction Data'!$E$2:$E$4618,"RTGS_TOTAL")</f>
        <v>15910435.789999999</v>
      </c>
      <c r="J114" s="7">
        <f>SUMIFS('Transaction Data'!$L$2:$L$4618,'Transaction Data'!$A$2:$A$4618,$H114,'Transaction Data'!$E$2:$E$4618,"RETAIL_CREDIT_TRANSFERS_TOTAL")</f>
        <v>6408703.4000000004</v>
      </c>
      <c r="K114" s="7">
        <f>SUMIFS('Transaction Data'!$L$2:$L$4618,'Transaction Data'!$A$2:$A$4618,$H114,'Transaction Data'!$E$2:$E$4618,"DEBIT_TRANSFERS_TOTAL")</f>
        <v>177161.64</v>
      </c>
      <c r="L114" s="7">
        <f>SUMIFS('Transaction Data'!$L$2:$L$4618,'Transaction Data'!$A$2:$A$4618,$H114,'Transaction Data'!$E$2:$E$4618,"CARD_PAYMENTS_TOTAL")</f>
        <v>211726.03</v>
      </c>
      <c r="M114" s="7">
        <f>SUMIFS('Transaction Data'!$L$2:$L$4618,'Transaction Data'!$A$2:$A$4618,$H114,'Transaction Data'!$E$2:$E$4618,"PPI_TOTAL")</f>
        <v>16555.09</v>
      </c>
      <c r="O114" s="6">
        <f>A114</f>
        <v>45505</v>
      </c>
      <c r="P114" s="9">
        <f>IFERROR(IF(SUM(B113:F113)=0,"",SUM(B114:F114)/SUM(B113:F113)-1),"")</f>
        <v>3.1115276195787578E-2</v>
      </c>
    </row>
    <row r="115" spans="1:16">
      <c r="A115" s="6">
        <f>EDATE(A114,1)</f>
        <v>45536</v>
      </c>
      <c r="B115" s="7">
        <f>SUMIFS('Transaction Data'!$K$2:$K$4618,'Transaction Data'!$A$2:$A$4618,$A115,'Transaction Data'!$E$2:$E$4618,"RTGS_TOTAL")</f>
        <v>233.33</v>
      </c>
      <c r="C115" s="7">
        <f>SUMIFS('Transaction Data'!$K$2:$K$4618,'Transaction Data'!$A$2:$A$4618,$A115,'Transaction Data'!$E$2:$E$4618,"RETAIL_CREDIT_TRANSFERS_TOTAL")</f>
        <v>166626.29999999999</v>
      </c>
      <c r="D115" s="7">
        <f>SUMIFS('Transaction Data'!$K$2:$K$4618,'Transaction Data'!$A$2:$A$4618,$A115,'Transaction Data'!$E$2:$E$4618,"DEBIT_TRANSFERS_TOTAL")</f>
        <v>1805.36</v>
      </c>
      <c r="E115" s="7">
        <f>SUMIFS('Transaction Data'!$K$2:$K$4618,'Transaction Data'!$A$2:$A$4618,$A115,'Transaction Data'!$E$2:$E$4618,"CARD_PAYMENTS_TOTAL")</f>
        <v>5275.26</v>
      </c>
      <c r="F115" s="7">
        <f>SUMIFS('Transaction Data'!$K$2:$K$4618,'Transaction Data'!$A$2:$A$4618,$A115,'Transaction Data'!$E$2:$E$4618,"PPI_TOTAL")</f>
        <v>5476.69</v>
      </c>
      <c r="H115" s="6">
        <f>A115</f>
        <v>45536</v>
      </c>
      <c r="I115" s="7">
        <f>SUMIFS('Transaction Data'!$L$2:$L$4618,'Transaction Data'!$A$2:$A$4618,$H115,'Transaction Data'!$E$2:$E$4618,"RTGS_TOTAL")</f>
        <v>17786482.670000002</v>
      </c>
      <c r="J115" s="7">
        <f>SUMIFS('Transaction Data'!$L$2:$L$4618,'Transaction Data'!$A$2:$A$4618,$H115,'Transaction Data'!$E$2:$E$4618,"RETAIL_CREDIT_TRANSFERS_TOTAL")</f>
        <v>6384754.4400000004</v>
      </c>
      <c r="K115" s="7">
        <f>SUMIFS('Transaction Data'!$L$2:$L$4618,'Transaction Data'!$A$2:$A$4618,$H115,'Transaction Data'!$E$2:$E$4618,"DEBIT_TRANSFERS_TOTAL")</f>
        <v>180706.78</v>
      </c>
      <c r="L115" s="7">
        <f>SUMIFS('Transaction Data'!$L$2:$L$4618,'Transaction Data'!$A$2:$A$4618,$H115,'Transaction Data'!$E$2:$E$4618,"CARD_PAYMENTS_TOTAL")</f>
        <v>216303.56</v>
      </c>
      <c r="M115" s="7">
        <f>SUMIFS('Transaction Data'!$L$2:$L$4618,'Transaction Data'!$A$2:$A$4618,$H115,'Transaction Data'!$E$2:$E$4618,"PPI_TOTAL")</f>
        <v>17489.47</v>
      </c>
      <c r="O115" s="6">
        <f>A115</f>
        <v>45536</v>
      </c>
      <c r="P115" s="9">
        <f>IFERROR(IF(SUM(B114:F114)=0,"",SUM(B115:F115)/SUM(B114:F114)-1),"")</f>
        <v>8.3277713519414043E-4</v>
      </c>
    </row>
    <row r="116" spans="1:16">
      <c r="A116" s="6">
        <f>EDATE(A115,1)</f>
        <v>45566</v>
      </c>
      <c r="B116" s="7">
        <f>SUMIFS('Transaction Data'!$K$2:$K$4618,'Transaction Data'!$A$2:$A$4618,$A116,'Transaction Data'!$E$2:$E$4618,"RTGS_TOTAL")</f>
        <v>267.92</v>
      </c>
      <c r="C116" s="7">
        <f>SUMIFS('Transaction Data'!$K$2:$K$4618,'Transaction Data'!$A$2:$A$4618,$A116,'Transaction Data'!$E$2:$E$4618,"RETAIL_CREDIT_TRANSFERS_TOTAL")</f>
        <v>185187.17</v>
      </c>
      <c r="D116" s="7">
        <f>SUMIFS('Transaction Data'!$K$2:$K$4618,'Transaction Data'!$A$2:$A$4618,$A116,'Transaction Data'!$E$2:$E$4618,"DEBIT_TRANSFERS_TOTAL")</f>
        <v>1871.73</v>
      </c>
      <c r="E116" s="7">
        <f>SUMIFS('Transaction Data'!$K$2:$K$4618,'Transaction Data'!$A$2:$A$4618,$A116,'Transaction Data'!$E$2:$E$4618,"CARD_PAYMENTS_TOTAL")</f>
        <v>5759.31</v>
      </c>
      <c r="F116" s="7">
        <f>SUMIFS('Transaction Data'!$K$2:$K$4618,'Transaction Data'!$A$2:$A$4618,$A116,'Transaction Data'!$E$2:$E$4618,"PPI_TOTAL")</f>
        <v>5977.88</v>
      </c>
      <c r="H116" s="6">
        <f>A116</f>
        <v>45566</v>
      </c>
      <c r="I116" s="7">
        <f>SUMIFS('Transaction Data'!$L$2:$L$4618,'Transaction Data'!$A$2:$A$4618,$H116,'Transaction Data'!$E$2:$E$4618,"RTGS_TOTAL")</f>
        <v>17070975</v>
      </c>
      <c r="J116" s="7">
        <f>SUMIFS('Transaction Data'!$L$2:$L$4618,'Transaction Data'!$A$2:$A$4618,$H116,'Transaction Data'!$E$2:$E$4618,"RETAIL_CREDIT_TRANSFERS_TOTAL")</f>
        <v>7358283.3499999996</v>
      </c>
      <c r="K116" s="7">
        <f>SUMIFS('Transaction Data'!$L$2:$L$4618,'Transaction Data'!$A$2:$A$4618,$H116,'Transaction Data'!$E$2:$E$4618,"DEBIT_TRANSFERS_TOTAL")</f>
        <v>189818.16</v>
      </c>
      <c r="L116" s="7">
        <f>SUMIFS('Transaction Data'!$L$2:$L$4618,'Transaction Data'!$A$2:$A$4618,$H116,'Transaction Data'!$E$2:$E$4618,"CARD_PAYMENTS_TOTAL")</f>
        <v>248618.66</v>
      </c>
      <c r="M116" s="7">
        <f>SUMIFS('Transaction Data'!$L$2:$L$4618,'Transaction Data'!$A$2:$A$4618,$H116,'Transaction Data'!$E$2:$E$4618,"PPI_TOTAL")</f>
        <v>20418.990000000002</v>
      </c>
      <c r="O116" s="6">
        <f>A116</f>
        <v>45566</v>
      </c>
      <c r="P116" s="9">
        <f>IFERROR(IF(SUM(B115:F115)=0,"",SUM(B116:F116)/SUM(B115:F115)-1),"")</f>
        <v>0.10950510024304316</v>
      </c>
    </row>
    <row r="117" spans="1:16">
      <c r="A117" s="6">
        <f>EDATE(A116,1)</f>
        <v>45597</v>
      </c>
      <c r="B117" s="7">
        <f>SUMIFS('Transaction Data'!$K$2:$K$4618,'Transaction Data'!$A$2:$A$4618,$A117,'Transaction Data'!$E$2:$E$4618,"RTGS_TOTAL")</f>
        <v>240.29</v>
      </c>
      <c r="C117" s="7">
        <f>SUMIFS('Transaction Data'!$K$2:$K$4618,'Transaction Data'!$A$2:$A$4618,$A117,'Transaction Data'!$E$2:$E$4618,"RETAIL_CREDIT_TRANSFERS_TOTAL")</f>
        <v>170358.5</v>
      </c>
      <c r="D117" s="7">
        <f>SUMIFS('Transaction Data'!$K$2:$K$4618,'Transaction Data'!$A$2:$A$4618,$A117,'Transaction Data'!$E$2:$E$4618,"DEBIT_TRANSFERS_TOTAL")</f>
        <v>1894.74</v>
      </c>
      <c r="E117" s="7">
        <f>SUMIFS('Transaction Data'!$K$2:$K$4618,'Transaction Data'!$A$2:$A$4618,$A117,'Transaction Data'!$E$2:$E$4618,"CARD_PAYMENTS_TOTAL")</f>
        <v>5167.93</v>
      </c>
      <c r="F117" s="7">
        <f>SUMIFS('Transaction Data'!$K$2:$K$4618,'Transaction Data'!$A$2:$A$4618,$A117,'Transaction Data'!$E$2:$E$4618,"PPI_TOTAL")</f>
        <v>5847.81</v>
      </c>
      <c r="H117" s="6">
        <f>A117</f>
        <v>45597</v>
      </c>
      <c r="I117" s="7">
        <f>SUMIFS('Transaction Data'!$L$2:$L$4618,'Transaction Data'!$A$2:$A$4618,$H117,'Transaction Data'!$E$2:$E$4618,"RTGS_TOTAL")</f>
        <v>14826882.210000001</v>
      </c>
      <c r="J117" s="7">
        <f>SUMIFS('Transaction Data'!$L$2:$L$4618,'Transaction Data'!$A$2:$A$4618,$H117,'Transaction Data'!$E$2:$E$4618,"RETAIL_CREDIT_TRANSFERS_TOTAL")</f>
        <v>6274182.4400000004</v>
      </c>
      <c r="K117" s="7">
        <f>SUMIFS('Transaction Data'!$L$2:$L$4618,'Transaction Data'!$A$2:$A$4618,$H117,'Transaction Data'!$E$2:$E$4618,"DEBIT_TRANSFERS_TOTAL")</f>
        <v>185643.33</v>
      </c>
      <c r="L117" s="7">
        <f>SUMIFS('Transaction Data'!$L$2:$L$4618,'Transaction Data'!$A$2:$A$4618,$H117,'Transaction Data'!$E$2:$E$4618,"CARD_PAYMENTS_TOTAL")</f>
        <v>208308.17</v>
      </c>
      <c r="M117" s="7">
        <f>SUMIFS('Transaction Data'!$L$2:$L$4618,'Transaction Data'!$A$2:$A$4618,$H117,'Transaction Data'!$E$2:$E$4618,"PPI_TOTAL")</f>
        <v>19213.52</v>
      </c>
      <c r="O117" s="6">
        <f>A117</f>
        <v>45597</v>
      </c>
      <c r="P117" s="9">
        <f>IFERROR(IF(SUM(B116:F116)=0,"",SUM(B117:F117)/SUM(B116:F116)-1),"")</f>
        <v>-7.8139388430887413E-2</v>
      </c>
    </row>
    <row r="118" spans="1:16">
      <c r="A118" s="6">
        <f>EDATE(A117,1)</f>
        <v>45627</v>
      </c>
      <c r="B118" s="7">
        <f>SUMIFS('Transaction Data'!$K$2:$K$4618,'Transaction Data'!$A$2:$A$4618,$A118,'Transaction Data'!$E$2:$E$4618,"RTGS_TOTAL")</f>
        <v>262.29000000000002</v>
      </c>
      <c r="C118" s="7">
        <f>SUMIFS('Transaction Data'!$K$2:$K$4618,'Transaction Data'!$A$2:$A$4618,$A118,'Transaction Data'!$E$2:$E$4618,"RETAIL_CREDIT_TRANSFERS_TOTAL")</f>
        <v>183786.41</v>
      </c>
      <c r="D118" s="7">
        <f>SUMIFS('Transaction Data'!$K$2:$K$4618,'Transaction Data'!$A$2:$A$4618,$A118,'Transaction Data'!$E$2:$E$4618,"DEBIT_TRANSFERS_TOTAL")</f>
        <v>1905.47</v>
      </c>
      <c r="E118" s="7">
        <f>SUMIFS('Transaction Data'!$K$2:$K$4618,'Transaction Data'!$A$2:$A$4618,$A118,'Transaction Data'!$E$2:$E$4618,"CARD_PAYMENTS_TOTAL")</f>
        <v>5608.59</v>
      </c>
      <c r="F118" s="7">
        <f>SUMIFS('Transaction Data'!$K$2:$K$4618,'Transaction Data'!$A$2:$A$4618,$A118,'Transaction Data'!$E$2:$E$4618,"PPI_TOTAL")</f>
        <v>6377.99</v>
      </c>
      <c r="H118" s="6">
        <f>A118</f>
        <v>45627</v>
      </c>
      <c r="I118" s="7">
        <f>SUMIFS('Transaction Data'!$L$2:$L$4618,'Transaction Data'!$A$2:$A$4618,$H118,'Transaction Data'!$E$2:$E$4618,"RTGS_TOTAL")</f>
        <v>19163586.800000001</v>
      </c>
      <c r="J118" s="7">
        <f>SUMIFS('Transaction Data'!$L$2:$L$4618,'Transaction Data'!$A$2:$A$4618,$H118,'Transaction Data'!$E$2:$E$4618,"RETAIL_CREDIT_TRANSFERS_TOTAL")</f>
        <v>6935631.8600000003</v>
      </c>
      <c r="K118" s="7">
        <f>SUMIFS('Transaction Data'!$L$2:$L$4618,'Transaction Data'!$A$2:$A$4618,$H118,'Transaction Data'!$E$2:$E$4618,"DEBIT_TRANSFERS_TOTAL")</f>
        <v>198303</v>
      </c>
      <c r="L118" s="7">
        <f>SUMIFS('Transaction Data'!$L$2:$L$4618,'Transaction Data'!$A$2:$A$4618,$H118,'Transaction Data'!$E$2:$E$4618,"CARD_PAYMENTS_TOTAL")</f>
        <v>228548.27</v>
      </c>
      <c r="M118" s="7">
        <f>SUMIFS('Transaction Data'!$L$2:$L$4618,'Transaction Data'!$A$2:$A$4618,$H118,'Transaction Data'!$E$2:$E$4618,"PPI_TOTAL")</f>
        <v>18992.22</v>
      </c>
      <c r="O118" s="6">
        <f>A118</f>
        <v>45627</v>
      </c>
      <c r="P118" s="9">
        <f>IFERROR(IF(SUM(B117:F117)=0,"",SUM(B118:F118)/SUM(B117:F117)-1),"")</f>
        <v>7.8641694776509175E-2</v>
      </c>
    </row>
    <row r="119" spans="1:16">
      <c r="A119" s="6">
        <f>EDATE(A118,1)</f>
        <v>45658</v>
      </c>
      <c r="B119" s="7">
        <f>SUMIFS('Transaction Data'!$K$2:$K$4618,'Transaction Data'!$A$2:$A$4618,$A119,'Transaction Data'!$E$2:$E$4618,"RTGS_TOTAL")</f>
        <v>268.14999999999998</v>
      </c>
      <c r="C119" s="7">
        <f>SUMIFS('Transaction Data'!$K$2:$K$4618,'Transaction Data'!$A$2:$A$4618,$A119,'Transaction Data'!$E$2:$E$4618,"RETAIL_CREDIT_TRANSFERS_TOTAL")</f>
        <v>186538.41</v>
      </c>
      <c r="D119" s="7">
        <f>SUMIFS('Transaction Data'!$K$2:$K$4618,'Transaction Data'!$A$2:$A$4618,$A119,'Transaction Data'!$E$2:$E$4618,"DEBIT_TRANSFERS_TOTAL")</f>
        <v>1878.45</v>
      </c>
      <c r="E119" s="7">
        <f>SUMIFS('Transaction Data'!$K$2:$K$4618,'Transaction Data'!$A$2:$A$4618,$A119,'Transaction Data'!$E$2:$E$4618,"CARD_PAYMENTS_TOTAL")</f>
        <v>5522.42</v>
      </c>
      <c r="F119" s="7">
        <f>SUMIFS('Transaction Data'!$K$2:$K$4618,'Transaction Data'!$A$2:$A$4618,$A119,'Transaction Data'!$E$2:$E$4618,"PPI_TOTAL")</f>
        <v>6547.1</v>
      </c>
      <c r="H119" s="6">
        <f>A119</f>
        <v>45658</v>
      </c>
      <c r="I119" s="7">
        <f>SUMIFS('Transaction Data'!$L$2:$L$4618,'Transaction Data'!$A$2:$A$4618,$H119,'Transaction Data'!$E$2:$E$4618,"RTGS_TOTAL")</f>
        <v>17499362.699999999</v>
      </c>
      <c r="J119" s="7">
        <f>SUMIFS('Transaction Data'!$L$2:$L$4618,'Transaction Data'!$A$2:$A$4618,$H119,'Transaction Data'!$E$2:$E$4618,"RETAIL_CREDIT_TRANSFERS_TOTAL")</f>
        <v>7000486.6100000003</v>
      </c>
      <c r="K119" s="7">
        <f>SUMIFS('Transaction Data'!$L$2:$L$4618,'Transaction Data'!$A$2:$A$4618,$H119,'Transaction Data'!$E$2:$E$4618,"DEBIT_TRANSFERS_TOTAL")</f>
        <v>199535.06</v>
      </c>
      <c r="L119" s="7">
        <f>SUMIFS('Transaction Data'!$L$2:$L$4618,'Transaction Data'!$A$2:$A$4618,$H119,'Transaction Data'!$E$2:$E$4618,"CARD_PAYMENTS_TOTAL")</f>
        <v>223089.53</v>
      </c>
      <c r="M119" s="7">
        <f>SUMIFS('Transaction Data'!$L$2:$L$4618,'Transaction Data'!$A$2:$A$4618,$H119,'Transaction Data'!$E$2:$E$4618,"PPI_TOTAL")</f>
        <v>19496.3</v>
      </c>
      <c r="O119" s="6">
        <f>A119</f>
        <v>45658</v>
      </c>
      <c r="P119" s="9">
        <f>IFERROR(IF(SUM(B118:F118)=0,"",SUM(B119:F119)/SUM(B118:F118)-1),"")</f>
        <v>1.4215263911044218E-2</v>
      </c>
    </row>
    <row r="120" spans="1:16">
      <c r="A120" s="6">
        <f>EDATE(A119,1)</f>
        <v>45689</v>
      </c>
      <c r="B120" s="7">
        <f>SUMIFS('Transaction Data'!$K$2:$K$4618,'Transaction Data'!$A$2:$A$4618,$A120,'Transaction Data'!$E$2:$E$4618,"RTGS_TOTAL")</f>
        <v>244.2</v>
      </c>
      <c r="C120" s="7">
        <f>SUMIFS('Transaction Data'!$K$2:$K$4618,'Transaction Data'!$A$2:$A$4618,$A120,'Transaction Data'!$E$2:$E$4618,"RETAIL_CREDIT_TRANSFERS_TOTAL")</f>
        <v>177394.61</v>
      </c>
      <c r="D120" s="7">
        <f>SUMIFS('Transaction Data'!$K$2:$K$4618,'Transaction Data'!$A$2:$A$4618,$A120,'Transaction Data'!$E$2:$E$4618,"DEBIT_TRANSFERS_TOTAL")</f>
        <v>1862.8</v>
      </c>
      <c r="E120" s="7">
        <f>SUMIFS('Transaction Data'!$K$2:$K$4618,'Transaction Data'!$A$2:$A$4618,$A120,'Transaction Data'!$E$2:$E$4618,"CARD_PAYMENTS_TOTAL")</f>
        <v>5052.09</v>
      </c>
      <c r="F120" s="7">
        <f>SUMIFS('Transaction Data'!$K$2:$K$4618,'Transaction Data'!$A$2:$A$4618,$A120,'Transaction Data'!$E$2:$E$4618,"PPI_TOTAL")</f>
        <v>6398.44</v>
      </c>
      <c r="H120" s="6">
        <f>A120</f>
        <v>45689</v>
      </c>
      <c r="I120" s="7">
        <f>SUMIFS('Transaction Data'!$L$2:$L$4618,'Transaction Data'!$A$2:$A$4618,$H120,'Transaction Data'!$E$2:$E$4618,"RTGS_TOTAL")</f>
        <v>16099370.9</v>
      </c>
      <c r="J120" s="7">
        <f>SUMIFS('Transaction Data'!$L$2:$L$4618,'Transaction Data'!$A$2:$A$4618,$H120,'Transaction Data'!$E$2:$E$4618,"RETAIL_CREDIT_TRANSFERS_TOTAL")</f>
        <v>6497659.8200000003</v>
      </c>
      <c r="K120" s="7">
        <f>SUMIFS('Transaction Data'!$L$2:$L$4618,'Transaction Data'!$A$2:$A$4618,$H120,'Transaction Data'!$E$2:$E$4618,"DEBIT_TRANSFERS_TOTAL")</f>
        <v>193068.11</v>
      </c>
      <c r="L120" s="7">
        <f>SUMIFS('Transaction Data'!$L$2:$L$4618,'Transaction Data'!$A$2:$A$4618,$H120,'Transaction Data'!$E$2:$E$4618,"CARD_PAYMENTS_TOTAL")</f>
        <v>201522.01</v>
      </c>
      <c r="M120" s="7">
        <f>SUMIFS('Transaction Data'!$L$2:$L$4618,'Transaction Data'!$A$2:$A$4618,$H120,'Transaction Data'!$E$2:$E$4618,"PPI_TOTAL")</f>
        <v>19236.22</v>
      </c>
      <c r="O120" s="6">
        <f>A120</f>
        <v>45689</v>
      </c>
      <c r="P120" s="9">
        <f>IFERROR(IF(SUM(B119:F119)=0,"",SUM(B120:F120)/SUM(B119:F119)-1),"")</f>
        <v>-4.8827740026588851E-2</v>
      </c>
    </row>
    <row r="121" spans="1:16">
      <c r="A121" s="6">
        <f>EDATE(A120,1)</f>
        <v>45717</v>
      </c>
      <c r="B121" s="7">
        <f>SUMIFS('Transaction Data'!$K$2:$K$4618,'Transaction Data'!$A$2:$A$4618,$A121,'Transaction Data'!$E$2:$E$4618,"RTGS_TOTAL")</f>
        <v>307.02999999999997</v>
      </c>
      <c r="C121" s="7">
        <f>SUMIFS('Transaction Data'!$K$2:$K$4618,'Transaction Data'!$A$2:$A$4618,$A121,'Transaction Data'!$E$2:$E$4618,"RETAIL_CREDIT_TRANSFERS_TOTAL")</f>
        <v>202008.61</v>
      </c>
      <c r="D121" s="7">
        <f>SUMIFS('Transaction Data'!$K$2:$K$4618,'Transaction Data'!$A$2:$A$4618,$A121,'Transaction Data'!$E$2:$E$4618,"DEBIT_TRANSFERS_TOTAL")</f>
        <v>1891.35</v>
      </c>
      <c r="E121" s="7">
        <f>SUMIFS('Transaction Data'!$K$2:$K$4618,'Transaction Data'!$A$2:$A$4618,$A121,'Transaction Data'!$E$2:$E$4618,"CARD_PAYMENTS_TOTAL")</f>
        <v>5789.52</v>
      </c>
      <c r="F121" s="7">
        <f>SUMIFS('Transaction Data'!$K$2:$K$4618,'Transaction Data'!$A$2:$A$4618,$A121,'Transaction Data'!$E$2:$E$4618,"PPI_TOTAL")</f>
        <v>6783.69</v>
      </c>
      <c r="H121" s="6">
        <f>A121</f>
        <v>45717</v>
      </c>
      <c r="I121" s="7">
        <f>SUMIFS('Transaction Data'!$L$2:$L$4618,'Transaction Data'!$A$2:$A$4618,$H121,'Transaction Data'!$E$2:$E$4618,"RTGS_TOTAL")</f>
        <v>21401969.100000001</v>
      </c>
      <c r="J121" s="7">
        <f>SUMIFS('Transaction Data'!$L$2:$L$4618,'Transaction Data'!$A$2:$A$4618,$H121,'Transaction Data'!$E$2:$E$4618,"RETAIL_CREDIT_TRANSFERS_TOTAL")</f>
        <v>8242601.1699999999</v>
      </c>
      <c r="K121" s="7">
        <f>SUMIFS('Transaction Data'!$L$2:$L$4618,'Transaction Data'!$A$2:$A$4618,$H121,'Transaction Data'!$E$2:$E$4618,"DEBIT_TRANSFERS_TOTAL")</f>
        <v>211047.17</v>
      </c>
      <c r="L121" s="7">
        <f>SUMIFS('Transaction Data'!$L$2:$L$4618,'Transaction Data'!$A$2:$A$4618,$H121,'Transaction Data'!$E$2:$E$4618,"CARD_PAYMENTS_TOTAL")</f>
        <v>240548.58</v>
      </c>
      <c r="M121" s="7">
        <f>SUMIFS('Transaction Data'!$L$2:$L$4618,'Transaction Data'!$A$2:$A$4618,$H121,'Transaction Data'!$E$2:$E$4618,"PPI_TOTAL")</f>
        <v>21465.03</v>
      </c>
      <c r="O121" s="6">
        <f>A121</f>
        <v>45717</v>
      </c>
      <c r="P121" s="9">
        <f>IFERROR(IF(SUM(B120:F120)=0,"",SUM(B121:F121)/SUM(B120:F120)-1),"")</f>
        <v>0.1352593377586655</v>
      </c>
    </row>
    <row r="122" spans="1:16">
      <c r="A122" s="6">
        <f>EDATE(A121,1)</f>
        <v>45748</v>
      </c>
      <c r="B122" s="7">
        <f>SUMIFS('Transaction Data'!$K$2:$K$4618,'Transaction Data'!$A$2:$A$4618,$A122,'Transaction Data'!$E$2:$E$4618,"RTGS_TOTAL")</f>
        <v>262.41000000000003</v>
      </c>
      <c r="C122" s="7">
        <f>SUMIFS('Transaction Data'!$K$2:$K$4618,'Transaction Data'!$A$2:$A$4618,$A122,'Transaction Data'!$E$2:$E$4618,"RETAIL_CREDIT_TRANSFERS_TOTAL")</f>
        <v>194925.94</v>
      </c>
      <c r="D122" s="7">
        <f>SUMIFS('Transaction Data'!$K$2:$K$4618,'Transaction Data'!$A$2:$A$4618,$A122,'Transaction Data'!$E$2:$E$4618,"DEBIT_TRANSFERS_TOTAL")</f>
        <v>1869.9</v>
      </c>
      <c r="E122" s="7">
        <f>SUMIFS('Transaction Data'!$K$2:$K$4618,'Transaction Data'!$A$2:$A$4618,$A122,'Transaction Data'!$E$2:$E$4618,"CARD_PAYMENTS_TOTAL")</f>
        <v>5673.64</v>
      </c>
      <c r="F122" s="7">
        <f>SUMIFS('Transaction Data'!$K$2:$K$4618,'Transaction Data'!$A$2:$A$4618,$A122,'Transaction Data'!$E$2:$E$4618,"PPI_TOTAL")</f>
        <v>6768.43</v>
      </c>
      <c r="H122" s="6">
        <f>A122</f>
        <v>45748</v>
      </c>
      <c r="I122" s="7">
        <f>SUMIFS('Transaction Data'!$L$2:$L$4618,'Transaction Data'!$A$2:$A$4618,$H122,'Transaction Data'!$E$2:$E$4618,"RTGS_TOTAL")</f>
        <v>16895789.390000001</v>
      </c>
      <c r="J122" s="7">
        <f>SUMIFS('Transaction Data'!$L$2:$L$4618,'Transaction Data'!$A$2:$A$4618,$H122,'Transaction Data'!$E$2:$E$4618,"RETAIL_CREDIT_TRANSFERS_TOTAL")</f>
        <v>7126205.3600000003</v>
      </c>
      <c r="K122" s="7">
        <f>SUMIFS('Transaction Data'!$L$2:$L$4618,'Transaction Data'!$A$2:$A$4618,$H122,'Transaction Data'!$E$2:$E$4618,"DEBIT_TRANSFERS_TOTAL")</f>
        <v>198564.77</v>
      </c>
      <c r="L122" s="7">
        <f>SUMIFS('Transaction Data'!$L$2:$L$4618,'Transaction Data'!$A$2:$A$4618,$H122,'Transaction Data'!$E$2:$E$4618,"CARD_PAYMENTS_TOTAL")</f>
        <v>222350.52</v>
      </c>
      <c r="M122" s="7">
        <f>SUMIFS('Transaction Data'!$L$2:$L$4618,'Transaction Data'!$A$2:$A$4618,$H122,'Transaction Data'!$E$2:$E$4618,"PPI_TOTAL")</f>
        <v>21253.759999999998</v>
      </c>
      <c r="O122" s="6">
        <f>A122</f>
        <v>45748</v>
      </c>
      <c r="P122" s="9">
        <f>IFERROR(IF(SUM(B121:F121)=0,"",SUM(B122:F122)/SUM(B121:F121)-1),"")</f>
        <v>-3.358184926483132E-2</v>
      </c>
    </row>
    <row r="123" spans="1:16">
      <c r="A123" s="6">
        <f>EDATE(A122,1)</f>
        <v>45778</v>
      </c>
      <c r="B123" s="7">
        <f>SUMIFS('Transaction Data'!$K$2:$K$4618,'Transaction Data'!$A$2:$A$4618,$A123,'Transaction Data'!$E$2:$E$4618,"RTGS_TOTAL")</f>
        <v>274.70999999999998</v>
      </c>
      <c r="C123" s="7">
        <f>SUMIFS('Transaction Data'!$K$2:$K$4618,'Transaction Data'!$A$2:$A$4618,$A123,'Transaction Data'!$E$2:$E$4618,"RETAIL_CREDIT_TRANSFERS_TOTAL")</f>
        <v>203656.72</v>
      </c>
      <c r="D123" s="7">
        <f>SUMIFS('Transaction Data'!$K$2:$K$4618,'Transaction Data'!$A$2:$A$4618,$A123,'Transaction Data'!$E$2:$E$4618,"DEBIT_TRANSFERS_TOTAL")</f>
        <v>1895.74</v>
      </c>
      <c r="E123" s="7">
        <f>SUMIFS('Transaction Data'!$K$2:$K$4618,'Transaction Data'!$A$2:$A$4618,$A123,'Transaction Data'!$E$2:$E$4618,"CARD_PAYMENTS_TOTAL")</f>
        <v>5827.4</v>
      </c>
      <c r="F123" s="7">
        <f>SUMIFS('Transaction Data'!$K$2:$K$4618,'Transaction Data'!$A$2:$A$4618,$A123,'Transaction Data'!$E$2:$E$4618,"PPI_TOTAL")</f>
        <v>7106.39</v>
      </c>
      <c r="H123" s="6">
        <f>A123</f>
        <v>45778</v>
      </c>
      <c r="I123" s="7">
        <f>SUMIFS('Transaction Data'!$L$2:$L$4618,'Transaction Data'!$A$2:$A$4618,$H123,'Transaction Data'!$E$2:$E$4618,"RTGS_TOTAL")</f>
        <v>17013770.09</v>
      </c>
      <c r="J123" s="7">
        <f>SUMIFS('Transaction Data'!$L$2:$L$4618,'Transaction Data'!$A$2:$A$4618,$H123,'Transaction Data'!$E$2:$E$4618,"RETAIL_CREDIT_TRANSFERS_TOTAL")</f>
        <v>7146649.1600000001</v>
      </c>
      <c r="K123" s="7">
        <f>SUMIFS('Transaction Data'!$L$2:$L$4618,'Transaction Data'!$A$2:$A$4618,$H123,'Transaction Data'!$E$2:$E$4618,"DEBIT_TRANSFERS_TOTAL")</f>
        <v>206367.54</v>
      </c>
      <c r="L123" s="7">
        <f>SUMIFS('Transaction Data'!$L$2:$L$4618,'Transaction Data'!$A$2:$A$4618,$H123,'Transaction Data'!$E$2:$E$4618,"CARD_PAYMENTS_TOTAL")</f>
        <v>226810.08</v>
      </c>
      <c r="M123" s="7">
        <f>SUMIFS('Transaction Data'!$L$2:$L$4618,'Transaction Data'!$A$2:$A$4618,$H123,'Transaction Data'!$E$2:$E$4618,"PPI_TOTAL")</f>
        <v>20721.5</v>
      </c>
      <c r="O123" s="6">
        <f>A123</f>
        <v>45778</v>
      </c>
      <c r="P123" s="9">
        <f>IFERROR(IF(SUM(B122:F122)=0,"",SUM(B123:F123)/SUM(B122:F122)-1),"")</f>
        <v>4.4203464701151773E-2</v>
      </c>
    </row>
    <row r="124" spans="1:16">
      <c r="A124" s="6">
        <f>EDATE(A123,1)</f>
        <v>45809</v>
      </c>
      <c r="B124" s="7">
        <f>SUMIFS('Transaction Data'!$K$2:$K$4618,'Transaction Data'!$A$2:$A$4618,$A124,'Transaction Data'!$E$2:$E$4618,"RTGS_TOTAL")</f>
        <v>254.88</v>
      </c>
      <c r="C124" s="7">
        <f>SUMIFS('Transaction Data'!$K$2:$K$4618,'Transaction Data'!$A$2:$A$4618,$A124,'Transaction Data'!$E$2:$E$4618,"RETAIL_CREDIT_TRANSFERS_TOTAL")</f>
        <v>200519.84</v>
      </c>
      <c r="D124" s="7">
        <f>SUMIFS('Transaction Data'!$K$2:$K$4618,'Transaction Data'!$A$2:$A$4618,$A124,'Transaction Data'!$E$2:$E$4618,"DEBIT_TRANSFERS_TOTAL")</f>
        <v>1891.36</v>
      </c>
      <c r="E124" s="7">
        <f>SUMIFS('Transaction Data'!$K$2:$K$4618,'Transaction Data'!$A$2:$A$4618,$A124,'Transaction Data'!$E$2:$E$4618,"CARD_PAYMENTS_TOTAL")</f>
        <v>5672.82</v>
      </c>
      <c r="F124" s="7">
        <f>SUMIFS('Transaction Data'!$K$2:$K$4618,'Transaction Data'!$A$2:$A$4618,$A124,'Transaction Data'!$E$2:$E$4618,"PPI_TOTAL")</f>
        <v>6868.39</v>
      </c>
      <c r="H124" s="6">
        <f>A124</f>
        <v>45809</v>
      </c>
      <c r="I124" s="7">
        <f>SUMIFS('Transaction Data'!$L$2:$L$4618,'Transaction Data'!$A$2:$A$4618,$H124,'Transaction Data'!$E$2:$E$4618,"RTGS_TOTAL")</f>
        <v>19012359.629999999</v>
      </c>
      <c r="J124" s="7">
        <f>SUMIFS('Transaction Data'!$L$2:$L$4618,'Transaction Data'!$A$2:$A$4618,$H124,'Transaction Data'!$E$2:$E$4618,"RETAIL_CREDIT_TRANSFERS_TOTAL")</f>
        <v>6957478.29</v>
      </c>
      <c r="K124" s="7">
        <f>SUMIFS('Transaction Data'!$L$2:$L$4618,'Transaction Data'!$A$2:$A$4618,$H124,'Transaction Data'!$E$2:$E$4618,"DEBIT_TRANSFERS_TOTAL")</f>
        <v>210753.96</v>
      </c>
      <c r="L124" s="7">
        <f>SUMIFS('Transaction Data'!$L$2:$L$4618,'Transaction Data'!$A$2:$A$4618,$H124,'Transaction Data'!$E$2:$E$4618,"CARD_PAYMENTS_TOTAL")</f>
        <v>218551.55</v>
      </c>
      <c r="M124" s="7">
        <f>SUMIFS('Transaction Data'!$L$2:$L$4618,'Transaction Data'!$A$2:$A$4618,$H124,'Transaction Data'!$E$2:$E$4618,"PPI_TOTAL")</f>
        <v>20740.12</v>
      </c>
      <c r="O124" s="6">
        <f>A124</f>
        <v>45809</v>
      </c>
      <c r="P124" s="9">
        <f>IFERROR(IF(SUM(B123:F123)=0,"",SUM(B124:F124)/SUM(B123:F123)-1),"")</f>
        <v>-1.6244534673828359E-2</v>
      </c>
    </row>
    <row r="125" spans="1:16">
      <c r="A125" s="6">
        <f>EDATE(A124,1)</f>
        <v>45839</v>
      </c>
      <c r="B125" s="7">
        <f>SUMIFS('Transaction Data'!$K$2:$K$4618,'Transaction Data'!$A$2:$A$4618,$A125,'Transaction Data'!$E$2:$E$4618,"RTGS_TOTAL")</f>
        <v>277.67</v>
      </c>
      <c r="C125" s="7">
        <f>SUMIFS('Transaction Data'!$K$2:$K$4618,'Transaction Data'!$A$2:$A$4618,$A125,'Transaction Data'!$E$2:$E$4618,"RETAIL_CREDIT_TRANSFERS_TOTAL")</f>
        <v>212335.07</v>
      </c>
      <c r="D125" s="7">
        <f>SUMIFS('Transaction Data'!$K$2:$K$4618,'Transaction Data'!$A$2:$A$4618,$A125,'Transaction Data'!$E$2:$E$4618,"DEBIT_TRANSFERS_TOTAL")</f>
        <v>1912.72</v>
      </c>
      <c r="E125" s="7">
        <f>SUMIFS('Transaction Data'!$K$2:$K$4618,'Transaction Data'!$A$2:$A$4618,$A125,'Transaction Data'!$E$2:$E$4618,"CARD_PAYMENTS_TOTAL")</f>
        <v>5982.42</v>
      </c>
      <c r="F125" s="7">
        <f>SUMIFS('Transaction Data'!$K$2:$K$4618,'Transaction Data'!$A$2:$A$4618,$A125,'Transaction Data'!$E$2:$E$4618,"PPI_TOTAL")</f>
        <v>7124.06</v>
      </c>
      <c r="H125" s="6">
        <f>A125</f>
        <v>45839</v>
      </c>
      <c r="I125" s="7">
        <f>SUMIFS('Transaction Data'!$L$2:$L$4618,'Transaction Data'!$A$2:$A$4618,$H125,'Transaction Data'!$E$2:$E$4618,"RTGS_TOTAL")</f>
        <v>18863902.449999999</v>
      </c>
      <c r="J125" s="7">
        <f>SUMIFS('Transaction Data'!$L$2:$L$4618,'Transaction Data'!$A$2:$A$4618,$H125,'Transaction Data'!$E$2:$E$4618,"RETAIL_CREDIT_TRANSFERS_TOTAL")</f>
        <v>7319320.7699999996</v>
      </c>
      <c r="K125" s="7">
        <f>SUMIFS('Transaction Data'!$L$2:$L$4618,'Transaction Data'!$A$2:$A$4618,$H125,'Transaction Data'!$E$2:$E$4618,"DEBIT_TRANSFERS_TOTAL")</f>
        <v>217899.28</v>
      </c>
      <c r="L125" s="7">
        <f>SUMIFS('Transaction Data'!$L$2:$L$4618,'Transaction Data'!$A$2:$A$4618,$H125,'Transaction Data'!$E$2:$E$4618,"CARD_PAYMENTS_TOTAL")</f>
        <v>231986.92</v>
      </c>
      <c r="M125" s="7">
        <f>SUMIFS('Transaction Data'!$L$2:$L$4618,'Transaction Data'!$A$2:$A$4618,$H125,'Transaction Data'!$E$2:$E$4618,"PPI_TOTAL")</f>
        <v>20757.87</v>
      </c>
      <c r="O125" s="6">
        <f>A125</f>
        <v>45839</v>
      </c>
      <c r="P125" s="9">
        <f>IFERROR(IF(SUM(B124:F124)=0,"",SUM(B125:F125)/SUM(B124:F124)-1),"")</f>
        <v>5.7733406707551671E-2</v>
      </c>
    </row>
    <row r="126" spans="1:16">
      <c r="A126" s="6">
        <f>EDATE(A125,1)</f>
        <v>45870</v>
      </c>
      <c r="B126" s="7">
        <f>SUMIFS('Transaction Data'!$K$2:$K$4618,'Transaction Data'!$A$2:$A$4618,$A126,'Transaction Data'!$E$2:$E$4618,"RTGS_TOTAL")</f>
        <v>259.68</v>
      </c>
      <c r="C126" s="7">
        <f>SUMIFS('Transaction Data'!$K$2:$K$4618,'Transaction Data'!$A$2:$A$4618,$A126,'Transaction Data'!$E$2:$E$4618,"RETAIL_CREDIT_TRANSFERS_TOTAL")</f>
        <v>218816.17</v>
      </c>
      <c r="D126" s="7">
        <f>SUMIFS('Transaction Data'!$K$2:$K$4618,'Transaction Data'!$A$2:$A$4618,$A126,'Transaction Data'!$E$2:$E$4618,"DEBIT_TRANSFERS_TOTAL")</f>
        <v>1929.02</v>
      </c>
      <c r="E126" s="7">
        <f>SUMIFS('Transaction Data'!$K$2:$K$4618,'Transaction Data'!$A$2:$A$4618,$A126,'Transaction Data'!$E$2:$E$4618,"CARD_PAYMENTS_TOTAL")</f>
        <v>6056.57</v>
      </c>
      <c r="F126" s="7">
        <f>SUMIFS('Transaction Data'!$K$2:$K$4618,'Transaction Data'!$A$2:$A$4618,$A126,'Transaction Data'!$E$2:$E$4618,"PPI_TOTAL")</f>
        <v>7966.16</v>
      </c>
      <c r="H126" s="6">
        <f>A126</f>
        <v>45870</v>
      </c>
      <c r="I126" s="7">
        <f>SUMIFS('Transaction Data'!$L$2:$L$4618,'Transaction Data'!$A$2:$A$4618,$H126,'Transaction Data'!$E$2:$E$4618,"RTGS_TOTAL")</f>
        <v>16371215.73</v>
      </c>
      <c r="J126" s="7">
        <f>SUMIFS('Transaction Data'!$L$2:$L$4618,'Transaction Data'!$A$2:$A$4618,$H126,'Transaction Data'!$E$2:$E$4618,"RETAIL_CREDIT_TRANSFERS_TOTAL")</f>
        <v>7102302.8099999996</v>
      </c>
      <c r="K126" s="7">
        <f>SUMIFS('Transaction Data'!$L$2:$L$4618,'Transaction Data'!$A$2:$A$4618,$H126,'Transaction Data'!$E$2:$E$4618,"DEBIT_TRANSFERS_TOTAL")</f>
        <v>214927.59</v>
      </c>
      <c r="L126" s="7">
        <f>SUMIFS('Transaction Data'!$L$2:$L$4618,'Transaction Data'!$A$2:$A$4618,$H126,'Transaction Data'!$E$2:$E$4618,"CARD_PAYMENTS_TOTAL")</f>
        <v>228576.21</v>
      </c>
      <c r="M126" s="7">
        <f>SUMIFS('Transaction Data'!$L$2:$L$4618,'Transaction Data'!$A$2:$A$4618,$H126,'Transaction Data'!$E$2:$E$4618,"PPI_TOTAL")</f>
        <v>22252.69</v>
      </c>
      <c r="O126" s="6">
        <f>A126</f>
        <v>45870</v>
      </c>
      <c r="P126" s="9">
        <f>IFERROR(IF(SUM(B125:F125)=0,"",SUM(B126:F126)/SUM(B125:F125)-1),"")</f>
        <v>3.2489553091714418E-2</v>
      </c>
    </row>
    <row r="127" spans="1:16">
      <c r="A127" s="6">
        <f>EDATE(A126,1)</f>
        <v>45901</v>
      </c>
      <c r="B127" s="7">
        <f>SUMIFS('Transaction Data'!$K$2:$K$4618,'Transaction Data'!$A$2:$A$4618,$A127,'Transaction Data'!$E$2:$E$4618,"RTGS_TOTAL")</f>
        <v>280.83</v>
      </c>
      <c r="C127" s="7">
        <f>SUMIFS('Transaction Data'!$K$2:$K$4618,'Transaction Data'!$A$2:$A$4618,$A127,'Transaction Data'!$E$2:$E$4618,"RETAIL_CREDIT_TRANSFERS_TOTAL")</f>
        <v>213074.92</v>
      </c>
      <c r="D127" s="7">
        <f>SUMIFS('Transaction Data'!$K$2:$K$4618,'Transaction Data'!$A$2:$A$4618,$A127,'Transaction Data'!$E$2:$E$4618,"DEBIT_TRANSFERS_TOTAL")</f>
        <v>1926.97</v>
      </c>
      <c r="E127" s="7">
        <f>SUMIFS('Transaction Data'!$K$2:$K$4618,'Transaction Data'!$A$2:$A$4618,$A127,'Transaction Data'!$E$2:$E$4618,"CARD_PAYMENTS_TOTAL")</f>
        <v>5999.8</v>
      </c>
      <c r="F127" s="7">
        <f>SUMIFS('Transaction Data'!$K$2:$K$4618,'Transaction Data'!$A$2:$A$4618,$A127,'Transaction Data'!$E$2:$E$4618,"PPI_TOTAL")</f>
        <v>8551.51</v>
      </c>
      <c r="H127" s="6">
        <f>A127</f>
        <v>45901</v>
      </c>
      <c r="I127" s="7">
        <f>SUMIFS('Transaction Data'!$L$2:$L$4618,'Transaction Data'!$A$2:$A$4618,$H127,'Transaction Data'!$E$2:$E$4618,"RTGS_TOTAL")</f>
        <v>19836941.969999999</v>
      </c>
      <c r="J127" s="7">
        <f>SUMIFS('Transaction Data'!$L$2:$L$4618,'Transaction Data'!$A$2:$A$4618,$H127,'Transaction Data'!$E$2:$E$4618,"RETAIL_CREDIT_TRANSFERS_TOTAL")</f>
        <v>7543380.4800000004</v>
      </c>
      <c r="K127" s="7">
        <f>SUMIFS('Transaction Data'!$L$2:$L$4618,'Transaction Data'!$A$2:$A$4618,$H127,'Transaction Data'!$E$2:$E$4618,"DEBIT_TRANSFERS_TOTAL")</f>
        <v>222918.71</v>
      </c>
      <c r="L127" s="7">
        <f>SUMIFS('Transaction Data'!$L$2:$L$4618,'Transaction Data'!$A$2:$A$4618,$H127,'Transaction Data'!$E$2:$E$4618,"CARD_PAYMENTS_TOTAL")</f>
        <v>253482.69</v>
      </c>
      <c r="M127" s="7">
        <f>SUMIFS('Transaction Data'!$L$2:$L$4618,'Transaction Data'!$A$2:$A$4618,$H127,'Transaction Data'!$E$2:$E$4618,"PPI_TOTAL")</f>
        <v>22636.58</v>
      </c>
      <c r="O127" s="6">
        <f>A127</f>
        <v>45901</v>
      </c>
      <c r="P127" s="9">
        <f>IFERROR(IF(SUM(B126:F126)=0,"",SUM(B127:F127)/SUM(B126:F126)-1),"")</f>
        <v>-2.2097702567698496E-2</v>
      </c>
    </row>
    <row r="128" spans="1:16">
      <c r="A128" s="6">
        <f>EDATE(A127,1)</f>
        <v>45931</v>
      </c>
      <c r="B128" s="7">
        <f>SUMIFS('Transaction Data'!$K$2:$K$4618,'Transaction Data'!$A$2:$A$4618,$A128,'Transaction Data'!$E$2:$E$4618,"RTGS_TOTAL")</f>
        <v>296.76</v>
      </c>
      <c r="C128" s="7">
        <f>SUMIFS('Transaction Data'!$K$2:$K$4618,'Transaction Data'!$A$2:$A$4618,$A128,'Transaction Data'!$E$2:$E$4618,"RETAIL_CREDIT_TRANSFERS_TOTAL")</f>
        <v>224318.23</v>
      </c>
      <c r="D128" s="7">
        <f>SUMIFS('Transaction Data'!$K$2:$K$4618,'Transaction Data'!$A$2:$A$4618,$A128,'Transaction Data'!$E$2:$E$4618,"DEBIT_TRANSFERS_TOTAL")</f>
        <v>1964.66</v>
      </c>
      <c r="E128" s="7">
        <f>SUMIFS('Transaction Data'!$K$2:$K$4618,'Transaction Data'!$A$2:$A$4618,$A128,'Transaction Data'!$E$2:$E$4618,"CARD_PAYMENTS_TOTAL")</f>
        <v>6279.14</v>
      </c>
      <c r="F128" s="7">
        <f>SUMIFS('Transaction Data'!$K$2:$K$4618,'Transaction Data'!$A$2:$A$4618,$A128,'Transaction Data'!$E$2:$E$4618,"PPI_TOTAL")</f>
        <v>8939.26</v>
      </c>
      <c r="H128" s="6">
        <f>A128</f>
        <v>45931</v>
      </c>
      <c r="I128" s="7">
        <f>SUMIFS('Transaction Data'!$L$2:$L$4618,'Transaction Data'!$A$2:$A$4618,$H128,'Transaction Data'!$E$2:$E$4618,"RTGS_TOTAL")</f>
        <v>18732702.140000001</v>
      </c>
      <c r="J128" s="7">
        <f>SUMIFS('Transaction Data'!$L$2:$L$4618,'Transaction Data'!$A$2:$A$4618,$H128,'Transaction Data'!$E$2:$E$4618,"RETAIL_CREDIT_TRANSFERS_TOTAL")</f>
        <v>7851867.29</v>
      </c>
      <c r="K128" s="7">
        <f>SUMIFS('Transaction Data'!$L$2:$L$4618,'Transaction Data'!$A$2:$A$4618,$H128,'Transaction Data'!$E$2:$E$4618,"DEBIT_TRANSFERS_TOTAL")</f>
        <v>223881.2</v>
      </c>
      <c r="L128" s="7">
        <f>SUMIFS('Transaction Data'!$L$2:$L$4618,'Transaction Data'!$A$2:$A$4618,$H128,'Transaction Data'!$E$2:$E$4618,"CARD_PAYMENTS_TOTAL")</f>
        <v>256373.31</v>
      </c>
      <c r="M128" s="7">
        <f>SUMIFS('Transaction Data'!$L$2:$L$4618,'Transaction Data'!$A$2:$A$4618,$H128,'Transaction Data'!$E$2:$E$4618,"PPI_TOTAL")</f>
        <v>24226.83</v>
      </c>
      <c r="O128" s="6">
        <f>A128</f>
        <v>45931</v>
      </c>
      <c r="P128" s="9">
        <f>IFERROR(IF(SUM(B127:F127)=0,"",SUM(B128:F128)/SUM(B127:F127)-1),"")</f>
        <v>5.2055041631563714E-2</v>
      </c>
    </row>
    <row r="129" spans="1:16">
      <c r="A129" s="6">
        <f>EDATE(A128,1)</f>
        <v>45962</v>
      </c>
      <c r="B129" s="7">
        <f>SUMIFS('Transaction Data'!$K$2:$K$4618,'Transaction Data'!$A$2:$A$4618,$A129,'Transaction Data'!$E$2:$E$4618,"RTGS_TOTAL")</f>
        <v>284.89</v>
      </c>
      <c r="C129" s="7">
        <f>SUMIFS('Transaction Data'!$K$2:$K$4618,'Transaction Data'!$A$2:$A$4618,$A129,'Transaction Data'!$E$2:$E$4618,"RETAIL_CREDIT_TRANSFERS_TOTAL")</f>
        <v>221600.52</v>
      </c>
      <c r="D129" s="7">
        <f>SUMIFS('Transaction Data'!$K$2:$K$4618,'Transaction Data'!$A$2:$A$4618,$A129,'Transaction Data'!$E$2:$E$4618,"DEBIT_TRANSFERS_TOTAL")</f>
        <v>1987.04</v>
      </c>
      <c r="E129" s="7">
        <f>SUMIFS('Transaction Data'!$K$2:$K$4618,'Transaction Data'!$A$2:$A$4618,$A129,'Transaction Data'!$E$2:$E$4618,"CARD_PAYMENTS_TOTAL")</f>
        <v>6041.95</v>
      </c>
      <c r="F129" s="7">
        <f>SUMIFS('Transaction Data'!$K$2:$K$4618,'Transaction Data'!$A$2:$A$4618,$A129,'Transaction Data'!$E$2:$E$4618,"PPI_TOTAL")</f>
        <v>8973.35</v>
      </c>
      <c r="H129" s="6">
        <f>A129</f>
        <v>45962</v>
      </c>
      <c r="I129" s="7">
        <f>SUMIFS('Transaction Data'!$L$2:$L$4618,'Transaction Data'!$A$2:$A$4618,$H129,'Transaction Data'!$E$2:$E$4618,"RTGS_TOTAL")</f>
        <v>16881604.510000002</v>
      </c>
      <c r="J129" s="7">
        <f>SUMIFS('Transaction Data'!$L$2:$L$4618,'Transaction Data'!$A$2:$A$4618,$H129,'Transaction Data'!$E$2:$E$4618,"RETAIL_CREDIT_TRANSFERS_TOTAL")</f>
        <v>7313610.2800000003</v>
      </c>
      <c r="K129" s="7">
        <f>SUMIFS('Transaction Data'!$L$2:$L$4618,'Transaction Data'!$A$2:$A$4618,$H129,'Transaction Data'!$E$2:$E$4618,"DEBIT_TRANSFERS_TOTAL")</f>
        <v>226303.51</v>
      </c>
      <c r="L129" s="7">
        <f>SUMIFS('Transaction Data'!$L$2:$L$4618,'Transaction Data'!$A$2:$A$4618,$H129,'Transaction Data'!$E$2:$E$4618,"CARD_PAYMENTS_TOTAL")</f>
        <v>222942.4</v>
      </c>
      <c r="M129" s="7">
        <f>SUMIFS('Transaction Data'!$L$2:$L$4618,'Transaction Data'!$A$2:$A$4618,$H129,'Transaction Data'!$E$2:$E$4618,"PPI_TOTAL")</f>
        <v>24638.84</v>
      </c>
      <c r="O129" s="6">
        <f>A129</f>
        <v>45962</v>
      </c>
      <c r="P129" s="9">
        <f>IFERROR(IF(SUM(B128:F128)=0,"",SUM(B129:F129)/SUM(B128:F128)-1),"")</f>
        <v>-1.2036077214022223E-2</v>
      </c>
    </row>
    <row r="130" spans="1:16">
      <c r="A130" s="6">
        <f>EDATE(A129,1)</f>
        <v>45992</v>
      </c>
      <c r="B130" s="7">
        <f>SUMIFS('Transaction Data'!$K$2:$K$4618,'Transaction Data'!$A$2:$A$4618,$A130,'Transaction Data'!$E$2:$E$4618,"RTGS_TOTAL")</f>
        <v>317.67</v>
      </c>
      <c r="C130" s="7">
        <f>SUMIFS('Transaction Data'!$K$2:$K$4618,'Transaction Data'!$A$2:$A$4618,$A130,'Transaction Data'!$E$2:$E$4618,"RETAIL_CREDIT_TRANSFERS_TOTAL")</f>
        <v>232522.27</v>
      </c>
      <c r="D130" s="7">
        <f>SUMIFS('Transaction Data'!$K$2:$K$4618,'Transaction Data'!$A$2:$A$4618,$A130,'Transaction Data'!$E$2:$E$4618,"DEBIT_TRANSFERS_TOTAL")</f>
        <v>2012.39</v>
      </c>
      <c r="E130" s="7">
        <f>SUMIFS('Transaction Data'!$K$2:$K$4618,'Transaction Data'!$A$2:$A$4618,$A130,'Transaction Data'!$E$2:$E$4618,"CARD_PAYMENTS_TOTAL")</f>
        <v>6447.58</v>
      </c>
      <c r="F130" s="7">
        <f>SUMIFS('Transaction Data'!$K$2:$K$4618,'Transaction Data'!$A$2:$A$4618,$A130,'Transaction Data'!$E$2:$E$4618,"PPI_TOTAL")</f>
        <v>9755.15</v>
      </c>
      <c r="H130" s="6">
        <f>A130</f>
        <v>45992</v>
      </c>
      <c r="I130" s="7">
        <f>SUMIFS('Transaction Data'!$L$2:$L$4618,'Transaction Data'!$A$2:$A$4618,$H130,'Transaction Data'!$E$2:$E$4618,"RTGS_TOTAL")</f>
        <v>21969481.420000002</v>
      </c>
      <c r="J130" s="7">
        <f>SUMIFS('Transaction Data'!$L$2:$L$4618,'Transaction Data'!$A$2:$A$4618,$H130,'Transaction Data'!$E$2:$E$4618,"RETAIL_CREDIT_TRANSFERS_TOTAL")</f>
        <v>8086110.0700000003</v>
      </c>
      <c r="K130" s="7">
        <f>SUMIFS('Transaction Data'!$L$2:$L$4618,'Transaction Data'!$A$2:$A$4618,$H130,'Transaction Data'!$E$2:$E$4618,"DEBIT_TRANSFERS_TOTAL")</f>
        <v>242667.43</v>
      </c>
      <c r="L130" s="7">
        <f>SUMIFS('Transaction Data'!$L$2:$L$4618,'Transaction Data'!$A$2:$A$4618,$H130,'Transaction Data'!$E$2:$E$4618,"CARD_PAYMENTS_TOTAL")</f>
        <v>241960.99</v>
      </c>
      <c r="M130" s="7">
        <f>SUMIFS('Transaction Data'!$L$2:$L$4618,'Transaction Data'!$A$2:$A$4618,$H130,'Transaction Data'!$E$2:$E$4618,"PPI_TOTAL")</f>
        <v>27044.19</v>
      </c>
      <c r="O130" s="6">
        <f>A130</f>
        <v>45992</v>
      </c>
      <c r="P130" s="9">
        <f>IFERROR(IF(SUM(B129:F129)=0,"",SUM(B130:F130)/SUM(B129:F129)-1),"")</f>
        <v>5.0933168402314433E-2</v>
      </c>
    </row>
    <row r="131" spans="1:16">
      <c r="A131" s="6">
        <f>EDATE(A130,1)</f>
        <v>46023</v>
      </c>
      <c r="B131" s="7">
        <f>SUMIFS('Transaction Data'!$K$2:$K$4618,'Transaction Data'!$A$2:$A$4618,$A131,'Transaction Data'!$E$2:$E$4618,"RTGS_TOTAL")</f>
        <v>316.99</v>
      </c>
      <c r="C131" s="7">
        <f>SUMIFS('Transaction Data'!$K$2:$K$4618,'Transaction Data'!$A$2:$A$4618,$A131,'Transaction Data'!$E$2:$E$4618,"RETAIL_CREDIT_TRANSFERS_TOTAL")</f>
        <v>233364.66</v>
      </c>
      <c r="D131" s="7">
        <f>SUMIFS('Transaction Data'!$K$2:$K$4618,'Transaction Data'!$A$2:$A$4618,$A131,'Transaction Data'!$E$2:$E$4618,"DEBIT_TRANSFERS_TOTAL")</f>
        <v>2016.8</v>
      </c>
      <c r="E131" s="7">
        <f>SUMIFS('Transaction Data'!$K$2:$K$4618,'Transaction Data'!$A$2:$A$4618,$A131,'Transaction Data'!$E$2:$E$4618,"CARD_PAYMENTS_TOTAL")</f>
        <v>6415.41</v>
      </c>
      <c r="F131" s="7">
        <f>SUMIFS('Transaction Data'!$K$2:$K$4618,'Transaction Data'!$A$2:$A$4618,$A131,'Transaction Data'!$E$2:$E$4618,"PPI_TOTAL")</f>
        <v>9537.91</v>
      </c>
      <c r="H131" s="6">
        <f>A131</f>
        <v>46023</v>
      </c>
      <c r="I131" s="7">
        <f>SUMIFS('Transaction Data'!$L$2:$L$4618,'Transaction Data'!$A$2:$A$4618,$H131,'Transaction Data'!$E$2:$E$4618,"RTGS_TOTAL")</f>
        <v>19176703.789999999</v>
      </c>
      <c r="J131" s="7">
        <f>SUMIFS('Transaction Data'!$L$2:$L$4618,'Transaction Data'!$A$2:$A$4618,$H131,'Transaction Data'!$E$2:$E$4618,"RETAIL_CREDIT_TRANSFERS_TOTAL")</f>
        <v>8078680.4400000004</v>
      </c>
      <c r="K131" s="7">
        <f>SUMIFS('Transaction Data'!$L$2:$L$4618,'Transaction Data'!$A$2:$A$4618,$H131,'Transaction Data'!$E$2:$E$4618,"DEBIT_TRANSFERS_TOTAL")</f>
        <v>240345.4</v>
      </c>
      <c r="L131" s="7">
        <f>SUMIFS('Transaction Data'!$L$2:$L$4618,'Transaction Data'!$A$2:$A$4618,$H131,'Transaction Data'!$E$2:$E$4618,"CARD_PAYMENTS_TOTAL")</f>
        <v>237041.56</v>
      </c>
      <c r="M131" s="7">
        <f>SUMIFS('Transaction Data'!$L$2:$L$4618,'Transaction Data'!$A$2:$A$4618,$H131,'Transaction Data'!$E$2:$E$4618,"PPI_TOTAL")</f>
        <v>27625.55</v>
      </c>
      <c r="O131" s="6">
        <f>A131</f>
        <v>46023</v>
      </c>
      <c r="P131" s="9">
        <f>IFERROR(IF(SUM(B130:F130)=0,"",SUM(B131:F131)/SUM(B130:F130)-1),"")</f>
        <v>2.3768092943436958E-3</v>
      </c>
    </row>
    <row r="132" spans="1:16">
      <c r="A132" s="6">
        <f>EDATE(A131,1)</f>
        <v>46054</v>
      </c>
      <c r="B132" s="7">
        <f>SUMIFS('Transaction Data'!$K$2:$K$4618,'Transaction Data'!$A$2:$A$4618,$A132,'Transaction Data'!$E$2:$E$4618,"RTGS_TOTAL")</f>
        <v>305.85000000000002</v>
      </c>
      <c r="C132" s="7">
        <f>SUMIFS('Transaction Data'!$K$2:$K$4618,'Transaction Data'!$A$2:$A$4618,$A132,'Transaction Data'!$E$2:$E$4618,"RETAIL_CREDIT_TRANSFERS_TOTAL")</f>
        <v>219247.4</v>
      </c>
      <c r="D132" s="7">
        <f>SUMIFS('Transaction Data'!$K$2:$K$4618,'Transaction Data'!$A$2:$A$4618,$A132,'Transaction Data'!$E$2:$E$4618,"DEBIT_TRANSFERS_TOTAL")</f>
        <v>1989.09</v>
      </c>
      <c r="E132" s="7">
        <f>SUMIFS('Transaction Data'!$K$2:$K$4618,'Transaction Data'!$A$2:$A$4618,$A132,'Transaction Data'!$E$2:$E$4618,"CARD_PAYMENTS_TOTAL")</f>
        <v>5855.08</v>
      </c>
      <c r="F132" s="7">
        <f>SUMIFS('Transaction Data'!$K$2:$K$4618,'Transaction Data'!$A$2:$A$4618,$A132,'Transaction Data'!$E$2:$E$4618,"PPI_TOTAL")</f>
        <v>8359.24</v>
      </c>
      <c r="H132" s="6">
        <f>A132</f>
        <v>46054</v>
      </c>
      <c r="I132" s="7">
        <f>SUMIFS('Transaction Data'!$L$2:$L$4618,'Transaction Data'!$A$2:$A$4618,$H132,'Transaction Data'!$E$2:$E$4618,"RTGS_TOTAL")</f>
        <v>18859418.25</v>
      </c>
      <c r="J132" s="7">
        <f>SUMIFS('Transaction Data'!$L$2:$L$4618,'Transaction Data'!$A$2:$A$4618,$H132,'Transaction Data'!$E$2:$E$4618,"RETAIL_CREDIT_TRANSFERS_TOTAL")</f>
        <v>7793908.46</v>
      </c>
      <c r="K132" s="7">
        <f>SUMIFS('Transaction Data'!$L$2:$L$4618,'Transaction Data'!$A$2:$A$4618,$H132,'Transaction Data'!$E$2:$E$4618,"DEBIT_TRANSFERS_TOTAL")</f>
        <v>235001.1</v>
      </c>
      <c r="L132" s="7">
        <f>SUMIFS('Transaction Data'!$L$2:$L$4618,'Transaction Data'!$A$2:$A$4618,$H132,'Transaction Data'!$E$2:$E$4618,"CARD_PAYMENTS_TOTAL")</f>
        <v>210426.61</v>
      </c>
      <c r="M132" s="7">
        <f>SUMIFS('Transaction Data'!$L$2:$L$4618,'Transaction Data'!$A$2:$A$4618,$H132,'Transaction Data'!$E$2:$E$4618,"PPI_TOTAL")</f>
        <v>25969.03</v>
      </c>
      <c r="O132" s="6">
        <f>A132</f>
        <v>46054</v>
      </c>
      <c r="P132" s="9">
        <f>IFERROR(IF(SUM(B131:F131)=0,"",SUM(B132:F132)/SUM(B131:F131)-1),"")</f>
        <v>-6.3163116237966555E-2</v>
      </c>
    </row>
    <row r="133" spans="1:16">
      <c r="A133" s="6">
        <f>EDATE(A132,1)</f>
        <v>46082</v>
      </c>
      <c r="B133" s="7">
        <f>SUMIFS('Transaction Data'!$K$2:$K$4618,'Transaction Data'!$A$2:$A$4618,$A133,'Transaction Data'!$E$2:$E$4618,"RTGS_TOTAL")</f>
        <v>367.45</v>
      </c>
      <c r="C133" s="7">
        <f>SUMIFS('Transaction Data'!$K$2:$K$4618,'Transaction Data'!$A$2:$A$4618,$A133,'Transaction Data'!$E$2:$E$4618,"RETAIL_CREDIT_TRANSFERS_TOTAL")</f>
        <v>244356.27</v>
      </c>
      <c r="D133" s="7">
        <f>SUMIFS('Transaction Data'!$K$2:$K$4618,'Transaction Data'!$A$2:$A$4618,$A133,'Transaction Data'!$E$2:$E$4618,"DEBIT_TRANSFERS_TOTAL")</f>
        <v>2075.65</v>
      </c>
      <c r="E133" s="7">
        <f>SUMIFS('Transaction Data'!$K$2:$K$4618,'Transaction Data'!$A$2:$A$4618,$A133,'Transaction Data'!$E$2:$E$4618,"CARD_PAYMENTS_TOTAL")</f>
        <v>6787.94</v>
      </c>
      <c r="F133" s="7">
        <f>SUMIFS('Transaction Data'!$K$2:$K$4618,'Transaction Data'!$A$2:$A$4618,$A133,'Transaction Data'!$E$2:$E$4618,"PPI_TOTAL")</f>
        <v>8749.6299999999992</v>
      </c>
      <c r="H133" s="6">
        <f>A133</f>
        <v>46082</v>
      </c>
      <c r="I133" s="7">
        <f>SUMIFS('Transaction Data'!$L$2:$L$4618,'Transaction Data'!$A$2:$A$4618,$H133,'Transaction Data'!$E$2:$E$4618,"RTGS_TOTAL")</f>
        <v>23758758.899999999</v>
      </c>
      <c r="J133" s="7">
        <f>SUMIFS('Transaction Data'!$L$2:$L$4618,'Transaction Data'!$A$2:$A$4618,$H133,'Transaction Data'!$E$2:$E$4618,"RETAIL_CREDIT_TRANSFERS_TOTAL")</f>
        <v>9619672.7799999993</v>
      </c>
      <c r="K133" s="7">
        <f>SUMIFS('Transaction Data'!$L$2:$L$4618,'Transaction Data'!$A$2:$A$4618,$H133,'Transaction Data'!$E$2:$E$4618,"DEBIT_TRANSFERS_TOTAL")</f>
        <v>257724.32</v>
      </c>
      <c r="L133" s="7">
        <f>SUMIFS('Transaction Data'!$L$2:$L$4618,'Transaction Data'!$A$2:$A$4618,$H133,'Transaction Data'!$E$2:$E$4618,"CARD_PAYMENTS_TOTAL")</f>
        <v>257443.08</v>
      </c>
      <c r="M133" s="7">
        <f>SUMIFS('Transaction Data'!$L$2:$L$4618,'Transaction Data'!$A$2:$A$4618,$H133,'Transaction Data'!$E$2:$E$4618,"PPI_TOTAL")</f>
        <v>28562.52</v>
      </c>
      <c r="O133" s="6">
        <f>A133</f>
        <v>46082</v>
      </c>
      <c r="P133" s="9">
        <f>IFERROR(IF(SUM(B132:F132)=0,"",SUM(B133:F133)/SUM(B132:F132)-1),"")</f>
        <v>0.11274455618772361</v>
      </c>
    </row>
    <row r="134" spans="1:16">
      <c r="A134" s="6">
        <f>EDATE(A133,1)</f>
        <v>46113</v>
      </c>
      <c r="B134" s="7">
        <f>SUMIFS('Transaction Data'!$K$2:$K$4618,'Transaction Data'!$A$2:$A$4618,$A134,'Transaction Data'!$E$2:$E$4618,"RTGS_TOTAL")</f>
        <v>315.56</v>
      </c>
      <c r="C134" s="7">
        <f>SUMIFS('Transaction Data'!$K$2:$K$4618,'Transaction Data'!$A$2:$A$4618,$A134,'Transaction Data'!$E$2:$E$4618,"RETAIL_CREDIT_TRANSFERS_TOTAL")</f>
        <v>238826.91</v>
      </c>
      <c r="D134" s="7">
        <f>SUMIFS('Transaction Data'!$K$2:$K$4618,'Transaction Data'!$A$2:$A$4618,$A134,'Transaction Data'!$E$2:$E$4618,"DEBIT_TRANSFERS_TOTAL")</f>
        <v>2031.08</v>
      </c>
      <c r="E134" s="7">
        <f>SUMIFS('Transaction Data'!$K$2:$K$4618,'Transaction Data'!$A$2:$A$4618,$A134,'Transaction Data'!$E$2:$E$4618,"CARD_PAYMENTS_TOTAL")</f>
        <v>6570.42</v>
      </c>
      <c r="F134" s="7">
        <f>SUMIFS('Transaction Data'!$K$2:$K$4618,'Transaction Data'!$A$2:$A$4618,$A134,'Transaction Data'!$E$2:$E$4618,"PPI_TOTAL")</f>
        <v>8573.06</v>
      </c>
      <c r="H134" s="6">
        <f>A134</f>
        <v>46113</v>
      </c>
      <c r="I134" s="7">
        <f>SUMIFS('Transaction Data'!$L$2:$L$4618,'Transaction Data'!$A$2:$A$4618,$H134,'Transaction Data'!$E$2:$E$4618,"RTGS_TOTAL")</f>
        <v>19248589.559999999</v>
      </c>
      <c r="J134" s="7">
        <f>SUMIFS('Transaction Data'!$L$2:$L$4618,'Transaction Data'!$A$2:$A$4618,$H134,'Transaction Data'!$E$2:$E$4618,"RETAIL_CREDIT_TRANSFERS_TOTAL")</f>
        <v>8240532.9299999997</v>
      </c>
      <c r="K134" s="7">
        <f>SUMIFS('Transaction Data'!$L$2:$L$4618,'Transaction Data'!$A$2:$A$4618,$H134,'Transaction Data'!$E$2:$E$4618,"DEBIT_TRANSFERS_TOTAL")</f>
        <v>241715.16</v>
      </c>
      <c r="L134" s="7">
        <f>SUMIFS('Transaction Data'!$L$2:$L$4618,'Transaction Data'!$A$2:$A$4618,$H134,'Transaction Data'!$E$2:$E$4618,"CARD_PAYMENTS_TOTAL")</f>
        <v>234176.51</v>
      </c>
      <c r="M134" s="7">
        <f>SUMIFS('Transaction Data'!$L$2:$L$4618,'Transaction Data'!$A$2:$A$4618,$H134,'Transaction Data'!$E$2:$E$4618,"PPI_TOTAL")</f>
        <v>28124.58</v>
      </c>
      <c r="O134" s="6">
        <f>A134</f>
        <v>46113</v>
      </c>
      <c r="P134" s="9">
        <f>IFERROR(IF(SUM(B133:F133)=0,"",SUM(B134:F134)/SUM(B133:F133)-1),"")</f>
        <v>-2.2947244867611905E-2</v>
      </c>
    </row>
    <row r="135" spans="1:16">
      <c r="A135" s="6">
        <f>EDATE(A134,1)</f>
        <v>46143</v>
      </c>
      <c r="B135" s="7">
        <f>SUMIFS('Transaction Data'!$K$2:$K$4618,'Transaction Data'!$A$2:$A$4618,$A135,'Transaction Data'!$E$2:$E$4618,"RTGS_TOTAL")</f>
        <v>315.38</v>
      </c>
      <c r="C135" s="7">
        <f>SUMIFS('Transaction Data'!$K$2:$K$4618,'Transaction Data'!$A$2:$A$4618,$A135,'Transaction Data'!$E$2:$E$4618,"RETAIL_CREDIT_TRANSFERS_TOTAL")</f>
        <v>246885.68</v>
      </c>
      <c r="D135" s="7">
        <f>SUMIFS('Transaction Data'!$K$2:$K$4618,'Transaction Data'!$A$2:$A$4618,$A135,'Transaction Data'!$E$2:$E$4618,"DEBIT_TRANSFERS_TOTAL")</f>
        <v>2087.7399999999998</v>
      </c>
      <c r="E135" s="7">
        <f>SUMIFS('Transaction Data'!$K$2:$K$4618,'Transaction Data'!$A$2:$A$4618,$A135,'Transaction Data'!$E$2:$E$4618,"CARD_PAYMENTS_TOTAL")</f>
        <v>6953.63</v>
      </c>
      <c r="F135" s="7">
        <f>SUMIFS('Transaction Data'!$K$2:$K$4618,'Transaction Data'!$A$2:$A$4618,$A135,'Transaction Data'!$E$2:$E$4618,"PPI_TOTAL")</f>
        <v>9022.57</v>
      </c>
      <c r="H135" s="6">
        <f>A135</f>
        <v>46143</v>
      </c>
      <c r="I135" s="7">
        <f>SUMIFS('Transaction Data'!$L$2:$L$4618,'Transaction Data'!$A$2:$A$4618,$H135,'Transaction Data'!$E$2:$E$4618,"RTGS_TOTAL")</f>
        <v>18618676.239999998</v>
      </c>
      <c r="J135" s="7">
        <f>SUMIFS('Transaction Data'!$L$2:$L$4618,'Transaction Data'!$A$2:$A$4618,$H135,'Transaction Data'!$E$2:$E$4618,"RETAIL_CREDIT_TRANSFERS_TOTAL")</f>
        <v>8135516.25</v>
      </c>
      <c r="K135" s="7">
        <f>SUMIFS('Transaction Data'!$L$2:$L$4618,'Transaction Data'!$A$2:$A$4618,$H135,'Transaction Data'!$E$2:$E$4618,"DEBIT_TRANSFERS_TOTAL")</f>
        <v>247007.13</v>
      </c>
      <c r="L135" s="7">
        <f>SUMIFS('Transaction Data'!$L$2:$L$4618,'Transaction Data'!$A$2:$A$4618,$H135,'Transaction Data'!$E$2:$E$4618,"CARD_PAYMENTS_TOTAL")</f>
        <v>238162.51</v>
      </c>
      <c r="M135" s="7">
        <f>SUMIFS('Transaction Data'!$L$2:$L$4618,'Transaction Data'!$A$2:$A$4618,$H135,'Transaction Data'!$E$2:$E$4618,"PPI_TOTAL")</f>
        <v>29442.73</v>
      </c>
      <c r="O135" s="6">
        <f>A135</f>
        <v>46143</v>
      </c>
      <c r="P135" s="9">
        <f>IFERROR(IF(SUM(B134:F134)=0,"",SUM(B135:F135)/SUM(B134:F134)-1),"")</f>
        <v>3.4909775600942217E-2</v>
      </c>
    </row>
    <row r="136" spans="1:16">
      <c r="A136" s="6">
        <f>EDATE(A135,1)</f>
        <v>46174</v>
      </c>
      <c r="B136" s="7">
        <f>SUMIFS('Transaction Data'!$K$2:$K$4618,'Transaction Data'!$A$2:$A$4618,$A136,'Transaction Data'!$E$2:$E$4618,"RTGS_TOTAL")</f>
        <v>319.29000000000002</v>
      </c>
      <c r="C136" s="7">
        <f>SUMIFS('Transaction Data'!$K$2:$K$4618,'Transaction Data'!$A$2:$A$4618,$A136,'Transaction Data'!$E$2:$E$4618,"RETAIL_CREDIT_TRANSFERS_TOTAL")</f>
        <v>243626.31</v>
      </c>
      <c r="D136" s="7">
        <f>SUMIFS('Transaction Data'!$K$2:$K$4618,'Transaction Data'!$A$2:$A$4618,$A136,'Transaction Data'!$E$2:$E$4618,"DEBIT_TRANSFERS_TOTAL")</f>
        <v>2094.13</v>
      </c>
      <c r="E136" s="7">
        <f>SUMIFS('Transaction Data'!$K$2:$K$4618,'Transaction Data'!$A$2:$A$4618,$A136,'Transaction Data'!$E$2:$E$4618,"CARD_PAYMENTS_TOTAL")</f>
        <v>6783.52</v>
      </c>
      <c r="F136" s="7">
        <f>SUMIFS('Transaction Data'!$K$2:$K$4618,'Transaction Data'!$A$2:$A$4618,$A136,'Transaction Data'!$E$2:$E$4618,"PPI_TOTAL")</f>
        <v>8887.7900000000009</v>
      </c>
      <c r="H136" s="6">
        <f>A136</f>
        <v>46174</v>
      </c>
      <c r="I136" s="7">
        <f>SUMIFS('Transaction Data'!$L$2:$L$4618,'Transaction Data'!$A$2:$A$4618,$H136,'Transaction Data'!$E$2:$E$4618,"RTGS_TOTAL")</f>
        <v>22984139.710000001</v>
      </c>
      <c r="J136" s="7">
        <f>SUMIFS('Transaction Data'!$L$2:$L$4618,'Transaction Data'!$A$2:$A$4618,$H136,'Transaction Data'!$E$2:$E$4618,"RETAIL_CREDIT_TRANSFERS_TOTAL")</f>
        <v>8255460.4500000002</v>
      </c>
      <c r="K136" s="7">
        <f>SUMIFS('Transaction Data'!$L$2:$L$4618,'Transaction Data'!$A$2:$A$4618,$H136,'Transaction Data'!$E$2:$E$4618,"DEBIT_TRANSFERS_TOTAL")</f>
        <v>260336.97</v>
      </c>
      <c r="L136" s="7">
        <f>SUMIFS('Transaction Data'!$L$2:$L$4618,'Transaction Data'!$A$2:$A$4618,$H136,'Transaction Data'!$E$2:$E$4618,"CARD_PAYMENTS_TOTAL")</f>
        <v>236660.24</v>
      </c>
      <c r="M136" s="7">
        <f>SUMIFS('Transaction Data'!$L$2:$L$4618,'Transaction Data'!$A$2:$A$4618,$H136,'Transaction Data'!$E$2:$E$4618,"PPI_TOTAL")</f>
        <v>27494.85</v>
      </c>
      <c r="O136" s="6">
        <f>A136</f>
        <v>46174</v>
      </c>
      <c r="P136" s="9">
        <f>IFERROR(IF(SUM(B135:F135)=0,"",SUM(B136:F136)/SUM(B135:F135)-1),"")</f>
        <v>-1.3397772039281497E-2</v>
      </c>
    </row>
    <row r="137" spans="1:16">
      <c r="A137" s="6">
        <f>EDATE(A136,1)</f>
        <v>46204</v>
      </c>
      <c r="B137" s="7">
        <f>SUMIFS('Transaction Data'!$K$2:$K$4618,'Transaction Data'!$A$2:$A$4618,$A137,'Transaction Data'!$E$2:$E$4618,"RTGS_TOTAL")</f>
        <v>333.1</v>
      </c>
      <c r="C137" s="7">
        <f>SUMIFS('Transaction Data'!$K$2:$K$4618,'Transaction Data'!$A$2:$A$4618,$A137,'Transaction Data'!$E$2:$E$4618,"RETAIL_CREDIT_TRANSFERS_TOTAL")</f>
        <v>253061.29</v>
      </c>
      <c r="D137" s="7">
        <f>SUMIFS('Transaction Data'!$K$2:$K$4618,'Transaction Data'!$A$2:$A$4618,$A137,'Transaction Data'!$E$2:$E$4618,"DEBIT_TRANSFERS_TOTAL")</f>
        <v>2100.5300000000002</v>
      </c>
      <c r="E137" s="7">
        <f>SUMIFS('Transaction Data'!$K$2:$K$4618,'Transaction Data'!$A$2:$A$4618,$A137,'Transaction Data'!$E$2:$E$4618,"CARD_PAYMENTS_TOTAL")</f>
        <v>7068.23</v>
      </c>
      <c r="F137" s="7">
        <f>SUMIFS('Transaction Data'!$K$2:$K$4618,'Transaction Data'!$A$2:$A$4618,$A137,'Transaction Data'!$E$2:$E$4618,"PPI_TOTAL")</f>
        <v>9253.65</v>
      </c>
      <c r="H137" s="6">
        <f>A137</f>
        <v>46204</v>
      </c>
      <c r="I137" s="7">
        <f>SUMIFS('Transaction Data'!$L$2:$L$4618,'Transaction Data'!$A$2:$A$4618,$H137,'Transaction Data'!$E$2:$E$4618,"RTGS_TOTAL")</f>
        <v>22307106.530000001</v>
      </c>
      <c r="J137" s="7">
        <f>SUMIFS('Transaction Data'!$L$2:$L$4618,'Transaction Data'!$A$2:$A$4618,$H137,'Transaction Data'!$E$2:$E$4618,"RETAIL_CREDIT_TRANSFERS_TOTAL")</f>
        <v>8592159.4600000009</v>
      </c>
      <c r="K137" s="7">
        <f>SUMIFS('Transaction Data'!$L$2:$L$4618,'Transaction Data'!$A$2:$A$4618,$H137,'Transaction Data'!$E$2:$E$4618,"DEBIT_TRANSFERS_TOTAL")</f>
        <v>262335.7</v>
      </c>
      <c r="L137" s="7">
        <f>SUMIFS('Transaction Data'!$L$2:$L$4618,'Transaction Data'!$A$2:$A$4618,$H137,'Transaction Data'!$E$2:$E$4618,"CARD_PAYMENTS_TOTAL")</f>
        <v>246118.16</v>
      </c>
      <c r="M137" s="7">
        <f>SUMIFS('Transaction Data'!$L$2:$L$4618,'Transaction Data'!$A$2:$A$4618,$H137,'Transaction Data'!$E$2:$E$4618,"PPI_TOTAL")</f>
        <v>28606.76</v>
      </c>
      <c r="O137" s="6">
        <f>A137</f>
        <v>46204</v>
      </c>
      <c r="P137" s="9">
        <f>IFERROR(IF(SUM(B136:F136)=0,"",SUM(B137:F137)/SUM(B136:F136)-1),"")</f>
        <v>3.8614190673805782E-2</v>
      </c>
    </row>
  </sheetData>
  <mergeCells count="7">
    <mergeCell ref="A8:P8"/>
    <mergeCell ref="A1:P1"/>
    <mergeCell ref="A2:P2"/>
    <mergeCell ref="A3:P3"/>
    <mergeCell ref="A5:P5"/>
    <mergeCell ref="A6:P6"/>
    <mergeCell ref="A7:P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DA12-9003-471D-BCCB-F3013FF68921}">
  <sheetPr>
    <tabColor rgb="FF1F4E78"/>
  </sheetPr>
  <dimension ref="A1:P141"/>
  <sheetViews>
    <sheetView showGridLines="0" topLeftCell="A54" zoomScale="46" workbookViewId="0">
      <selection activeCell="H69" sqref="H69"/>
    </sheetView>
  </sheetViews>
  <sheetFormatPr defaultRowHeight="14.5"/>
  <cols>
    <col min="1" max="1" width="15.36328125" customWidth="1"/>
    <col min="2" max="3" width="9.81640625" customWidth="1"/>
    <col min="4" max="4" width="16.6328125" customWidth="1"/>
    <col min="5" max="5" width="15.36328125" customWidth="1"/>
    <col min="6" max="6" width="14.1796875" customWidth="1"/>
    <col min="7" max="7" width="16.1796875" customWidth="1"/>
    <col min="8" max="8" width="17.6328125" customWidth="1"/>
    <col min="9" max="16" width="9.81640625" customWidth="1"/>
  </cols>
  <sheetData>
    <row r="1" spans="1:16" ht="28.5" thickBot="1">
      <c r="A1" s="11" t="s">
        <v>9313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5" thickTop="1">
      <c r="A2" s="12" t="s">
        <v>9309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ht="32" customHeight="1">
      <c r="A3" s="13" t="s">
        <v>9314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5" spans="1:16" ht="15" thickBot="1">
      <c r="A5" s="14" t="s">
        <v>9315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6" t="str">
        <f>"ATM network expanded from "&amp;TEXT(B61,"#,##0")&amp;" in Nov 2019 to "&amp;TEXT(B141,"#,##0")&amp;" in Jul 2026 (+"&amp;TEXT(B141/B61-1,"0.0%")&amp;")."</f>
        <v>ATM network expanded from 232,000 in Nov 2019 to 253,000 in Jul 2026 (+9.1%).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>
      <c r="A7" s="15" t="str">
        <f>"POS terminals increased from "&amp;TEXT(E61,"#,##0")&amp;" to "&amp;TEXT(E141,"#,##0")&amp;" (+"&amp;TEXT(E141/E61-1,"0.0%")&amp;") over the reporting period."</f>
        <v>POS terminals increased from 4,128,000 to 10,028,000 (+142.9%) over the reporting period.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7" t="str">
        <f>"Since tracking began in Sep 2020, UPI QR count grew from "&amp;TEXT(H71,"#,##0")&amp;" to "&amp;TEXT(H141,"#,##0")&amp;" (+"&amp;TEXT(H141/H71-1,"0.0%")&amp;")."</f>
        <v>Since tracking began in Sep 2020, UPI QR count grew from 60,407,000 to 803,048,000 (+1229.4%).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60" spans="1:8">
      <c r="A60" s="3" t="s">
        <v>9287</v>
      </c>
      <c r="B60" s="3" t="s">
        <v>9316</v>
      </c>
      <c r="C60" s="3"/>
      <c r="D60" s="3" t="s">
        <v>9287</v>
      </c>
      <c r="E60" s="3" t="s">
        <v>9317</v>
      </c>
      <c r="F60" s="3"/>
      <c r="G60" s="3" t="s">
        <v>9287</v>
      </c>
      <c r="H60" s="3" t="s">
        <v>9318</v>
      </c>
    </row>
    <row r="61" spans="1:8">
      <c r="A61" s="6">
        <f>MIN('Infrastructure Data'!$A$2:$A$1054)</f>
        <v>43770</v>
      </c>
      <c r="B61" s="10">
        <f>SUMIFS('Infrastructure Data'!$L$2:$L$1054,'Infrastructure Data'!$A$2:$A$1054,$A61,'Infrastructure Data'!$E$2:$E$1054,"ATMS_TOTAL_DEPLOYED",'Infrastructure Data'!$J$2:$J$1054,"Category_Total")</f>
        <v>232000</v>
      </c>
      <c r="D61" s="6">
        <f>A61</f>
        <v>43770</v>
      </c>
      <c r="E61" s="10">
        <f>SUMIFS('Infrastructure Data'!$L$2:$L$1054,'Infrastructure Data'!$A$2:$A$1054,$D61,'Infrastructure Data'!$E$2:$E$1054,"POS_TERMINALS_DEPLOYED")</f>
        <v>4128000</v>
      </c>
      <c r="G61" s="6">
        <f>A61</f>
        <v>43770</v>
      </c>
      <c r="H61" s="10" t="str">
        <f>IF($G61&lt;DATE(2020,9,1),"",SUMIFS('Infrastructure Data'!$L$2:$L$1054,'Infrastructure Data'!$A$2:$A$1054,$G61,'Infrastructure Data'!$E$2:$E$1054,"UPI_QR_STATIC_DEPLOYED"))</f>
        <v/>
      </c>
    </row>
    <row r="62" spans="1:8">
      <c r="A62" s="6">
        <f>EDATE(A61,1)</f>
        <v>43800</v>
      </c>
      <c r="B62" s="10">
        <f>SUMIFS('Infrastructure Data'!$L$2:$L$1054,'Infrastructure Data'!$A$2:$A$1054,$A62,'Infrastructure Data'!$E$2:$E$1054,"ATMS_TOTAL_DEPLOYED",'Infrastructure Data'!$J$2:$J$1054,"Category_Total")</f>
        <v>232000</v>
      </c>
      <c r="D62" s="6">
        <f>A62</f>
        <v>43800</v>
      </c>
      <c r="E62" s="10">
        <f>SUMIFS('Infrastructure Data'!$L$2:$L$1054,'Infrastructure Data'!$A$2:$A$1054,$D62,'Infrastructure Data'!$E$2:$E$1054,"POS_TERMINALS_DEPLOYED")</f>
        <v>4249000</v>
      </c>
      <c r="G62" s="6">
        <f>A62</f>
        <v>43800</v>
      </c>
      <c r="H62" s="10" t="str">
        <f>IF($G62&lt;DATE(2020,9,1),"",SUMIFS('Infrastructure Data'!$L$2:$L$1054,'Infrastructure Data'!$A$2:$A$1054,$G62,'Infrastructure Data'!$E$2:$E$1054,"UPI_QR_STATIC_DEPLOYED"))</f>
        <v/>
      </c>
    </row>
    <row r="63" spans="1:8">
      <c r="A63" s="6">
        <f>EDATE(A62,1)</f>
        <v>43831</v>
      </c>
      <c r="B63" s="10">
        <f>SUMIFS('Infrastructure Data'!$L$2:$L$1054,'Infrastructure Data'!$A$2:$A$1054,$A63,'Infrastructure Data'!$E$2:$E$1054,"ATMS_TOTAL_DEPLOYED",'Infrastructure Data'!$J$2:$J$1054,"Category_Total")</f>
        <v>233000</v>
      </c>
      <c r="D63" s="6">
        <f>A63</f>
        <v>43831</v>
      </c>
      <c r="E63" s="10">
        <f>SUMIFS('Infrastructure Data'!$L$2:$L$1054,'Infrastructure Data'!$A$2:$A$1054,$D63,'Infrastructure Data'!$E$2:$E$1054,"POS_TERMINALS_DEPLOYED")</f>
        <v>4292000</v>
      </c>
      <c r="G63" s="6">
        <f>A63</f>
        <v>43831</v>
      </c>
      <c r="H63" s="10" t="str">
        <f>IF($G63&lt;DATE(2020,9,1),"",SUMIFS('Infrastructure Data'!$L$2:$L$1054,'Infrastructure Data'!$A$2:$A$1054,$G63,'Infrastructure Data'!$E$2:$E$1054,"UPI_QR_STATIC_DEPLOYED"))</f>
        <v/>
      </c>
    </row>
    <row r="64" spans="1:8">
      <c r="A64" s="6">
        <f>EDATE(A63,1)</f>
        <v>43862</v>
      </c>
      <c r="B64" s="10">
        <f>SUMIFS('Infrastructure Data'!$L$2:$L$1054,'Infrastructure Data'!$A$2:$A$1054,$A64,'Infrastructure Data'!$E$2:$E$1054,"ATMS_TOTAL_DEPLOYED",'Infrastructure Data'!$J$2:$J$1054,"Category_Total")</f>
        <v>234000</v>
      </c>
      <c r="D64" s="6">
        <f>A64</f>
        <v>43862</v>
      </c>
      <c r="E64" s="10">
        <f>SUMIFS('Infrastructure Data'!$L$2:$L$1054,'Infrastructure Data'!$A$2:$A$1054,$D64,'Infrastructure Data'!$E$2:$E$1054,"POS_TERMINALS_DEPLOYED")</f>
        <v>4371000</v>
      </c>
      <c r="G64" s="6">
        <f>A64</f>
        <v>43862</v>
      </c>
      <c r="H64" s="10" t="str">
        <f>IF($G64&lt;DATE(2020,9,1),"",SUMIFS('Infrastructure Data'!$L$2:$L$1054,'Infrastructure Data'!$A$2:$A$1054,$G64,'Infrastructure Data'!$E$2:$E$1054,"UPI_QR_STATIC_DEPLOYED"))</f>
        <v/>
      </c>
    </row>
    <row r="65" spans="1:8">
      <c r="A65" s="6">
        <f>EDATE(A64,1)</f>
        <v>43891</v>
      </c>
      <c r="B65" s="10">
        <f>SUMIFS('Infrastructure Data'!$L$2:$L$1054,'Infrastructure Data'!$A$2:$A$1054,$A65,'Infrastructure Data'!$E$2:$E$1054,"ATMS_TOTAL_DEPLOYED",'Infrastructure Data'!$J$2:$J$1054,"Category_Total")</f>
        <v>234000</v>
      </c>
      <c r="D65" s="6">
        <f>A65</f>
        <v>43891</v>
      </c>
      <c r="E65" s="10">
        <f>SUMIFS('Infrastructure Data'!$L$2:$L$1054,'Infrastructure Data'!$A$2:$A$1054,$D65,'Infrastructure Data'!$E$2:$E$1054,"POS_TERMINALS_DEPLOYED")</f>
        <v>4434000</v>
      </c>
      <c r="G65" s="6">
        <f>A65</f>
        <v>43891</v>
      </c>
      <c r="H65" s="10" t="str">
        <f>IF($G65&lt;DATE(2020,9,1),"",SUMIFS('Infrastructure Data'!$L$2:$L$1054,'Infrastructure Data'!$A$2:$A$1054,$G65,'Infrastructure Data'!$E$2:$E$1054,"UPI_QR_STATIC_DEPLOYED"))</f>
        <v/>
      </c>
    </row>
    <row r="66" spans="1:8">
      <c r="A66" s="6">
        <f>EDATE(A65,1)</f>
        <v>43922</v>
      </c>
      <c r="B66" s="10">
        <f>SUMIFS('Infrastructure Data'!$L$2:$L$1054,'Infrastructure Data'!$A$2:$A$1054,$A66,'Infrastructure Data'!$E$2:$E$1054,"ATMS_TOTAL_DEPLOYED",'Infrastructure Data'!$J$2:$J$1054,"Category_Total")</f>
        <v>234000</v>
      </c>
      <c r="D66" s="6">
        <f>A66</f>
        <v>43922</v>
      </c>
      <c r="E66" s="10">
        <f>SUMIFS('Infrastructure Data'!$L$2:$L$1054,'Infrastructure Data'!$A$2:$A$1054,$D66,'Infrastructure Data'!$E$2:$E$1054,"POS_TERMINALS_DEPLOYED")</f>
        <v>4391000</v>
      </c>
      <c r="G66" s="6">
        <f>A66</f>
        <v>43922</v>
      </c>
      <c r="H66" s="10" t="str">
        <f>IF($G66&lt;DATE(2020,9,1),"",SUMIFS('Infrastructure Data'!$L$2:$L$1054,'Infrastructure Data'!$A$2:$A$1054,$G66,'Infrastructure Data'!$E$2:$E$1054,"UPI_QR_STATIC_DEPLOYED"))</f>
        <v/>
      </c>
    </row>
    <row r="67" spans="1:8">
      <c r="A67" s="6">
        <f>EDATE(A66,1)</f>
        <v>43952</v>
      </c>
      <c r="B67" s="10">
        <f>SUMIFS('Infrastructure Data'!$L$2:$L$1054,'Infrastructure Data'!$A$2:$A$1054,$A67,'Infrastructure Data'!$E$2:$E$1054,"ATMS_TOTAL_DEPLOYED",'Infrastructure Data'!$J$2:$J$1054,"Category_Total")</f>
        <v>234000</v>
      </c>
      <c r="D67" s="6">
        <f>A67</f>
        <v>43952</v>
      </c>
      <c r="E67" s="10">
        <f>SUMIFS('Infrastructure Data'!$L$2:$L$1054,'Infrastructure Data'!$A$2:$A$1054,$D67,'Infrastructure Data'!$E$2:$E$1054,"POS_TERMINALS_DEPLOYED")</f>
        <v>4322000</v>
      </c>
      <c r="G67" s="6">
        <f>A67</f>
        <v>43952</v>
      </c>
      <c r="H67" s="10" t="str">
        <f>IF($G67&lt;DATE(2020,9,1),"",SUMIFS('Infrastructure Data'!$L$2:$L$1054,'Infrastructure Data'!$A$2:$A$1054,$G67,'Infrastructure Data'!$E$2:$E$1054,"UPI_QR_STATIC_DEPLOYED"))</f>
        <v/>
      </c>
    </row>
    <row r="68" spans="1:8">
      <c r="A68" s="6">
        <f>EDATE(A67,1)</f>
        <v>43983</v>
      </c>
      <c r="B68" s="10">
        <f>SUMIFS('Infrastructure Data'!$L$2:$L$1054,'Infrastructure Data'!$A$2:$A$1054,$A68,'Infrastructure Data'!$E$2:$E$1054,"ATMS_TOTAL_DEPLOYED",'Infrastructure Data'!$J$2:$J$1054,"Category_Total")</f>
        <v>234000</v>
      </c>
      <c r="D68" s="6">
        <f>A68</f>
        <v>43983</v>
      </c>
      <c r="E68" s="10">
        <f>SUMIFS('Infrastructure Data'!$L$2:$L$1054,'Infrastructure Data'!$A$2:$A$1054,$D68,'Infrastructure Data'!$E$2:$E$1054,"POS_TERMINALS_DEPLOYED")</f>
        <v>4326000</v>
      </c>
      <c r="G68" s="6">
        <f>A68</f>
        <v>43983</v>
      </c>
      <c r="H68" s="10" t="str">
        <f>IF($G68&lt;DATE(2020,9,1),"",SUMIFS('Infrastructure Data'!$L$2:$L$1054,'Infrastructure Data'!$A$2:$A$1054,$G68,'Infrastructure Data'!$E$2:$E$1054,"UPI_QR_STATIC_DEPLOYED"))</f>
        <v/>
      </c>
    </row>
    <row r="69" spans="1:8">
      <c r="A69" s="6">
        <f>EDATE(A68,1)</f>
        <v>44013</v>
      </c>
      <c r="B69" s="10">
        <f>SUMIFS('Infrastructure Data'!$L$2:$L$1054,'Infrastructure Data'!$A$2:$A$1054,$A69,'Infrastructure Data'!$E$2:$E$1054,"ATMS_TOTAL_DEPLOYED",'Infrastructure Data'!$J$2:$J$1054,"Category_Total")</f>
        <v>234000</v>
      </c>
      <c r="D69" s="6">
        <f>A69</f>
        <v>44013</v>
      </c>
      <c r="E69" s="10">
        <f>SUMIFS('Infrastructure Data'!$L$2:$L$1054,'Infrastructure Data'!$A$2:$A$1054,$D69,'Infrastructure Data'!$E$2:$E$1054,"POS_TERMINALS_DEPLOYED")</f>
        <v>4357000</v>
      </c>
      <c r="G69" s="6">
        <f>A69</f>
        <v>44013</v>
      </c>
      <c r="H69" s="10" t="str">
        <f>IF($G69&lt;DATE(2020,9,1),"",SUMIFS('Infrastructure Data'!$L$2:$L$1054,'Infrastructure Data'!$A$2:$A$1054,$G69,'Infrastructure Data'!$E$2:$E$1054,"UPI_QR_STATIC_DEPLOYED"))</f>
        <v/>
      </c>
    </row>
    <row r="70" spans="1:8">
      <c r="A70" s="6">
        <f>EDATE(A69,1)</f>
        <v>44044</v>
      </c>
      <c r="B70" s="10">
        <f>SUMIFS('Infrastructure Data'!$L$2:$L$1054,'Infrastructure Data'!$A$2:$A$1054,$A70,'Infrastructure Data'!$E$2:$E$1054,"ATMS_TOTAL_DEPLOYED",'Infrastructure Data'!$J$2:$J$1054,"Category_Total")</f>
        <v>233000</v>
      </c>
      <c r="D70" s="6">
        <f>A70</f>
        <v>44044</v>
      </c>
      <c r="E70" s="10">
        <f>SUMIFS('Infrastructure Data'!$L$2:$L$1054,'Infrastructure Data'!$A$2:$A$1054,$D70,'Infrastructure Data'!$E$2:$E$1054,"POS_TERMINALS_DEPLOYED")</f>
        <v>4355000</v>
      </c>
      <c r="G70" s="6">
        <f>A70</f>
        <v>44044</v>
      </c>
      <c r="H70" s="10" t="str">
        <f>IF($G70&lt;DATE(2020,9,1),"",SUMIFS('Infrastructure Data'!$L$2:$L$1054,'Infrastructure Data'!$A$2:$A$1054,$G70,'Infrastructure Data'!$E$2:$E$1054,"UPI_QR_STATIC_DEPLOYED"))</f>
        <v/>
      </c>
    </row>
    <row r="71" spans="1:8">
      <c r="A71" s="6">
        <f>EDATE(A70,1)</f>
        <v>44075</v>
      </c>
      <c r="B71" s="10">
        <f>SUMIFS('Infrastructure Data'!$L$2:$L$1054,'Infrastructure Data'!$A$2:$A$1054,$A71,'Infrastructure Data'!$E$2:$E$1054,"ATMS_TOTAL_DEPLOYED",'Infrastructure Data'!$J$2:$J$1054,"Category_Total")</f>
        <v>234000</v>
      </c>
      <c r="D71" s="6">
        <f>A71</f>
        <v>44075</v>
      </c>
      <c r="E71" s="10">
        <f>SUMIFS('Infrastructure Data'!$L$2:$L$1054,'Infrastructure Data'!$A$2:$A$1054,$D71,'Infrastructure Data'!$E$2:$E$1054,"POS_TERMINALS_DEPLOYED")</f>
        <v>4423000</v>
      </c>
      <c r="G71" s="6">
        <f>A71</f>
        <v>44075</v>
      </c>
      <c r="H71" s="10">
        <f>IF($G71&lt;DATE(2020,9,1),"",SUMIFS('Infrastructure Data'!$L$2:$L$1054,'Infrastructure Data'!$A$2:$A$1054,$G71,'Infrastructure Data'!$E$2:$E$1054,"UPI_QR_STATIC_DEPLOYED"))</f>
        <v>60407000</v>
      </c>
    </row>
    <row r="72" spans="1:8">
      <c r="A72" s="6">
        <f>EDATE(A71,1)</f>
        <v>44105</v>
      </c>
      <c r="B72" s="10">
        <f>SUMIFS('Infrastructure Data'!$L$2:$L$1054,'Infrastructure Data'!$A$2:$A$1054,$A72,'Infrastructure Data'!$E$2:$E$1054,"ATMS_TOTAL_DEPLOYED",'Infrastructure Data'!$J$2:$J$1054,"Category_Total")</f>
        <v>234000</v>
      </c>
      <c r="D72" s="6">
        <f>A72</f>
        <v>44105</v>
      </c>
      <c r="E72" s="10">
        <f>SUMIFS('Infrastructure Data'!$L$2:$L$1054,'Infrastructure Data'!$A$2:$A$1054,$D72,'Infrastructure Data'!$E$2:$E$1054,"POS_TERMINALS_DEPLOYED")</f>
        <v>4581000</v>
      </c>
      <c r="G72" s="6">
        <f>A72</f>
        <v>44105</v>
      </c>
      <c r="H72" s="10">
        <f>IF($G72&lt;DATE(2020,9,1),"",SUMIFS('Infrastructure Data'!$L$2:$L$1054,'Infrastructure Data'!$A$2:$A$1054,$G72,'Infrastructure Data'!$E$2:$E$1054,"UPI_QR_STATIC_DEPLOYED"))</f>
        <v>65745000</v>
      </c>
    </row>
    <row r="73" spans="1:8">
      <c r="A73" s="6">
        <f>EDATE(A72,1)</f>
        <v>44136</v>
      </c>
      <c r="B73" s="10">
        <f>SUMIFS('Infrastructure Data'!$L$2:$L$1054,'Infrastructure Data'!$A$2:$A$1054,$A73,'Infrastructure Data'!$E$2:$E$1054,"ATMS_TOTAL_DEPLOYED",'Infrastructure Data'!$J$2:$J$1054,"Category_Total")</f>
        <v>234000</v>
      </c>
      <c r="D73" s="6">
        <f>A73</f>
        <v>44136</v>
      </c>
      <c r="E73" s="10">
        <f>SUMIFS('Infrastructure Data'!$L$2:$L$1054,'Infrastructure Data'!$A$2:$A$1054,$D73,'Infrastructure Data'!$E$2:$E$1054,"POS_TERMINALS_DEPLOYED")</f>
        <v>4577000</v>
      </c>
      <c r="G73" s="6">
        <f>A73</f>
        <v>44136</v>
      </c>
      <c r="H73" s="10">
        <f>IF($G73&lt;DATE(2020,9,1),"",SUMIFS('Infrastructure Data'!$L$2:$L$1054,'Infrastructure Data'!$A$2:$A$1054,$G73,'Infrastructure Data'!$E$2:$E$1054,"UPI_QR_STATIC_DEPLOYED"))</f>
        <v>69782000</v>
      </c>
    </row>
    <row r="74" spans="1:8">
      <c r="A74" s="6">
        <f>EDATE(A73,1)</f>
        <v>44166</v>
      </c>
      <c r="B74" s="10">
        <f>SUMIFS('Infrastructure Data'!$L$2:$L$1054,'Infrastructure Data'!$A$2:$A$1054,$A74,'Infrastructure Data'!$E$2:$E$1054,"ATMS_TOTAL_DEPLOYED",'Infrastructure Data'!$J$2:$J$1054,"Category_Total")</f>
        <v>233000</v>
      </c>
      <c r="D74" s="6">
        <f>A74</f>
        <v>44166</v>
      </c>
      <c r="E74" s="10">
        <f>SUMIFS('Infrastructure Data'!$L$2:$L$1054,'Infrastructure Data'!$A$2:$A$1054,$D74,'Infrastructure Data'!$E$2:$E$1054,"POS_TERMINALS_DEPLOYED")</f>
        <v>4585000</v>
      </c>
      <c r="G74" s="6">
        <f>A74</f>
        <v>44166</v>
      </c>
      <c r="H74" s="10">
        <f>IF($G74&lt;DATE(2020,9,1),"",SUMIFS('Infrastructure Data'!$L$2:$L$1054,'Infrastructure Data'!$A$2:$A$1054,$G74,'Infrastructure Data'!$E$2:$E$1054,"UPI_QR_STATIC_DEPLOYED"))</f>
        <v>75231000</v>
      </c>
    </row>
    <row r="75" spans="1:8">
      <c r="A75" s="6">
        <f>EDATE(A74,1)</f>
        <v>44197</v>
      </c>
      <c r="B75" s="10">
        <f>SUMIFS('Infrastructure Data'!$L$2:$L$1054,'Infrastructure Data'!$A$2:$A$1054,$A75,'Infrastructure Data'!$E$2:$E$1054,"ATMS_TOTAL_DEPLOYED",'Infrastructure Data'!$J$2:$J$1054,"Category_Total")</f>
        <v>234000</v>
      </c>
      <c r="D75" s="6">
        <f>A75</f>
        <v>44197</v>
      </c>
      <c r="E75" s="10">
        <f>SUMIFS('Infrastructure Data'!$L$2:$L$1054,'Infrastructure Data'!$A$2:$A$1054,$D75,'Infrastructure Data'!$E$2:$E$1054,"POS_TERMINALS_DEPLOYED")</f>
        <v>4655000</v>
      </c>
      <c r="G75" s="6">
        <f>A75</f>
        <v>44197</v>
      </c>
      <c r="H75" s="10">
        <f>IF($G75&lt;DATE(2020,9,1),"",SUMIFS('Infrastructure Data'!$L$2:$L$1054,'Infrastructure Data'!$A$2:$A$1054,$G75,'Infrastructure Data'!$E$2:$E$1054,"UPI_QR_STATIC_DEPLOYED"))</f>
        <v>80589000</v>
      </c>
    </row>
    <row r="76" spans="1:8">
      <c r="A76" s="6">
        <f>EDATE(A75,1)</f>
        <v>44228</v>
      </c>
      <c r="B76" s="10">
        <f>SUMIFS('Infrastructure Data'!$L$2:$L$1054,'Infrastructure Data'!$A$2:$A$1054,$A76,'Infrastructure Data'!$E$2:$E$1054,"ATMS_TOTAL_DEPLOYED",'Infrastructure Data'!$J$2:$J$1054,"Category_Total")</f>
        <v>235000</v>
      </c>
      <c r="D76" s="6">
        <f>A76</f>
        <v>44228</v>
      </c>
      <c r="E76" s="10">
        <f>SUMIFS('Infrastructure Data'!$L$2:$L$1054,'Infrastructure Data'!$A$2:$A$1054,$D76,'Infrastructure Data'!$E$2:$E$1054,"POS_TERMINALS_DEPLOYED")</f>
        <v>4715000</v>
      </c>
      <c r="G76" s="6">
        <f>A76</f>
        <v>44228</v>
      </c>
      <c r="H76" s="10">
        <f>IF($G76&lt;DATE(2020,9,1),"",SUMIFS('Infrastructure Data'!$L$2:$L$1054,'Infrastructure Data'!$A$2:$A$1054,$G76,'Infrastructure Data'!$E$2:$E$1054,"UPI_QR_STATIC_DEPLOYED"))</f>
        <v>87586000</v>
      </c>
    </row>
    <row r="77" spans="1:8">
      <c r="A77" s="6">
        <f>EDATE(A76,1)</f>
        <v>44256</v>
      </c>
      <c r="B77" s="10">
        <f>SUMIFS('Infrastructure Data'!$L$2:$L$1054,'Infrastructure Data'!$A$2:$A$1054,$A77,'Infrastructure Data'!$E$2:$E$1054,"ATMS_TOTAL_DEPLOYED",'Infrastructure Data'!$J$2:$J$1054,"Category_Total")</f>
        <v>239000</v>
      </c>
      <c r="D77" s="6">
        <f>A77</f>
        <v>44256</v>
      </c>
      <c r="E77" s="10">
        <f>SUMIFS('Infrastructure Data'!$L$2:$L$1054,'Infrastructure Data'!$A$2:$A$1054,$D77,'Infrastructure Data'!$E$2:$E$1054,"POS_TERMINALS_DEPLOYED")</f>
        <v>4720000</v>
      </c>
      <c r="G77" s="6">
        <f>A77</f>
        <v>44256</v>
      </c>
      <c r="H77" s="10">
        <f>IF($G77&lt;DATE(2020,9,1),"",SUMIFS('Infrastructure Data'!$L$2:$L$1054,'Infrastructure Data'!$A$2:$A$1054,$G77,'Infrastructure Data'!$E$2:$E$1054,"UPI_QR_STATIC_DEPLOYED"))</f>
        <v>92522000</v>
      </c>
    </row>
    <row r="78" spans="1:8">
      <c r="A78" s="6">
        <f>EDATE(A77,1)</f>
        <v>44287</v>
      </c>
      <c r="B78" s="10">
        <f>SUMIFS('Infrastructure Data'!$L$2:$L$1054,'Infrastructure Data'!$A$2:$A$1054,$A78,'Infrastructure Data'!$E$2:$E$1054,"ATMS_TOTAL_DEPLOYED",'Infrastructure Data'!$J$2:$J$1054,"Category_Total")</f>
        <v>240000</v>
      </c>
      <c r="D78" s="6">
        <f>A78</f>
        <v>44287</v>
      </c>
      <c r="E78" s="10">
        <f>SUMIFS('Infrastructure Data'!$L$2:$L$1054,'Infrastructure Data'!$A$2:$A$1054,$D78,'Infrastructure Data'!$E$2:$E$1054,"POS_TERMINALS_DEPLOYED")</f>
        <v>4525000</v>
      </c>
      <c r="G78" s="6">
        <f>A78</f>
        <v>44287</v>
      </c>
      <c r="H78" s="10">
        <f>IF($G78&lt;DATE(2020,9,1),"",SUMIFS('Infrastructure Data'!$L$2:$L$1054,'Infrastructure Data'!$A$2:$A$1054,$G78,'Infrastructure Data'!$E$2:$E$1054,"UPI_QR_STATIC_DEPLOYED"))</f>
        <v>97819000</v>
      </c>
    </row>
    <row r="79" spans="1:8">
      <c r="A79" s="6">
        <f>EDATE(A78,1)</f>
        <v>44317</v>
      </c>
      <c r="B79" s="10">
        <f>SUMIFS('Infrastructure Data'!$L$2:$L$1054,'Infrastructure Data'!$A$2:$A$1054,$A79,'Infrastructure Data'!$E$2:$E$1054,"ATMS_TOTAL_DEPLOYED",'Infrastructure Data'!$J$2:$J$1054,"Category_Total")</f>
        <v>240000</v>
      </c>
      <c r="D79" s="6">
        <f>A79</f>
        <v>44317</v>
      </c>
      <c r="E79" s="10">
        <f>SUMIFS('Infrastructure Data'!$L$2:$L$1054,'Infrastructure Data'!$A$2:$A$1054,$D79,'Infrastructure Data'!$E$2:$E$1054,"POS_TERMINALS_DEPLOYED")</f>
        <v>4520000</v>
      </c>
      <c r="G79" s="6">
        <f>A79</f>
        <v>44317</v>
      </c>
      <c r="H79" s="10">
        <f>IF($G79&lt;DATE(2020,9,1),"",SUMIFS('Infrastructure Data'!$L$2:$L$1054,'Infrastructure Data'!$A$2:$A$1054,$G79,'Infrastructure Data'!$E$2:$E$1054,"UPI_QR_STATIC_DEPLOYED"))</f>
        <v>99022000</v>
      </c>
    </row>
    <row r="80" spans="1:8">
      <c r="A80" s="6">
        <f>EDATE(A79,1)</f>
        <v>44348</v>
      </c>
      <c r="B80" s="10">
        <f>SUMIFS('Infrastructure Data'!$L$2:$L$1054,'Infrastructure Data'!$A$2:$A$1054,$A80,'Infrastructure Data'!$E$2:$E$1054,"ATMS_TOTAL_DEPLOYED",'Infrastructure Data'!$J$2:$J$1054,"Category_Total")</f>
        <v>240000</v>
      </c>
      <c r="D80" s="6">
        <f>A80</f>
        <v>44348</v>
      </c>
      <c r="E80" s="10">
        <f>SUMIFS('Infrastructure Data'!$L$2:$L$1054,'Infrastructure Data'!$A$2:$A$1054,$D80,'Infrastructure Data'!$E$2:$E$1054,"POS_TERMINALS_DEPLOYED")</f>
        <v>4593000</v>
      </c>
      <c r="G80" s="6">
        <f>A80</f>
        <v>44348</v>
      </c>
      <c r="H80" s="10">
        <f>IF($G80&lt;DATE(2020,9,1),"",SUMIFS('Infrastructure Data'!$L$2:$L$1054,'Infrastructure Data'!$A$2:$A$1054,$G80,'Infrastructure Data'!$E$2:$E$1054,"UPI_QR_STATIC_DEPLOYED"))</f>
        <v>102676000</v>
      </c>
    </row>
    <row r="81" spans="1:8">
      <c r="A81" s="6">
        <f>EDATE(A80,1)</f>
        <v>44378</v>
      </c>
      <c r="B81" s="10">
        <f>SUMIFS('Infrastructure Data'!$L$2:$L$1054,'Infrastructure Data'!$A$2:$A$1054,$A81,'Infrastructure Data'!$E$2:$E$1054,"ATMS_TOTAL_DEPLOYED",'Infrastructure Data'!$J$2:$J$1054,"Category_Total")</f>
        <v>240000</v>
      </c>
      <c r="D81" s="6">
        <f>A81</f>
        <v>44378</v>
      </c>
      <c r="E81" s="10">
        <f>SUMIFS('Infrastructure Data'!$L$2:$L$1054,'Infrastructure Data'!$A$2:$A$1054,$D81,'Infrastructure Data'!$E$2:$E$1054,"POS_TERMINALS_DEPLOYED")</f>
        <v>4608000</v>
      </c>
      <c r="G81" s="6">
        <f>A81</f>
        <v>44378</v>
      </c>
      <c r="H81" s="10">
        <f>IF($G81&lt;DATE(2020,9,1),"",SUMIFS('Infrastructure Data'!$L$2:$L$1054,'Infrastructure Data'!$A$2:$A$1054,$G81,'Infrastructure Data'!$E$2:$E$1054,"UPI_QR_STATIC_DEPLOYED"))</f>
        <v>107880000</v>
      </c>
    </row>
    <row r="82" spans="1:8">
      <c r="A82" s="6">
        <f>EDATE(A81,1)</f>
        <v>44409</v>
      </c>
      <c r="B82" s="10">
        <f>SUMIFS('Infrastructure Data'!$L$2:$L$1054,'Infrastructure Data'!$A$2:$A$1054,$A82,'Infrastructure Data'!$E$2:$E$1054,"ATMS_TOTAL_DEPLOYED",'Infrastructure Data'!$J$2:$J$1054,"Category_Total")</f>
        <v>241000</v>
      </c>
      <c r="D82" s="6">
        <f>A82</f>
        <v>44409</v>
      </c>
      <c r="E82" s="10">
        <f>SUMIFS('Infrastructure Data'!$L$2:$L$1054,'Infrastructure Data'!$A$2:$A$1054,$D82,'Infrastructure Data'!$E$2:$E$1054,"POS_TERMINALS_DEPLOYED")</f>
        <v>4816000</v>
      </c>
      <c r="G82" s="6">
        <f>A82</f>
        <v>44409</v>
      </c>
      <c r="H82" s="10">
        <f>IF($G82&lt;DATE(2020,9,1),"",SUMIFS('Infrastructure Data'!$L$2:$L$1054,'Infrastructure Data'!$A$2:$A$1054,$G82,'Infrastructure Data'!$E$2:$E$1054,"UPI_QR_STATIC_DEPLOYED"))</f>
        <v>114206000</v>
      </c>
    </row>
    <row r="83" spans="1:8">
      <c r="A83" s="6">
        <f>EDATE(A82,1)</f>
        <v>44440</v>
      </c>
      <c r="B83" s="10">
        <f>SUMIFS('Infrastructure Data'!$L$2:$L$1054,'Infrastructure Data'!$A$2:$A$1054,$A83,'Infrastructure Data'!$E$2:$E$1054,"ATMS_TOTAL_DEPLOYED",'Infrastructure Data'!$J$2:$J$1054,"Category_Total")</f>
        <v>241000</v>
      </c>
      <c r="D83" s="6">
        <f>A83</f>
        <v>44440</v>
      </c>
      <c r="E83" s="10">
        <f>SUMIFS('Infrastructure Data'!$L$2:$L$1054,'Infrastructure Data'!$A$2:$A$1054,$D83,'Infrastructure Data'!$E$2:$E$1054,"POS_TERMINALS_DEPLOYED")</f>
        <v>4977000</v>
      </c>
      <c r="G83" s="6">
        <f>A83</f>
        <v>44440</v>
      </c>
      <c r="H83" s="10">
        <f>IF($G83&lt;DATE(2020,9,1),"",SUMIFS('Infrastructure Data'!$L$2:$L$1054,'Infrastructure Data'!$A$2:$A$1054,$G83,'Infrastructure Data'!$E$2:$E$1054,"UPI_QR_STATIC_DEPLOYED"))</f>
        <v>120519000</v>
      </c>
    </row>
    <row r="84" spans="1:8">
      <c r="A84" s="6">
        <f>EDATE(A83,1)</f>
        <v>44470</v>
      </c>
      <c r="B84" s="10">
        <f>SUMIFS('Infrastructure Data'!$L$2:$L$1054,'Infrastructure Data'!$A$2:$A$1054,$A84,'Infrastructure Data'!$E$2:$E$1054,"ATMS_TOTAL_DEPLOYED",'Infrastructure Data'!$J$2:$J$1054,"Category_Total")</f>
        <v>241000</v>
      </c>
      <c r="D84" s="6">
        <f>A84</f>
        <v>44470</v>
      </c>
      <c r="E84" s="10">
        <f>SUMIFS('Infrastructure Data'!$L$2:$L$1054,'Infrastructure Data'!$A$2:$A$1054,$D84,'Infrastructure Data'!$E$2:$E$1054,"POS_TERMINALS_DEPLOYED")</f>
        <v>5155000</v>
      </c>
      <c r="G84" s="6">
        <f>A84</f>
        <v>44470</v>
      </c>
      <c r="H84" s="10">
        <f>IF($G84&lt;DATE(2020,9,1),"",SUMIFS('Infrastructure Data'!$L$2:$L$1054,'Infrastructure Data'!$A$2:$A$1054,$G84,'Infrastructure Data'!$E$2:$E$1054,"UPI_QR_STATIC_DEPLOYED"))</f>
        <v>128505000</v>
      </c>
    </row>
    <row r="85" spans="1:8">
      <c r="A85" s="6">
        <f>EDATE(A84,1)</f>
        <v>44501</v>
      </c>
      <c r="B85" s="10">
        <f>SUMIFS('Infrastructure Data'!$L$2:$L$1054,'Infrastructure Data'!$A$2:$A$1054,$A85,'Infrastructure Data'!$E$2:$E$1054,"ATMS_TOTAL_DEPLOYED",'Infrastructure Data'!$J$2:$J$1054,"Category_Total")</f>
        <v>242000</v>
      </c>
      <c r="D85" s="6">
        <f>A85</f>
        <v>44501</v>
      </c>
      <c r="E85" s="10">
        <f>SUMIFS('Infrastructure Data'!$L$2:$L$1054,'Infrastructure Data'!$A$2:$A$1054,$D85,'Infrastructure Data'!$E$2:$E$1054,"POS_TERMINALS_DEPLOYED")</f>
        <v>5292000</v>
      </c>
      <c r="G85" s="6">
        <f>A85</f>
        <v>44501</v>
      </c>
      <c r="H85" s="10">
        <f>IF($G85&lt;DATE(2020,9,1),"",SUMIFS('Infrastructure Data'!$L$2:$L$1054,'Infrastructure Data'!$A$2:$A$1054,$G85,'Infrastructure Data'!$E$2:$E$1054,"UPI_QR_STATIC_DEPLOYED"))</f>
        <v>137333000</v>
      </c>
    </row>
    <row r="86" spans="1:8">
      <c r="A86" s="6">
        <f>EDATE(A85,1)</f>
        <v>44531</v>
      </c>
      <c r="B86" s="10">
        <f>SUMIFS('Infrastructure Data'!$L$2:$L$1054,'Infrastructure Data'!$A$2:$A$1054,$A86,'Infrastructure Data'!$E$2:$E$1054,"ATMS_TOTAL_DEPLOYED",'Infrastructure Data'!$J$2:$J$1054,"Category_Total")</f>
        <v>245000</v>
      </c>
      <c r="D86" s="6">
        <f>A86</f>
        <v>44531</v>
      </c>
      <c r="E86" s="10">
        <f>SUMIFS('Infrastructure Data'!$L$2:$L$1054,'Infrastructure Data'!$A$2:$A$1054,$D86,'Infrastructure Data'!$E$2:$E$1054,"POS_TERMINALS_DEPLOYED")</f>
        <v>5498000</v>
      </c>
      <c r="G86" s="6">
        <f>A86</f>
        <v>44531</v>
      </c>
      <c r="H86" s="10">
        <f>IF($G86&lt;DATE(2020,9,1),"",SUMIFS('Infrastructure Data'!$L$2:$L$1054,'Infrastructure Data'!$A$2:$A$1054,$G86,'Infrastructure Data'!$E$2:$E$1054,"UPI_QR_STATIC_DEPLOYED"))</f>
        <v>144010000</v>
      </c>
    </row>
    <row r="87" spans="1:8">
      <c r="A87" s="6">
        <f>EDATE(A86,1)</f>
        <v>44562</v>
      </c>
      <c r="B87" s="10">
        <f>SUMIFS('Infrastructure Data'!$L$2:$L$1054,'Infrastructure Data'!$A$2:$A$1054,$A87,'Infrastructure Data'!$E$2:$E$1054,"ATMS_TOTAL_DEPLOYED",'Infrastructure Data'!$J$2:$J$1054,"Category_Total")</f>
        <v>246000</v>
      </c>
      <c r="D87" s="6">
        <f>A87</f>
        <v>44562</v>
      </c>
      <c r="E87" s="10">
        <f>SUMIFS('Infrastructure Data'!$L$2:$L$1054,'Infrastructure Data'!$A$2:$A$1054,$D87,'Infrastructure Data'!$E$2:$E$1054,"POS_TERMINALS_DEPLOYED")</f>
        <v>5620000</v>
      </c>
      <c r="G87" s="6">
        <f>A87</f>
        <v>44562</v>
      </c>
      <c r="H87" s="10">
        <f>IF($G87&lt;DATE(2020,9,1),"",SUMIFS('Infrastructure Data'!$L$2:$L$1054,'Infrastructure Data'!$A$2:$A$1054,$G87,'Infrastructure Data'!$E$2:$E$1054,"UPI_QR_STATIC_DEPLOYED"))</f>
        <v>152105000</v>
      </c>
    </row>
    <row r="88" spans="1:8">
      <c r="A88" s="6">
        <f>EDATE(A87,1)</f>
        <v>44593</v>
      </c>
      <c r="B88" s="10">
        <f>SUMIFS('Infrastructure Data'!$L$2:$L$1054,'Infrastructure Data'!$A$2:$A$1054,$A88,'Infrastructure Data'!$E$2:$E$1054,"ATMS_TOTAL_DEPLOYED",'Infrastructure Data'!$J$2:$J$1054,"Category_Total")</f>
        <v>247000</v>
      </c>
      <c r="D88" s="6">
        <f>A88</f>
        <v>44593</v>
      </c>
      <c r="E88" s="10">
        <f>SUMIFS('Infrastructure Data'!$L$2:$L$1054,'Infrastructure Data'!$A$2:$A$1054,$D88,'Infrastructure Data'!$E$2:$E$1054,"POS_TERMINALS_DEPLOYED")</f>
        <v>5834000</v>
      </c>
      <c r="G88" s="6">
        <f>A88</f>
        <v>44593</v>
      </c>
      <c r="H88" s="10">
        <f>IF($G88&lt;DATE(2020,9,1),"",SUMIFS('Infrastructure Data'!$L$2:$L$1054,'Infrastructure Data'!$A$2:$A$1054,$G88,'Infrastructure Data'!$E$2:$E$1054,"UPI_QR_STATIC_DEPLOYED"))</f>
        <v>160019000</v>
      </c>
    </row>
    <row r="89" spans="1:8">
      <c r="A89" s="6">
        <f>EDATE(A88,1)</f>
        <v>44621</v>
      </c>
      <c r="B89" s="10">
        <f>SUMIFS('Infrastructure Data'!$L$2:$L$1054,'Infrastructure Data'!$A$2:$A$1054,$A89,'Infrastructure Data'!$E$2:$E$1054,"ATMS_TOTAL_DEPLOYED",'Infrastructure Data'!$J$2:$J$1054,"Category_Total")</f>
        <v>252000</v>
      </c>
      <c r="D89" s="6">
        <f>A89</f>
        <v>44621</v>
      </c>
      <c r="E89" s="10">
        <f>SUMIFS('Infrastructure Data'!$L$2:$L$1054,'Infrastructure Data'!$A$2:$A$1054,$D89,'Infrastructure Data'!$E$2:$E$1054,"POS_TERMINALS_DEPLOYED")</f>
        <v>6070000</v>
      </c>
      <c r="G89" s="6">
        <f>A89</f>
        <v>44621</v>
      </c>
      <c r="H89" s="10">
        <f>IF($G89&lt;DATE(2020,9,1),"",SUMIFS('Infrastructure Data'!$L$2:$L$1054,'Infrastructure Data'!$A$2:$A$1054,$G89,'Infrastructure Data'!$E$2:$E$1054,"UPI_QR_STATIC_DEPLOYED"))</f>
        <v>172734000</v>
      </c>
    </row>
    <row r="90" spans="1:8">
      <c r="A90" s="6">
        <f>EDATE(A89,1)</f>
        <v>44652</v>
      </c>
      <c r="B90" s="10">
        <f>SUMIFS('Infrastructure Data'!$L$2:$L$1054,'Infrastructure Data'!$A$2:$A$1054,$A90,'Infrastructure Data'!$E$2:$E$1054,"ATMS_TOTAL_DEPLOYED",'Infrastructure Data'!$J$2:$J$1054,"Category_Total")</f>
        <v>251000</v>
      </c>
      <c r="D90" s="6">
        <f>A90</f>
        <v>44652</v>
      </c>
      <c r="E90" s="10">
        <f>SUMIFS('Infrastructure Data'!$L$2:$L$1054,'Infrastructure Data'!$A$2:$A$1054,$D90,'Infrastructure Data'!$E$2:$E$1054,"POS_TERMINALS_DEPLOYED")</f>
        <v>6126000</v>
      </c>
      <c r="G90" s="6">
        <f>A90</f>
        <v>44652</v>
      </c>
      <c r="H90" s="10">
        <f>IF($G90&lt;DATE(2020,9,1),"",SUMIFS('Infrastructure Data'!$L$2:$L$1054,'Infrastructure Data'!$A$2:$A$1054,$G90,'Infrastructure Data'!$E$2:$E$1054,"UPI_QR_STATIC_DEPLOYED"))</f>
        <v>180721000</v>
      </c>
    </row>
    <row r="91" spans="1:8">
      <c r="A91" s="6">
        <f>EDATE(A90,1)</f>
        <v>44682</v>
      </c>
      <c r="B91" s="10">
        <f>SUMIFS('Infrastructure Data'!$L$2:$L$1054,'Infrastructure Data'!$A$2:$A$1054,$A91,'Infrastructure Data'!$E$2:$E$1054,"ATMS_TOTAL_DEPLOYED",'Infrastructure Data'!$J$2:$J$1054,"Category_Total")</f>
        <v>252000</v>
      </c>
      <c r="D91" s="6">
        <f>A91</f>
        <v>44682</v>
      </c>
      <c r="E91" s="10">
        <f>SUMIFS('Infrastructure Data'!$L$2:$L$1054,'Infrastructure Data'!$A$2:$A$1054,$D91,'Infrastructure Data'!$E$2:$E$1054,"POS_TERMINALS_DEPLOYED")</f>
        <v>6169000</v>
      </c>
      <c r="G91" s="6">
        <f>A91</f>
        <v>44682</v>
      </c>
      <c r="H91" s="10">
        <f>IF($G91&lt;DATE(2020,9,1),"",SUMIFS('Infrastructure Data'!$L$2:$L$1054,'Infrastructure Data'!$A$2:$A$1054,$G91,'Infrastructure Data'!$E$2:$E$1054,"UPI_QR_STATIC_DEPLOYED"))</f>
        <v>188116000</v>
      </c>
    </row>
    <row r="92" spans="1:8">
      <c r="A92" s="6">
        <f>EDATE(A91,1)</f>
        <v>44713</v>
      </c>
      <c r="B92" s="10">
        <f>SUMIFS('Infrastructure Data'!$L$2:$L$1054,'Infrastructure Data'!$A$2:$A$1054,$A92,'Infrastructure Data'!$E$2:$E$1054,"ATMS_TOTAL_DEPLOYED",'Infrastructure Data'!$J$2:$J$1054,"Category_Total")</f>
        <v>253000</v>
      </c>
      <c r="D92" s="6">
        <f>A92</f>
        <v>44713</v>
      </c>
      <c r="E92" s="10">
        <f>SUMIFS('Infrastructure Data'!$L$2:$L$1054,'Infrastructure Data'!$A$2:$A$1054,$D92,'Infrastructure Data'!$E$2:$E$1054,"POS_TERMINALS_DEPLOYED")</f>
        <v>6591000</v>
      </c>
      <c r="G92" s="6">
        <f>A92</f>
        <v>44713</v>
      </c>
      <c r="H92" s="10">
        <f>IF($G92&lt;DATE(2020,9,1),"",SUMIFS('Infrastructure Data'!$L$2:$L$1054,'Infrastructure Data'!$A$2:$A$1054,$G92,'Infrastructure Data'!$E$2:$E$1054,"UPI_QR_STATIC_DEPLOYED"))</f>
        <v>195291000</v>
      </c>
    </row>
    <row r="93" spans="1:8">
      <c r="A93" s="6">
        <f>EDATE(A92,1)</f>
        <v>44743</v>
      </c>
      <c r="B93" s="10">
        <f>SUMIFS('Infrastructure Data'!$L$2:$L$1054,'Infrastructure Data'!$A$2:$A$1054,$A93,'Infrastructure Data'!$E$2:$E$1054,"ATMS_TOTAL_DEPLOYED",'Infrastructure Data'!$J$2:$J$1054,"Category_Total")</f>
        <v>254000</v>
      </c>
      <c r="D93" s="6">
        <f>A93</f>
        <v>44743</v>
      </c>
      <c r="E93" s="10">
        <f>SUMIFS('Infrastructure Data'!$L$2:$L$1054,'Infrastructure Data'!$A$2:$A$1054,$D93,'Infrastructure Data'!$E$2:$E$1054,"POS_TERMINALS_DEPLOYED")</f>
        <v>6819000</v>
      </c>
      <c r="G93" s="6">
        <f>A93</f>
        <v>44743</v>
      </c>
      <c r="H93" s="10">
        <f>IF($G93&lt;DATE(2020,9,1),"",SUMIFS('Infrastructure Data'!$L$2:$L$1054,'Infrastructure Data'!$A$2:$A$1054,$G93,'Infrastructure Data'!$E$2:$E$1054,"UPI_QR_STATIC_DEPLOYED"))</f>
        <v>201302000</v>
      </c>
    </row>
    <row r="94" spans="1:8">
      <c r="A94" s="6">
        <f>EDATE(A93,1)</f>
        <v>44774</v>
      </c>
      <c r="B94" s="10">
        <f>SUMIFS('Infrastructure Data'!$L$2:$L$1054,'Infrastructure Data'!$A$2:$A$1054,$A94,'Infrastructure Data'!$E$2:$E$1054,"ATMS_TOTAL_DEPLOYED",'Infrastructure Data'!$J$2:$J$1054,"Category_Total")</f>
        <v>254000</v>
      </c>
      <c r="D94" s="6">
        <f>A94</f>
        <v>44774</v>
      </c>
      <c r="E94" s="10">
        <f>SUMIFS('Infrastructure Data'!$L$2:$L$1054,'Infrastructure Data'!$A$2:$A$1054,$D94,'Infrastructure Data'!$E$2:$E$1054,"POS_TERMINALS_DEPLOYED")</f>
        <v>7058000</v>
      </c>
      <c r="G94" s="6">
        <f>A94</f>
        <v>44774</v>
      </c>
      <c r="H94" s="10">
        <f>IF($G94&lt;DATE(2020,9,1),"",SUMIFS('Infrastructure Data'!$L$2:$L$1054,'Infrastructure Data'!$A$2:$A$1054,$G94,'Infrastructure Data'!$E$2:$E$1054,"UPI_QR_STATIC_DEPLOYED"))</f>
        <v>209254000</v>
      </c>
    </row>
    <row r="95" spans="1:8">
      <c r="A95" s="6">
        <f>EDATE(A94,1)</f>
        <v>44805</v>
      </c>
      <c r="B95" s="10">
        <f>SUMIFS('Infrastructure Data'!$L$2:$L$1054,'Infrastructure Data'!$A$2:$A$1054,$A95,'Infrastructure Data'!$E$2:$E$1054,"ATMS_TOTAL_DEPLOYED",'Infrastructure Data'!$J$2:$J$1054,"Category_Total")</f>
        <v>255000</v>
      </c>
      <c r="D95" s="6">
        <f>A95</f>
        <v>44805</v>
      </c>
      <c r="E95" s="10">
        <f>SUMIFS('Infrastructure Data'!$L$2:$L$1054,'Infrastructure Data'!$A$2:$A$1054,$D95,'Infrastructure Data'!$E$2:$E$1054,"POS_TERMINALS_DEPLOYED")</f>
        <v>7035000</v>
      </c>
      <c r="G95" s="6">
        <f>A95</f>
        <v>44805</v>
      </c>
      <c r="H95" s="10">
        <f>IF($G95&lt;DATE(2020,9,1),"",SUMIFS('Infrastructure Data'!$L$2:$L$1054,'Infrastructure Data'!$A$2:$A$1054,$G95,'Infrastructure Data'!$E$2:$E$1054,"UPI_QR_STATIC_DEPLOYED"))</f>
        <v>216430000</v>
      </c>
    </row>
    <row r="96" spans="1:8">
      <c r="A96" s="6">
        <f>EDATE(A95,1)</f>
        <v>44835</v>
      </c>
      <c r="B96" s="10">
        <f>SUMIFS('Infrastructure Data'!$L$2:$L$1054,'Infrastructure Data'!$A$2:$A$1054,$A96,'Infrastructure Data'!$E$2:$E$1054,"ATMS_TOTAL_DEPLOYED",'Infrastructure Data'!$J$2:$J$1054,"Category_Total")</f>
        <v>255000</v>
      </c>
      <c r="D96" s="6">
        <f>A96</f>
        <v>44835</v>
      </c>
      <c r="E96" s="10">
        <f>SUMIFS('Infrastructure Data'!$L$2:$L$1054,'Infrastructure Data'!$A$2:$A$1054,$D96,'Infrastructure Data'!$E$2:$E$1054,"POS_TERMINALS_DEPLOYED")</f>
        <v>7211000</v>
      </c>
      <c r="G96" s="6">
        <f>A96</f>
        <v>44835</v>
      </c>
      <c r="H96" s="10">
        <f>IF($G96&lt;DATE(2020,9,1),"",SUMIFS('Infrastructure Data'!$L$2:$L$1054,'Infrastructure Data'!$A$2:$A$1054,$G96,'Infrastructure Data'!$E$2:$E$1054,"UPI_QR_STATIC_DEPLOYED"))</f>
        <v>225323000</v>
      </c>
    </row>
    <row r="97" spans="1:8">
      <c r="A97" s="6">
        <f>EDATE(A96,1)</f>
        <v>44866</v>
      </c>
      <c r="B97" s="10">
        <f>SUMIFS('Infrastructure Data'!$L$2:$L$1054,'Infrastructure Data'!$A$2:$A$1054,$A97,'Infrastructure Data'!$E$2:$E$1054,"ATMS_TOTAL_DEPLOYED",'Infrastructure Data'!$J$2:$J$1054,"Category_Total")</f>
        <v>255000</v>
      </c>
      <c r="D97" s="6">
        <f>A97</f>
        <v>44866</v>
      </c>
      <c r="E97" s="10">
        <f>SUMIFS('Infrastructure Data'!$L$2:$L$1054,'Infrastructure Data'!$A$2:$A$1054,$D97,'Infrastructure Data'!$E$2:$E$1054,"POS_TERMINALS_DEPLOYED")</f>
        <v>7352000</v>
      </c>
      <c r="G97" s="6">
        <f>A97</f>
        <v>44866</v>
      </c>
      <c r="H97" s="10">
        <f>IF($G97&lt;DATE(2020,9,1),"",SUMIFS('Infrastructure Data'!$L$2:$L$1054,'Infrastructure Data'!$A$2:$A$1054,$G97,'Infrastructure Data'!$E$2:$E$1054,"UPI_QR_STATIC_DEPLOYED"))</f>
        <v>230287000</v>
      </c>
    </row>
    <row r="98" spans="1:8">
      <c r="A98" s="6">
        <f>EDATE(A97,1)</f>
        <v>44896</v>
      </c>
      <c r="B98" s="10">
        <f>SUMIFS('Infrastructure Data'!$L$2:$L$1054,'Infrastructure Data'!$A$2:$A$1054,$A98,'Infrastructure Data'!$E$2:$E$1054,"ATMS_TOTAL_DEPLOYED",'Infrastructure Data'!$J$2:$J$1054,"Category_Total")</f>
        <v>257000</v>
      </c>
      <c r="D98" s="6">
        <f>A98</f>
        <v>44896</v>
      </c>
      <c r="E98" s="10">
        <f>SUMIFS('Infrastructure Data'!$L$2:$L$1054,'Infrastructure Data'!$A$2:$A$1054,$D98,'Infrastructure Data'!$E$2:$E$1054,"POS_TERMINALS_DEPLOYED")</f>
        <v>7550000</v>
      </c>
      <c r="G98" s="6">
        <f>A98</f>
        <v>44896</v>
      </c>
      <c r="H98" s="10">
        <f>IF($G98&lt;DATE(2020,9,1),"",SUMIFS('Infrastructure Data'!$L$2:$L$1054,'Infrastructure Data'!$A$2:$A$1054,$G98,'Infrastructure Data'!$E$2:$E$1054,"UPI_QR_STATIC_DEPLOYED"))</f>
        <v>236182000</v>
      </c>
    </row>
    <row r="99" spans="1:8">
      <c r="A99" s="6">
        <f>EDATE(A98,1)</f>
        <v>44927</v>
      </c>
      <c r="B99" s="10">
        <f>SUMIFS('Infrastructure Data'!$L$2:$L$1054,'Infrastructure Data'!$A$2:$A$1054,$A99,'Infrastructure Data'!$E$2:$E$1054,"ATMS_TOTAL_DEPLOYED",'Infrastructure Data'!$J$2:$J$1054,"Category_Total")</f>
        <v>258000</v>
      </c>
      <c r="D99" s="6">
        <f>A99</f>
        <v>44927</v>
      </c>
      <c r="E99" s="10">
        <f>SUMIFS('Infrastructure Data'!$L$2:$L$1054,'Infrastructure Data'!$A$2:$A$1054,$D99,'Infrastructure Data'!$E$2:$E$1054,"POS_TERMINALS_DEPLOYED")</f>
        <v>7657000</v>
      </c>
      <c r="G99" s="6">
        <f>A99</f>
        <v>44927</v>
      </c>
      <c r="H99" s="10">
        <f>IF($G99&lt;DATE(2020,9,1),"",SUMIFS('Infrastructure Data'!$L$2:$L$1054,'Infrastructure Data'!$A$2:$A$1054,$G99,'Infrastructure Data'!$E$2:$E$1054,"UPI_QR_STATIC_DEPLOYED"))</f>
        <v>244234000</v>
      </c>
    </row>
    <row r="100" spans="1:8">
      <c r="A100" s="6">
        <f>EDATE(A99,1)</f>
        <v>44958</v>
      </c>
      <c r="B100" s="10">
        <f>SUMIFS('Infrastructure Data'!$L$2:$L$1054,'Infrastructure Data'!$A$2:$A$1054,$A100,'Infrastructure Data'!$E$2:$E$1054,"ATMS_TOTAL_DEPLOYED",'Infrastructure Data'!$J$2:$J$1054,"Category_Total")</f>
        <v>257000</v>
      </c>
      <c r="D100" s="6">
        <f>A100</f>
        <v>44958</v>
      </c>
      <c r="E100" s="10">
        <f>SUMIFS('Infrastructure Data'!$L$2:$L$1054,'Infrastructure Data'!$A$2:$A$1054,$D100,'Infrastructure Data'!$E$2:$E$1054,"POS_TERMINALS_DEPLOYED")</f>
        <v>7758000</v>
      </c>
      <c r="G100" s="6">
        <f>A100</f>
        <v>44958</v>
      </c>
      <c r="H100" s="10">
        <f>IF($G100&lt;DATE(2020,9,1),"",SUMIFS('Infrastructure Data'!$L$2:$L$1054,'Infrastructure Data'!$A$2:$A$1054,$G100,'Infrastructure Data'!$E$2:$E$1054,"UPI_QR_STATIC_DEPLOYED"))</f>
        <v>250089000</v>
      </c>
    </row>
    <row r="101" spans="1:8">
      <c r="A101" s="6">
        <f>EDATE(A100,1)</f>
        <v>44986</v>
      </c>
      <c r="B101" s="10">
        <f>SUMIFS('Infrastructure Data'!$L$2:$L$1054,'Infrastructure Data'!$A$2:$A$1054,$A101,'Infrastructure Data'!$E$2:$E$1054,"ATMS_TOTAL_DEPLOYED",'Infrastructure Data'!$J$2:$J$1054,"Category_Total")</f>
        <v>259000</v>
      </c>
      <c r="D101" s="6">
        <f>A101</f>
        <v>44986</v>
      </c>
      <c r="E101" s="10">
        <f>SUMIFS('Infrastructure Data'!$L$2:$L$1054,'Infrastructure Data'!$A$2:$A$1054,$D101,'Infrastructure Data'!$E$2:$E$1054,"POS_TERMINALS_DEPLOYED")</f>
        <v>7790000</v>
      </c>
      <c r="G101" s="6">
        <f>A101</f>
        <v>44986</v>
      </c>
      <c r="H101" s="10">
        <f>IF($G101&lt;DATE(2020,9,1),"",SUMIFS('Infrastructure Data'!$L$2:$L$1054,'Infrastructure Data'!$A$2:$A$1054,$G101,'Infrastructure Data'!$E$2:$E$1054,"UPI_QR_STATIC_DEPLOYED"))</f>
        <v>256377000</v>
      </c>
    </row>
    <row r="102" spans="1:8">
      <c r="A102" s="6">
        <f>EDATE(A101,1)</f>
        <v>45017</v>
      </c>
      <c r="B102" s="10">
        <f>SUMIFS('Infrastructure Data'!$L$2:$L$1054,'Infrastructure Data'!$A$2:$A$1054,$A102,'Infrastructure Data'!$E$2:$E$1054,"ATMS_TOTAL_DEPLOYED",'Infrastructure Data'!$J$2:$J$1054,"Category_Total")</f>
        <v>255000</v>
      </c>
      <c r="D102" s="6">
        <f>A102</f>
        <v>45017</v>
      </c>
      <c r="E102" s="10">
        <f>SUMIFS('Infrastructure Data'!$L$2:$L$1054,'Infrastructure Data'!$A$2:$A$1054,$D102,'Infrastructure Data'!$E$2:$E$1054,"POS_TERMINALS_DEPLOYED")</f>
        <v>7837000</v>
      </c>
      <c r="G102" s="6">
        <f>A102</f>
        <v>45017</v>
      </c>
      <c r="H102" s="10">
        <f>IF($G102&lt;DATE(2020,9,1),"",SUMIFS('Infrastructure Data'!$L$2:$L$1054,'Infrastructure Data'!$A$2:$A$1054,$G102,'Infrastructure Data'!$E$2:$E$1054,"UPI_QR_STATIC_DEPLOYED"))</f>
        <v>260908000</v>
      </c>
    </row>
    <row r="103" spans="1:8">
      <c r="A103" s="6">
        <f>EDATE(A102,1)</f>
        <v>45047</v>
      </c>
      <c r="B103" s="10">
        <f>SUMIFS('Infrastructure Data'!$L$2:$L$1054,'Infrastructure Data'!$A$2:$A$1054,$A103,'Infrastructure Data'!$E$2:$E$1054,"ATMS_TOTAL_DEPLOYED",'Infrastructure Data'!$J$2:$J$1054,"Category_Total")</f>
        <v>256000</v>
      </c>
      <c r="D103" s="6">
        <f>A103</f>
        <v>45047</v>
      </c>
      <c r="E103" s="10">
        <f>SUMIFS('Infrastructure Data'!$L$2:$L$1054,'Infrastructure Data'!$A$2:$A$1054,$D103,'Infrastructure Data'!$E$2:$E$1054,"POS_TERMINALS_DEPLOYED")</f>
        <v>7961000</v>
      </c>
      <c r="G103" s="6">
        <f>A103</f>
        <v>45047</v>
      </c>
      <c r="H103" s="10">
        <f>IF($G103&lt;DATE(2020,9,1),"",SUMIFS('Infrastructure Data'!$L$2:$L$1054,'Infrastructure Data'!$A$2:$A$1054,$G103,'Infrastructure Data'!$E$2:$E$1054,"UPI_QR_STATIC_DEPLOYED"))</f>
        <v>266757000</v>
      </c>
    </row>
    <row r="104" spans="1:8">
      <c r="A104" s="6">
        <f>EDATE(A103,1)</f>
        <v>45078</v>
      </c>
      <c r="B104" s="10">
        <f>SUMIFS('Infrastructure Data'!$L$2:$L$1054,'Infrastructure Data'!$A$2:$A$1054,$A104,'Infrastructure Data'!$E$2:$E$1054,"ATMS_TOTAL_DEPLOYED",'Infrastructure Data'!$J$2:$J$1054,"Category_Total")</f>
        <v>259000</v>
      </c>
      <c r="D104" s="6">
        <f>A104</f>
        <v>45078</v>
      </c>
      <c r="E104" s="10">
        <f>SUMIFS('Infrastructure Data'!$L$2:$L$1054,'Infrastructure Data'!$A$2:$A$1054,$D104,'Infrastructure Data'!$E$2:$E$1054,"POS_TERMINALS_DEPLOYED")</f>
        <v>8094000</v>
      </c>
      <c r="G104" s="6">
        <f>A104</f>
        <v>45078</v>
      </c>
      <c r="H104" s="10">
        <f>IF($G104&lt;DATE(2020,9,1),"",SUMIFS('Infrastructure Data'!$L$2:$L$1054,'Infrastructure Data'!$A$2:$A$1054,$G104,'Infrastructure Data'!$E$2:$E$1054,"UPI_QR_STATIC_DEPLOYED"))</f>
        <v>272015000</v>
      </c>
    </row>
    <row r="105" spans="1:8">
      <c r="A105" s="6">
        <f>EDATE(A104,1)</f>
        <v>45108</v>
      </c>
      <c r="B105" s="10">
        <f>SUMIFS('Infrastructure Data'!$L$2:$L$1054,'Infrastructure Data'!$A$2:$A$1054,$A105,'Infrastructure Data'!$E$2:$E$1054,"ATMS_TOTAL_DEPLOYED",'Infrastructure Data'!$J$2:$J$1054,"Category_Total")</f>
        <v>257000</v>
      </c>
      <c r="D105" s="6">
        <f>A105</f>
        <v>45108</v>
      </c>
      <c r="E105" s="10">
        <f>SUMIFS('Infrastructure Data'!$L$2:$L$1054,'Infrastructure Data'!$A$2:$A$1054,$D105,'Infrastructure Data'!$E$2:$E$1054,"POS_TERMINALS_DEPLOYED")</f>
        <v>8123000</v>
      </c>
      <c r="G105" s="6">
        <f>A105</f>
        <v>45108</v>
      </c>
      <c r="H105" s="10">
        <f>IF($G105&lt;DATE(2020,9,1),"",SUMIFS('Infrastructure Data'!$L$2:$L$1054,'Infrastructure Data'!$A$2:$A$1054,$G105,'Infrastructure Data'!$E$2:$E$1054,"UPI_QR_STATIC_DEPLOYED"))</f>
        <v>280725000</v>
      </c>
    </row>
    <row r="106" spans="1:8">
      <c r="A106" s="6">
        <f>EDATE(A105,1)</f>
        <v>45139</v>
      </c>
      <c r="B106" s="10">
        <f>SUMIFS('Infrastructure Data'!$L$2:$L$1054,'Infrastructure Data'!$A$2:$A$1054,$A106,'Infrastructure Data'!$E$2:$E$1054,"ATMS_TOTAL_DEPLOYED",'Infrastructure Data'!$J$2:$J$1054,"Category_Total")</f>
        <v>258000</v>
      </c>
      <c r="D106" s="6">
        <f>A106</f>
        <v>45139</v>
      </c>
      <c r="E106" s="10">
        <f>SUMIFS('Infrastructure Data'!$L$2:$L$1054,'Infrastructure Data'!$A$2:$A$1054,$D106,'Infrastructure Data'!$E$2:$E$1054,"POS_TERMINALS_DEPLOYED")</f>
        <v>8247000</v>
      </c>
      <c r="G106" s="6">
        <f>A106</f>
        <v>45139</v>
      </c>
      <c r="H106" s="10">
        <f>IF($G106&lt;DATE(2020,9,1),"",SUMIFS('Infrastructure Data'!$L$2:$L$1054,'Infrastructure Data'!$A$2:$A$1054,$G106,'Infrastructure Data'!$E$2:$E$1054,"UPI_QR_STATIC_DEPLOYED"))</f>
        <v>288164000</v>
      </c>
    </row>
    <row r="107" spans="1:8">
      <c r="A107" s="6">
        <f>EDATE(A106,1)</f>
        <v>45170</v>
      </c>
      <c r="B107" s="10">
        <f>SUMIFS('Infrastructure Data'!$L$2:$L$1054,'Infrastructure Data'!$A$2:$A$1054,$A107,'Infrastructure Data'!$E$2:$E$1054,"ATMS_TOTAL_DEPLOYED",'Infrastructure Data'!$J$2:$J$1054,"Category_Total")</f>
        <v>258000</v>
      </c>
      <c r="D107" s="6">
        <f>A107</f>
        <v>45170</v>
      </c>
      <c r="E107" s="10">
        <f>SUMIFS('Infrastructure Data'!$L$2:$L$1054,'Infrastructure Data'!$A$2:$A$1054,$D107,'Infrastructure Data'!$E$2:$E$1054,"POS_TERMINALS_DEPLOYED")</f>
        <v>8303000</v>
      </c>
      <c r="G107" s="6">
        <f>A107</f>
        <v>45170</v>
      </c>
      <c r="H107" s="10">
        <f>IF($G107&lt;DATE(2020,9,1),"",SUMIFS('Infrastructure Data'!$L$2:$L$1054,'Infrastructure Data'!$A$2:$A$1054,$G107,'Infrastructure Data'!$E$2:$E$1054,"UPI_QR_STATIC_DEPLOYED"))</f>
        <v>295006000</v>
      </c>
    </row>
    <row r="108" spans="1:8">
      <c r="A108" s="6">
        <f>EDATE(A107,1)</f>
        <v>45200</v>
      </c>
      <c r="B108" s="10">
        <f>SUMIFS('Infrastructure Data'!$L$2:$L$1054,'Infrastructure Data'!$A$2:$A$1054,$A108,'Infrastructure Data'!$E$2:$E$1054,"ATMS_TOTAL_DEPLOYED",'Infrastructure Data'!$J$2:$J$1054,"Category_Total")</f>
        <v>258000</v>
      </c>
      <c r="D108" s="6">
        <f>A108</f>
        <v>45200</v>
      </c>
      <c r="E108" s="10">
        <f>SUMIFS('Infrastructure Data'!$L$2:$L$1054,'Infrastructure Data'!$A$2:$A$1054,$D108,'Infrastructure Data'!$E$2:$E$1054,"POS_TERMINALS_DEPLOYED")</f>
        <v>8348000</v>
      </c>
      <c r="G108" s="6">
        <f>A108</f>
        <v>45200</v>
      </c>
      <c r="H108" s="10">
        <f>IF($G108&lt;DATE(2020,9,1),"",SUMIFS('Infrastructure Data'!$L$2:$L$1054,'Infrastructure Data'!$A$2:$A$1054,$G108,'Infrastructure Data'!$E$2:$E$1054,"UPI_QR_STATIC_DEPLOYED"))</f>
        <v>301720000</v>
      </c>
    </row>
    <row r="109" spans="1:8">
      <c r="A109" s="6">
        <f>EDATE(A108,1)</f>
        <v>45231</v>
      </c>
      <c r="B109" s="10">
        <f>SUMIFS('Infrastructure Data'!$L$2:$L$1054,'Infrastructure Data'!$A$2:$A$1054,$A109,'Infrastructure Data'!$E$2:$E$1054,"ATMS_TOTAL_DEPLOYED",'Infrastructure Data'!$J$2:$J$1054,"Category_Total")</f>
        <v>258000</v>
      </c>
      <c r="D109" s="6">
        <f>A109</f>
        <v>45231</v>
      </c>
      <c r="E109" s="10">
        <f>SUMIFS('Infrastructure Data'!$L$2:$L$1054,'Infrastructure Data'!$A$2:$A$1054,$D109,'Infrastructure Data'!$E$2:$E$1054,"POS_TERMINALS_DEPLOYED")</f>
        <v>8432000</v>
      </c>
      <c r="G109" s="6">
        <f>A109</f>
        <v>45231</v>
      </c>
      <c r="H109" s="10">
        <f>IF($G109&lt;DATE(2020,9,1),"",SUMIFS('Infrastructure Data'!$L$2:$L$1054,'Infrastructure Data'!$A$2:$A$1054,$G109,'Infrastructure Data'!$E$2:$E$1054,"UPI_QR_STATIC_DEPLOYED"))</f>
        <v>308739000</v>
      </c>
    </row>
    <row r="110" spans="1:8">
      <c r="A110" s="6">
        <f>EDATE(A109,1)</f>
        <v>45261</v>
      </c>
      <c r="B110" s="10">
        <f>SUMIFS('Infrastructure Data'!$L$2:$L$1054,'Infrastructure Data'!$A$2:$A$1054,$A110,'Infrastructure Data'!$E$2:$E$1054,"ATMS_TOTAL_DEPLOYED",'Infrastructure Data'!$J$2:$J$1054,"Category_Total")</f>
        <v>258000</v>
      </c>
      <c r="D110" s="6">
        <f>A110</f>
        <v>45261</v>
      </c>
      <c r="E110" s="10">
        <f>SUMIFS('Infrastructure Data'!$L$2:$L$1054,'Infrastructure Data'!$A$2:$A$1054,$D110,'Infrastructure Data'!$E$2:$E$1054,"POS_TERMINALS_DEPLOYED")</f>
        <v>8567000</v>
      </c>
      <c r="G110" s="6">
        <f>A110</f>
        <v>45261</v>
      </c>
      <c r="H110" s="10">
        <f>IF($G110&lt;DATE(2020,9,1),"",SUMIFS('Infrastructure Data'!$L$2:$L$1054,'Infrastructure Data'!$A$2:$A$1054,$G110,'Infrastructure Data'!$E$2:$E$1054,"UPI_QR_STATIC_DEPLOYED"))</f>
        <v>317066000</v>
      </c>
    </row>
    <row r="111" spans="1:8">
      <c r="A111" s="6">
        <f>EDATE(A110,1)</f>
        <v>45292</v>
      </c>
      <c r="B111" s="10">
        <f>SUMIFS('Infrastructure Data'!$L$2:$L$1054,'Infrastructure Data'!$A$2:$A$1054,$A111,'Infrastructure Data'!$E$2:$E$1054,"ATMS_TOTAL_DEPLOYED",'Infrastructure Data'!$J$2:$J$1054,"Category_Total")</f>
        <v>258000</v>
      </c>
      <c r="D111" s="6">
        <f>A111</f>
        <v>45292</v>
      </c>
      <c r="E111" s="10">
        <f>SUMIFS('Infrastructure Data'!$L$2:$L$1054,'Infrastructure Data'!$A$2:$A$1054,$D111,'Infrastructure Data'!$E$2:$E$1054,"POS_TERMINALS_DEPLOYED")</f>
        <v>8593000</v>
      </c>
      <c r="G111" s="6">
        <f>A111</f>
        <v>45292</v>
      </c>
      <c r="H111" s="10">
        <f>IF($G111&lt;DATE(2020,9,1),"",SUMIFS('Infrastructure Data'!$L$2:$L$1054,'Infrastructure Data'!$A$2:$A$1054,$G111,'Infrastructure Data'!$E$2:$E$1054,"UPI_QR_STATIC_DEPLOYED"))</f>
        <v>321379000</v>
      </c>
    </row>
    <row r="112" spans="1:8">
      <c r="A112" s="6">
        <f>EDATE(A111,1)</f>
        <v>45323</v>
      </c>
      <c r="B112" s="10">
        <f>SUMIFS('Infrastructure Data'!$L$2:$L$1054,'Infrastructure Data'!$A$2:$A$1054,$A112,'Infrastructure Data'!$E$2:$E$1054,"ATMS_TOTAL_DEPLOYED",'Infrastructure Data'!$J$2:$J$1054,"Category_Total")</f>
        <v>257000</v>
      </c>
      <c r="D112" s="6">
        <f>A112</f>
        <v>45323</v>
      </c>
      <c r="E112" s="10">
        <f>SUMIFS('Infrastructure Data'!$L$2:$L$1054,'Infrastructure Data'!$A$2:$A$1054,$D112,'Infrastructure Data'!$E$2:$E$1054,"POS_TERMINALS_DEPLOYED")</f>
        <v>8773000</v>
      </c>
      <c r="G112" s="6">
        <f>A112</f>
        <v>45323</v>
      </c>
      <c r="H112" s="10">
        <f>IF($G112&lt;DATE(2020,9,1),"",SUMIFS('Infrastructure Data'!$L$2:$L$1054,'Infrastructure Data'!$A$2:$A$1054,$G112,'Infrastructure Data'!$E$2:$E$1054,"UPI_QR_STATIC_DEPLOYED"))</f>
        <v>337180000</v>
      </c>
    </row>
    <row r="113" spans="1:8">
      <c r="A113" s="6">
        <f>EDATE(A112,1)</f>
        <v>45352</v>
      </c>
      <c r="B113" s="10">
        <f>SUMIFS('Infrastructure Data'!$L$2:$L$1054,'Infrastructure Data'!$A$2:$A$1054,$A113,'Infrastructure Data'!$E$2:$E$1054,"ATMS_TOTAL_DEPLOYED",'Infrastructure Data'!$J$2:$J$1054,"Category_Total")</f>
        <v>258000</v>
      </c>
      <c r="D113" s="6">
        <f>A113</f>
        <v>45352</v>
      </c>
      <c r="E113" s="10">
        <f>SUMIFS('Infrastructure Data'!$L$2:$L$1054,'Infrastructure Data'!$A$2:$A$1054,$D113,'Infrastructure Data'!$E$2:$E$1054,"POS_TERMINALS_DEPLOYED")</f>
        <v>8903000</v>
      </c>
      <c r="G113" s="6">
        <f>A113</f>
        <v>45352</v>
      </c>
      <c r="H113" s="10">
        <f>IF($G113&lt;DATE(2020,9,1),"",SUMIFS('Infrastructure Data'!$L$2:$L$1054,'Infrastructure Data'!$A$2:$A$1054,$G113,'Infrastructure Data'!$E$2:$E$1054,"UPI_QR_STATIC_DEPLOYED"))</f>
        <v>343493000</v>
      </c>
    </row>
    <row r="114" spans="1:8">
      <c r="A114" s="6">
        <f>EDATE(A113,1)</f>
        <v>45383</v>
      </c>
      <c r="B114" s="10">
        <f>SUMIFS('Infrastructure Data'!$L$2:$L$1054,'Infrastructure Data'!$A$2:$A$1054,$A114,'Infrastructure Data'!$E$2:$E$1054,"ATMS_TOTAL_DEPLOYED",'Infrastructure Data'!$J$2:$J$1054,"Category_Total")</f>
        <v>257000</v>
      </c>
      <c r="D114" s="6">
        <f>A114</f>
        <v>45383</v>
      </c>
      <c r="E114" s="10">
        <f>SUMIFS('Infrastructure Data'!$L$2:$L$1054,'Infrastructure Data'!$A$2:$A$1054,$D114,'Infrastructure Data'!$E$2:$E$1054,"POS_TERMINALS_DEPLOYED")</f>
        <v>8839000</v>
      </c>
      <c r="G114" s="6">
        <f>A114</f>
        <v>45383</v>
      </c>
      <c r="H114" s="10">
        <f>IF($G114&lt;DATE(2020,9,1),"",SUMIFS('Infrastructure Data'!$L$2:$L$1054,'Infrastructure Data'!$A$2:$A$1054,$G114,'Infrastructure Data'!$E$2:$E$1054,"UPI_QR_STATIC_DEPLOYED"))</f>
        <v>559720000</v>
      </c>
    </row>
    <row r="115" spans="1:8">
      <c r="A115" s="6">
        <f>EDATE(A114,1)</f>
        <v>45413</v>
      </c>
      <c r="B115" s="10">
        <f>SUMIFS('Infrastructure Data'!$L$2:$L$1054,'Infrastructure Data'!$A$2:$A$1054,$A115,'Infrastructure Data'!$E$2:$E$1054,"ATMS_TOTAL_DEPLOYED",'Infrastructure Data'!$J$2:$J$1054,"Category_Total")</f>
        <v>257000</v>
      </c>
      <c r="D115" s="6">
        <f>A115</f>
        <v>45413</v>
      </c>
      <c r="E115" s="10">
        <f>SUMIFS('Infrastructure Data'!$L$2:$L$1054,'Infrastructure Data'!$A$2:$A$1054,$D115,'Infrastructure Data'!$E$2:$E$1054,"POS_TERMINALS_DEPLOYED")</f>
        <v>8804000</v>
      </c>
      <c r="G115" s="6">
        <f>A115</f>
        <v>45413</v>
      </c>
      <c r="H115" s="10">
        <f>IF($G115&lt;DATE(2020,9,1),"",SUMIFS('Infrastructure Data'!$L$2:$L$1054,'Infrastructure Data'!$A$2:$A$1054,$G115,'Infrastructure Data'!$E$2:$E$1054,"UPI_QR_STATIC_DEPLOYED"))</f>
        <v>569084000</v>
      </c>
    </row>
    <row r="116" spans="1:8">
      <c r="A116" s="6">
        <f>EDATE(A115,1)</f>
        <v>45444</v>
      </c>
      <c r="B116" s="10">
        <f>SUMIFS('Infrastructure Data'!$L$2:$L$1054,'Infrastructure Data'!$A$2:$A$1054,$A116,'Infrastructure Data'!$E$2:$E$1054,"ATMS_TOTAL_DEPLOYED",'Infrastructure Data'!$J$2:$J$1054,"Category_Total")</f>
        <v>256000</v>
      </c>
      <c r="D116" s="6">
        <f>A116</f>
        <v>45444</v>
      </c>
      <c r="E116" s="10">
        <f>SUMIFS('Infrastructure Data'!$L$2:$L$1054,'Infrastructure Data'!$A$2:$A$1054,$D116,'Infrastructure Data'!$E$2:$E$1054,"POS_TERMINALS_DEPLOYED")</f>
        <v>8967000</v>
      </c>
      <c r="G116" s="6">
        <f>A116</f>
        <v>45444</v>
      </c>
      <c r="H116" s="10">
        <f>IF($G116&lt;DATE(2020,9,1),"",SUMIFS('Infrastructure Data'!$L$2:$L$1054,'Infrastructure Data'!$A$2:$A$1054,$G116,'Infrastructure Data'!$E$2:$E$1054,"UPI_QR_STATIC_DEPLOYED"))</f>
        <v>577015000</v>
      </c>
    </row>
    <row r="117" spans="1:8">
      <c r="A117" s="6">
        <f>EDATE(A116,1)</f>
        <v>45474</v>
      </c>
      <c r="B117" s="10">
        <f>SUMIFS('Infrastructure Data'!$L$2:$L$1054,'Infrastructure Data'!$A$2:$A$1054,$A117,'Infrastructure Data'!$E$2:$E$1054,"ATMS_TOTAL_DEPLOYED",'Infrastructure Data'!$J$2:$J$1054,"Category_Total")</f>
        <v>255000</v>
      </c>
      <c r="D117" s="6">
        <f>A117</f>
        <v>45474</v>
      </c>
      <c r="E117" s="10">
        <f>SUMIFS('Infrastructure Data'!$L$2:$L$1054,'Infrastructure Data'!$A$2:$A$1054,$D117,'Infrastructure Data'!$E$2:$E$1054,"POS_TERMINALS_DEPLOYED")</f>
        <v>8972000</v>
      </c>
      <c r="G117" s="6">
        <f>A117</f>
        <v>45474</v>
      </c>
      <c r="H117" s="10">
        <f>IF($G117&lt;DATE(2020,9,1),"",SUMIFS('Infrastructure Data'!$L$2:$L$1054,'Infrastructure Data'!$A$2:$A$1054,$G117,'Infrastructure Data'!$E$2:$E$1054,"UPI_QR_STATIC_DEPLOYED"))</f>
        <v>585114000</v>
      </c>
    </row>
    <row r="118" spans="1:8">
      <c r="A118" s="6">
        <f>EDATE(A117,1)</f>
        <v>45505</v>
      </c>
      <c r="B118" s="10">
        <f>SUMIFS('Infrastructure Data'!$L$2:$L$1054,'Infrastructure Data'!$A$2:$A$1054,$A118,'Infrastructure Data'!$E$2:$E$1054,"ATMS_TOTAL_DEPLOYED",'Infrastructure Data'!$J$2:$J$1054,"Category_Total")</f>
        <v>255000</v>
      </c>
      <c r="D118" s="6">
        <f>A118</f>
        <v>45505</v>
      </c>
      <c r="E118" s="10">
        <f>SUMIFS('Infrastructure Data'!$L$2:$L$1054,'Infrastructure Data'!$A$2:$A$1054,$D118,'Infrastructure Data'!$E$2:$E$1054,"POS_TERMINALS_DEPLOYED")</f>
        <v>9301000</v>
      </c>
      <c r="G118" s="6">
        <f>A118</f>
        <v>45505</v>
      </c>
      <c r="H118" s="10">
        <f>IF($G118&lt;DATE(2020,9,1),"",SUMIFS('Infrastructure Data'!$L$2:$L$1054,'Infrastructure Data'!$A$2:$A$1054,$G118,'Infrastructure Data'!$E$2:$E$1054,"UPI_QR_STATIC_DEPLOYED"))</f>
        <v>591293000</v>
      </c>
    </row>
    <row r="119" spans="1:8">
      <c r="A119" s="6">
        <f>EDATE(A118,1)</f>
        <v>45536</v>
      </c>
      <c r="B119" s="10">
        <f>SUMIFS('Infrastructure Data'!$L$2:$L$1054,'Infrastructure Data'!$A$2:$A$1054,$A119,'Infrastructure Data'!$E$2:$E$1054,"ATMS_TOTAL_DEPLOYED",'Infrastructure Data'!$J$2:$J$1054,"Category_Total")</f>
        <v>255000</v>
      </c>
      <c r="D119" s="6">
        <f>A119</f>
        <v>45536</v>
      </c>
      <c r="E119" s="10">
        <f>SUMIFS('Infrastructure Data'!$L$2:$L$1054,'Infrastructure Data'!$A$2:$A$1054,$D119,'Infrastructure Data'!$E$2:$E$1054,"POS_TERMINALS_DEPLOYED")</f>
        <v>9343000</v>
      </c>
      <c r="G119" s="6">
        <f>A119</f>
        <v>45536</v>
      </c>
      <c r="H119" s="10">
        <f>IF($G119&lt;DATE(2020,9,1),"",SUMIFS('Infrastructure Data'!$L$2:$L$1054,'Infrastructure Data'!$A$2:$A$1054,$G119,'Infrastructure Data'!$E$2:$E$1054,"UPI_QR_STATIC_DEPLOYED"))</f>
        <v>607079000</v>
      </c>
    </row>
    <row r="120" spans="1:8">
      <c r="A120" s="6">
        <f>EDATE(A119,1)</f>
        <v>45566</v>
      </c>
      <c r="B120" s="10">
        <f>SUMIFS('Infrastructure Data'!$L$2:$L$1054,'Infrastructure Data'!$A$2:$A$1054,$A120,'Infrastructure Data'!$E$2:$E$1054,"ATMS_TOTAL_DEPLOYED",'Infrastructure Data'!$J$2:$J$1054,"Category_Total")</f>
        <v>256000</v>
      </c>
      <c r="D120" s="6">
        <f>A120</f>
        <v>45566</v>
      </c>
      <c r="E120" s="10">
        <f>SUMIFS('Infrastructure Data'!$L$2:$L$1054,'Infrastructure Data'!$A$2:$A$1054,$D120,'Infrastructure Data'!$E$2:$E$1054,"POS_TERMINALS_DEPLOYED")</f>
        <v>9509000</v>
      </c>
      <c r="G120" s="6">
        <f>A120</f>
        <v>45566</v>
      </c>
      <c r="H120" s="10">
        <f>IF($G120&lt;DATE(2020,9,1),"",SUMIFS('Infrastructure Data'!$L$2:$L$1054,'Infrastructure Data'!$A$2:$A$1054,$G120,'Infrastructure Data'!$E$2:$E$1054,"UPI_QR_STATIC_DEPLOYED"))</f>
        <v>616852000</v>
      </c>
    </row>
    <row r="121" spans="1:8">
      <c r="A121" s="6">
        <f>EDATE(A120,1)</f>
        <v>45597</v>
      </c>
      <c r="B121" s="10">
        <f>SUMIFS('Infrastructure Data'!$L$2:$L$1054,'Infrastructure Data'!$A$2:$A$1054,$A121,'Infrastructure Data'!$E$2:$E$1054,"ATMS_TOTAL_DEPLOYED",'Infrastructure Data'!$J$2:$J$1054,"Category_Total")</f>
        <v>255000</v>
      </c>
      <c r="D121" s="6">
        <f>A121</f>
        <v>45597</v>
      </c>
      <c r="E121" s="10">
        <f>SUMIFS('Infrastructure Data'!$L$2:$L$1054,'Infrastructure Data'!$A$2:$A$1054,$D121,'Infrastructure Data'!$E$2:$E$1054,"POS_TERMINALS_DEPLOYED")</f>
        <v>9691000</v>
      </c>
      <c r="G121" s="6">
        <f>A121</f>
        <v>45597</v>
      </c>
      <c r="H121" s="10">
        <f>IF($G121&lt;DATE(2020,9,1),"",SUMIFS('Infrastructure Data'!$L$2:$L$1054,'Infrastructure Data'!$A$2:$A$1054,$G121,'Infrastructure Data'!$E$2:$E$1054,"UPI_QR_STATIC_DEPLOYED"))</f>
        <v>626180000</v>
      </c>
    </row>
    <row r="122" spans="1:8">
      <c r="A122" s="6">
        <f>EDATE(A121,1)</f>
        <v>45627</v>
      </c>
      <c r="B122" s="10">
        <f>SUMIFS('Infrastructure Data'!$L$2:$L$1054,'Infrastructure Data'!$A$2:$A$1054,$A122,'Infrastructure Data'!$E$2:$E$1054,"ATMS_TOTAL_DEPLOYED",'Infrastructure Data'!$J$2:$J$1054,"Category_Total")</f>
        <v>255000</v>
      </c>
      <c r="D122" s="6">
        <f>A122</f>
        <v>45627</v>
      </c>
      <c r="E122" s="10">
        <f>SUMIFS('Infrastructure Data'!$L$2:$L$1054,'Infrastructure Data'!$A$2:$A$1054,$D122,'Infrastructure Data'!$E$2:$E$1054,"POS_TERMINALS_DEPLOYED")</f>
        <v>10001000</v>
      </c>
      <c r="G122" s="6">
        <f>A122</f>
        <v>45627</v>
      </c>
      <c r="H122" s="10">
        <f>IF($G122&lt;DATE(2020,9,1),"",SUMIFS('Infrastructure Data'!$L$2:$L$1054,'Infrastructure Data'!$A$2:$A$1054,$G122,'Infrastructure Data'!$E$2:$E$1054,"UPI_QR_STATIC_DEPLOYED"))</f>
        <v>633530000</v>
      </c>
    </row>
    <row r="123" spans="1:8">
      <c r="A123" s="6">
        <f>EDATE(A122,1)</f>
        <v>45658</v>
      </c>
      <c r="B123" s="10">
        <f>SUMIFS('Infrastructure Data'!$L$2:$L$1054,'Infrastructure Data'!$A$2:$A$1054,$A123,'Infrastructure Data'!$E$2:$E$1054,"ATMS_TOTAL_DEPLOYED",'Infrastructure Data'!$J$2:$J$1054,"Category_Total")</f>
        <v>257000</v>
      </c>
      <c r="D123" s="6">
        <f>A123</f>
        <v>45658</v>
      </c>
      <c r="E123" s="10">
        <f>SUMIFS('Infrastructure Data'!$L$2:$L$1054,'Infrastructure Data'!$A$2:$A$1054,$D123,'Infrastructure Data'!$E$2:$E$1054,"POS_TERMINALS_DEPLOYED")</f>
        <v>10353000</v>
      </c>
      <c r="G123" s="6">
        <f>A123</f>
        <v>45658</v>
      </c>
      <c r="H123" s="10">
        <f>IF($G123&lt;DATE(2020,9,1),"",SUMIFS('Infrastructure Data'!$L$2:$L$1054,'Infrastructure Data'!$A$2:$A$1054,$G123,'Infrastructure Data'!$E$2:$E$1054,"UPI_QR_STATIC_DEPLOYED"))</f>
        <v>640165000</v>
      </c>
    </row>
    <row r="124" spans="1:8">
      <c r="A124" s="6">
        <f>EDATE(A123,1)</f>
        <v>45689</v>
      </c>
      <c r="B124" s="10">
        <f>SUMIFS('Infrastructure Data'!$L$2:$L$1054,'Infrastructure Data'!$A$2:$A$1054,$A124,'Infrastructure Data'!$E$2:$E$1054,"ATMS_TOTAL_DEPLOYED",'Infrastructure Data'!$J$2:$J$1054,"Category_Total")</f>
        <v>258000</v>
      </c>
      <c r="D124" s="6">
        <f>A124</f>
        <v>45689</v>
      </c>
      <c r="E124" s="10">
        <f>SUMIFS('Infrastructure Data'!$L$2:$L$1054,'Infrastructure Data'!$A$2:$A$1054,$D124,'Infrastructure Data'!$E$2:$E$1054,"POS_TERMINALS_DEPLOYED")</f>
        <v>10718000</v>
      </c>
      <c r="G124" s="6">
        <f>A124</f>
        <v>45689</v>
      </c>
      <c r="H124" s="10">
        <f>IF($G124&lt;DATE(2020,9,1),"",SUMIFS('Infrastructure Data'!$L$2:$L$1054,'Infrastructure Data'!$A$2:$A$1054,$G124,'Infrastructure Data'!$E$2:$E$1054,"UPI_QR_STATIC_DEPLOYED"))</f>
        <v>649691000</v>
      </c>
    </row>
    <row r="125" spans="1:8">
      <c r="A125" s="6">
        <f>EDATE(A124,1)</f>
        <v>45717</v>
      </c>
      <c r="B125" s="10">
        <f>SUMIFS('Infrastructure Data'!$L$2:$L$1054,'Infrastructure Data'!$A$2:$A$1054,$A125,'Infrastructure Data'!$E$2:$E$1054,"ATMS_TOTAL_DEPLOYED",'Infrastructure Data'!$J$2:$J$1054,"Category_Total")</f>
        <v>256000</v>
      </c>
      <c r="D125" s="6">
        <f>A125</f>
        <v>45717</v>
      </c>
      <c r="E125" s="10">
        <f>SUMIFS('Infrastructure Data'!$L$2:$L$1054,'Infrastructure Data'!$A$2:$A$1054,$D125,'Infrastructure Data'!$E$2:$E$1054,"POS_TERMINALS_DEPLOYED")</f>
        <v>11098000</v>
      </c>
      <c r="G125" s="6">
        <f>A125</f>
        <v>45717</v>
      </c>
      <c r="H125" s="10">
        <f>IF($G125&lt;DATE(2020,9,1),"",SUMIFS('Infrastructure Data'!$L$2:$L$1054,'Infrastructure Data'!$A$2:$A$1054,$G125,'Infrastructure Data'!$E$2:$E$1054,"UPI_QR_STATIC_DEPLOYED"))</f>
        <v>657930000</v>
      </c>
    </row>
    <row r="126" spans="1:8">
      <c r="A126" s="6">
        <f>EDATE(A125,1)</f>
        <v>45748</v>
      </c>
      <c r="B126" s="10">
        <f>SUMIFS('Infrastructure Data'!$L$2:$L$1054,'Infrastructure Data'!$A$2:$A$1054,$A126,'Infrastructure Data'!$E$2:$E$1054,"ATMS_TOTAL_DEPLOYED",'Infrastructure Data'!$J$2:$J$1054,"Category_Total")</f>
        <v>255000</v>
      </c>
      <c r="D126" s="6">
        <f>A126</f>
        <v>45748</v>
      </c>
      <c r="E126" s="10">
        <f>SUMIFS('Infrastructure Data'!$L$2:$L$1054,'Infrastructure Data'!$A$2:$A$1054,$D126,'Infrastructure Data'!$E$2:$E$1054,"POS_TERMINALS_DEPLOYED")</f>
        <v>11283000</v>
      </c>
      <c r="G126" s="6">
        <f>A126</f>
        <v>45748</v>
      </c>
      <c r="H126" s="10">
        <f>IF($G126&lt;DATE(2020,9,1),"",SUMIFS('Infrastructure Data'!$L$2:$L$1054,'Infrastructure Data'!$A$2:$A$1054,$G126,'Infrastructure Data'!$E$2:$E$1054,"UPI_QR_STATIC_DEPLOYED"))</f>
        <v>662385000</v>
      </c>
    </row>
    <row r="127" spans="1:8">
      <c r="A127" s="6">
        <f>EDATE(A126,1)</f>
        <v>45778</v>
      </c>
      <c r="B127" s="10">
        <f>SUMIFS('Infrastructure Data'!$L$2:$L$1054,'Infrastructure Data'!$A$2:$A$1054,$A127,'Infrastructure Data'!$E$2:$E$1054,"ATMS_TOTAL_DEPLOYED",'Infrastructure Data'!$J$2:$J$1054,"Category_Total")</f>
        <v>257000</v>
      </c>
      <c r="D127" s="6">
        <f>A127</f>
        <v>45778</v>
      </c>
      <c r="E127" s="10">
        <f>SUMIFS('Infrastructure Data'!$L$2:$L$1054,'Infrastructure Data'!$A$2:$A$1054,$D127,'Infrastructure Data'!$E$2:$E$1054,"POS_TERMINALS_DEPLOYED")</f>
        <v>11581000</v>
      </c>
      <c r="G127" s="6">
        <f>A127</f>
        <v>45778</v>
      </c>
      <c r="H127" s="10">
        <f>IF($G127&lt;DATE(2020,9,1),"",SUMIFS('Infrastructure Data'!$L$2:$L$1054,'Infrastructure Data'!$A$2:$A$1054,$G127,'Infrastructure Data'!$E$2:$E$1054,"UPI_QR_STATIC_DEPLOYED"))</f>
        <v>669730000</v>
      </c>
    </row>
    <row r="128" spans="1:8">
      <c r="A128" s="6">
        <f>EDATE(A127,1)</f>
        <v>45809</v>
      </c>
      <c r="B128" s="10">
        <f>SUMIFS('Infrastructure Data'!$L$2:$L$1054,'Infrastructure Data'!$A$2:$A$1054,$A128,'Infrastructure Data'!$E$2:$E$1054,"ATMS_TOTAL_DEPLOYED",'Infrastructure Data'!$J$2:$J$1054,"Category_Total")</f>
        <v>251000</v>
      </c>
      <c r="D128" s="6">
        <f>A128</f>
        <v>45809</v>
      </c>
      <c r="E128" s="10">
        <f>SUMIFS('Infrastructure Data'!$L$2:$L$1054,'Infrastructure Data'!$A$2:$A$1054,$D128,'Infrastructure Data'!$E$2:$E$1054,"POS_TERMINALS_DEPLOYED")</f>
        <v>11783000</v>
      </c>
      <c r="G128" s="6">
        <f>A128</f>
        <v>45809</v>
      </c>
      <c r="H128" s="10">
        <f>IF($G128&lt;DATE(2020,9,1),"",SUMIFS('Infrastructure Data'!$L$2:$L$1054,'Infrastructure Data'!$A$2:$A$1054,$G128,'Infrastructure Data'!$E$2:$E$1054,"UPI_QR_STATIC_DEPLOYED"))</f>
        <v>678161000</v>
      </c>
    </row>
    <row r="129" spans="1:8">
      <c r="A129" s="6">
        <f>EDATE(A128,1)</f>
        <v>45839</v>
      </c>
      <c r="B129" s="10">
        <f>SUMIFS('Infrastructure Data'!$L$2:$L$1054,'Infrastructure Data'!$A$2:$A$1054,$A129,'Infrastructure Data'!$E$2:$E$1054,"ATMS_TOTAL_DEPLOYED",'Infrastructure Data'!$J$2:$J$1054,"Category_Total")</f>
        <v>249000</v>
      </c>
      <c r="D129" s="6">
        <f>A129</f>
        <v>45839</v>
      </c>
      <c r="E129" s="10">
        <f>SUMIFS('Infrastructure Data'!$L$2:$L$1054,'Infrastructure Data'!$A$2:$A$1054,$D129,'Infrastructure Data'!$E$2:$E$1054,"POS_TERMINALS_DEPLOYED")</f>
        <v>11913000</v>
      </c>
      <c r="G129" s="6">
        <f>A129</f>
        <v>45839</v>
      </c>
      <c r="H129" s="10">
        <f>IF($G129&lt;DATE(2020,9,1),"",SUMIFS('Infrastructure Data'!$L$2:$L$1054,'Infrastructure Data'!$A$2:$A$1054,$G129,'Infrastructure Data'!$E$2:$E$1054,"UPI_QR_STATIC_DEPLOYED"))</f>
        <v>688031000</v>
      </c>
    </row>
    <row r="130" spans="1:8">
      <c r="A130" s="6">
        <f>EDATE(A129,1)</f>
        <v>45870</v>
      </c>
      <c r="B130" s="10">
        <f>SUMIFS('Infrastructure Data'!$L$2:$L$1054,'Infrastructure Data'!$A$2:$A$1054,$A130,'Infrastructure Data'!$E$2:$E$1054,"ATMS_TOTAL_DEPLOYED",'Infrastructure Data'!$J$2:$J$1054,"Category_Total")</f>
        <v>249000</v>
      </c>
      <c r="D130" s="6">
        <f>A130</f>
        <v>45870</v>
      </c>
      <c r="E130" s="10">
        <f>SUMIFS('Infrastructure Data'!$L$2:$L$1054,'Infrastructure Data'!$A$2:$A$1054,$D130,'Infrastructure Data'!$E$2:$E$1054,"POS_TERMINALS_DEPLOYED")</f>
        <v>11965000</v>
      </c>
      <c r="G130" s="6">
        <f>A130</f>
        <v>45870</v>
      </c>
      <c r="H130" s="10">
        <f>IF($G130&lt;DATE(2020,9,1),"",SUMIFS('Infrastructure Data'!$L$2:$L$1054,'Infrastructure Data'!$A$2:$A$1054,$G130,'Infrastructure Data'!$E$2:$E$1054,"UPI_QR_STATIC_DEPLOYED"))</f>
        <v>697747000</v>
      </c>
    </row>
    <row r="131" spans="1:8">
      <c r="A131" s="6">
        <f>EDATE(A130,1)</f>
        <v>45901</v>
      </c>
      <c r="B131" s="10">
        <f>SUMIFS('Infrastructure Data'!$L$2:$L$1054,'Infrastructure Data'!$A$2:$A$1054,$A131,'Infrastructure Data'!$E$2:$E$1054,"ATMS_TOTAL_DEPLOYED",'Infrastructure Data'!$J$2:$J$1054,"Category_Total")</f>
        <v>249000</v>
      </c>
      <c r="D131" s="6">
        <f>A131</f>
        <v>45901</v>
      </c>
      <c r="E131" s="10">
        <f>SUMIFS('Infrastructure Data'!$L$2:$L$1054,'Infrastructure Data'!$A$2:$A$1054,$D131,'Infrastructure Data'!$E$2:$E$1054,"POS_TERMINALS_DEPLOYED")</f>
        <v>12116000</v>
      </c>
      <c r="G131" s="6">
        <f>A131</f>
        <v>45901</v>
      </c>
      <c r="H131" s="10">
        <f>IF($G131&lt;DATE(2020,9,1),"",SUMIFS('Infrastructure Data'!$L$2:$L$1054,'Infrastructure Data'!$A$2:$A$1054,$G131,'Infrastructure Data'!$E$2:$E$1054,"UPI_QR_STATIC_DEPLOYED"))</f>
        <v>708975000</v>
      </c>
    </row>
    <row r="132" spans="1:8">
      <c r="A132" s="6">
        <f>EDATE(A131,1)</f>
        <v>45931</v>
      </c>
      <c r="B132" s="10">
        <f>SUMIFS('Infrastructure Data'!$L$2:$L$1054,'Infrastructure Data'!$A$2:$A$1054,$A132,'Infrastructure Data'!$E$2:$E$1054,"ATMS_TOTAL_DEPLOYED",'Infrastructure Data'!$J$2:$J$1054,"Category_Total")</f>
        <v>250000</v>
      </c>
      <c r="D132" s="6">
        <f>A132</f>
        <v>45931</v>
      </c>
      <c r="E132" s="10">
        <f>SUMIFS('Infrastructure Data'!$L$2:$L$1054,'Infrastructure Data'!$A$2:$A$1054,$D132,'Infrastructure Data'!$E$2:$E$1054,"POS_TERMINALS_DEPLOYED")</f>
        <v>12308000</v>
      </c>
      <c r="G132" s="6">
        <f>A132</f>
        <v>45931</v>
      </c>
      <c r="H132" s="10">
        <f>IF($G132&lt;DATE(2020,9,1),"",SUMIFS('Infrastructure Data'!$L$2:$L$1054,'Infrastructure Data'!$A$2:$A$1054,$G132,'Infrastructure Data'!$E$2:$E$1054,"UPI_QR_STATIC_DEPLOYED"))</f>
        <v>717434000</v>
      </c>
    </row>
    <row r="133" spans="1:8">
      <c r="A133" s="6">
        <f>EDATE(A132,1)</f>
        <v>45962</v>
      </c>
      <c r="B133" s="10">
        <f>SUMIFS('Infrastructure Data'!$L$2:$L$1054,'Infrastructure Data'!$A$2:$A$1054,$A133,'Infrastructure Data'!$E$2:$E$1054,"ATMS_TOTAL_DEPLOYED",'Infrastructure Data'!$J$2:$J$1054,"Category_Total")</f>
        <v>251000</v>
      </c>
      <c r="D133" s="6">
        <f>A133</f>
        <v>45962</v>
      </c>
      <c r="E133" s="10">
        <f>SUMIFS('Infrastructure Data'!$L$2:$L$1054,'Infrastructure Data'!$A$2:$A$1054,$D133,'Infrastructure Data'!$E$2:$E$1054,"POS_TERMINALS_DEPLOYED")</f>
        <v>11253000</v>
      </c>
      <c r="G133" s="6">
        <f>A133</f>
        <v>45962</v>
      </c>
      <c r="H133" s="10">
        <f>IF($G133&lt;DATE(2020,9,1),"",SUMIFS('Infrastructure Data'!$L$2:$L$1054,'Infrastructure Data'!$A$2:$A$1054,$G133,'Infrastructure Data'!$E$2:$E$1054,"UPI_QR_STATIC_DEPLOYED"))</f>
        <v>728200000</v>
      </c>
    </row>
    <row r="134" spans="1:8">
      <c r="A134" s="6">
        <f>EDATE(A133,1)</f>
        <v>45992</v>
      </c>
      <c r="B134" s="10">
        <f>SUMIFS('Infrastructure Data'!$L$2:$L$1054,'Infrastructure Data'!$A$2:$A$1054,$A134,'Infrastructure Data'!$E$2:$E$1054,"ATMS_TOTAL_DEPLOYED",'Infrastructure Data'!$J$2:$J$1054,"Category_Total")</f>
        <v>250000</v>
      </c>
      <c r="D134" s="6">
        <f>A134</f>
        <v>45992</v>
      </c>
      <c r="E134" s="10">
        <f>SUMIFS('Infrastructure Data'!$L$2:$L$1054,'Infrastructure Data'!$A$2:$A$1054,$D134,'Infrastructure Data'!$E$2:$E$1054,"POS_TERMINALS_DEPLOYED")</f>
        <v>11475000</v>
      </c>
      <c r="G134" s="6">
        <f>A134</f>
        <v>45992</v>
      </c>
      <c r="H134" s="10">
        <f>IF($G134&lt;DATE(2020,9,1),"",SUMIFS('Infrastructure Data'!$L$2:$L$1054,'Infrastructure Data'!$A$2:$A$1054,$G134,'Infrastructure Data'!$E$2:$E$1054,"UPI_QR_STATIC_DEPLOYED"))</f>
        <v>731365000</v>
      </c>
    </row>
    <row r="135" spans="1:8">
      <c r="A135" s="6">
        <f>EDATE(A134,1)</f>
        <v>46023</v>
      </c>
      <c r="B135" s="10">
        <f>SUMIFS('Infrastructure Data'!$L$2:$L$1054,'Infrastructure Data'!$A$2:$A$1054,$A135,'Infrastructure Data'!$E$2:$E$1054,"ATMS_TOTAL_DEPLOYED",'Infrastructure Data'!$J$2:$J$1054,"Category_Total")</f>
        <v>252000</v>
      </c>
      <c r="D135" s="6">
        <f>A135</f>
        <v>46023</v>
      </c>
      <c r="E135" s="10">
        <f>SUMIFS('Infrastructure Data'!$L$2:$L$1054,'Infrastructure Data'!$A$2:$A$1054,$D135,'Infrastructure Data'!$E$2:$E$1054,"POS_TERMINALS_DEPLOYED")</f>
        <v>11545000</v>
      </c>
      <c r="G135" s="6">
        <f>A135</f>
        <v>46023</v>
      </c>
      <c r="H135" s="10">
        <f>IF($G135&lt;DATE(2020,9,1),"",SUMIFS('Infrastructure Data'!$L$2:$L$1054,'Infrastructure Data'!$A$2:$A$1054,$G135,'Infrastructure Data'!$E$2:$E$1054,"UPI_QR_STATIC_DEPLOYED"))</f>
        <v>738380000</v>
      </c>
    </row>
    <row r="136" spans="1:8">
      <c r="A136" s="6">
        <f>EDATE(A135,1)</f>
        <v>46054</v>
      </c>
      <c r="B136" s="10">
        <f>SUMIFS('Infrastructure Data'!$L$2:$L$1054,'Infrastructure Data'!$A$2:$A$1054,$A136,'Infrastructure Data'!$E$2:$E$1054,"ATMS_TOTAL_DEPLOYED",'Infrastructure Data'!$J$2:$J$1054,"Category_Total")</f>
        <v>253000</v>
      </c>
      <c r="D136" s="6">
        <f>A136</f>
        <v>46054</v>
      </c>
      <c r="E136" s="10">
        <f>SUMIFS('Infrastructure Data'!$L$2:$L$1054,'Infrastructure Data'!$A$2:$A$1054,$D136,'Infrastructure Data'!$E$2:$E$1054,"POS_TERMINALS_DEPLOYED")</f>
        <v>11665000</v>
      </c>
      <c r="G136" s="6">
        <f>A136</f>
        <v>46054</v>
      </c>
      <c r="H136" s="10">
        <f>IF($G136&lt;DATE(2020,9,1),"",SUMIFS('Infrastructure Data'!$L$2:$L$1054,'Infrastructure Data'!$A$2:$A$1054,$G136,'Infrastructure Data'!$E$2:$E$1054,"UPI_QR_STATIC_DEPLOYED"))</f>
        <v>754204000</v>
      </c>
    </row>
    <row r="137" spans="1:8">
      <c r="A137" s="6">
        <f>EDATE(A136,1)</f>
        <v>46082</v>
      </c>
      <c r="B137" s="10">
        <f>SUMIFS('Infrastructure Data'!$L$2:$L$1054,'Infrastructure Data'!$A$2:$A$1054,$A137,'Infrastructure Data'!$E$2:$E$1054,"ATMS_TOTAL_DEPLOYED",'Infrastructure Data'!$J$2:$J$1054,"Category_Total")</f>
        <v>254000</v>
      </c>
      <c r="D137" s="6">
        <f>A137</f>
        <v>46082</v>
      </c>
      <c r="E137" s="10">
        <f>SUMIFS('Infrastructure Data'!$L$2:$L$1054,'Infrastructure Data'!$A$2:$A$1054,$D137,'Infrastructure Data'!$E$2:$E$1054,"POS_TERMINALS_DEPLOYED")</f>
        <v>11769000</v>
      </c>
      <c r="G137" s="6">
        <f>A137</f>
        <v>46082</v>
      </c>
      <c r="H137" s="10">
        <f>IF($G137&lt;DATE(2020,9,1),"",SUMIFS('Infrastructure Data'!$L$2:$L$1054,'Infrastructure Data'!$A$2:$A$1054,$G137,'Infrastructure Data'!$E$2:$E$1054,"UPI_QR_STATIC_DEPLOYED"))</f>
        <v>761217000</v>
      </c>
    </row>
    <row r="138" spans="1:8">
      <c r="A138" s="6">
        <f>EDATE(A137,1)</f>
        <v>46113</v>
      </c>
      <c r="B138" s="10">
        <f>SUMIFS('Infrastructure Data'!$L$2:$L$1054,'Infrastructure Data'!$A$2:$A$1054,$A138,'Infrastructure Data'!$E$2:$E$1054,"ATMS_TOTAL_DEPLOYED",'Infrastructure Data'!$J$2:$J$1054,"Category_Total")</f>
        <v>254000</v>
      </c>
      <c r="D138" s="6">
        <f>A138</f>
        <v>46113</v>
      </c>
      <c r="E138" s="10">
        <f>SUMIFS('Infrastructure Data'!$L$2:$L$1054,'Infrastructure Data'!$A$2:$A$1054,$D138,'Infrastructure Data'!$E$2:$E$1054,"POS_TERMINALS_DEPLOYED")</f>
        <v>11447000</v>
      </c>
      <c r="G138" s="6">
        <f>A138</f>
        <v>46113</v>
      </c>
      <c r="H138" s="10">
        <f>IF($G138&lt;DATE(2020,9,1),"",SUMIFS('Infrastructure Data'!$L$2:$L$1054,'Infrastructure Data'!$A$2:$A$1054,$G138,'Infrastructure Data'!$E$2:$E$1054,"UPI_QR_STATIC_DEPLOYED"))</f>
        <v>770829000</v>
      </c>
    </row>
    <row r="139" spans="1:8">
      <c r="A139" s="6">
        <f>EDATE(A138,1)</f>
        <v>46143</v>
      </c>
      <c r="B139" s="10">
        <f>SUMIFS('Infrastructure Data'!$L$2:$L$1054,'Infrastructure Data'!$A$2:$A$1054,$A139,'Infrastructure Data'!$E$2:$E$1054,"ATMS_TOTAL_DEPLOYED",'Infrastructure Data'!$J$2:$J$1054,"Category_Total")</f>
        <v>254000</v>
      </c>
      <c r="D139" s="6">
        <f>A139</f>
        <v>46143</v>
      </c>
      <c r="E139" s="10">
        <f>SUMIFS('Infrastructure Data'!$L$2:$L$1054,'Infrastructure Data'!$A$2:$A$1054,$D139,'Infrastructure Data'!$E$2:$E$1054,"POS_TERMINALS_DEPLOYED")</f>
        <v>11525000</v>
      </c>
      <c r="G139" s="6">
        <f>A139</f>
        <v>46143</v>
      </c>
      <c r="H139" s="10">
        <f>IF($G139&lt;DATE(2020,9,1),"",SUMIFS('Infrastructure Data'!$L$2:$L$1054,'Infrastructure Data'!$A$2:$A$1054,$G139,'Infrastructure Data'!$E$2:$E$1054,"UPI_QR_STATIC_DEPLOYED"))</f>
        <v>779765000</v>
      </c>
    </row>
    <row r="140" spans="1:8">
      <c r="A140" s="6">
        <f>EDATE(A139,1)</f>
        <v>46174</v>
      </c>
      <c r="B140" s="10">
        <f>SUMIFS('Infrastructure Data'!$L$2:$L$1054,'Infrastructure Data'!$A$2:$A$1054,$A140,'Infrastructure Data'!$E$2:$E$1054,"ATMS_TOTAL_DEPLOYED",'Infrastructure Data'!$J$2:$J$1054,"Category_Total")</f>
        <v>252000</v>
      </c>
      <c r="D140" s="6">
        <f>A140</f>
        <v>46174</v>
      </c>
      <c r="E140" s="10">
        <f>SUMIFS('Infrastructure Data'!$L$2:$L$1054,'Infrastructure Data'!$A$2:$A$1054,$D140,'Infrastructure Data'!$E$2:$E$1054,"POS_TERMINALS_DEPLOYED")</f>
        <v>9922000</v>
      </c>
      <c r="G140" s="6">
        <f>A140</f>
        <v>46174</v>
      </c>
      <c r="H140" s="10">
        <f>IF($G140&lt;DATE(2020,9,1),"",SUMIFS('Infrastructure Data'!$L$2:$L$1054,'Infrastructure Data'!$A$2:$A$1054,$G140,'Infrastructure Data'!$E$2:$E$1054,"UPI_QR_STATIC_DEPLOYED"))</f>
        <v>792574000</v>
      </c>
    </row>
    <row r="141" spans="1:8">
      <c r="A141" s="6">
        <f>EDATE(A140,1)</f>
        <v>46204</v>
      </c>
      <c r="B141" s="10">
        <f>SUMIFS('Infrastructure Data'!$L$2:$L$1054,'Infrastructure Data'!$A$2:$A$1054,$A141,'Infrastructure Data'!$E$2:$E$1054,"ATMS_TOTAL_DEPLOYED",'Infrastructure Data'!$J$2:$J$1054,"Category_Total")</f>
        <v>253000</v>
      </c>
      <c r="D141" s="6">
        <f>A141</f>
        <v>46204</v>
      </c>
      <c r="E141" s="10">
        <f>SUMIFS('Infrastructure Data'!$L$2:$L$1054,'Infrastructure Data'!$A$2:$A$1054,$D141,'Infrastructure Data'!$E$2:$E$1054,"POS_TERMINALS_DEPLOYED")</f>
        <v>10028000</v>
      </c>
      <c r="G141" s="6">
        <f>A141</f>
        <v>46204</v>
      </c>
      <c r="H141" s="10">
        <f>IF($G141&lt;DATE(2020,9,1),"",SUMIFS('Infrastructure Data'!$L$2:$L$1054,'Infrastructure Data'!$A$2:$A$1054,$G141,'Infrastructure Data'!$E$2:$E$1054,"UPI_QR_STATIC_DEPLOYED"))</f>
        <v>803048000</v>
      </c>
    </row>
  </sheetData>
  <mergeCells count="7">
    <mergeCell ref="A8:P8"/>
    <mergeCell ref="A1:P1"/>
    <mergeCell ref="A2:P2"/>
    <mergeCell ref="A3:P3"/>
    <mergeCell ref="A5:P5"/>
    <mergeCell ref="A6:P6"/>
    <mergeCell ref="A7:P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C5306F-67A6-4B02-AEBC-27E2F11D76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Infrastructure Data</vt:lpstr>
      <vt:lpstr>Data Dictionary</vt:lpstr>
      <vt:lpstr>Cleaning Exceptions</vt:lpstr>
      <vt:lpstr>Transaction Data</vt:lpstr>
      <vt:lpstr>PAYFLOW Dashboard</vt:lpstr>
      <vt:lpstr>Payment Trends</vt:lpstr>
      <vt:lpstr>Infrastructure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2026-10-24T07:39:17Z</dcterms:created>
  <dcterms:modified xsi:type="dcterms:W3CDTF">2026-10-24T11:31:23Z</dcterms:modified>
</cp:coreProperties>
</file>